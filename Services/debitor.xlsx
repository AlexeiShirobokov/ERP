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isk-12\PycharmProjects\ERP\Services\"/>
    </mc:Choice>
  </mc:AlternateContent>
  <xr:revisionPtr revIDLastSave="0" documentId="13_ncr:1_{121B067F-4911-4357-BEE6-DB8F672FDA94}" xr6:coauthVersionLast="45" xr6:coauthVersionMax="45" xr10:uidLastSave="{00000000-0000-0000-0000-000000000000}"/>
  <bookViews>
    <workbookView xWindow="-120" yWindow="-120" windowWidth="38640" windowHeight="21120" activeTab="1" xr2:uid="{6545F830-13FD-4E67-88B2-2C3C406E1EAA}"/>
  </bookViews>
  <sheets>
    <sheet name="Реестр" sheetId="1" r:id="rId1"/>
    <sheet name="Свод" sheetId="2" r:id="rId2"/>
  </sheets>
  <definedNames>
    <definedName name="_xlnm._FilterDatabase" localSheetId="0" hidden="1">Реестр!$A$1:$Q$829</definedName>
  </definedNames>
  <calcPr calcId="191029"/>
  <pivotCaches>
    <pivotCache cacheId="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481" i="1" l="1"/>
  <c r="J4481" i="1" s="1"/>
  <c r="K4481" i="1" s="1"/>
  <c r="I4482" i="1"/>
  <c r="J4482" i="1" s="1"/>
  <c r="K4482" i="1" s="1"/>
  <c r="I4483" i="1"/>
  <c r="J4483" i="1" s="1"/>
  <c r="K4483" i="1" s="1"/>
  <c r="I4484" i="1"/>
  <c r="J4484" i="1" s="1"/>
  <c r="K4484" i="1" s="1"/>
  <c r="I4485" i="1"/>
  <c r="J4485" i="1" s="1"/>
  <c r="K4485" i="1" s="1"/>
  <c r="I4486" i="1"/>
  <c r="J4486" i="1" s="1"/>
  <c r="K4486" i="1" s="1"/>
  <c r="I4487" i="1"/>
  <c r="J4487" i="1" s="1"/>
  <c r="K4487" i="1" s="1"/>
  <c r="I4488" i="1"/>
  <c r="J4488" i="1" s="1"/>
  <c r="K4488" i="1" s="1"/>
  <c r="I4489" i="1"/>
  <c r="J4489" i="1" s="1"/>
  <c r="K4489" i="1" s="1"/>
  <c r="I4490" i="1"/>
  <c r="J4490" i="1" s="1"/>
  <c r="K4490" i="1" s="1"/>
  <c r="I4491" i="1"/>
  <c r="J4491" i="1" s="1"/>
  <c r="K4491" i="1" s="1"/>
  <c r="I4492" i="1"/>
  <c r="J4492" i="1" s="1"/>
  <c r="K4492" i="1" s="1"/>
  <c r="I4493" i="1"/>
  <c r="J4493" i="1" s="1"/>
  <c r="K4493" i="1" s="1"/>
  <c r="I4494" i="1"/>
  <c r="J4494" i="1" s="1"/>
  <c r="K4494" i="1" s="1"/>
  <c r="I4495" i="1"/>
  <c r="J4495" i="1" s="1"/>
  <c r="K4495" i="1" s="1"/>
  <c r="I4496" i="1"/>
  <c r="J4496" i="1" s="1"/>
  <c r="K4496" i="1" s="1"/>
  <c r="I4497" i="1"/>
  <c r="J4497" i="1" s="1"/>
  <c r="K4497" i="1" s="1"/>
  <c r="I4498" i="1"/>
  <c r="J4498" i="1" s="1"/>
  <c r="K4498" i="1" s="1"/>
  <c r="I4499" i="1"/>
  <c r="J4499" i="1" s="1"/>
  <c r="K4499" i="1" s="1"/>
  <c r="I4500" i="1"/>
  <c r="J4500" i="1" s="1"/>
  <c r="K4500" i="1" s="1"/>
  <c r="I4501" i="1"/>
  <c r="J4501" i="1" s="1"/>
  <c r="K4501" i="1" s="1"/>
  <c r="I4502" i="1"/>
  <c r="J4502" i="1" s="1"/>
  <c r="K4502" i="1" s="1"/>
  <c r="I4503" i="1"/>
  <c r="J4503" i="1" s="1"/>
  <c r="K4503" i="1" s="1"/>
  <c r="I4504" i="1"/>
  <c r="J4504" i="1" s="1"/>
  <c r="K4504" i="1" s="1"/>
  <c r="I4505" i="1"/>
  <c r="J4505" i="1" s="1"/>
  <c r="K4505" i="1" s="1"/>
  <c r="I4506" i="1"/>
  <c r="J4506" i="1" s="1"/>
  <c r="K4506" i="1" s="1"/>
  <c r="I4507" i="1"/>
  <c r="J4507" i="1" s="1"/>
  <c r="K4507" i="1" s="1"/>
  <c r="I4508" i="1"/>
  <c r="J4508" i="1" s="1"/>
  <c r="K4508" i="1" s="1"/>
  <c r="I4509" i="1"/>
  <c r="J4509" i="1" s="1"/>
  <c r="K4509" i="1" s="1"/>
  <c r="I4510" i="1"/>
  <c r="J4510" i="1" s="1"/>
  <c r="K4510" i="1" s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I4013" i="1"/>
  <c r="I4014" i="1"/>
  <c r="J4014" i="1" s="1"/>
  <c r="K4014" i="1" s="1"/>
  <c r="I4015" i="1"/>
  <c r="I4016" i="1"/>
  <c r="I4017" i="1"/>
  <c r="J4017" i="1" s="1"/>
  <c r="K4017" i="1" s="1"/>
  <c r="I4018" i="1"/>
  <c r="J4018" i="1" s="1"/>
  <c r="K4018" i="1" s="1"/>
  <c r="I4019" i="1"/>
  <c r="J4019" i="1" s="1"/>
  <c r="K4019" i="1" s="1"/>
  <c r="I4020" i="1"/>
  <c r="J4020" i="1" s="1"/>
  <c r="K4020" i="1" s="1"/>
  <c r="I4021" i="1"/>
  <c r="J4021" i="1" s="1"/>
  <c r="K4021" i="1" s="1"/>
  <c r="I4022" i="1"/>
  <c r="J4022" i="1" s="1"/>
  <c r="K4022" i="1" s="1"/>
  <c r="I4023" i="1"/>
  <c r="J4023" i="1" s="1"/>
  <c r="K4023" i="1" s="1"/>
  <c r="I4024" i="1"/>
  <c r="J4024" i="1" s="1"/>
  <c r="K4024" i="1" s="1"/>
  <c r="I4025" i="1"/>
  <c r="I4026" i="1"/>
  <c r="I4027" i="1"/>
  <c r="I4028" i="1"/>
  <c r="I4029" i="1"/>
  <c r="J4029" i="1" s="1"/>
  <c r="K4029" i="1" s="1"/>
  <c r="I4030" i="1"/>
  <c r="J4030" i="1" s="1"/>
  <c r="K4030" i="1" s="1"/>
  <c r="I4031" i="1"/>
  <c r="J4031" i="1" s="1"/>
  <c r="K4031" i="1" s="1"/>
  <c r="I4032" i="1"/>
  <c r="J4032" i="1" s="1"/>
  <c r="K4032" i="1" s="1"/>
  <c r="I4033" i="1"/>
  <c r="J4033" i="1" s="1"/>
  <c r="K4033" i="1" s="1"/>
  <c r="I4034" i="1"/>
  <c r="J4034" i="1" s="1"/>
  <c r="K4034" i="1" s="1"/>
  <c r="I4035" i="1"/>
  <c r="J4035" i="1" s="1"/>
  <c r="K4035" i="1" s="1"/>
  <c r="I4036" i="1"/>
  <c r="J4036" i="1" s="1"/>
  <c r="K4036" i="1" s="1"/>
  <c r="I4037" i="1"/>
  <c r="I4038" i="1"/>
  <c r="J4038" i="1" s="1"/>
  <c r="K4038" i="1" s="1"/>
  <c r="I4039" i="1"/>
  <c r="I4040" i="1"/>
  <c r="I4041" i="1"/>
  <c r="J4041" i="1" s="1"/>
  <c r="K4041" i="1" s="1"/>
  <c r="I4042" i="1"/>
  <c r="J4042" i="1" s="1"/>
  <c r="K4042" i="1" s="1"/>
  <c r="I4043" i="1"/>
  <c r="J4043" i="1" s="1"/>
  <c r="K4043" i="1" s="1"/>
  <c r="I4044" i="1"/>
  <c r="J4044" i="1" s="1"/>
  <c r="K4044" i="1" s="1"/>
  <c r="I4045" i="1"/>
  <c r="J4045" i="1" s="1"/>
  <c r="K4045" i="1" s="1"/>
  <c r="I4046" i="1"/>
  <c r="J4046" i="1" s="1"/>
  <c r="K4046" i="1" s="1"/>
  <c r="I4047" i="1"/>
  <c r="J4047" i="1" s="1"/>
  <c r="K4047" i="1" s="1"/>
  <c r="I4048" i="1"/>
  <c r="J4048" i="1" s="1"/>
  <c r="K4048" i="1" s="1"/>
  <c r="I4049" i="1"/>
  <c r="I4050" i="1"/>
  <c r="J4050" i="1" s="1"/>
  <c r="K4050" i="1" s="1"/>
  <c r="I4051" i="1"/>
  <c r="I4052" i="1"/>
  <c r="I4053" i="1"/>
  <c r="J4053" i="1" s="1"/>
  <c r="K4053" i="1" s="1"/>
  <c r="I4054" i="1"/>
  <c r="J4054" i="1" s="1"/>
  <c r="K4054" i="1" s="1"/>
  <c r="I4055" i="1"/>
  <c r="J4055" i="1" s="1"/>
  <c r="K4055" i="1" s="1"/>
  <c r="I4056" i="1"/>
  <c r="J4056" i="1" s="1"/>
  <c r="K4056" i="1" s="1"/>
  <c r="I4057" i="1"/>
  <c r="J4057" i="1" s="1"/>
  <c r="K4057" i="1" s="1"/>
  <c r="I4058" i="1"/>
  <c r="J4058" i="1" s="1"/>
  <c r="K4058" i="1" s="1"/>
  <c r="I4059" i="1"/>
  <c r="J4059" i="1" s="1"/>
  <c r="K4059" i="1" s="1"/>
  <c r="I4060" i="1"/>
  <c r="J4060" i="1" s="1"/>
  <c r="K4060" i="1" s="1"/>
  <c r="I4061" i="1"/>
  <c r="I4062" i="1"/>
  <c r="J4062" i="1" s="1"/>
  <c r="K4062" i="1" s="1"/>
  <c r="I4063" i="1"/>
  <c r="I4064" i="1"/>
  <c r="I4065" i="1"/>
  <c r="J4065" i="1" s="1"/>
  <c r="K4065" i="1" s="1"/>
  <c r="I4066" i="1"/>
  <c r="J4066" i="1" s="1"/>
  <c r="K4066" i="1" s="1"/>
  <c r="I4067" i="1"/>
  <c r="J4067" i="1" s="1"/>
  <c r="K4067" i="1" s="1"/>
  <c r="I4068" i="1"/>
  <c r="J4068" i="1" s="1"/>
  <c r="K4068" i="1" s="1"/>
  <c r="I4069" i="1"/>
  <c r="J4069" i="1" s="1"/>
  <c r="K4069" i="1" s="1"/>
  <c r="I4070" i="1"/>
  <c r="J4070" i="1" s="1"/>
  <c r="K4070" i="1" s="1"/>
  <c r="I4071" i="1"/>
  <c r="J4071" i="1" s="1"/>
  <c r="K4071" i="1" s="1"/>
  <c r="I4072" i="1"/>
  <c r="J4072" i="1" s="1"/>
  <c r="K4072" i="1" s="1"/>
  <c r="I4073" i="1"/>
  <c r="I4074" i="1"/>
  <c r="I4075" i="1"/>
  <c r="I4076" i="1"/>
  <c r="I4077" i="1"/>
  <c r="J4077" i="1" s="1"/>
  <c r="K4077" i="1" s="1"/>
  <c r="I4078" i="1"/>
  <c r="J4078" i="1" s="1"/>
  <c r="K4078" i="1" s="1"/>
  <c r="I4079" i="1"/>
  <c r="J4079" i="1" s="1"/>
  <c r="K4079" i="1" s="1"/>
  <c r="I4080" i="1"/>
  <c r="J4080" i="1" s="1"/>
  <c r="K4080" i="1" s="1"/>
  <c r="I4081" i="1"/>
  <c r="J4081" i="1" s="1"/>
  <c r="K4081" i="1" s="1"/>
  <c r="I4082" i="1"/>
  <c r="J4082" i="1" s="1"/>
  <c r="K4082" i="1" s="1"/>
  <c r="I4083" i="1"/>
  <c r="J4083" i="1" s="1"/>
  <c r="K4083" i="1" s="1"/>
  <c r="I4084" i="1"/>
  <c r="J4084" i="1" s="1"/>
  <c r="K4084" i="1" s="1"/>
  <c r="I4085" i="1"/>
  <c r="I4086" i="1"/>
  <c r="J4086" i="1" s="1"/>
  <c r="K4086" i="1" s="1"/>
  <c r="I4087" i="1"/>
  <c r="J4087" i="1" s="1"/>
  <c r="K4087" i="1" s="1"/>
  <c r="I4088" i="1"/>
  <c r="J4088" i="1" s="1"/>
  <c r="K4088" i="1" s="1"/>
  <c r="I4089" i="1"/>
  <c r="J4089" i="1" s="1"/>
  <c r="K4089" i="1" s="1"/>
  <c r="I4090" i="1"/>
  <c r="J4090" i="1" s="1"/>
  <c r="K4090" i="1" s="1"/>
  <c r="I4091" i="1"/>
  <c r="J4091" i="1" s="1"/>
  <c r="K4091" i="1" s="1"/>
  <c r="I4092" i="1"/>
  <c r="J4092" i="1" s="1"/>
  <c r="K4092" i="1" s="1"/>
  <c r="I4093" i="1"/>
  <c r="J4093" i="1" s="1"/>
  <c r="K4093" i="1" s="1"/>
  <c r="I4094" i="1"/>
  <c r="J4094" i="1" s="1"/>
  <c r="K4094" i="1" s="1"/>
  <c r="I4095" i="1"/>
  <c r="J4095" i="1" s="1"/>
  <c r="K4095" i="1" s="1"/>
  <c r="I4096" i="1"/>
  <c r="J4096" i="1" s="1"/>
  <c r="K4096" i="1" s="1"/>
  <c r="I4097" i="1"/>
  <c r="I4098" i="1"/>
  <c r="J4098" i="1" s="1"/>
  <c r="K4098" i="1" s="1"/>
  <c r="I4099" i="1"/>
  <c r="J4099" i="1" s="1"/>
  <c r="K4099" i="1" s="1"/>
  <c r="I4100" i="1"/>
  <c r="J4100" i="1" s="1"/>
  <c r="K4100" i="1" s="1"/>
  <c r="I4101" i="1"/>
  <c r="J4101" i="1" s="1"/>
  <c r="K4101" i="1" s="1"/>
  <c r="I4102" i="1"/>
  <c r="J4102" i="1" s="1"/>
  <c r="K4102" i="1" s="1"/>
  <c r="I4103" i="1"/>
  <c r="J4103" i="1" s="1"/>
  <c r="K4103" i="1" s="1"/>
  <c r="I4104" i="1"/>
  <c r="J4104" i="1" s="1"/>
  <c r="K4104" i="1" s="1"/>
  <c r="I4105" i="1"/>
  <c r="J4105" i="1" s="1"/>
  <c r="K4105" i="1" s="1"/>
  <c r="I4106" i="1"/>
  <c r="J4106" i="1" s="1"/>
  <c r="K4106" i="1" s="1"/>
  <c r="I4107" i="1"/>
  <c r="J4107" i="1" s="1"/>
  <c r="K4107" i="1" s="1"/>
  <c r="I4108" i="1"/>
  <c r="J4108" i="1" s="1"/>
  <c r="K4108" i="1" s="1"/>
  <c r="I4109" i="1"/>
  <c r="I4110" i="1"/>
  <c r="I4111" i="1"/>
  <c r="J4111" i="1" s="1"/>
  <c r="K4111" i="1" s="1"/>
  <c r="I4112" i="1"/>
  <c r="J4112" i="1" s="1"/>
  <c r="K4112" i="1" s="1"/>
  <c r="I4113" i="1"/>
  <c r="J4113" i="1" s="1"/>
  <c r="K4113" i="1" s="1"/>
  <c r="I4114" i="1"/>
  <c r="J4114" i="1" s="1"/>
  <c r="K4114" i="1" s="1"/>
  <c r="I4115" i="1"/>
  <c r="J4115" i="1" s="1"/>
  <c r="K4115" i="1" s="1"/>
  <c r="I4116" i="1"/>
  <c r="J4116" i="1" s="1"/>
  <c r="K4116" i="1" s="1"/>
  <c r="I4117" i="1"/>
  <c r="J4117" i="1" s="1"/>
  <c r="K4117" i="1" s="1"/>
  <c r="I4118" i="1"/>
  <c r="J4118" i="1" s="1"/>
  <c r="K4118" i="1" s="1"/>
  <c r="I4119" i="1"/>
  <c r="J4119" i="1" s="1"/>
  <c r="K4119" i="1" s="1"/>
  <c r="I4120" i="1"/>
  <c r="J4120" i="1" s="1"/>
  <c r="K4120" i="1" s="1"/>
  <c r="I4121" i="1"/>
  <c r="I4122" i="1"/>
  <c r="J4122" i="1" s="1"/>
  <c r="K4122" i="1" s="1"/>
  <c r="I4123" i="1"/>
  <c r="J4123" i="1" s="1"/>
  <c r="K4123" i="1" s="1"/>
  <c r="I4124" i="1"/>
  <c r="J4124" i="1" s="1"/>
  <c r="K4124" i="1" s="1"/>
  <c r="I4125" i="1"/>
  <c r="J4125" i="1" s="1"/>
  <c r="K4125" i="1" s="1"/>
  <c r="I4126" i="1"/>
  <c r="J4126" i="1" s="1"/>
  <c r="K4126" i="1" s="1"/>
  <c r="I4127" i="1"/>
  <c r="J4127" i="1" s="1"/>
  <c r="K4127" i="1" s="1"/>
  <c r="I4128" i="1"/>
  <c r="J4128" i="1" s="1"/>
  <c r="K4128" i="1" s="1"/>
  <c r="I4129" i="1"/>
  <c r="J4129" i="1" s="1"/>
  <c r="K4129" i="1" s="1"/>
  <c r="I4130" i="1"/>
  <c r="J4130" i="1" s="1"/>
  <c r="K4130" i="1" s="1"/>
  <c r="I4131" i="1"/>
  <c r="J4131" i="1" s="1"/>
  <c r="K4131" i="1" s="1"/>
  <c r="I4132" i="1"/>
  <c r="J4132" i="1" s="1"/>
  <c r="K4132" i="1" s="1"/>
  <c r="I4133" i="1"/>
  <c r="I4134" i="1"/>
  <c r="J4134" i="1" s="1"/>
  <c r="K4134" i="1" s="1"/>
  <c r="I4135" i="1"/>
  <c r="J4135" i="1" s="1"/>
  <c r="K4135" i="1" s="1"/>
  <c r="I4136" i="1"/>
  <c r="J4136" i="1" s="1"/>
  <c r="K4136" i="1" s="1"/>
  <c r="I4137" i="1"/>
  <c r="J4137" i="1" s="1"/>
  <c r="K4137" i="1" s="1"/>
  <c r="I4138" i="1"/>
  <c r="J4138" i="1" s="1"/>
  <c r="K4138" i="1" s="1"/>
  <c r="I4139" i="1"/>
  <c r="J4139" i="1" s="1"/>
  <c r="K4139" i="1" s="1"/>
  <c r="I4140" i="1"/>
  <c r="J4140" i="1" s="1"/>
  <c r="K4140" i="1" s="1"/>
  <c r="I4141" i="1"/>
  <c r="J4141" i="1" s="1"/>
  <c r="K4141" i="1" s="1"/>
  <c r="I4142" i="1"/>
  <c r="J4142" i="1" s="1"/>
  <c r="K4142" i="1" s="1"/>
  <c r="I4143" i="1"/>
  <c r="J4143" i="1" s="1"/>
  <c r="K4143" i="1" s="1"/>
  <c r="I4144" i="1"/>
  <c r="J4144" i="1" s="1"/>
  <c r="K4144" i="1" s="1"/>
  <c r="I4145" i="1"/>
  <c r="I4146" i="1"/>
  <c r="J4146" i="1" s="1"/>
  <c r="K4146" i="1" s="1"/>
  <c r="I4147" i="1"/>
  <c r="J4147" i="1" s="1"/>
  <c r="K4147" i="1" s="1"/>
  <c r="I4148" i="1"/>
  <c r="J4148" i="1" s="1"/>
  <c r="K4148" i="1" s="1"/>
  <c r="I4149" i="1"/>
  <c r="J4149" i="1" s="1"/>
  <c r="K4149" i="1" s="1"/>
  <c r="I4150" i="1"/>
  <c r="J4150" i="1" s="1"/>
  <c r="K4150" i="1" s="1"/>
  <c r="I4151" i="1"/>
  <c r="J4151" i="1" s="1"/>
  <c r="K4151" i="1" s="1"/>
  <c r="I4152" i="1"/>
  <c r="J4152" i="1" s="1"/>
  <c r="K4152" i="1" s="1"/>
  <c r="I4153" i="1"/>
  <c r="J4153" i="1" s="1"/>
  <c r="K4153" i="1" s="1"/>
  <c r="I4154" i="1"/>
  <c r="J4154" i="1" s="1"/>
  <c r="K4154" i="1" s="1"/>
  <c r="I4155" i="1"/>
  <c r="J4155" i="1" s="1"/>
  <c r="K4155" i="1" s="1"/>
  <c r="I4156" i="1"/>
  <c r="J4156" i="1" s="1"/>
  <c r="K4156" i="1" s="1"/>
  <c r="I4157" i="1"/>
  <c r="I4158" i="1"/>
  <c r="J4158" i="1" s="1"/>
  <c r="K4158" i="1" s="1"/>
  <c r="I4159" i="1"/>
  <c r="J4159" i="1" s="1"/>
  <c r="K4159" i="1" s="1"/>
  <c r="I4160" i="1"/>
  <c r="J4160" i="1" s="1"/>
  <c r="K4160" i="1" s="1"/>
  <c r="I4161" i="1"/>
  <c r="J4161" i="1" s="1"/>
  <c r="K4161" i="1" s="1"/>
  <c r="I4162" i="1"/>
  <c r="J4162" i="1" s="1"/>
  <c r="K4162" i="1" s="1"/>
  <c r="I4163" i="1"/>
  <c r="J4163" i="1" s="1"/>
  <c r="K4163" i="1" s="1"/>
  <c r="I4164" i="1"/>
  <c r="J4164" i="1" s="1"/>
  <c r="K4164" i="1" s="1"/>
  <c r="I4165" i="1"/>
  <c r="J4165" i="1" s="1"/>
  <c r="K4165" i="1" s="1"/>
  <c r="I4166" i="1"/>
  <c r="J4166" i="1" s="1"/>
  <c r="K4166" i="1" s="1"/>
  <c r="I4167" i="1"/>
  <c r="J4167" i="1" s="1"/>
  <c r="K4167" i="1" s="1"/>
  <c r="I4168" i="1"/>
  <c r="J4168" i="1" s="1"/>
  <c r="K4168" i="1" s="1"/>
  <c r="I4169" i="1"/>
  <c r="I4170" i="1"/>
  <c r="J4170" i="1" s="1"/>
  <c r="K4170" i="1" s="1"/>
  <c r="I4171" i="1"/>
  <c r="J4171" i="1" s="1"/>
  <c r="K4171" i="1" s="1"/>
  <c r="I4172" i="1"/>
  <c r="J4172" i="1" s="1"/>
  <c r="K4172" i="1" s="1"/>
  <c r="I4173" i="1"/>
  <c r="J4173" i="1" s="1"/>
  <c r="K4173" i="1" s="1"/>
  <c r="I4174" i="1"/>
  <c r="J4174" i="1" s="1"/>
  <c r="K4174" i="1" s="1"/>
  <c r="I4175" i="1"/>
  <c r="J4175" i="1" s="1"/>
  <c r="K4175" i="1" s="1"/>
  <c r="I4176" i="1"/>
  <c r="J4176" i="1" s="1"/>
  <c r="K4176" i="1" s="1"/>
  <c r="I4177" i="1"/>
  <c r="J4177" i="1" s="1"/>
  <c r="K4177" i="1" s="1"/>
  <c r="I4178" i="1"/>
  <c r="J4178" i="1" s="1"/>
  <c r="K4178" i="1" s="1"/>
  <c r="I4179" i="1"/>
  <c r="J4179" i="1" s="1"/>
  <c r="K4179" i="1" s="1"/>
  <c r="I4180" i="1"/>
  <c r="J4180" i="1" s="1"/>
  <c r="K4180" i="1" s="1"/>
  <c r="I4181" i="1"/>
  <c r="I4182" i="1"/>
  <c r="J4182" i="1" s="1"/>
  <c r="K4182" i="1" s="1"/>
  <c r="I4183" i="1"/>
  <c r="J4183" i="1" s="1"/>
  <c r="K4183" i="1" s="1"/>
  <c r="I4184" i="1"/>
  <c r="J4184" i="1" s="1"/>
  <c r="K4184" i="1" s="1"/>
  <c r="I4185" i="1"/>
  <c r="J4185" i="1" s="1"/>
  <c r="K4185" i="1" s="1"/>
  <c r="I4186" i="1"/>
  <c r="J4186" i="1" s="1"/>
  <c r="K4186" i="1" s="1"/>
  <c r="I4187" i="1"/>
  <c r="J4187" i="1" s="1"/>
  <c r="K4187" i="1" s="1"/>
  <c r="I4188" i="1"/>
  <c r="J4188" i="1" s="1"/>
  <c r="K4188" i="1" s="1"/>
  <c r="I4189" i="1"/>
  <c r="J4189" i="1" s="1"/>
  <c r="K4189" i="1" s="1"/>
  <c r="I4190" i="1"/>
  <c r="J4190" i="1" s="1"/>
  <c r="K4190" i="1" s="1"/>
  <c r="I4191" i="1"/>
  <c r="J4191" i="1" s="1"/>
  <c r="K4191" i="1" s="1"/>
  <c r="I4192" i="1"/>
  <c r="J4192" i="1" s="1"/>
  <c r="K4192" i="1" s="1"/>
  <c r="I4193" i="1"/>
  <c r="I4194" i="1"/>
  <c r="I4195" i="1"/>
  <c r="J4195" i="1" s="1"/>
  <c r="K4195" i="1" s="1"/>
  <c r="I4196" i="1"/>
  <c r="J4196" i="1" s="1"/>
  <c r="K4196" i="1" s="1"/>
  <c r="I4197" i="1"/>
  <c r="J4197" i="1" s="1"/>
  <c r="K4197" i="1" s="1"/>
  <c r="I4198" i="1"/>
  <c r="J4198" i="1" s="1"/>
  <c r="K4198" i="1" s="1"/>
  <c r="I4199" i="1"/>
  <c r="J4199" i="1" s="1"/>
  <c r="K4199" i="1" s="1"/>
  <c r="I4200" i="1"/>
  <c r="J4200" i="1" s="1"/>
  <c r="K4200" i="1" s="1"/>
  <c r="I4201" i="1"/>
  <c r="J4201" i="1" s="1"/>
  <c r="K4201" i="1" s="1"/>
  <c r="I4202" i="1"/>
  <c r="J4202" i="1" s="1"/>
  <c r="K4202" i="1" s="1"/>
  <c r="I4203" i="1"/>
  <c r="J4203" i="1" s="1"/>
  <c r="K4203" i="1" s="1"/>
  <c r="I4204" i="1"/>
  <c r="J4204" i="1" s="1"/>
  <c r="K4204" i="1" s="1"/>
  <c r="I4205" i="1"/>
  <c r="I4206" i="1"/>
  <c r="J4206" i="1" s="1"/>
  <c r="K4206" i="1" s="1"/>
  <c r="I4207" i="1"/>
  <c r="J4207" i="1" s="1"/>
  <c r="K4207" i="1" s="1"/>
  <c r="I4208" i="1"/>
  <c r="J4208" i="1" s="1"/>
  <c r="K4208" i="1" s="1"/>
  <c r="I4209" i="1"/>
  <c r="J4209" i="1" s="1"/>
  <c r="K4209" i="1" s="1"/>
  <c r="I4210" i="1"/>
  <c r="J4210" i="1" s="1"/>
  <c r="K4210" i="1" s="1"/>
  <c r="I4211" i="1"/>
  <c r="J4211" i="1" s="1"/>
  <c r="K4211" i="1" s="1"/>
  <c r="I4212" i="1"/>
  <c r="J4212" i="1" s="1"/>
  <c r="K4212" i="1" s="1"/>
  <c r="I4213" i="1"/>
  <c r="J4213" i="1" s="1"/>
  <c r="K4213" i="1" s="1"/>
  <c r="I4214" i="1"/>
  <c r="J4214" i="1" s="1"/>
  <c r="K4214" i="1" s="1"/>
  <c r="I4215" i="1"/>
  <c r="J4215" i="1" s="1"/>
  <c r="K4215" i="1" s="1"/>
  <c r="I4216" i="1"/>
  <c r="J4216" i="1" s="1"/>
  <c r="K4216" i="1" s="1"/>
  <c r="I4217" i="1"/>
  <c r="I4218" i="1"/>
  <c r="J4218" i="1" s="1"/>
  <c r="K4218" i="1" s="1"/>
  <c r="I4219" i="1"/>
  <c r="J4219" i="1" s="1"/>
  <c r="K4219" i="1" s="1"/>
  <c r="I4220" i="1"/>
  <c r="J4220" i="1" s="1"/>
  <c r="K4220" i="1" s="1"/>
  <c r="I4221" i="1"/>
  <c r="J4221" i="1" s="1"/>
  <c r="K4221" i="1" s="1"/>
  <c r="I4222" i="1"/>
  <c r="J4222" i="1" s="1"/>
  <c r="K4222" i="1" s="1"/>
  <c r="I4223" i="1"/>
  <c r="J4223" i="1" s="1"/>
  <c r="K4223" i="1" s="1"/>
  <c r="I4224" i="1"/>
  <c r="J4224" i="1" s="1"/>
  <c r="K4224" i="1" s="1"/>
  <c r="I4225" i="1"/>
  <c r="J4225" i="1" s="1"/>
  <c r="K4225" i="1" s="1"/>
  <c r="I4226" i="1"/>
  <c r="J4226" i="1" s="1"/>
  <c r="K4226" i="1" s="1"/>
  <c r="I4227" i="1"/>
  <c r="J4227" i="1" s="1"/>
  <c r="K4227" i="1" s="1"/>
  <c r="I4228" i="1"/>
  <c r="J4228" i="1" s="1"/>
  <c r="K4228" i="1" s="1"/>
  <c r="I4229" i="1"/>
  <c r="J4229" i="1" s="1"/>
  <c r="K4229" i="1" s="1"/>
  <c r="I4230" i="1"/>
  <c r="J4230" i="1" s="1"/>
  <c r="K4230" i="1" s="1"/>
  <c r="I4231" i="1"/>
  <c r="J4231" i="1" s="1"/>
  <c r="K4231" i="1" s="1"/>
  <c r="I4232" i="1"/>
  <c r="J4232" i="1" s="1"/>
  <c r="K4232" i="1" s="1"/>
  <c r="I4233" i="1"/>
  <c r="J4233" i="1" s="1"/>
  <c r="K4233" i="1" s="1"/>
  <c r="I4234" i="1"/>
  <c r="J4234" i="1" s="1"/>
  <c r="K4234" i="1" s="1"/>
  <c r="I4235" i="1"/>
  <c r="J4235" i="1" s="1"/>
  <c r="K4235" i="1" s="1"/>
  <c r="I4236" i="1"/>
  <c r="J4236" i="1" s="1"/>
  <c r="K4236" i="1" s="1"/>
  <c r="I4237" i="1"/>
  <c r="J4237" i="1" s="1"/>
  <c r="K4237" i="1" s="1"/>
  <c r="I4238" i="1"/>
  <c r="J4238" i="1" s="1"/>
  <c r="K4238" i="1" s="1"/>
  <c r="I4239" i="1"/>
  <c r="J4239" i="1" s="1"/>
  <c r="K4239" i="1" s="1"/>
  <c r="I4240" i="1"/>
  <c r="J4240" i="1" s="1"/>
  <c r="K4240" i="1" s="1"/>
  <c r="I4241" i="1"/>
  <c r="I4242" i="1"/>
  <c r="J4242" i="1" s="1"/>
  <c r="K4242" i="1" s="1"/>
  <c r="I4243" i="1"/>
  <c r="J4243" i="1" s="1"/>
  <c r="K4243" i="1" s="1"/>
  <c r="I4244" i="1"/>
  <c r="J4244" i="1" s="1"/>
  <c r="K4244" i="1" s="1"/>
  <c r="I4245" i="1"/>
  <c r="J4245" i="1" s="1"/>
  <c r="K4245" i="1" s="1"/>
  <c r="I4246" i="1"/>
  <c r="J4246" i="1" s="1"/>
  <c r="K4246" i="1" s="1"/>
  <c r="I4247" i="1"/>
  <c r="J4247" i="1" s="1"/>
  <c r="K4247" i="1" s="1"/>
  <c r="I4248" i="1"/>
  <c r="J4248" i="1" s="1"/>
  <c r="K4248" i="1" s="1"/>
  <c r="I4249" i="1"/>
  <c r="J4249" i="1" s="1"/>
  <c r="K4249" i="1" s="1"/>
  <c r="I4250" i="1"/>
  <c r="J4250" i="1" s="1"/>
  <c r="K4250" i="1" s="1"/>
  <c r="I4251" i="1"/>
  <c r="J4251" i="1" s="1"/>
  <c r="K4251" i="1" s="1"/>
  <c r="I4252" i="1"/>
  <c r="J4252" i="1" s="1"/>
  <c r="K4252" i="1" s="1"/>
  <c r="I4253" i="1"/>
  <c r="J4253" i="1" s="1"/>
  <c r="K4253" i="1" s="1"/>
  <c r="I4254" i="1"/>
  <c r="J4254" i="1" s="1"/>
  <c r="K4254" i="1" s="1"/>
  <c r="I4255" i="1"/>
  <c r="J4255" i="1" s="1"/>
  <c r="K4255" i="1" s="1"/>
  <c r="I4256" i="1"/>
  <c r="J4256" i="1" s="1"/>
  <c r="K4256" i="1" s="1"/>
  <c r="I4257" i="1"/>
  <c r="J4257" i="1" s="1"/>
  <c r="K4257" i="1" s="1"/>
  <c r="I4258" i="1"/>
  <c r="J4258" i="1" s="1"/>
  <c r="K4258" i="1" s="1"/>
  <c r="I4259" i="1"/>
  <c r="J4259" i="1" s="1"/>
  <c r="K4259" i="1" s="1"/>
  <c r="I4260" i="1"/>
  <c r="J4260" i="1" s="1"/>
  <c r="K4260" i="1" s="1"/>
  <c r="I4261" i="1"/>
  <c r="J4261" i="1" s="1"/>
  <c r="K4261" i="1" s="1"/>
  <c r="I4262" i="1"/>
  <c r="J4262" i="1" s="1"/>
  <c r="K4262" i="1" s="1"/>
  <c r="I4263" i="1"/>
  <c r="J4263" i="1" s="1"/>
  <c r="K4263" i="1" s="1"/>
  <c r="I4264" i="1"/>
  <c r="J4264" i="1" s="1"/>
  <c r="K4264" i="1" s="1"/>
  <c r="I4265" i="1"/>
  <c r="J4265" i="1" s="1"/>
  <c r="K4265" i="1" s="1"/>
  <c r="I4266" i="1"/>
  <c r="J4266" i="1" s="1"/>
  <c r="K4266" i="1" s="1"/>
  <c r="I4267" i="1"/>
  <c r="J4267" i="1" s="1"/>
  <c r="K4267" i="1" s="1"/>
  <c r="I4268" i="1"/>
  <c r="J4268" i="1" s="1"/>
  <c r="K4268" i="1" s="1"/>
  <c r="I4269" i="1"/>
  <c r="J4269" i="1" s="1"/>
  <c r="K4269" i="1" s="1"/>
  <c r="I4270" i="1"/>
  <c r="J4270" i="1" s="1"/>
  <c r="K4270" i="1" s="1"/>
  <c r="I4271" i="1"/>
  <c r="J4271" i="1" s="1"/>
  <c r="K4271" i="1" s="1"/>
  <c r="I4272" i="1"/>
  <c r="J4272" i="1" s="1"/>
  <c r="K4272" i="1" s="1"/>
  <c r="I4273" i="1"/>
  <c r="J4273" i="1" s="1"/>
  <c r="K4273" i="1" s="1"/>
  <c r="I4274" i="1"/>
  <c r="J4274" i="1" s="1"/>
  <c r="K4274" i="1" s="1"/>
  <c r="I4275" i="1"/>
  <c r="J4275" i="1" s="1"/>
  <c r="K4275" i="1" s="1"/>
  <c r="I4276" i="1"/>
  <c r="J4276" i="1" s="1"/>
  <c r="K4276" i="1" s="1"/>
  <c r="I4277" i="1"/>
  <c r="I4278" i="1"/>
  <c r="J4278" i="1" s="1"/>
  <c r="K4278" i="1" s="1"/>
  <c r="I4279" i="1"/>
  <c r="J4279" i="1" s="1"/>
  <c r="K4279" i="1" s="1"/>
  <c r="I4280" i="1"/>
  <c r="J4280" i="1" s="1"/>
  <c r="K4280" i="1" s="1"/>
  <c r="I4281" i="1"/>
  <c r="J4281" i="1" s="1"/>
  <c r="K4281" i="1" s="1"/>
  <c r="I4282" i="1"/>
  <c r="J4282" i="1" s="1"/>
  <c r="K4282" i="1" s="1"/>
  <c r="I4283" i="1"/>
  <c r="J4283" i="1" s="1"/>
  <c r="K4283" i="1" s="1"/>
  <c r="I4284" i="1"/>
  <c r="J4284" i="1" s="1"/>
  <c r="K4284" i="1" s="1"/>
  <c r="I4285" i="1"/>
  <c r="J4285" i="1" s="1"/>
  <c r="K4285" i="1" s="1"/>
  <c r="I4286" i="1"/>
  <c r="J4286" i="1" s="1"/>
  <c r="K4286" i="1" s="1"/>
  <c r="I4287" i="1"/>
  <c r="J4287" i="1" s="1"/>
  <c r="K4287" i="1" s="1"/>
  <c r="I4288" i="1"/>
  <c r="J4288" i="1" s="1"/>
  <c r="K4288" i="1" s="1"/>
  <c r="I4289" i="1"/>
  <c r="J4289" i="1" s="1"/>
  <c r="K4289" i="1" s="1"/>
  <c r="I4290" i="1"/>
  <c r="J4290" i="1" s="1"/>
  <c r="K4290" i="1" s="1"/>
  <c r="I4291" i="1"/>
  <c r="J4291" i="1" s="1"/>
  <c r="K4291" i="1" s="1"/>
  <c r="I4292" i="1"/>
  <c r="J4292" i="1" s="1"/>
  <c r="K4292" i="1" s="1"/>
  <c r="I4293" i="1"/>
  <c r="J4293" i="1" s="1"/>
  <c r="K4293" i="1" s="1"/>
  <c r="I4294" i="1"/>
  <c r="J4294" i="1" s="1"/>
  <c r="K4294" i="1" s="1"/>
  <c r="I4295" i="1"/>
  <c r="J4295" i="1" s="1"/>
  <c r="K4295" i="1" s="1"/>
  <c r="I4296" i="1"/>
  <c r="J4296" i="1" s="1"/>
  <c r="K4296" i="1" s="1"/>
  <c r="I4297" i="1"/>
  <c r="J4297" i="1" s="1"/>
  <c r="K4297" i="1" s="1"/>
  <c r="I4298" i="1"/>
  <c r="J4298" i="1" s="1"/>
  <c r="K4298" i="1" s="1"/>
  <c r="I4299" i="1"/>
  <c r="J4299" i="1" s="1"/>
  <c r="K4299" i="1" s="1"/>
  <c r="I4300" i="1"/>
  <c r="J4300" i="1" s="1"/>
  <c r="K4300" i="1" s="1"/>
  <c r="I4301" i="1"/>
  <c r="I4302" i="1"/>
  <c r="J4302" i="1" s="1"/>
  <c r="K4302" i="1" s="1"/>
  <c r="I4303" i="1"/>
  <c r="J4303" i="1" s="1"/>
  <c r="K4303" i="1" s="1"/>
  <c r="I4304" i="1"/>
  <c r="J4304" i="1" s="1"/>
  <c r="K4304" i="1" s="1"/>
  <c r="I4305" i="1"/>
  <c r="J4305" i="1" s="1"/>
  <c r="K4305" i="1" s="1"/>
  <c r="I4306" i="1"/>
  <c r="J4306" i="1" s="1"/>
  <c r="K4306" i="1" s="1"/>
  <c r="I4307" i="1"/>
  <c r="J4307" i="1" s="1"/>
  <c r="K4307" i="1" s="1"/>
  <c r="I4308" i="1"/>
  <c r="J4308" i="1" s="1"/>
  <c r="K4308" i="1" s="1"/>
  <c r="I4309" i="1"/>
  <c r="J4309" i="1" s="1"/>
  <c r="K4309" i="1" s="1"/>
  <c r="I4310" i="1"/>
  <c r="J4310" i="1" s="1"/>
  <c r="K4310" i="1" s="1"/>
  <c r="I4311" i="1"/>
  <c r="J4311" i="1" s="1"/>
  <c r="K4311" i="1" s="1"/>
  <c r="I4312" i="1"/>
  <c r="J4312" i="1" s="1"/>
  <c r="K4312" i="1" s="1"/>
  <c r="I4313" i="1"/>
  <c r="J4313" i="1" s="1"/>
  <c r="K4313" i="1" s="1"/>
  <c r="I4314" i="1"/>
  <c r="J4314" i="1" s="1"/>
  <c r="K4314" i="1" s="1"/>
  <c r="I4315" i="1"/>
  <c r="J4315" i="1" s="1"/>
  <c r="K4315" i="1" s="1"/>
  <c r="I4316" i="1"/>
  <c r="J4316" i="1" s="1"/>
  <c r="K4316" i="1" s="1"/>
  <c r="I4317" i="1"/>
  <c r="J4317" i="1" s="1"/>
  <c r="K4317" i="1" s="1"/>
  <c r="I4318" i="1"/>
  <c r="J4318" i="1" s="1"/>
  <c r="K4318" i="1" s="1"/>
  <c r="I4319" i="1"/>
  <c r="J4319" i="1" s="1"/>
  <c r="K4319" i="1" s="1"/>
  <c r="I4320" i="1"/>
  <c r="J4320" i="1" s="1"/>
  <c r="K4320" i="1" s="1"/>
  <c r="I4321" i="1"/>
  <c r="J4321" i="1" s="1"/>
  <c r="K4321" i="1" s="1"/>
  <c r="I4322" i="1"/>
  <c r="J4322" i="1" s="1"/>
  <c r="K4322" i="1" s="1"/>
  <c r="I4323" i="1"/>
  <c r="J4323" i="1" s="1"/>
  <c r="K4323" i="1" s="1"/>
  <c r="I4324" i="1"/>
  <c r="J4324" i="1" s="1"/>
  <c r="K4324" i="1" s="1"/>
  <c r="I4325" i="1"/>
  <c r="I4326" i="1"/>
  <c r="J4326" i="1" s="1"/>
  <c r="K4326" i="1" s="1"/>
  <c r="I4327" i="1"/>
  <c r="J4327" i="1" s="1"/>
  <c r="K4327" i="1" s="1"/>
  <c r="I4328" i="1"/>
  <c r="J4328" i="1" s="1"/>
  <c r="K4328" i="1" s="1"/>
  <c r="I4329" i="1"/>
  <c r="J4329" i="1" s="1"/>
  <c r="K4329" i="1" s="1"/>
  <c r="I4330" i="1"/>
  <c r="J4330" i="1" s="1"/>
  <c r="K4330" i="1" s="1"/>
  <c r="I4331" i="1"/>
  <c r="J4331" i="1" s="1"/>
  <c r="K4331" i="1" s="1"/>
  <c r="I4332" i="1"/>
  <c r="J4332" i="1" s="1"/>
  <c r="K4332" i="1" s="1"/>
  <c r="I4333" i="1"/>
  <c r="J4333" i="1" s="1"/>
  <c r="K4333" i="1" s="1"/>
  <c r="I4334" i="1"/>
  <c r="J4334" i="1" s="1"/>
  <c r="K4334" i="1" s="1"/>
  <c r="I4335" i="1"/>
  <c r="J4335" i="1" s="1"/>
  <c r="K4335" i="1" s="1"/>
  <c r="I4336" i="1"/>
  <c r="J4336" i="1" s="1"/>
  <c r="K4336" i="1" s="1"/>
  <c r="I4337" i="1"/>
  <c r="I4338" i="1"/>
  <c r="J4338" i="1" s="1"/>
  <c r="K4338" i="1" s="1"/>
  <c r="I4339" i="1"/>
  <c r="J4339" i="1" s="1"/>
  <c r="K4339" i="1" s="1"/>
  <c r="I4340" i="1"/>
  <c r="J4340" i="1" s="1"/>
  <c r="K4340" i="1" s="1"/>
  <c r="I4341" i="1"/>
  <c r="J4341" i="1" s="1"/>
  <c r="K4341" i="1" s="1"/>
  <c r="I4342" i="1"/>
  <c r="J4342" i="1" s="1"/>
  <c r="K4342" i="1" s="1"/>
  <c r="I4343" i="1"/>
  <c r="J4343" i="1" s="1"/>
  <c r="K4343" i="1" s="1"/>
  <c r="I4344" i="1"/>
  <c r="J4344" i="1" s="1"/>
  <c r="K4344" i="1" s="1"/>
  <c r="I4345" i="1"/>
  <c r="J4345" i="1" s="1"/>
  <c r="K4345" i="1" s="1"/>
  <c r="I4346" i="1"/>
  <c r="J4346" i="1" s="1"/>
  <c r="K4346" i="1" s="1"/>
  <c r="I4347" i="1"/>
  <c r="J4347" i="1" s="1"/>
  <c r="K4347" i="1" s="1"/>
  <c r="I4348" i="1"/>
  <c r="J4348" i="1" s="1"/>
  <c r="K4348" i="1" s="1"/>
  <c r="I4349" i="1"/>
  <c r="I4350" i="1"/>
  <c r="J4350" i="1" s="1"/>
  <c r="K4350" i="1" s="1"/>
  <c r="I4351" i="1"/>
  <c r="J4351" i="1" s="1"/>
  <c r="K4351" i="1" s="1"/>
  <c r="I4352" i="1"/>
  <c r="J4352" i="1" s="1"/>
  <c r="K4352" i="1" s="1"/>
  <c r="I4353" i="1"/>
  <c r="J4353" i="1" s="1"/>
  <c r="K4353" i="1" s="1"/>
  <c r="I4354" i="1"/>
  <c r="J4354" i="1" s="1"/>
  <c r="K4354" i="1" s="1"/>
  <c r="I4355" i="1"/>
  <c r="J4355" i="1" s="1"/>
  <c r="K4355" i="1" s="1"/>
  <c r="I4356" i="1"/>
  <c r="J4356" i="1" s="1"/>
  <c r="K4356" i="1" s="1"/>
  <c r="I4357" i="1"/>
  <c r="J4357" i="1" s="1"/>
  <c r="K4357" i="1" s="1"/>
  <c r="I4358" i="1"/>
  <c r="J4358" i="1" s="1"/>
  <c r="K4358" i="1" s="1"/>
  <c r="I4359" i="1"/>
  <c r="J4359" i="1" s="1"/>
  <c r="K4359" i="1" s="1"/>
  <c r="I4360" i="1"/>
  <c r="J4360" i="1" s="1"/>
  <c r="K4360" i="1" s="1"/>
  <c r="I4361" i="1"/>
  <c r="I4362" i="1"/>
  <c r="J4362" i="1" s="1"/>
  <c r="K4362" i="1" s="1"/>
  <c r="I4363" i="1"/>
  <c r="J4363" i="1" s="1"/>
  <c r="K4363" i="1" s="1"/>
  <c r="I4364" i="1"/>
  <c r="J4364" i="1" s="1"/>
  <c r="K4364" i="1" s="1"/>
  <c r="I4365" i="1"/>
  <c r="J4365" i="1" s="1"/>
  <c r="K4365" i="1" s="1"/>
  <c r="I4366" i="1"/>
  <c r="J4366" i="1" s="1"/>
  <c r="K4366" i="1" s="1"/>
  <c r="I4367" i="1"/>
  <c r="J4367" i="1" s="1"/>
  <c r="K4367" i="1" s="1"/>
  <c r="I4368" i="1"/>
  <c r="J4368" i="1" s="1"/>
  <c r="K4368" i="1" s="1"/>
  <c r="I4369" i="1"/>
  <c r="J4369" i="1" s="1"/>
  <c r="K4369" i="1" s="1"/>
  <c r="I4370" i="1"/>
  <c r="J4370" i="1" s="1"/>
  <c r="K4370" i="1" s="1"/>
  <c r="I4371" i="1"/>
  <c r="J4371" i="1" s="1"/>
  <c r="K4371" i="1" s="1"/>
  <c r="I4372" i="1"/>
  <c r="J4372" i="1" s="1"/>
  <c r="K4372" i="1" s="1"/>
  <c r="I4373" i="1"/>
  <c r="I4374" i="1"/>
  <c r="J4374" i="1" s="1"/>
  <c r="K4374" i="1" s="1"/>
  <c r="I4375" i="1"/>
  <c r="J4375" i="1" s="1"/>
  <c r="K4375" i="1" s="1"/>
  <c r="I4376" i="1"/>
  <c r="J4376" i="1" s="1"/>
  <c r="K4376" i="1" s="1"/>
  <c r="I4377" i="1"/>
  <c r="J4377" i="1" s="1"/>
  <c r="K4377" i="1" s="1"/>
  <c r="I4378" i="1"/>
  <c r="J4378" i="1" s="1"/>
  <c r="K4378" i="1" s="1"/>
  <c r="I4379" i="1"/>
  <c r="J4379" i="1" s="1"/>
  <c r="K4379" i="1" s="1"/>
  <c r="I4380" i="1"/>
  <c r="J4380" i="1" s="1"/>
  <c r="K4380" i="1" s="1"/>
  <c r="I4381" i="1"/>
  <c r="J4381" i="1" s="1"/>
  <c r="K4381" i="1" s="1"/>
  <c r="I4382" i="1"/>
  <c r="J4382" i="1" s="1"/>
  <c r="K4382" i="1" s="1"/>
  <c r="I4383" i="1"/>
  <c r="J4383" i="1" s="1"/>
  <c r="K4383" i="1" s="1"/>
  <c r="I4384" i="1"/>
  <c r="J4384" i="1" s="1"/>
  <c r="K4384" i="1" s="1"/>
  <c r="I4385" i="1"/>
  <c r="I4386" i="1"/>
  <c r="J4386" i="1" s="1"/>
  <c r="K4386" i="1" s="1"/>
  <c r="I4387" i="1"/>
  <c r="J4387" i="1" s="1"/>
  <c r="K4387" i="1" s="1"/>
  <c r="I4388" i="1"/>
  <c r="J4388" i="1" s="1"/>
  <c r="K4388" i="1" s="1"/>
  <c r="I4389" i="1"/>
  <c r="J4389" i="1" s="1"/>
  <c r="K4389" i="1" s="1"/>
  <c r="I4390" i="1"/>
  <c r="J4390" i="1" s="1"/>
  <c r="K4390" i="1" s="1"/>
  <c r="I4391" i="1"/>
  <c r="J4391" i="1" s="1"/>
  <c r="K4391" i="1" s="1"/>
  <c r="I4392" i="1"/>
  <c r="J4392" i="1" s="1"/>
  <c r="K4392" i="1" s="1"/>
  <c r="I4393" i="1"/>
  <c r="J4393" i="1" s="1"/>
  <c r="K4393" i="1" s="1"/>
  <c r="I4394" i="1"/>
  <c r="J4394" i="1" s="1"/>
  <c r="K4394" i="1" s="1"/>
  <c r="I4395" i="1"/>
  <c r="J4395" i="1" s="1"/>
  <c r="K4395" i="1" s="1"/>
  <c r="I4396" i="1"/>
  <c r="J4396" i="1" s="1"/>
  <c r="K4396" i="1" s="1"/>
  <c r="I4397" i="1"/>
  <c r="J4397" i="1" s="1"/>
  <c r="K4397" i="1" s="1"/>
  <c r="I4398" i="1"/>
  <c r="J4398" i="1" s="1"/>
  <c r="K4398" i="1" s="1"/>
  <c r="I4399" i="1"/>
  <c r="J4399" i="1" s="1"/>
  <c r="K4399" i="1" s="1"/>
  <c r="I4400" i="1"/>
  <c r="J4400" i="1" s="1"/>
  <c r="K4400" i="1" s="1"/>
  <c r="I4401" i="1"/>
  <c r="J4401" i="1" s="1"/>
  <c r="K4401" i="1" s="1"/>
  <c r="I4402" i="1"/>
  <c r="J4402" i="1" s="1"/>
  <c r="K4402" i="1" s="1"/>
  <c r="I4403" i="1"/>
  <c r="J4403" i="1" s="1"/>
  <c r="K4403" i="1" s="1"/>
  <c r="I4404" i="1"/>
  <c r="J4404" i="1" s="1"/>
  <c r="K4404" i="1" s="1"/>
  <c r="I4405" i="1"/>
  <c r="J4405" i="1" s="1"/>
  <c r="K4405" i="1" s="1"/>
  <c r="I4406" i="1"/>
  <c r="J4406" i="1" s="1"/>
  <c r="K4406" i="1" s="1"/>
  <c r="I4407" i="1"/>
  <c r="J4407" i="1" s="1"/>
  <c r="K4407" i="1" s="1"/>
  <c r="I4408" i="1"/>
  <c r="J4408" i="1" s="1"/>
  <c r="K4408" i="1" s="1"/>
  <c r="I4409" i="1"/>
  <c r="I4410" i="1"/>
  <c r="J4410" i="1" s="1"/>
  <c r="K4410" i="1" s="1"/>
  <c r="I4411" i="1"/>
  <c r="J4411" i="1" s="1"/>
  <c r="K4411" i="1" s="1"/>
  <c r="I4412" i="1"/>
  <c r="J4412" i="1" s="1"/>
  <c r="K4412" i="1" s="1"/>
  <c r="I4413" i="1"/>
  <c r="J4413" i="1" s="1"/>
  <c r="K4413" i="1" s="1"/>
  <c r="I4414" i="1"/>
  <c r="J4414" i="1" s="1"/>
  <c r="K4414" i="1" s="1"/>
  <c r="I4415" i="1"/>
  <c r="J4415" i="1" s="1"/>
  <c r="K4415" i="1" s="1"/>
  <c r="I4416" i="1"/>
  <c r="J4416" i="1" s="1"/>
  <c r="K4416" i="1" s="1"/>
  <c r="I4417" i="1"/>
  <c r="J4417" i="1" s="1"/>
  <c r="K4417" i="1" s="1"/>
  <c r="I4418" i="1"/>
  <c r="J4418" i="1" s="1"/>
  <c r="K4418" i="1" s="1"/>
  <c r="I4419" i="1"/>
  <c r="J4419" i="1" s="1"/>
  <c r="K4419" i="1" s="1"/>
  <c r="I4420" i="1"/>
  <c r="J4420" i="1" s="1"/>
  <c r="K4420" i="1" s="1"/>
  <c r="I4421" i="1"/>
  <c r="I4422" i="1"/>
  <c r="J4422" i="1" s="1"/>
  <c r="K4422" i="1" s="1"/>
  <c r="I4423" i="1"/>
  <c r="J4423" i="1" s="1"/>
  <c r="K4423" i="1" s="1"/>
  <c r="I4424" i="1"/>
  <c r="J4424" i="1" s="1"/>
  <c r="K4424" i="1" s="1"/>
  <c r="I4425" i="1"/>
  <c r="J4425" i="1" s="1"/>
  <c r="K4425" i="1" s="1"/>
  <c r="I4426" i="1"/>
  <c r="J4426" i="1" s="1"/>
  <c r="K4426" i="1" s="1"/>
  <c r="I4427" i="1"/>
  <c r="J4427" i="1" s="1"/>
  <c r="K4427" i="1" s="1"/>
  <c r="I4428" i="1"/>
  <c r="J4428" i="1" s="1"/>
  <c r="K4428" i="1" s="1"/>
  <c r="I4429" i="1"/>
  <c r="J4429" i="1" s="1"/>
  <c r="K4429" i="1" s="1"/>
  <c r="I4430" i="1"/>
  <c r="J4430" i="1" s="1"/>
  <c r="K4430" i="1" s="1"/>
  <c r="I4431" i="1"/>
  <c r="J4431" i="1" s="1"/>
  <c r="K4431" i="1" s="1"/>
  <c r="I4432" i="1"/>
  <c r="J4432" i="1" s="1"/>
  <c r="K4432" i="1" s="1"/>
  <c r="I4433" i="1"/>
  <c r="J4433" i="1" s="1"/>
  <c r="K4433" i="1" s="1"/>
  <c r="I4434" i="1"/>
  <c r="J4434" i="1" s="1"/>
  <c r="K4434" i="1" s="1"/>
  <c r="I4435" i="1"/>
  <c r="J4435" i="1" s="1"/>
  <c r="K4435" i="1" s="1"/>
  <c r="I4436" i="1"/>
  <c r="J4436" i="1" s="1"/>
  <c r="K4436" i="1" s="1"/>
  <c r="I4437" i="1"/>
  <c r="J4437" i="1" s="1"/>
  <c r="K4437" i="1" s="1"/>
  <c r="I4438" i="1"/>
  <c r="J4438" i="1" s="1"/>
  <c r="K4438" i="1" s="1"/>
  <c r="I4439" i="1"/>
  <c r="J4439" i="1" s="1"/>
  <c r="K4439" i="1" s="1"/>
  <c r="I4440" i="1"/>
  <c r="J4440" i="1" s="1"/>
  <c r="K4440" i="1" s="1"/>
  <c r="I4441" i="1"/>
  <c r="J4441" i="1" s="1"/>
  <c r="K4441" i="1" s="1"/>
  <c r="I4442" i="1"/>
  <c r="J4442" i="1" s="1"/>
  <c r="K4442" i="1" s="1"/>
  <c r="I4443" i="1"/>
  <c r="J4443" i="1" s="1"/>
  <c r="K4443" i="1" s="1"/>
  <c r="I4444" i="1"/>
  <c r="J4444" i="1" s="1"/>
  <c r="K4444" i="1" s="1"/>
  <c r="I4445" i="1"/>
  <c r="J4445" i="1" s="1"/>
  <c r="K4445" i="1" s="1"/>
  <c r="I4446" i="1"/>
  <c r="J4446" i="1" s="1"/>
  <c r="K4446" i="1" s="1"/>
  <c r="I4447" i="1"/>
  <c r="J4447" i="1" s="1"/>
  <c r="K4447" i="1" s="1"/>
  <c r="I4448" i="1"/>
  <c r="J4448" i="1" s="1"/>
  <c r="K4448" i="1" s="1"/>
  <c r="I4449" i="1"/>
  <c r="J4449" i="1" s="1"/>
  <c r="K4449" i="1" s="1"/>
  <c r="I4450" i="1"/>
  <c r="J4450" i="1" s="1"/>
  <c r="K4450" i="1" s="1"/>
  <c r="I4451" i="1"/>
  <c r="J4451" i="1" s="1"/>
  <c r="K4451" i="1" s="1"/>
  <c r="I4452" i="1"/>
  <c r="J4452" i="1" s="1"/>
  <c r="K4452" i="1" s="1"/>
  <c r="I4453" i="1"/>
  <c r="J4453" i="1" s="1"/>
  <c r="K4453" i="1" s="1"/>
  <c r="I4454" i="1"/>
  <c r="J4454" i="1" s="1"/>
  <c r="K4454" i="1" s="1"/>
  <c r="I4455" i="1"/>
  <c r="J4455" i="1" s="1"/>
  <c r="K4455" i="1" s="1"/>
  <c r="I4456" i="1"/>
  <c r="J4456" i="1" s="1"/>
  <c r="K4456" i="1" s="1"/>
  <c r="I4457" i="1"/>
  <c r="J4457" i="1" s="1"/>
  <c r="K4457" i="1" s="1"/>
  <c r="I4458" i="1"/>
  <c r="J4458" i="1" s="1"/>
  <c r="K4458" i="1" s="1"/>
  <c r="I4459" i="1"/>
  <c r="J4459" i="1" s="1"/>
  <c r="K4459" i="1" s="1"/>
  <c r="I4460" i="1"/>
  <c r="J4460" i="1" s="1"/>
  <c r="K4460" i="1" s="1"/>
  <c r="I4461" i="1"/>
  <c r="J4461" i="1" s="1"/>
  <c r="K4461" i="1" s="1"/>
  <c r="I4462" i="1"/>
  <c r="J4462" i="1" s="1"/>
  <c r="K4462" i="1" s="1"/>
  <c r="I4463" i="1"/>
  <c r="J4463" i="1" s="1"/>
  <c r="K4463" i="1" s="1"/>
  <c r="I4464" i="1"/>
  <c r="J4464" i="1" s="1"/>
  <c r="K4464" i="1" s="1"/>
  <c r="I4465" i="1"/>
  <c r="J4465" i="1" s="1"/>
  <c r="K4465" i="1" s="1"/>
  <c r="I4466" i="1"/>
  <c r="J4466" i="1" s="1"/>
  <c r="K4466" i="1" s="1"/>
  <c r="I4467" i="1"/>
  <c r="J4467" i="1" s="1"/>
  <c r="K4467" i="1" s="1"/>
  <c r="I4468" i="1"/>
  <c r="J4468" i="1" s="1"/>
  <c r="K4468" i="1" s="1"/>
  <c r="I4469" i="1"/>
  <c r="J4469" i="1" s="1"/>
  <c r="K4469" i="1" s="1"/>
  <c r="I4470" i="1"/>
  <c r="J4470" i="1" s="1"/>
  <c r="K4470" i="1" s="1"/>
  <c r="I4471" i="1"/>
  <c r="J4471" i="1" s="1"/>
  <c r="K4471" i="1" s="1"/>
  <c r="I4472" i="1"/>
  <c r="J4472" i="1" s="1"/>
  <c r="K4472" i="1" s="1"/>
  <c r="I4473" i="1"/>
  <c r="J4473" i="1" s="1"/>
  <c r="K4473" i="1" s="1"/>
  <c r="I4474" i="1"/>
  <c r="J4474" i="1" s="1"/>
  <c r="K4474" i="1" s="1"/>
  <c r="I4475" i="1"/>
  <c r="J4475" i="1" s="1"/>
  <c r="K4475" i="1" s="1"/>
  <c r="I4476" i="1"/>
  <c r="J4476" i="1" s="1"/>
  <c r="K4476" i="1" s="1"/>
  <c r="I4477" i="1"/>
  <c r="J4477" i="1" s="1"/>
  <c r="K4477" i="1" s="1"/>
  <c r="I4478" i="1"/>
  <c r="J4478" i="1" s="1"/>
  <c r="K4478" i="1" s="1"/>
  <c r="I4479" i="1"/>
  <c r="J4479" i="1" s="1"/>
  <c r="K4479" i="1" s="1"/>
  <c r="I4480" i="1"/>
  <c r="J4480" i="1" s="1"/>
  <c r="K4480" i="1" s="1"/>
  <c r="J4013" i="1"/>
  <c r="K4013" i="1" s="1"/>
  <c r="J4015" i="1"/>
  <c r="K4015" i="1" s="1"/>
  <c r="J4016" i="1"/>
  <c r="K4016" i="1" s="1"/>
  <c r="J4025" i="1"/>
  <c r="K4025" i="1" s="1"/>
  <c r="J4026" i="1"/>
  <c r="K4026" i="1" s="1"/>
  <c r="J4027" i="1"/>
  <c r="K4027" i="1" s="1"/>
  <c r="J4028" i="1"/>
  <c r="K4028" i="1" s="1"/>
  <c r="J4037" i="1"/>
  <c r="K4037" i="1" s="1"/>
  <c r="J4039" i="1"/>
  <c r="K4039" i="1" s="1"/>
  <c r="J4040" i="1"/>
  <c r="K4040" i="1" s="1"/>
  <c r="J4049" i="1"/>
  <c r="K4049" i="1" s="1"/>
  <c r="J4051" i="1"/>
  <c r="K4051" i="1" s="1"/>
  <c r="J4052" i="1"/>
  <c r="K4052" i="1" s="1"/>
  <c r="J4061" i="1"/>
  <c r="K4061" i="1" s="1"/>
  <c r="J4063" i="1"/>
  <c r="K4063" i="1" s="1"/>
  <c r="J4064" i="1"/>
  <c r="K4064" i="1" s="1"/>
  <c r="J4073" i="1"/>
  <c r="K4073" i="1" s="1"/>
  <c r="J4074" i="1"/>
  <c r="K4074" i="1" s="1"/>
  <c r="J4075" i="1"/>
  <c r="K4075" i="1" s="1"/>
  <c r="J4076" i="1"/>
  <c r="K4076" i="1" s="1"/>
  <c r="J4085" i="1"/>
  <c r="K4085" i="1" s="1"/>
  <c r="J4097" i="1"/>
  <c r="K4097" i="1" s="1"/>
  <c r="J4109" i="1"/>
  <c r="K4109" i="1" s="1"/>
  <c r="J4110" i="1"/>
  <c r="K4110" i="1" s="1"/>
  <c r="J4121" i="1"/>
  <c r="K4121" i="1" s="1"/>
  <c r="J4133" i="1"/>
  <c r="K4133" i="1" s="1"/>
  <c r="J4145" i="1"/>
  <c r="K4145" i="1" s="1"/>
  <c r="J4157" i="1"/>
  <c r="K4157" i="1" s="1"/>
  <c r="J4169" i="1"/>
  <c r="K4169" i="1" s="1"/>
  <c r="J4181" i="1"/>
  <c r="K4181" i="1" s="1"/>
  <c r="J4193" i="1"/>
  <c r="K4193" i="1" s="1"/>
  <c r="J4194" i="1"/>
  <c r="K4194" i="1" s="1"/>
  <c r="J4205" i="1"/>
  <c r="K4205" i="1" s="1"/>
  <c r="J4217" i="1"/>
  <c r="K4217" i="1" s="1"/>
  <c r="J4241" i="1"/>
  <c r="K4241" i="1" s="1"/>
  <c r="J4277" i="1"/>
  <c r="K4277" i="1" s="1"/>
  <c r="J4301" i="1"/>
  <c r="K4301" i="1" s="1"/>
  <c r="J4325" i="1"/>
  <c r="K4325" i="1" s="1"/>
  <c r="J4337" i="1"/>
  <c r="K4337" i="1" s="1"/>
  <c r="J4349" i="1"/>
  <c r="K4349" i="1" s="1"/>
  <c r="J4361" i="1"/>
  <c r="K4361" i="1" s="1"/>
  <c r="J4373" i="1"/>
  <c r="K4373" i="1" s="1"/>
  <c r="J4385" i="1"/>
  <c r="K4385" i="1" s="1"/>
  <c r="J4409" i="1"/>
  <c r="K4409" i="1" s="1"/>
  <c r="J4421" i="1"/>
  <c r="K4421" i="1" s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1482" i="1" l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I4012" i="1" l="1"/>
  <c r="J4012" i="1" s="1"/>
  <c r="K4012" i="1" s="1"/>
  <c r="I4011" i="1"/>
  <c r="J4011" i="1" s="1"/>
  <c r="K4011" i="1" s="1"/>
  <c r="I4010" i="1"/>
  <c r="J4010" i="1" s="1"/>
  <c r="K4010" i="1" s="1"/>
  <c r="I4009" i="1"/>
  <c r="J4009" i="1" s="1"/>
  <c r="K4009" i="1" s="1"/>
  <c r="I4008" i="1"/>
  <c r="J4008" i="1" s="1"/>
  <c r="K4008" i="1" s="1"/>
  <c r="I4007" i="1"/>
  <c r="J4007" i="1" s="1"/>
  <c r="K4007" i="1" s="1"/>
  <c r="I4006" i="1"/>
  <c r="J4006" i="1" s="1"/>
  <c r="K4006" i="1" s="1"/>
  <c r="I4005" i="1"/>
  <c r="J4005" i="1" s="1"/>
  <c r="K4005" i="1" s="1"/>
  <c r="I4004" i="1"/>
  <c r="J4004" i="1" s="1"/>
  <c r="K4004" i="1" s="1"/>
  <c r="I4003" i="1"/>
  <c r="J4003" i="1" s="1"/>
  <c r="K4003" i="1" s="1"/>
  <c r="I4002" i="1"/>
  <c r="J4002" i="1" s="1"/>
  <c r="K4002" i="1" s="1"/>
  <c r="I4001" i="1"/>
  <c r="J4001" i="1" s="1"/>
  <c r="K4001" i="1" s="1"/>
  <c r="I4000" i="1"/>
  <c r="J4000" i="1" s="1"/>
  <c r="K4000" i="1" s="1"/>
  <c r="I3999" i="1"/>
  <c r="J3999" i="1" s="1"/>
  <c r="K3999" i="1" s="1"/>
  <c r="I3998" i="1"/>
  <c r="J3998" i="1" s="1"/>
  <c r="K3998" i="1" s="1"/>
  <c r="I3997" i="1"/>
  <c r="J3997" i="1" s="1"/>
  <c r="K3997" i="1" s="1"/>
  <c r="I3996" i="1"/>
  <c r="J3996" i="1" s="1"/>
  <c r="K3996" i="1" s="1"/>
  <c r="I3995" i="1"/>
  <c r="J3995" i="1" s="1"/>
  <c r="K3995" i="1" s="1"/>
  <c r="I3994" i="1"/>
  <c r="J3994" i="1" s="1"/>
  <c r="K3994" i="1" s="1"/>
  <c r="I3993" i="1"/>
  <c r="J3993" i="1" s="1"/>
  <c r="K3993" i="1" s="1"/>
  <c r="I3992" i="1"/>
  <c r="J3992" i="1" s="1"/>
  <c r="K3992" i="1" s="1"/>
  <c r="I3991" i="1"/>
  <c r="J3991" i="1" s="1"/>
  <c r="K3991" i="1" s="1"/>
  <c r="I3990" i="1"/>
  <c r="J3990" i="1" s="1"/>
  <c r="K3990" i="1" s="1"/>
  <c r="I3989" i="1"/>
  <c r="J3989" i="1" s="1"/>
  <c r="K3989" i="1" s="1"/>
  <c r="I3988" i="1"/>
  <c r="J3988" i="1" s="1"/>
  <c r="K3988" i="1" s="1"/>
  <c r="I3987" i="1"/>
  <c r="J3987" i="1" s="1"/>
  <c r="K3987" i="1" s="1"/>
  <c r="I3986" i="1"/>
  <c r="J3986" i="1" s="1"/>
  <c r="K3986" i="1" s="1"/>
  <c r="I3985" i="1"/>
  <c r="J3985" i="1" s="1"/>
  <c r="K3985" i="1" s="1"/>
  <c r="I3984" i="1"/>
  <c r="J3984" i="1" s="1"/>
  <c r="K3984" i="1" s="1"/>
  <c r="I3983" i="1"/>
  <c r="J3983" i="1" s="1"/>
  <c r="K3983" i="1" s="1"/>
  <c r="I3982" i="1"/>
  <c r="J3982" i="1" s="1"/>
  <c r="K3982" i="1" s="1"/>
  <c r="I3981" i="1"/>
  <c r="J3981" i="1" s="1"/>
  <c r="K3981" i="1" s="1"/>
  <c r="I3980" i="1"/>
  <c r="J3980" i="1" s="1"/>
  <c r="K3980" i="1" s="1"/>
  <c r="I3979" i="1"/>
  <c r="J3979" i="1" s="1"/>
  <c r="K3979" i="1" s="1"/>
  <c r="I3978" i="1"/>
  <c r="J3978" i="1" s="1"/>
  <c r="K3978" i="1" s="1"/>
  <c r="I3977" i="1"/>
  <c r="J3977" i="1" s="1"/>
  <c r="K3977" i="1" s="1"/>
  <c r="I3976" i="1"/>
  <c r="J3976" i="1" s="1"/>
  <c r="K3976" i="1" s="1"/>
  <c r="I3975" i="1"/>
  <c r="J3975" i="1" s="1"/>
  <c r="K3975" i="1" s="1"/>
  <c r="I3974" i="1"/>
  <c r="J3974" i="1" s="1"/>
  <c r="K3974" i="1" s="1"/>
  <c r="I3973" i="1"/>
  <c r="J3973" i="1" s="1"/>
  <c r="K3973" i="1" s="1"/>
  <c r="I3972" i="1"/>
  <c r="J3972" i="1" s="1"/>
  <c r="K3972" i="1" s="1"/>
  <c r="I3971" i="1"/>
  <c r="J3971" i="1" s="1"/>
  <c r="K3971" i="1" s="1"/>
  <c r="I3970" i="1"/>
  <c r="J3970" i="1" s="1"/>
  <c r="K3970" i="1" s="1"/>
  <c r="I3969" i="1"/>
  <c r="J3969" i="1" s="1"/>
  <c r="K3969" i="1" s="1"/>
  <c r="I3968" i="1"/>
  <c r="J3968" i="1" s="1"/>
  <c r="K3968" i="1" s="1"/>
  <c r="I3967" i="1"/>
  <c r="J3967" i="1" s="1"/>
  <c r="K3967" i="1" s="1"/>
  <c r="I3966" i="1"/>
  <c r="J3966" i="1" s="1"/>
  <c r="K3966" i="1" s="1"/>
  <c r="I3965" i="1"/>
  <c r="J3965" i="1" s="1"/>
  <c r="K3965" i="1" s="1"/>
  <c r="I3964" i="1"/>
  <c r="J3964" i="1" s="1"/>
  <c r="K3964" i="1" s="1"/>
  <c r="I3963" i="1"/>
  <c r="J3963" i="1" s="1"/>
  <c r="K3963" i="1" s="1"/>
  <c r="I3962" i="1"/>
  <c r="J3962" i="1" s="1"/>
  <c r="K3962" i="1" s="1"/>
  <c r="I3961" i="1"/>
  <c r="J3961" i="1" s="1"/>
  <c r="K3961" i="1" s="1"/>
  <c r="I3960" i="1"/>
  <c r="J3960" i="1" s="1"/>
  <c r="K3960" i="1" s="1"/>
  <c r="I3959" i="1"/>
  <c r="J3959" i="1" s="1"/>
  <c r="K3959" i="1" s="1"/>
  <c r="I3958" i="1"/>
  <c r="J3958" i="1" s="1"/>
  <c r="K3958" i="1" s="1"/>
  <c r="I3957" i="1"/>
  <c r="J3957" i="1" s="1"/>
  <c r="K3957" i="1" s="1"/>
  <c r="I3956" i="1"/>
  <c r="J3956" i="1" s="1"/>
  <c r="K3956" i="1" s="1"/>
  <c r="I3955" i="1"/>
  <c r="J3955" i="1" s="1"/>
  <c r="K3955" i="1" s="1"/>
  <c r="I3954" i="1"/>
  <c r="J3954" i="1" s="1"/>
  <c r="K3954" i="1" s="1"/>
  <c r="I3953" i="1"/>
  <c r="J3953" i="1" s="1"/>
  <c r="K3953" i="1" s="1"/>
  <c r="I3952" i="1"/>
  <c r="J3952" i="1" s="1"/>
  <c r="K3952" i="1" s="1"/>
  <c r="I3951" i="1"/>
  <c r="J3951" i="1" s="1"/>
  <c r="K3951" i="1" s="1"/>
  <c r="I3950" i="1"/>
  <c r="J3950" i="1" s="1"/>
  <c r="K3950" i="1" s="1"/>
  <c r="I3949" i="1"/>
  <c r="J3949" i="1" s="1"/>
  <c r="K3949" i="1" s="1"/>
  <c r="I3948" i="1"/>
  <c r="J3948" i="1" s="1"/>
  <c r="K3948" i="1" s="1"/>
  <c r="I3947" i="1"/>
  <c r="J3947" i="1" s="1"/>
  <c r="K3947" i="1" s="1"/>
  <c r="I3946" i="1"/>
  <c r="J3946" i="1" s="1"/>
  <c r="K3946" i="1" s="1"/>
  <c r="I3945" i="1"/>
  <c r="J3945" i="1" s="1"/>
  <c r="K3945" i="1" s="1"/>
  <c r="I3944" i="1"/>
  <c r="J3944" i="1" s="1"/>
  <c r="K3944" i="1" s="1"/>
  <c r="I3943" i="1"/>
  <c r="J3943" i="1" s="1"/>
  <c r="K3943" i="1" s="1"/>
  <c r="I3942" i="1"/>
  <c r="J3942" i="1" s="1"/>
  <c r="K3942" i="1" s="1"/>
  <c r="I3941" i="1"/>
  <c r="J3941" i="1" s="1"/>
  <c r="K3941" i="1" s="1"/>
  <c r="I3940" i="1"/>
  <c r="J3940" i="1" s="1"/>
  <c r="K3940" i="1" s="1"/>
  <c r="I3939" i="1"/>
  <c r="J3939" i="1" s="1"/>
  <c r="K3939" i="1" s="1"/>
  <c r="I3938" i="1"/>
  <c r="J3938" i="1" s="1"/>
  <c r="K3938" i="1" s="1"/>
  <c r="I3937" i="1"/>
  <c r="J3937" i="1" s="1"/>
  <c r="K3937" i="1" s="1"/>
  <c r="I3936" i="1"/>
  <c r="J3936" i="1" s="1"/>
  <c r="K3936" i="1" s="1"/>
  <c r="I3935" i="1"/>
  <c r="J3935" i="1" s="1"/>
  <c r="K3935" i="1" s="1"/>
  <c r="I3934" i="1"/>
  <c r="J3934" i="1" s="1"/>
  <c r="K3934" i="1" s="1"/>
  <c r="I3933" i="1"/>
  <c r="J3933" i="1" s="1"/>
  <c r="K3933" i="1" s="1"/>
  <c r="I3932" i="1"/>
  <c r="J3932" i="1" s="1"/>
  <c r="K3932" i="1" s="1"/>
  <c r="I3931" i="1"/>
  <c r="J3931" i="1" s="1"/>
  <c r="K3931" i="1" s="1"/>
  <c r="I3930" i="1"/>
  <c r="J3930" i="1" s="1"/>
  <c r="K3930" i="1" s="1"/>
  <c r="I3929" i="1"/>
  <c r="J3929" i="1" s="1"/>
  <c r="K3929" i="1" s="1"/>
  <c r="I3928" i="1"/>
  <c r="J3928" i="1" s="1"/>
  <c r="K3928" i="1" s="1"/>
  <c r="I3927" i="1"/>
  <c r="J3927" i="1" s="1"/>
  <c r="K3927" i="1" s="1"/>
  <c r="I3926" i="1"/>
  <c r="J3926" i="1" s="1"/>
  <c r="K3926" i="1" s="1"/>
  <c r="I3925" i="1"/>
  <c r="J3925" i="1" s="1"/>
  <c r="K3925" i="1" s="1"/>
  <c r="I3924" i="1"/>
  <c r="J3924" i="1" s="1"/>
  <c r="K3924" i="1" s="1"/>
  <c r="I3923" i="1"/>
  <c r="J3923" i="1" s="1"/>
  <c r="K3923" i="1" s="1"/>
  <c r="I3922" i="1"/>
  <c r="J3922" i="1" s="1"/>
  <c r="K3922" i="1" s="1"/>
  <c r="I3921" i="1"/>
  <c r="J3921" i="1" s="1"/>
  <c r="K3921" i="1" s="1"/>
  <c r="I3920" i="1"/>
  <c r="J3920" i="1" s="1"/>
  <c r="K3920" i="1" s="1"/>
  <c r="I3919" i="1"/>
  <c r="J3919" i="1" s="1"/>
  <c r="K3919" i="1" s="1"/>
  <c r="I3918" i="1"/>
  <c r="J3918" i="1" s="1"/>
  <c r="K3918" i="1" s="1"/>
  <c r="I3917" i="1"/>
  <c r="J3917" i="1" s="1"/>
  <c r="K3917" i="1" s="1"/>
  <c r="I3916" i="1"/>
  <c r="J3916" i="1" s="1"/>
  <c r="K3916" i="1" s="1"/>
  <c r="I3915" i="1"/>
  <c r="J3915" i="1" s="1"/>
  <c r="K3915" i="1" s="1"/>
  <c r="I3914" i="1"/>
  <c r="J3914" i="1" s="1"/>
  <c r="K3914" i="1" s="1"/>
  <c r="I3913" i="1"/>
  <c r="J3913" i="1" s="1"/>
  <c r="K3913" i="1" s="1"/>
  <c r="I3912" i="1"/>
  <c r="J3912" i="1" s="1"/>
  <c r="K3912" i="1" s="1"/>
  <c r="I3911" i="1"/>
  <c r="J3911" i="1" s="1"/>
  <c r="K3911" i="1" s="1"/>
  <c r="I3910" i="1"/>
  <c r="J3910" i="1" s="1"/>
  <c r="K3910" i="1" s="1"/>
  <c r="I3909" i="1"/>
  <c r="J3909" i="1" s="1"/>
  <c r="K3909" i="1" s="1"/>
  <c r="I3908" i="1"/>
  <c r="J3908" i="1" s="1"/>
  <c r="K3908" i="1" s="1"/>
  <c r="I3907" i="1"/>
  <c r="J3907" i="1" s="1"/>
  <c r="K3907" i="1" s="1"/>
  <c r="I3906" i="1"/>
  <c r="J3906" i="1" s="1"/>
  <c r="K3906" i="1" s="1"/>
  <c r="I3905" i="1"/>
  <c r="J3905" i="1" s="1"/>
  <c r="K3905" i="1" s="1"/>
  <c r="I3904" i="1"/>
  <c r="J3904" i="1" s="1"/>
  <c r="K3904" i="1" s="1"/>
  <c r="I3903" i="1"/>
  <c r="J3903" i="1" s="1"/>
  <c r="K3903" i="1" s="1"/>
  <c r="I3902" i="1"/>
  <c r="J3902" i="1" s="1"/>
  <c r="K3902" i="1" s="1"/>
  <c r="I3901" i="1"/>
  <c r="J3901" i="1" s="1"/>
  <c r="K3901" i="1" s="1"/>
  <c r="I3900" i="1"/>
  <c r="J3900" i="1" s="1"/>
  <c r="K3900" i="1" s="1"/>
  <c r="I3899" i="1"/>
  <c r="J3899" i="1" s="1"/>
  <c r="K3899" i="1" s="1"/>
  <c r="I3898" i="1"/>
  <c r="J3898" i="1" s="1"/>
  <c r="K3898" i="1" s="1"/>
  <c r="I3897" i="1"/>
  <c r="J3897" i="1" s="1"/>
  <c r="K3897" i="1" s="1"/>
  <c r="I3896" i="1"/>
  <c r="J3896" i="1" s="1"/>
  <c r="K3896" i="1" s="1"/>
  <c r="I3895" i="1"/>
  <c r="J3895" i="1" s="1"/>
  <c r="K3895" i="1" s="1"/>
  <c r="I3894" i="1"/>
  <c r="J3894" i="1" s="1"/>
  <c r="K3894" i="1" s="1"/>
  <c r="I3893" i="1"/>
  <c r="J3893" i="1" s="1"/>
  <c r="K3893" i="1" s="1"/>
  <c r="I3892" i="1"/>
  <c r="J3892" i="1" s="1"/>
  <c r="K3892" i="1" s="1"/>
  <c r="I3891" i="1"/>
  <c r="J3891" i="1" s="1"/>
  <c r="K3891" i="1" s="1"/>
  <c r="I3890" i="1"/>
  <c r="J3890" i="1" s="1"/>
  <c r="K3890" i="1" s="1"/>
  <c r="I3889" i="1"/>
  <c r="J3889" i="1" s="1"/>
  <c r="K3889" i="1" s="1"/>
  <c r="I3888" i="1"/>
  <c r="J3888" i="1" s="1"/>
  <c r="K3888" i="1" s="1"/>
  <c r="I3887" i="1"/>
  <c r="J3887" i="1" s="1"/>
  <c r="K3887" i="1" s="1"/>
  <c r="I3886" i="1"/>
  <c r="J3886" i="1" s="1"/>
  <c r="K3886" i="1" s="1"/>
  <c r="I3885" i="1"/>
  <c r="J3885" i="1" s="1"/>
  <c r="K3885" i="1" s="1"/>
  <c r="I3884" i="1"/>
  <c r="J3884" i="1" s="1"/>
  <c r="K3884" i="1" s="1"/>
  <c r="I3883" i="1"/>
  <c r="J3883" i="1" s="1"/>
  <c r="K3883" i="1" s="1"/>
  <c r="I3882" i="1"/>
  <c r="J3882" i="1" s="1"/>
  <c r="K3882" i="1" s="1"/>
  <c r="I3881" i="1"/>
  <c r="J3881" i="1" s="1"/>
  <c r="K3881" i="1" s="1"/>
  <c r="I3880" i="1"/>
  <c r="J3880" i="1" s="1"/>
  <c r="K3880" i="1" s="1"/>
  <c r="I3879" i="1"/>
  <c r="J3879" i="1" s="1"/>
  <c r="K3879" i="1" s="1"/>
  <c r="I3878" i="1"/>
  <c r="J3878" i="1" s="1"/>
  <c r="K3878" i="1" s="1"/>
  <c r="I3877" i="1"/>
  <c r="J3877" i="1" s="1"/>
  <c r="K3877" i="1" s="1"/>
  <c r="I3876" i="1"/>
  <c r="J3876" i="1" s="1"/>
  <c r="K3876" i="1" s="1"/>
  <c r="I3875" i="1"/>
  <c r="J3875" i="1" s="1"/>
  <c r="K3875" i="1" s="1"/>
  <c r="I3874" i="1"/>
  <c r="J3874" i="1" s="1"/>
  <c r="K3874" i="1" s="1"/>
  <c r="I3873" i="1"/>
  <c r="J3873" i="1" s="1"/>
  <c r="K3873" i="1" s="1"/>
  <c r="I3872" i="1"/>
  <c r="J3872" i="1" s="1"/>
  <c r="K3872" i="1" s="1"/>
  <c r="I3871" i="1"/>
  <c r="J3871" i="1" s="1"/>
  <c r="K3871" i="1" s="1"/>
  <c r="I3870" i="1"/>
  <c r="J3870" i="1" s="1"/>
  <c r="K3870" i="1" s="1"/>
  <c r="I3869" i="1"/>
  <c r="J3869" i="1" s="1"/>
  <c r="K3869" i="1" s="1"/>
  <c r="I3868" i="1"/>
  <c r="J3868" i="1" s="1"/>
  <c r="K3868" i="1" s="1"/>
  <c r="I3867" i="1"/>
  <c r="J3867" i="1" s="1"/>
  <c r="K3867" i="1" s="1"/>
  <c r="I3866" i="1"/>
  <c r="J3866" i="1" s="1"/>
  <c r="K3866" i="1" s="1"/>
  <c r="I3865" i="1"/>
  <c r="J3865" i="1" s="1"/>
  <c r="K3865" i="1" s="1"/>
  <c r="I3864" i="1"/>
  <c r="J3864" i="1" s="1"/>
  <c r="K3864" i="1" s="1"/>
  <c r="I3863" i="1"/>
  <c r="J3863" i="1" s="1"/>
  <c r="K3863" i="1" s="1"/>
  <c r="I3862" i="1"/>
  <c r="J3862" i="1" s="1"/>
  <c r="K3862" i="1" s="1"/>
  <c r="I3861" i="1"/>
  <c r="J3861" i="1" s="1"/>
  <c r="K3861" i="1" s="1"/>
  <c r="I3860" i="1"/>
  <c r="J3860" i="1" s="1"/>
  <c r="K3860" i="1" s="1"/>
  <c r="I3859" i="1"/>
  <c r="J3859" i="1" s="1"/>
  <c r="K3859" i="1" s="1"/>
  <c r="I3858" i="1"/>
  <c r="J3858" i="1" s="1"/>
  <c r="K3858" i="1" s="1"/>
  <c r="I3857" i="1"/>
  <c r="J3857" i="1" s="1"/>
  <c r="K3857" i="1" s="1"/>
  <c r="I3856" i="1"/>
  <c r="J3856" i="1" s="1"/>
  <c r="K3856" i="1" s="1"/>
  <c r="I3855" i="1"/>
  <c r="J3855" i="1" s="1"/>
  <c r="K3855" i="1" s="1"/>
  <c r="I3854" i="1"/>
  <c r="J3854" i="1" s="1"/>
  <c r="K3854" i="1" s="1"/>
  <c r="I3853" i="1"/>
  <c r="J3853" i="1" s="1"/>
  <c r="K3853" i="1" s="1"/>
  <c r="I3852" i="1"/>
  <c r="J3852" i="1" s="1"/>
  <c r="K3852" i="1" s="1"/>
  <c r="I3851" i="1"/>
  <c r="J3851" i="1" s="1"/>
  <c r="K3851" i="1" s="1"/>
  <c r="I3850" i="1"/>
  <c r="J3850" i="1" s="1"/>
  <c r="K3850" i="1" s="1"/>
  <c r="I3849" i="1"/>
  <c r="J3849" i="1" s="1"/>
  <c r="K3849" i="1" s="1"/>
  <c r="I3848" i="1"/>
  <c r="J3848" i="1" s="1"/>
  <c r="K3848" i="1" s="1"/>
  <c r="I3847" i="1"/>
  <c r="J3847" i="1" s="1"/>
  <c r="K3847" i="1" s="1"/>
  <c r="I3846" i="1"/>
  <c r="J3846" i="1" s="1"/>
  <c r="K3846" i="1" s="1"/>
  <c r="I3845" i="1"/>
  <c r="J3845" i="1" s="1"/>
  <c r="K3845" i="1" s="1"/>
  <c r="I3844" i="1"/>
  <c r="J3844" i="1" s="1"/>
  <c r="K3844" i="1" s="1"/>
  <c r="I3843" i="1"/>
  <c r="J3843" i="1" s="1"/>
  <c r="K3843" i="1" s="1"/>
  <c r="I3842" i="1"/>
  <c r="J3842" i="1" s="1"/>
  <c r="K3842" i="1" s="1"/>
  <c r="I3841" i="1"/>
  <c r="J3841" i="1" s="1"/>
  <c r="K3841" i="1" s="1"/>
  <c r="I3840" i="1"/>
  <c r="J3840" i="1" s="1"/>
  <c r="K3840" i="1" s="1"/>
  <c r="I3839" i="1"/>
  <c r="J3839" i="1" s="1"/>
  <c r="K3839" i="1" s="1"/>
  <c r="I3838" i="1"/>
  <c r="J3838" i="1" s="1"/>
  <c r="K3838" i="1" s="1"/>
  <c r="I3837" i="1"/>
  <c r="J3837" i="1" s="1"/>
  <c r="K3837" i="1" s="1"/>
  <c r="I3836" i="1"/>
  <c r="J3836" i="1" s="1"/>
  <c r="K3836" i="1" s="1"/>
  <c r="I3835" i="1"/>
  <c r="J3835" i="1" s="1"/>
  <c r="K3835" i="1" s="1"/>
  <c r="I3834" i="1"/>
  <c r="J3834" i="1" s="1"/>
  <c r="K3834" i="1" s="1"/>
  <c r="I3833" i="1"/>
  <c r="J3833" i="1" s="1"/>
  <c r="K3833" i="1" s="1"/>
  <c r="I3832" i="1"/>
  <c r="J3832" i="1" s="1"/>
  <c r="K3832" i="1" s="1"/>
  <c r="I3831" i="1"/>
  <c r="J3831" i="1" s="1"/>
  <c r="K3831" i="1" s="1"/>
  <c r="I3830" i="1"/>
  <c r="J3830" i="1" s="1"/>
  <c r="K3830" i="1" s="1"/>
  <c r="I3829" i="1"/>
  <c r="J3829" i="1" s="1"/>
  <c r="K3829" i="1" s="1"/>
  <c r="I3828" i="1"/>
  <c r="J3828" i="1" s="1"/>
  <c r="K3828" i="1" s="1"/>
  <c r="I3827" i="1"/>
  <c r="J3827" i="1" s="1"/>
  <c r="K3827" i="1" s="1"/>
  <c r="I3826" i="1"/>
  <c r="J3826" i="1" s="1"/>
  <c r="K3826" i="1" s="1"/>
  <c r="I3825" i="1"/>
  <c r="J3825" i="1" s="1"/>
  <c r="K3825" i="1" s="1"/>
  <c r="I3824" i="1"/>
  <c r="J3824" i="1" s="1"/>
  <c r="K3824" i="1" s="1"/>
  <c r="I3823" i="1"/>
  <c r="J3823" i="1" s="1"/>
  <c r="K3823" i="1" s="1"/>
  <c r="I3822" i="1"/>
  <c r="J3822" i="1" s="1"/>
  <c r="K3822" i="1" s="1"/>
  <c r="I3821" i="1"/>
  <c r="J3821" i="1" s="1"/>
  <c r="K3821" i="1" s="1"/>
  <c r="I3820" i="1"/>
  <c r="J3820" i="1" s="1"/>
  <c r="K3820" i="1" s="1"/>
  <c r="I3819" i="1"/>
  <c r="J3819" i="1" s="1"/>
  <c r="K3819" i="1" s="1"/>
  <c r="I3818" i="1"/>
  <c r="J3818" i="1" s="1"/>
  <c r="K3818" i="1" s="1"/>
  <c r="I3817" i="1"/>
  <c r="J3817" i="1" s="1"/>
  <c r="K3817" i="1" s="1"/>
  <c r="I3816" i="1"/>
  <c r="J3816" i="1" s="1"/>
  <c r="K3816" i="1" s="1"/>
  <c r="I3815" i="1"/>
  <c r="J3815" i="1" s="1"/>
  <c r="K3815" i="1" s="1"/>
  <c r="I3814" i="1"/>
  <c r="J3814" i="1" s="1"/>
  <c r="K3814" i="1" s="1"/>
  <c r="I3813" i="1"/>
  <c r="J3813" i="1" s="1"/>
  <c r="K3813" i="1" s="1"/>
  <c r="I3812" i="1"/>
  <c r="J3812" i="1" s="1"/>
  <c r="K3812" i="1" s="1"/>
  <c r="I3811" i="1"/>
  <c r="J3811" i="1" s="1"/>
  <c r="K3811" i="1" s="1"/>
  <c r="I3810" i="1"/>
  <c r="J3810" i="1" s="1"/>
  <c r="K3810" i="1" s="1"/>
  <c r="I3809" i="1"/>
  <c r="J3809" i="1" s="1"/>
  <c r="K3809" i="1" s="1"/>
  <c r="I3808" i="1"/>
  <c r="J3808" i="1" s="1"/>
  <c r="K3808" i="1" s="1"/>
  <c r="I3807" i="1"/>
  <c r="J3807" i="1" s="1"/>
  <c r="K3807" i="1" s="1"/>
  <c r="I3806" i="1"/>
  <c r="J3806" i="1" s="1"/>
  <c r="K3806" i="1" s="1"/>
  <c r="I3805" i="1"/>
  <c r="J3805" i="1" s="1"/>
  <c r="K3805" i="1" s="1"/>
  <c r="I3804" i="1"/>
  <c r="J3804" i="1" s="1"/>
  <c r="K3804" i="1" s="1"/>
  <c r="I3803" i="1"/>
  <c r="J3803" i="1" s="1"/>
  <c r="K3803" i="1" s="1"/>
  <c r="I3802" i="1"/>
  <c r="J3802" i="1" s="1"/>
  <c r="K3802" i="1" s="1"/>
  <c r="I3801" i="1"/>
  <c r="J3801" i="1" s="1"/>
  <c r="K3801" i="1" s="1"/>
  <c r="I3800" i="1"/>
  <c r="J3800" i="1" s="1"/>
  <c r="K3800" i="1" s="1"/>
  <c r="I3799" i="1"/>
  <c r="J3799" i="1" s="1"/>
  <c r="K3799" i="1" s="1"/>
  <c r="I3798" i="1"/>
  <c r="J3798" i="1" s="1"/>
  <c r="K3798" i="1" s="1"/>
  <c r="I3797" i="1"/>
  <c r="J3797" i="1" s="1"/>
  <c r="K3797" i="1" s="1"/>
  <c r="I3796" i="1"/>
  <c r="J3796" i="1" s="1"/>
  <c r="K3796" i="1" s="1"/>
  <c r="I3795" i="1"/>
  <c r="J3795" i="1" s="1"/>
  <c r="K3795" i="1" s="1"/>
  <c r="I3794" i="1"/>
  <c r="J3794" i="1" s="1"/>
  <c r="K3794" i="1" s="1"/>
  <c r="I3793" i="1"/>
  <c r="J3793" i="1" s="1"/>
  <c r="K3793" i="1" s="1"/>
  <c r="I3792" i="1"/>
  <c r="J3792" i="1" s="1"/>
  <c r="K3792" i="1" s="1"/>
  <c r="I3791" i="1"/>
  <c r="J3791" i="1" s="1"/>
  <c r="K3791" i="1" s="1"/>
  <c r="I3790" i="1"/>
  <c r="J3790" i="1" s="1"/>
  <c r="K3790" i="1" s="1"/>
  <c r="I3789" i="1"/>
  <c r="J3789" i="1" s="1"/>
  <c r="K3789" i="1" s="1"/>
  <c r="I3788" i="1"/>
  <c r="J3788" i="1" s="1"/>
  <c r="K3788" i="1" s="1"/>
  <c r="I3787" i="1"/>
  <c r="J3787" i="1" s="1"/>
  <c r="K3787" i="1" s="1"/>
  <c r="I3786" i="1"/>
  <c r="J3786" i="1" s="1"/>
  <c r="K3786" i="1" s="1"/>
  <c r="I3785" i="1"/>
  <c r="J3785" i="1" s="1"/>
  <c r="K3785" i="1" s="1"/>
  <c r="I3784" i="1"/>
  <c r="J3784" i="1" s="1"/>
  <c r="K3784" i="1" s="1"/>
  <c r="I3783" i="1"/>
  <c r="J3783" i="1" s="1"/>
  <c r="K3783" i="1" s="1"/>
  <c r="I3782" i="1"/>
  <c r="J3782" i="1" s="1"/>
  <c r="K3782" i="1" s="1"/>
  <c r="I3781" i="1"/>
  <c r="J3781" i="1" s="1"/>
  <c r="K3781" i="1" s="1"/>
  <c r="I3780" i="1"/>
  <c r="J3780" i="1" s="1"/>
  <c r="K3780" i="1" s="1"/>
  <c r="I3779" i="1"/>
  <c r="J3779" i="1" s="1"/>
  <c r="K3779" i="1" s="1"/>
  <c r="I3778" i="1"/>
  <c r="J3778" i="1" s="1"/>
  <c r="K3778" i="1" s="1"/>
  <c r="I3777" i="1"/>
  <c r="J3777" i="1" s="1"/>
  <c r="K3777" i="1" s="1"/>
  <c r="I3776" i="1"/>
  <c r="J3776" i="1" s="1"/>
  <c r="K3776" i="1" s="1"/>
  <c r="I3775" i="1"/>
  <c r="J3775" i="1" s="1"/>
  <c r="K3775" i="1" s="1"/>
  <c r="I3774" i="1"/>
  <c r="J3774" i="1" s="1"/>
  <c r="K3774" i="1" s="1"/>
  <c r="I3773" i="1"/>
  <c r="J3773" i="1" s="1"/>
  <c r="K3773" i="1" s="1"/>
  <c r="I3772" i="1"/>
  <c r="J3772" i="1" s="1"/>
  <c r="K3772" i="1" s="1"/>
  <c r="I3771" i="1"/>
  <c r="J3771" i="1" s="1"/>
  <c r="K3771" i="1" s="1"/>
  <c r="I3770" i="1"/>
  <c r="J3770" i="1" s="1"/>
  <c r="K3770" i="1" s="1"/>
  <c r="I3769" i="1"/>
  <c r="J3769" i="1" s="1"/>
  <c r="K3769" i="1" s="1"/>
  <c r="I3768" i="1"/>
  <c r="J3768" i="1" s="1"/>
  <c r="K3768" i="1" s="1"/>
  <c r="I3767" i="1"/>
  <c r="J3767" i="1" s="1"/>
  <c r="K3767" i="1" s="1"/>
  <c r="I3766" i="1"/>
  <c r="J3766" i="1" s="1"/>
  <c r="K3766" i="1" s="1"/>
  <c r="I3765" i="1"/>
  <c r="J3765" i="1" s="1"/>
  <c r="K3765" i="1" s="1"/>
  <c r="I3764" i="1"/>
  <c r="J3764" i="1" s="1"/>
  <c r="K3764" i="1" s="1"/>
  <c r="I3763" i="1"/>
  <c r="J3763" i="1" s="1"/>
  <c r="K3763" i="1" s="1"/>
  <c r="I3762" i="1"/>
  <c r="J3762" i="1" s="1"/>
  <c r="K3762" i="1" s="1"/>
  <c r="I3761" i="1"/>
  <c r="J3761" i="1" s="1"/>
  <c r="K3761" i="1" s="1"/>
  <c r="I3760" i="1"/>
  <c r="J3760" i="1" s="1"/>
  <c r="K3760" i="1" s="1"/>
  <c r="I3759" i="1"/>
  <c r="J3759" i="1" s="1"/>
  <c r="K3759" i="1" s="1"/>
  <c r="I3758" i="1"/>
  <c r="J3758" i="1" s="1"/>
  <c r="K3758" i="1" s="1"/>
  <c r="I3757" i="1"/>
  <c r="J3757" i="1" s="1"/>
  <c r="K3757" i="1" s="1"/>
  <c r="I3756" i="1"/>
  <c r="J3756" i="1" s="1"/>
  <c r="K3756" i="1" s="1"/>
  <c r="I3755" i="1"/>
  <c r="J3755" i="1" s="1"/>
  <c r="K3755" i="1" s="1"/>
  <c r="I3754" i="1"/>
  <c r="J3754" i="1" s="1"/>
  <c r="K3754" i="1" s="1"/>
  <c r="I3753" i="1"/>
  <c r="J3753" i="1" s="1"/>
  <c r="K3753" i="1" s="1"/>
  <c r="I3752" i="1"/>
  <c r="J3752" i="1" s="1"/>
  <c r="K3752" i="1" s="1"/>
  <c r="I3751" i="1"/>
  <c r="J3751" i="1" s="1"/>
  <c r="K3751" i="1" s="1"/>
  <c r="I3750" i="1"/>
  <c r="J3750" i="1" s="1"/>
  <c r="K3750" i="1" s="1"/>
  <c r="I3749" i="1"/>
  <c r="J3749" i="1" s="1"/>
  <c r="K3749" i="1" s="1"/>
  <c r="I3748" i="1"/>
  <c r="J3748" i="1" s="1"/>
  <c r="K3748" i="1" s="1"/>
  <c r="I3747" i="1"/>
  <c r="J3747" i="1" s="1"/>
  <c r="K3747" i="1" s="1"/>
  <c r="I3746" i="1"/>
  <c r="J3746" i="1" s="1"/>
  <c r="K3746" i="1" s="1"/>
  <c r="I3745" i="1"/>
  <c r="J3745" i="1" s="1"/>
  <c r="K3745" i="1" s="1"/>
  <c r="I3744" i="1"/>
  <c r="J3744" i="1" s="1"/>
  <c r="K3744" i="1" s="1"/>
  <c r="I3743" i="1"/>
  <c r="J3743" i="1" s="1"/>
  <c r="K3743" i="1" s="1"/>
  <c r="I3742" i="1"/>
  <c r="J3742" i="1" s="1"/>
  <c r="K3742" i="1" s="1"/>
  <c r="I3741" i="1"/>
  <c r="J3741" i="1" s="1"/>
  <c r="K3741" i="1" s="1"/>
  <c r="I3740" i="1"/>
  <c r="J3740" i="1" s="1"/>
  <c r="K3740" i="1" s="1"/>
  <c r="I3739" i="1"/>
  <c r="J3739" i="1" s="1"/>
  <c r="K3739" i="1" s="1"/>
  <c r="I3738" i="1"/>
  <c r="J3738" i="1" s="1"/>
  <c r="K3738" i="1" s="1"/>
  <c r="I3737" i="1"/>
  <c r="J3737" i="1" s="1"/>
  <c r="K3737" i="1" s="1"/>
  <c r="I3736" i="1"/>
  <c r="J3736" i="1" s="1"/>
  <c r="K3736" i="1" s="1"/>
  <c r="I3735" i="1"/>
  <c r="J3735" i="1" s="1"/>
  <c r="K3735" i="1" s="1"/>
  <c r="I3734" i="1"/>
  <c r="J3734" i="1" s="1"/>
  <c r="K3734" i="1" s="1"/>
  <c r="I3733" i="1"/>
  <c r="J3733" i="1" s="1"/>
  <c r="K3733" i="1" s="1"/>
  <c r="I3732" i="1"/>
  <c r="J3732" i="1" s="1"/>
  <c r="K3732" i="1" s="1"/>
  <c r="I3731" i="1"/>
  <c r="J3731" i="1" s="1"/>
  <c r="K3731" i="1" s="1"/>
  <c r="I3730" i="1"/>
  <c r="J3730" i="1" s="1"/>
  <c r="K3730" i="1" s="1"/>
  <c r="I3729" i="1"/>
  <c r="J3729" i="1" s="1"/>
  <c r="K3729" i="1" s="1"/>
  <c r="I3728" i="1"/>
  <c r="J3728" i="1" s="1"/>
  <c r="K3728" i="1" s="1"/>
  <c r="I3727" i="1"/>
  <c r="J3727" i="1" s="1"/>
  <c r="K3727" i="1" s="1"/>
  <c r="I3726" i="1"/>
  <c r="J3726" i="1" s="1"/>
  <c r="K3726" i="1" s="1"/>
  <c r="I3725" i="1"/>
  <c r="J3725" i="1" s="1"/>
  <c r="K3725" i="1" s="1"/>
  <c r="I3724" i="1"/>
  <c r="J3724" i="1" s="1"/>
  <c r="K3724" i="1" s="1"/>
  <c r="I3723" i="1"/>
  <c r="J3723" i="1" s="1"/>
  <c r="K3723" i="1" s="1"/>
  <c r="I3722" i="1"/>
  <c r="J3722" i="1" s="1"/>
  <c r="K3722" i="1" s="1"/>
  <c r="I3721" i="1"/>
  <c r="J3721" i="1" s="1"/>
  <c r="K3721" i="1" s="1"/>
  <c r="I3720" i="1"/>
  <c r="J3720" i="1" s="1"/>
  <c r="K3720" i="1" s="1"/>
  <c r="I3719" i="1"/>
  <c r="J3719" i="1" s="1"/>
  <c r="K3719" i="1" s="1"/>
  <c r="I3718" i="1"/>
  <c r="J3718" i="1" s="1"/>
  <c r="K3718" i="1" s="1"/>
  <c r="I3717" i="1"/>
  <c r="J3717" i="1" s="1"/>
  <c r="K3717" i="1" s="1"/>
  <c r="I3716" i="1"/>
  <c r="J3716" i="1" s="1"/>
  <c r="K3716" i="1" s="1"/>
  <c r="I3715" i="1"/>
  <c r="J3715" i="1" s="1"/>
  <c r="K3715" i="1" s="1"/>
  <c r="I3714" i="1"/>
  <c r="J3714" i="1" s="1"/>
  <c r="K3714" i="1" s="1"/>
  <c r="I3713" i="1"/>
  <c r="J3713" i="1" s="1"/>
  <c r="K3713" i="1" s="1"/>
  <c r="I3712" i="1"/>
  <c r="J3712" i="1" s="1"/>
  <c r="K3712" i="1" s="1"/>
  <c r="I3711" i="1"/>
  <c r="J3711" i="1" s="1"/>
  <c r="K3711" i="1" s="1"/>
  <c r="I3710" i="1"/>
  <c r="J3710" i="1" s="1"/>
  <c r="K3710" i="1" s="1"/>
  <c r="I3709" i="1"/>
  <c r="J3709" i="1" s="1"/>
  <c r="K3709" i="1" s="1"/>
  <c r="I3708" i="1"/>
  <c r="J3708" i="1" s="1"/>
  <c r="K3708" i="1" s="1"/>
  <c r="I3707" i="1"/>
  <c r="J3707" i="1" s="1"/>
  <c r="K3707" i="1" s="1"/>
  <c r="I3706" i="1"/>
  <c r="J3706" i="1" s="1"/>
  <c r="K3706" i="1" s="1"/>
  <c r="I3705" i="1"/>
  <c r="J3705" i="1" s="1"/>
  <c r="K3705" i="1" s="1"/>
  <c r="I3704" i="1"/>
  <c r="J3704" i="1" s="1"/>
  <c r="K3704" i="1" s="1"/>
  <c r="I3703" i="1"/>
  <c r="J3703" i="1" s="1"/>
  <c r="K3703" i="1" s="1"/>
  <c r="I3702" i="1"/>
  <c r="J3702" i="1" s="1"/>
  <c r="K3702" i="1" s="1"/>
  <c r="I3701" i="1"/>
  <c r="J3701" i="1" s="1"/>
  <c r="K3701" i="1" s="1"/>
  <c r="I3700" i="1"/>
  <c r="J3700" i="1" s="1"/>
  <c r="K3700" i="1" s="1"/>
  <c r="I3699" i="1"/>
  <c r="J3699" i="1" s="1"/>
  <c r="K3699" i="1" s="1"/>
  <c r="I3698" i="1"/>
  <c r="J3698" i="1" s="1"/>
  <c r="K3698" i="1" s="1"/>
  <c r="I3697" i="1"/>
  <c r="J3697" i="1" s="1"/>
  <c r="K3697" i="1" s="1"/>
  <c r="I3696" i="1"/>
  <c r="J3696" i="1" s="1"/>
  <c r="K3696" i="1" s="1"/>
  <c r="I3695" i="1"/>
  <c r="J3695" i="1" s="1"/>
  <c r="K3695" i="1" s="1"/>
  <c r="I3694" i="1"/>
  <c r="J3694" i="1" s="1"/>
  <c r="K3694" i="1" s="1"/>
  <c r="I3693" i="1"/>
  <c r="J3693" i="1" s="1"/>
  <c r="K3693" i="1" s="1"/>
  <c r="I3692" i="1"/>
  <c r="J3692" i="1" s="1"/>
  <c r="K3692" i="1" s="1"/>
  <c r="I3691" i="1"/>
  <c r="J3691" i="1" s="1"/>
  <c r="K3691" i="1" s="1"/>
  <c r="I3690" i="1"/>
  <c r="J3690" i="1" s="1"/>
  <c r="K3690" i="1" s="1"/>
  <c r="I3689" i="1"/>
  <c r="J3689" i="1" s="1"/>
  <c r="K3689" i="1" s="1"/>
  <c r="I3688" i="1"/>
  <c r="J3688" i="1" s="1"/>
  <c r="K3688" i="1" s="1"/>
  <c r="I3687" i="1"/>
  <c r="J3687" i="1" s="1"/>
  <c r="K3687" i="1" s="1"/>
  <c r="I3686" i="1"/>
  <c r="J3686" i="1" s="1"/>
  <c r="K3686" i="1" s="1"/>
  <c r="I3685" i="1"/>
  <c r="J3685" i="1" s="1"/>
  <c r="K3685" i="1" s="1"/>
  <c r="I3684" i="1"/>
  <c r="J3684" i="1" s="1"/>
  <c r="K3684" i="1" s="1"/>
  <c r="I3683" i="1"/>
  <c r="J3683" i="1" s="1"/>
  <c r="K3683" i="1" s="1"/>
  <c r="I3682" i="1"/>
  <c r="J3682" i="1" s="1"/>
  <c r="K3682" i="1" s="1"/>
  <c r="I3681" i="1"/>
  <c r="J3681" i="1" s="1"/>
  <c r="K3681" i="1" s="1"/>
  <c r="I3680" i="1"/>
  <c r="J3680" i="1" s="1"/>
  <c r="K3680" i="1" s="1"/>
  <c r="I3679" i="1"/>
  <c r="J3679" i="1" s="1"/>
  <c r="K3679" i="1" s="1"/>
  <c r="I3678" i="1"/>
  <c r="J3678" i="1" s="1"/>
  <c r="K3678" i="1" s="1"/>
  <c r="I3677" i="1"/>
  <c r="J3677" i="1" s="1"/>
  <c r="K3677" i="1" s="1"/>
  <c r="I3676" i="1"/>
  <c r="J3676" i="1" s="1"/>
  <c r="K3676" i="1" s="1"/>
  <c r="I3675" i="1"/>
  <c r="J3675" i="1" s="1"/>
  <c r="K3675" i="1" s="1"/>
  <c r="I3674" i="1"/>
  <c r="J3674" i="1" s="1"/>
  <c r="K3674" i="1" s="1"/>
  <c r="I3673" i="1"/>
  <c r="J3673" i="1" s="1"/>
  <c r="K3673" i="1" s="1"/>
  <c r="I3672" i="1"/>
  <c r="J3672" i="1" s="1"/>
  <c r="K3672" i="1" s="1"/>
  <c r="I3671" i="1"/>
  <c r="J3671" i="1" s="1"/>
  <c r="K3671" i="1" s="1"/>
  <c r="I3670" i="1"/>
  <c r="J3670" i="1" s="1"/>
  <c r="K3670" i="1" s="1"/>
  <c r="I3669" i="1"/>
  <c r="J3669" i="1" s="1"/>
  <c r="K3669" i="1" s="1"/>
  <c r="I3668" i="1"/>
  <c r="J3668" i="1" s="1"/>
  <c r="K3668" i="1" s="1"/>
  <c r="I3667" i="1"/>
  <c r="J3667" i="1" s="1"/>
  <c r="K3667" i="1" s="1"/>
  <c r="I3666" i="1"/>
  <c r="J3666" i="1" s="1"/>
  <c r="K3666" i="1" s="1"/>
  <c r="I3665" i="1"/>
  <c r="J3665" i="1" s="1"/>
  <c r="K3665" i="1" s="1"/>
  <c r="I3664" i="1"/>
  <c r="J3664" i="1" s="1"/>
  <c r="K3664" i="1" s="1"/>
  <c r="I3663" i="1"/>
  <c r="J3663" i="1" s="1"/>
  <c r="K3663" i="1" s="1"/>
  <c r="I3662" i="1"/>
  <c r="J3662" i="1" s="1"/>
  <c r="K3662" i="1" s="1"/>
  <c r="I3661" i="1"/>
  <c r="J3661" i="1" s="1"/>
  <c r="K3661" i="1" s="1"/>
  <c r="I3660" i="1"/>
  <c r="J3660" i="1" s="1"/>
  <c r="K3660" i="1" s="1"/>
  <c r="I3659" i="1"/>
  <c r="J3659" i="1" s="1"/>
  <c r="K3659" i="1" s="1"/>
  <c r="I3658" i="1"/>
  <c r="J3658" i="1" s="1"/>
  <c r="K3658" i="1" s="1"/>
  <c r="I3657" i="1"/>
  <c r="J3657" i="1" s="1"/>
  <c r="K3657" i="1" s="1"/>
  <c r="I3656" i="1"/>
  <c r="J3656" i="1" s="1"/>
  <c r="K3656" i="1" s="1"/>
  <c r="I3655" i="1"/>
  <c r="J3655" i="1" s="1"/>
  <c r="K3655" i="1" s="1"/>
  <c r="I3654" i="1"/>
  <c r="J3654" i="1" s="1"/>
  <c r="K3654" i="1" s="1"/>
  <c r="I3653" i="1"/>
  <c r="J3653" i="1" s="1"/>
  <c r="K3653" i="1" s="1"/>
  <c r="I3652" i="1"/>
  <c r="J3652" i="1" s="1"/>
  <c r="K3652" i="1" s="1"/>
  <c r="I3651" i="1"/>
  <c r="J3651" i="1" s="1"/>
  <c r="K3651" i="1" s="1"/>
  <c r="I3650" i="1"/>
  <c r="J3650" i="1" s="1"/>
  <c r="K3650" i="1" s="1"/>
  <c r="I3649" i="1"/>
  <c r="J3649" i="1" s="1"/>
  <c r="K3649" i="1" s="1"/>
  <c r="I3648" i="1"/>
  <c r="J3648" i="1" s="1"/>
  <c r="K3648" i="1" s="1"/>
  <c r="I3647" i="1"/>
  <c r="J3647" i="1" s="1"/>
  <c r="K3647" i="1" s="1"/>
  <c r="I3646" i="1"/>
  <c r="J3646" i="1" s="1"/>
  <c r="K3646" i="1" s="1"/>
  <c r="I3645" i="1"/>
  <c r="J3645" i="1" s="1"/>
  <c r="K3645" i="1" s="1"/>
  <c r="I3644" i="1"/>
  <c r="J3644" i="1" s="1"/>
  <c r="K3644" i="1" s="1"/>
  <c r="I3643" i="1"/>
  <c r="J3643" i="1" s="1"/>
  <c r="K3643" i="1" s="1"/>
  <c r="I3642" i="1"/>
  <c r="J3642" i="1" s="1"/>
  <c r="K3642" i="1" s="1"/>
  <c r="I3641" i="1"/>
  <c r="J3641" i="1" s="1"/>
  <c r="K3641" i="1" s="1"/>
  <c r="I3640" i="1"/>
  <c r="J3640" i="1" s="1"/>
  <c r="K3640" i="1" s="1"/>
  <c r="I3639" i="1"/>
  <c r="J3639" i="1" s="1"/>
  <c r="K3639" i="1" s="1"/>
  <c r="I3638" i="1"/>
  <c r="J3638" i="1" s="1"/>
  <c r="K3638" i="1" s="1"/>
  <c r="I3637" i="1"/>
  <c r="J3637" i="1" s="1"/>
  <c r="K3637" i="1" s="1"/>
  <c r="I3636" i="1"/>
  <c r="J3636" i="1" s="1"/>
  <c r="K3636" i="1" s="1"/>
  <c r="I3635" i="1"/>
  <c r="J3635" i="1" s="1"/>
  <c r="K3635" i="1" s="1"/>
  <c r="I3634" i="1"/>
  <c r="J3634" i="1" s="1"/>
  <c r="K3634" i="1" s="1"/>
  <c r="I3633" i="1"/>
  <c r="J3633" i="1" s="1"/>
  <c r="K3633" i="1" s="1"/>
  <c r="I3632" i="1"/>
  <c r="J3632" i="1" s="1"/>
  <c r="K3632" i="1" s="1"/>
  <c r="I3631" i="1"/>
  <c r="J3631" i="1" s="1"/>
  <c r="K3631" i="1" s="1"/>
  <c r="I3630" i="1"/>
  <c r="J3630" i="1" s="1"/>
  <c r="K3630" i="1" s="1"/>
  <c r="I3629" i="1"/>
  <c r="J3629" i="1" s="1"/>
  <c r="K3629" i="1" s="1"/>
  <c r="I3628" i="1"/>
  <c r="J3628" i="1" s="1"/>
  <c r="K3628" i="1" s="1"/>
  <c r="I3627" i="1"/>
  <c r="J3627" i="1" s="1"/>
  <c r="K3627" i="1" s="1"/>
  <c r="I3626" i="1"/>
  <c r="J3626" i="1" s="1"/>
  <c r="K3626" i="1" s="1"/>
  <c r="I3625" i="1"/>
  <c r="J3625" i="1" s="1"/>
  <c r="K3625" i="1" s="1"/>
  <c r="I3624" i="1"/>
  <c r="J3624" i="1" s="1"/>
  <c r="K3624" i="1" s="1"/>
  <c r="I3623" i="1"/>
  <c r="J3623" i="1" s="1"/>
  <c r="K3623" i="1" s="1"/>
  <c r="I3622" i="1"/>
  <c r="J3622" i="1" s="1"/>
  <c r="K3622" i="1" s="1"/>
  <c r="I3621" i="1"/>
  <c r="J3621" i="1" s="1"/>
  <c r="K3621" i="1" s="1"/>
  <c r="I3620" i="1"/>
  <c r="J3620" i="1" s="1"/>
  <c r="K3620" i="1" s="1"/>
  <c r="I3619" i="1"/>
  <c r="J3619" i="1" s="1"/>
  <c r="K3619" i="1" s="1"/>
  <c r="I3618" i="1"/>
  <c r="J3618" i="1" s="1"/>
  <c r="K3618" i="1" s="1"/>
  <c r="I3617" i="1"/>
  <c r="J3617" i="1" s="1"/>
  <c r="K3617" i="1" s="1"/>
  <c r="I3616" i="1"/>
  <c r="J3616" i="1" s="1"/>
  <c r="K3616" i="1" s="1"/>
  <c r="I3615" i="1"/>
  <c r="J3615" i="1" s="1"/>
  <c r="K3615" i="1" s="1"/>
  <c r="I3614" i="1"/>
  <c r="J3614" i="1" s="1"/>
  <c r="K3614" i="1" s="1"/>
  <c r="I3613" i="1"/>
  <c r="J3613" i="1" s="1"/>
  <c r="K3613" i="1" s="1"/>
  <c r="I3612" i="1"/>
  <c r="J3612" i="1" s="1"/>
  <c r="K3612" i="1" s="1"/>
  <c r="I3611" i="1"/>
  <c r="J3611" i="1" s="1"/>
  <c r="K3611" i="1" s="1"/>
  <c r="I3610" i="1"/>
  <c r="J3610" i="1" s="1"/>
  <c r="K3610" i="1" s="1"/>
  <c r="I3609" i="1"/>
  <c r="J3609" i="1" s="1"/>
  <c r="K3609" i="1" s="1"/>
  <c r="I3608" i="1"/>
  <c r="J3608" i="1" s="1"/>
  <c r="K3608" i="1" s="1"/>
  <c r="I3607" i="1"/>
  <c r="J3607" i="1" s="1"/>
  <c r="K3607" i="1" s="1"/>
  <c r="I3606" i="1"/>
  <c r="J3606" i="1" s="1"/>
  <c r="K3606" i="1" s="1"/>
  <c r="I3605" i="1"/>
  <c r="J3605" i="1" s="1"/>
  <c r="K3605" i="1" s="1"/>
  <c r="I3604" i="1"/>
  <c r="J3604" i="1" s="1"/>
  <c r="K3604" i="1" s="1"/>
  <c r="I3603" i="1"/>
  <c r="J3603" i="1" s="1"/>
  <c r="K3603" i="1" s="1"/>
  <c r="I3602" i="1"/>
  <c r="J3602" i="1" s="1"/>
  <c r="K3602" i="1" s="1"/>
  <c r="I3601" i="1"/>
  <c r="J3601" i="1" s="1"/>
  <c r="K3601" i="1" s="1"/>
  <c r="I3600" i="1"/>
  <c r="J3600" i="1" s="1"/>
  <c r="K3600" i="1" s="1"/>
  <c r="I3599" i="1"/>
  <c r="J3599" i="1" s="1"/>
  <c r="K3599" i="1" s="1"/>
  <c r="I3598" i="1"/>
  <c r="J3598" i="1" s="1"/>
  <c r="K3598" i="1" s="1"/>
  <c r="I3597" i="1"/>
  <c r="J3597" i="1" s="1"/>
  <c r="K3597" i="1" s="1"/>
  <c r="I3596" i="1"/>
  <c r="J3596" i="1" s="1"/>
  <c r="K3596" i="1" s="1"/>
  <c r="I3595" i="1"/>
  <c r="J3595" i="1" s="1"/>
  <c r="K3595" i="1" s="1"/>
  <c r="I3594" i="1"/>
  <c r="J3594" i="1" s="1"/>
  <c r="K3594" i="1" s="1"/>
  <c r="I3593" i="1"/>
  <c r="J3593" i="1" s="1"/>
  <c r="K3593" i="1" s="1"/>
  <c r="I3592" i="1"/>
  <c r="J3592" i="1" s="1"/>
  <c r="K3592" i="1" s="1"/>
  <c r="I3591" i="1"/>
  <c r="J3591" i="1" s="1"/>
  <c r="K3591" i="1" s="1"/>
  <c r="I3590" i="1"/>
  <c r="J3590" i="1" s="1"/>
  <c r="K3590" i="1" s="1"/>
  <c r="I3589" i="1"/>
  <c r="J3589" i="1" s="1"/>
  <c r="K3589" i="1" s="1"/>
  <c r="I3588" i="1"/>
  <c r="J3588" i="1" s="1"/>
  <c r="K3588" i="1" s="1"/>
  <c r="I3587" i="1"/>
  <c r="J3587" i="1" s="1"/>
  <c r="K3587" i="1" s="1"/>
  <c r="I3586" i="1"/>
  <c r="J3586" i="1" s="1"/>
  <c r="K3586" i="1" s="1"/>
  <c r="I3585" i="1"/>
  <c r="J3585" i="1" s="1"/>
  <c r="K3585" i="1" s="1"/>
  <c r="I3584" i="1"/>
  <c r="J3584" i="1" s="1"/>
  <c r="K3584" i="1" s="1"/>
  <c r="I3583" i="1"/>
  <c r="J3583" i="1" s="1"/>
  <c r="K3583" i="1" s="1"/>
  <c r="I3582" i="1"/>
  <c r="J3582" i="1" s="1"/>
  <c r="K3582" i="1" s="1"/>
  <c r="I3581" i="1"/>
  <c r="J3581" i="1" s="1"/>
  <c r="K3581" i="1" s="1"/>
  <c r="I3580" i="1"/>
  <c r="J3580" i="1" s="1"/>
  <c r="K3580" i="1" s="1"/>
  <c r="I3579" i="1"/>
  <c r="J3579" i="1" s="1"/>
  <c r="K3579" i="1" s="1"/>
  <c r="I3578" i="1"/>
  <c r="J3578" i="1" s="1"/>
  <c r="K3578" i="1" s="1"/>
  <c r="I3577" i="1"/>
  <c r="J3577" i="1" s="1"/>
  <c r="K3577" i="1" s="1"/>
  <c r="I3576" i="1"/>
  <c r="J3576" i="1" s="1"/>
  <c r="K3576" i="1" s="1"/>
  <c r="I3575" i="1"/>
  <c r="J3575" i="1" s="1"/>
  <c r="K3575" i="1" s="1"/>
  <c r="I3574" i="1"/>
  <c r="J3574" i="1" s="1"/>
  <c r="K3574" i="1" s="1"/>
  <c r="I3573" i="1"/>
  <c r="J3573" i="1" s="1"/>
  <c r="K3573" i="1" s="1"/>
  <c r="I3572" i="1"/>
  <c r="J3572" i="1" s="1"/>
  <c r="K3572" i="1" s="1"/>
  <c r="I3571" i="1"/>
  <c r="J3571" i="1" s="1"/>
  <c r="K3571" i="1" s="1"/>
  <c r="I3570" i="1"/>
  <c r="J3570" i="1" s="1"/>
  <c r="K3570" i="1" s="1"/>
  <c r="I3569" i="1"/>
  <c r="J3569" i="1" s="1"/>
  <c r="K3569" i="1" s="1"/>
  <c r="I3568" i="1"/>
  <c r="J3568" i="1" s="1"/>
  <c r="K3568" i="1" s="1"/>
  <c r="I3567" i="1"/>
  <c r="J3567" i="1" s="1"/>
  <c r="K3567" i="1" s="1"/>
  <c r="I3566" i="1"/>
  <c r="J3566" i="1" s="1"/>
  <c r="K3566" i="1" s="1"/>
  <c r="I3565" i="1"/>
  <c r="J3565" i="1" s="1"/>
  <c r="K3565" i="1" s="1"/>
  <c r="I3564" i="1"/>
  <c r="J3564" i="1" s="1"/>
  <c r="K3564" i="1" s="1"/>
  <c r="I3563" i="1"/>
  <c r="J3563" i="1" s="1"/>
  <c r="K3563" i="1" s="1"/>
  <c r="I3562" i="1"/>
  <c r="J3562" i="1" s="1"/>
  <c r="K3562" i="1" s="1"/>
  <c r="I3561" i="1"/>
  <c r="J3561" i="1" s="1"/>
  <c r="K3561" i="1" s="1"/>
  <c r="I3560" i="1"/>
  <c r="J3560" i="1" s="1"/>
  <c r="K3560" i="1" s="1"/>
  <c r="I3559" i="1"/>
  <c r="J3559" i="1" s="1"/>
  <c r="K3559" i="1" s="1"/>
  <c r="I3558" i="1"/>
  <c r="J3558" i="1" s="1"/>
  <c r="K3558" i="1" s="1"/>
  <c r="I3557" i="1"/>
  <c r="J3557" i="1" s="1"/>
  <c r="K3557" i="1" s="1"/>
  <c r="I3556" i="1"/>
  <c r="J3556" i="1" s="1"/>
  <c r="K3556" i="1" s="1"/>
  <c r="I3555" i="1"/>
  <c r="J3555" i="1" s="1"/>
  <c r="K3555" i="1" s="1"/>
  <c r="I3554" i="1"/>
  <c r="J3554" i="1" s="1"/>
  <c r="K3554" i="1" s="1"/>
  <c r="I3553" i="1"/>
  <c r="J3553" i="1" s="1"/>
  <c r="K3553" i="1" s="1"/>
  <c r="I3552" i="1"/>
  <c r="J3552" i="1" s="1"/>
  <c r="K3552" i="1" s="1"/>
  <c r="I3551" i="1"/>
  <c r="J3551" i="1" s="1"/>
  <c r="K3551" i="1" s="1"/>
  <c r="I3550" i="1"/>
  <c r="J3550" i="1" s="1"/>
  <c r="K3550" i="1" s="1"/>
  <c r="I3549" i="1"/>
  <c r="J3549" i="1" s="1"/>
  <c r="K3549" i="1" s="1"/>
  <c r="I3548" i="1"/>
  <c r="J3548" i="1" s="1"/>
  <c r="K3548" i="1" s="1"/>
  <c r="I3547" i="1"/>
  <c r="J3547" i="1" s="1"/>
  <c r="K3547" i="1" s="1"/>
  <c r="I3546" i="1"/>
  <c r="J3546" i="1" s="1"/>
  <c r="K3546" i="1" s="1"/>
  <c r="I3545" i="1"/>
  <c r="J3545" i="1" s="1"/>
  <c r="K3545" i="1" s="1"/>
  <c r="I3544" i="1"/>
  <c r="J3544" i="1" s="1"/>
  <c r="K3544" i="1" s="1"/>
  <c r="I3543" i="1"/>
  <c r="J3543" i="1" s="1"/>
  <c r="K3543" i="1" s="1"/>
  <c r="I3542" i="1"/>
  <c r="J3542" i="1" s="1"/>
  <c r="K3542" i="1" s="1"/>
  <c r="I3541" i="1"/>
  <c r="J3541" i="1" s="1"/>
  <c r="K3541" i="1" s="1"/>
  <c r="I3540" i="1"/>
  <c r="J3540" i="1" s="1"/>
  <c r="K3540" i="1" s="1"/>
  <c r="I3539" i="1"/>
  <c r="J3539" i="1" s="1"/>
  <c r="K3539" i="1" s="1"/>
  <c r="I3538" i="1"/>
  <c r="J3538" i="1" s="1"/>
  <c r="K3538" i="1" s="1"/>
  <c r="I3537" i="1"/>
  <c r="J3537" i="1" s="1"/>
  <c r="K3537" i="1" s="1"/>
  <c r="I3536" i="1"/>
  <c r="J3536" i="1" s="1"/>
  <c r="K3536" i="1" s="1"/>
  <c r="I3535" i="1"/>
  <c r="J3535" i="1" s="1"/>
  <c r="K3535" i="1" s="1"/>
  <c r="I3534" i="1"/>
  <c r="J3534" i="1" s="1"/>
  <c r="K3534" i="1" s="1"/>
  <c r="I3533" i="1"/>
  <c r="J3533" i="1" s="1"/>
  <c r="K3533" i="1" s="1"/>
  <c r="I3532" i="1"/>
  <c r="J3532" i="1" s="1"/>
  <c r="K3532" i="1" s="1"/>
  <c r="I3531" i="1"/>
  <c r="J3531" i="1" s="1"/>
  <c r="K3531" i="1" s="1"/>
  <c r="I3530" i="1"/>
  <c r="J3530" i="1" s="1"/>
  <c r="K3530" i="1" s="1"/>
  <c r="I3529" i="1"/>
  <c r="J3529" i="1" s="1"/>
  <c r="K3529" i="1" s="1"/>
  <c r="I3528" i="1"/>
  <c r="J3528" i="1" s="1"/>
  <c r="K3528" i="1" s="1"/>
  <c r="I3527" i="1"/>
  <c r="J3527" i="1" s="1"/>
  <c r="K3527" i="1" s="1"/>
  <c r="I3526" i="1"/>
  <c r="J3526" i="1" s="1"/>
  <c r="K3526" i="1" s="1"/>
  <c r="I3525" i="1"/>
  <c r="J3525" i="1" s="1"/>
  <c r="K3525" i="1" s="1"/>
  <c r="I3524" i="1"/>
  <c r="J3524" i="1" s="1"/>
  <c r="K3524" i="1" s="1"/>
  <c r="I3523" i="1"/>
  <c r="J3523" i="1" s="1"/>
  <c r="K3523" i="1" s="1"/>
  <c r="I3522" i="1"/>
  <c r="J3522" i="1" s="1"/>
  <c r="K3522" i="1" s="1"/>
  <c r="I3521" i="1"/>
  <c r="J3521" i="1" s="1"/>
  <c r="K3521" i="1" s="1"/>
  <c r="I3520" i="1"/>
  <c r="J3520" i="1" s="1"/>
  <c r="K3520" i="1" s="1"/>
  <c r="I3519" i="1"/>
  <c r="J3519" i="1" s="1"/>
  <c r="K3519" i="1" s="1"/>
  <c r="I3518" i="1"/>
  <c r="J3518" i="1" s="1"/>
  <c r="K3518" i="1" s="1"/>
  <c r="I3517" i="1"/>
  <c r="J3517" i="1" s="1"/>
  <c r="K3517" i="1" s="1"/>
  <c r="I3516" i="1"/>
  <c r="J3516" i="1" s="1"/>
  <c r="K3516" i="1" s="1"/>
  <c r="I3515" i="1"/>
  <c r="J3515" i="1" s="1"/>
  <c r="K3515" i="1" s="1"/>
  <c r="I3514" i="1"/>
  <c r="J3514" i="1" s="1"/>
  <c r="K3514" i="1" s="1"/>
  <c r="I3513" i="1"/>
  <c r="J3513" i="1" s="1"/>
  <c r="K3513" i="1" s="1"/>
  <c r="I3512" i="1"/>
  <c r="J3512" i="1" s="1"/>
  <c r="K3512" i="1" s="1"/>
  <c r="I3511" i="1"/>
  <c r="J3511" i="1" s="1"/>
  <c r="K3511" i="1" s="1"/>
  <c r="I3510" i="1"/>
  <c r="J3510" i="1" s="1"/>
  <c r="K3510" i="1" s="1"/>
  <c r="I3509" i="1"/>
  <c r="J3509" i="1" s="1"/>
  <c r="K3509" i="1" s="1"/>
  <c r="I3508" i="1"/>
  <c r="J3508" i="1" s="1"/>
  <c r="K3508" i="1" s="1"/>
  <c r="I3507" i="1"/>
  <c r="J3507" i="1" s="1"/>
  <c r="K3507" i="1" s="1"/>
  <c r="I3506" i="1"/>
  <c r="J3506" i="1" s="1"/>
  <c r="K3506" i="1" s="1"/>
  <c r="I3505" i="1"/>
  <c r="J3505" i="1" s="1"/>
  <c r="K3505" i="1" s="1"/>
  <c r="I3504" i="1"/>
  <c r="J3504" i="1" s="1"/>
  <c r="K3504" i="1" s="1"/>
  <c r="I3503" i="1"/>
  <c r="J3503" i="1" s="1"/>
  <c r="K3503" i="1" s="1"/>
  <c r="I3502" i="1"/>
  <c r="J3502" i="1" s="1"/>
  <c r="K3502" i="1" s="1"/>
  <c r="I3501" i="1"/>
  <c r="J3501" i="1" s="1"/>
  <c r="K3501" i="1" s="1"/>
  <c r="I3500" i="1"/>
  <c r="J3500" i="1" s="1"/>
  <c r="K3500" i="1" s="1"/>
  <c r="I3499" i="1"/>
  <c r="J3499" i="1" s="1"/>
  <c r="K3499" i="1" s="1"/>
  <c r="I3498" i="1"/>
  <c r="J3498" i="1" s="1"/>
  <c r="K3498" i="1" s="1"/>
  <c r="I3497" i="1"/>
  <c r="J3497" i="1" s="1"/>
  <c r="K3497" i="1" s="1"/>
  <c r="I3496" i="1"/>
  <c r="J3496" i="1" s="1"/>
  <c r="K3496" i="1" s="1"/>
  <c r="I3495" i="1"/>
  <c r="J3495" i="1" s="1"/>
  <c r="K3495" i="1" s="1"/>
  <c r="I3494" i="1"/>
  <c r="J3494" i="1" s="1"/>
  <c r="K3494" i="1" s="1"/>
  <c r="I3493" i="1"/>
  <c r="J3493" i="1" s="1"/>
  <c r="K3493" i="1" s="1"/>
  <c r="I3492" i="1"/>
  <c r="J3492" i="1" s="1"/>
  <c r="K3492" i="1" s="1"/>
  <c r="I3491" i="1"/>
  <c r="J3491" i="1" s="1"/>
  <c r="K3491" i="1" s="1"/>
  <c r="I3490" i="1"/>
  <c r="J3490" i="1" s="1"/>
  <c r="K3490" i="1" s="1"/>
  <c r="I3489" i="1"/>
  <c r="J3489" i="1" s="1"/>
  <c r="K3489" i="1" s="1"/>
  <c r="I3488" i="1"/>
  <c r="J3488" i="1" s="1"/>
  <c r="K3488" i="1" s="1"/>
  <c r="I3487" i="1"/>
  <c r="J3487" i="1" s="1"/>
  <c r="K3487" i="1" s="1"/>
  <c r="I3486" i="1"/>
  <c r="J3486" i="1" s="1"/>
  <c r="K3486" i="1" s="1"/>
  <c r="I3485" i="1"/>
  <c r="J3485" i="1" s="1"/>
  <c r="K3485" i="1" s="1"/>
  <c r="I3484" i="1"/>
  <c r="J3484" i="1" s="1"/>
  <c r="K3484" i="1" s="1"/>
  <c r="I3483" i="1"/>
  <c r="J3483" i="1" s="1"/>
  <c r="K3483" i="1" s="1"/>
  <c r="I3482" i="1"/>
  <c r="J3482" i="1" s="1"/>
  <c r="K3482" i="1" s="1"/>
  <c r="I3481" i="1"/>
  <c r="J3481" i="1" s="1"/>
  <c r="K3481" i="1" s="1"/>
  <c r="I3480" i="1"/>
  <c r="J3480" i="1" s="1"/>
  <c r="K3480" i="1" s="1"/>
  <c r="I3479" i="1"/>
  <c r="J3479" i="1" s="1"/>
  <c r="K3479" i="1" s="1"/>
  <c r="I3478" i="1"/>
  <c r="J3478" i="1" s="1"/>
  <c r="K3478" i="1" s="1"/>
  <c r="I3477" i="1"/>
  <c r="J3477" i="1" s="1"/>
  <c r="K3477" i="1" s="1"/>
  <c r="I3476" i="1"/>
  <c r="J3476" i="1" s="1"/>
  <c r="K3476" i="1" s="1"/>
  <c r="I3475" i="1"/>
  <c r="J3475" i="1" s="1"/>
  <c r="K3475" i="1" s="1"/>
  <c r="I3474" i="1"/>
  <c r="J3474" i="1" s="1"/>
  <c r="K3474" i="1" s="1"/>
  <c r="I3473" i="1"/>
  <c r="J3473" i="1" s="1"/>
  <c r="K3473" i="1" s="1"/>
  <c r="I3472" i="1"/>
  <c r="J3472" i="1" s="1"/>
  <c r="K3472" i="1" s="1"/>
  <c r="I3471" i="1"/>
  <c r="J3471" i="1" s="1"/>
  <c r="K3471" i="1" s="1"/>
  <c r="I3470" i="1"/>
  <c r="J3470" i="1" s="1"/>
  <c r="K3470" i="1" s="1"/>
  <c r="I3469" i="1"/>
  <c r="J3469" i="1" s="1"/>
  <c r="K3469" i="1" s="1"/>
  <c r="I3468" i="1"/>
  <c r="J3468" i="1" s="1"/>
  <c r="K3468" i="1" s="1"/>
  <c r="I3467" i="1"/>
  <c r="J3467" i="1" s="1"/>
  <c r="K3467" i="1" s="1"/>
  <c r="I3466" i="1"/>
  <c r="J3466" i="1" s="1"/>
  <c r="K3466" i="1" s="1"/>
  <c r="I3465" i="1"/>
  <c r="J3465" i="1" s="1"/>
  <c r="K3465" i="1" s="1"/>
  <c r="I3464" i="1"/>
  <c r="J3464" i="1" s="1"/>
  <c r="K3464" i="1" s="1"/>
  <c r="I3463" i="1"/>
  <c r="J3463" i="1" s="1"/>
  <c r="K3463" i="1" s="1"/>
  <c r="I3462" i="1"/>
  <c r="J3462" i="1" s="1"/>
  <c r="K3462" i="1" s="1"/>
  <c r="I3461" i="1"/>
  <c r="J3461" i="1" s="1"/>
  <c r="K3461" i="1" s="1"/>
  <c r="I3460" i="1"/>
  <c r="J3460" i="1" s="1"/>
  <c r="K3460" i="1" s="1"/>
  <c r="I3459" i="1"/>
  <c r="J3459" i="1" s="1"/>
  <c r="K3459" i="1" s="1"/>
  <c r="I3458" i="1"/>
  <c r="J3458" i="1" s="1"/>
  <c r="K3458" i="1" s="1"/>
  <c r="I3457" i="1"/>
  <c r="J3457" i="1" s="1"/>
  <c r="K3457" i="1" s="1"/>
  <c r="I3456" i="1"/>
  <c r="J3456" i="1" s="1"/>
  <c r="K3456" i="1" s="1"/>
  <c r="I3455" i="1"/>
  <c r="J3455" i="1" s="1"/>
  <c r="K3455" i="1" s="1"/>
  <c r="I3454" i="1"/>
  <c r="J3454" i="1" s="1"/>
  <c r="K3454" i="1" s="1"/>
  <c r="I3453" i="1"/>
  <c r="J3453" i="1" s="1"/>
  <c r="K3453" i="1" s="1"/>
  <c r="I3452" i="1"/>
  <c r="J3452" i="1" s="1"/>
  <c r="K3452" i="1" s="1"/>
  <c r="I3451" i="1"/>
  <c r="J3451" i="1" s="1"/>
  <c r="K3451" i="1" s="1"/>
  <c r="I3450" i="1"/>
  <c r="J3450" i="1" s="1"/>
  <c r="K3450" i="1" s="1"/>
  <c r="I3449" i="1"/>
  <c r="J3449" i="1" s="1"/>
  <c r="K3449" i="1" s="1"/>
  <c r="I3448" i="1"/>
  <c r="J3448" i="1" s="1"/>
  <c r="K3448" i="1" s="1"/>
  <c r="I3447" i="1"/>
  <c r="J3447" i="1" s="1"/>
  <c r="K3447" i="1" s="1"/>
  <c r="I3446" i="1"/>
  <c r="J3446" i="1" s="1"/>
  <c r="K3446" i="1" s="1"/>
  <c r="I3445" i="1"/>
  <c r="J3445" i="1" s="1"/>
  <c r="K3445" i="1" s="1"/>
  <c r="I3444" i="1"/>
  <c r="J3444" i="1" s="1"/>
  <c r="K3444" i="1" s="1"/>
  <c r="I3443" i="1"/>
  <c r="J3443" i="1" s="1"/>
  <c r="K3443" i="1" s="1"/>
  <c r="I3442" i="1"/>
  <c r="J3442" i="1" s="1"/>
  <c r="K3442" i="1" s="1"/>
  <c r="I3441" i="1"/>
  <c r="J3441" i="1" s="1"/>
  <c r="K3441" i="1" s="1"/>
  <c r="I3440" i="1"/>
  <c r="J3440" i="1" s="1"/>
  <c r="K3440" i="1" s="1"/>
  <c r="I3439" i="1"/>
  <c r="J3439" i="1" s="1"/>
  <c r="K3439" i="1" s="1"/>
  <c r="I3438" i="1"/>
  <c r="J3438" i="1" s="1"/>
  <c r="K3438" i="1" s="1"/>
  <c r="I3437" i="1"/>
  <c r="J3437" i="1" s="1"/>
  <c r="K3437" i="1" s="1"/>
  <c r="I3436" i="1"/>
  <c r="J3436" i="1" s="1"/>
  <c r="K3436" i="1" s="1"/>
  <c r="I3435" i="1"/>
  <c r="J3435" i="1" s="1"/>
  <c r="K3435" i="1" s="1"/>
  <c r="I3434" i="1"/>
  <c r="J3434" i="1" s="1"/>
  <c r="K3434" i="1" s="1"/>
  <c r="I3433" i="1"/>
  <c r="J3433" i="1" s="1"/>
  <c r="K3433" i="1" s="1"/>
  <c r="I3432" i="1"/>
  <c r="J3432" i="1" s="1"/>
  <c r="K3432" i="1" s="1"/>
  <c r="I3431" i="1"/>
  <c r="J3431" i="1" s="1"/>
  <c r="K3431" i="1" s="1"/>
  <c r="I3430" i="1"/>
  <c r="J3430" i="1" s="1"/>
  <c r="K3430" i="1" s="1"/>
  <c r="I3429" i="1"/>
  <c r="J3429" i="1" s="1"/>
  <c r="K3429" i="1" s="1"/>
  <c r="I3428" i="1"/>
  <c r="J3428" i="1" s="1"/>
  <c r="K3428" i="1" s="1"/>
  <c r="I3427" i="1"/>
  <c r="J3427" i="1" s="1"/>
  <c r="K3427" i="1" s="1"/>
  <c r="I3426" i="1"/>
  <c r="J3426" i="1" s="1"/>
  <c r="K3426" i="1" s="1"/>
  <c r="I3425" i="1"/>
  <c r="J3425" i="1" s="1"/>
  <c r="K3425" i="1" s="1"/>
  <c r="I3424" i="1"/>
  <c r="J3424" i="1" s="1"/>
  <c r="K3424" i="1" s="1"/>
  <c r="I3423" i="1"/>
  <c r="J3423" i="1" s="1"/>
  <c r="K3423" i="1" s="1"/>
  <c r="I3422" i="1"/>
  <c r="J3422" i="1" s="1"/>
  <c r="K3422" i="1" s="1"/>
  <c r="I3421" i="1"/>
  <c r="J3421" i="1" s="1"/>
  <c r="K3421" i="1" s="1"/>
  <c r="I3420" i="1"/>
  <c r="J3420" i="1" s="1"/>
  <c r="K3420" i="1" s="1"/>
  <c r="I3419" i="1"/>
  <c r="J3419" i="1" s="1"/>
  <c r="K3419" i="1" s="1"/>
  <c r="I3418" i="1"/>
  <c r="J3418" i="1" s="1"/>
  <c r="K3418" i="1" s="1"/>
  <c r="I3417" i="1"/>
  <c r="J3417" i="1" s="1"/>
  <c r="K3417" i="1" s="1"/>
  <c r="I3416" i="1"/>
  <c r="J3416" i="1" s="1"/>
  <c r="K3416" i="1" s="1"/>
  <c r="I3415" i="1"/>
  <c r="J3415" i="1" s="1"/>
  <c r="K3415" i="1" s="1"/>
  <c r="I3414" i="1"/>
  <c r="J3414" i="1" s="1"/>
  <c r="K3414" i="1" s="1"/>
  <c r="I3413" i="1"/>
  <c r="J3413" i="1" s="1"/>
  <c r="K3413" i="1" s="1"/>
  <c r="I3412" i="1"/>
  <c r="J3412" i="1" s="1"/>
  <c r="K3412" i="1" s="1"/>
  <c r="I3411" i="1"/>
  <c r="J3411" i="1" s="1"/>
  <c r="K3411" i="1" s="1"/>
  <c r="I3410" i="1"/>
  <c r="J3410" i="1" s="1"/>
  <c r="K3410" i="1" s="1"/>
  <c r="I3409" i="1"/>
  <c r="J3409" i="1" s="1"/>
  <c r="K3409" i="1" s="1"/>
  <c r="I3408" i="1"/>
  <c r="J3408" i="1" s="1"/>
  <c r="K3408" i="1" s="1"/>
  <c r="I3407" i="1"/>
  <c r="J3407" i="1" s="1"/>
  <c r="K3407" i="1" s="1"/>
  <c r="I3406" i="1"/>
  <c r="J3406" i="1" s="1"/>
  <c r="K3406" i="1" s="1"/>
  <c r="I3405" i="1"/>
  <c r="J3405" i="1" s="1"/>
  <c r="K3405" i="1" s="1"/>
  <c r="I3404" i="1"/>
  <c r="J3404" i="1" s="1"/>
  <c r="K3404" i="1" s="1"/>
  <c r="I3403" i="1"/>
  <c r="J3403" i="1" s="1"/>
  <c r="K3403" i="1" s="1"/>
  <c r="I3402" i="1"/>
  <c r="J3402" i="1" s="1"/>
  <c r="K3402" i="1" s="1"/>
  <c r="I3401" i="1"/>
  <c r="J3401" i="1" s="1"/>
  <c r="K3401" i="1" s="1"/>
  <c r="I3400" i="1"/>
  <c r="J3400" i="1" s="1"/>
  <c r="K3400" i="1" s="1"/>
  <c r="I3399" i="1"/>
  <c r="J3399" i="1" s="1"/>
  <c r="K3399" i="1" s="1"/>
  <c r="I3398" i="1"/>
  <c r="J3398" i="1" s="1"/>
  <c r="K3398" i="1" s="1"/>
  <c r="I3397" i="1"/>
  <c r="J3397" i="1" s="1"/>
  <c r="K3397" i="1" s="1"/>
  <c r="I3396" i="1"/>
  <c r="J3396" i="1" s="1"/>
  <c r="K3396" i="1" s="1"/>
  <c r="I3395" i="1"/>
  <c r="J3395" i="1" s="1"/>
  <c r="K3395" i="1" s="1"/>
  <c r="I3394" i="1"/>
  <c r="J3394" i="1" s="1"/>
  <c r="K3394" i="1" s="1"/>
  <c r="I3393" i="1"/>
  <c r="J3393" i="1" s="1"/>
  <c r="K3393" i="1" s="1"/>
  <c r="I3392" i="1"/>
  <c r="J3392" i="1" s="1"/>
  <c r="K3392" i="1" s="1"/>
  <c r="I3391" i="1"/>
  <c r="J3391" i="1" s="1"/>
  <c r="K3391" i="1" s="1"/>
  <c r="I3390" i="1"/>
  <c r="J3390" i="1" s="1"/>
  <c r="K3390" i="1" s="1"/>
  <c r="I3389" i="1"/>
  <c r="J3389" i="1" s="1"/>
  <c r="K3389" i="1" s="1"/>
  <c r="I3388" i="1"/>
  <c r="J3388" i="1" s="1"/>
  <c r="K3388" i="1" s="1"/>
  <c r="I3387" i="1"/>
  <c r="J3387" i="1" s="1"/>
  <c r="K3387" i="1" s="1"/>
  <c r="I3386" i="1"/>
  <c r="J3386" i="1" s="1"/>
  <c r="K3386" i="1" s="1"/>
  <c r="I3385" i="1"/>
  <c r="J3385" i="1" s="1"/>
  <c r="K3385" i="1" s="1"/>
  <c r="I3384" i="1"/>
  <c r="J3384" i="1" s="1"/>
  <c r="K3384" i="1" s="1"/>
  <c r="I3383" i="1"/>
  <c r="J3383" i="1" s="1"/>
  <c r="K3383" i="1" s="1"/>
  <c r="I3382" i="1"/>
  <c r="J3382" i="1" s="1"/>
  <c r="K3382" i="1" s="1"/>
  <c r="I3381" i="1"/>
  <c r="J3381" i="1" s="1"/>
  <c r="K3381" i="1" s="1"/>
  <c r="I3380" i="1"/>
  <c r="J3380" i="1" s="1"/>
  <c r="K3380" i="1" s="1"/>
  <c r="I3379" i="1"/>
  <c r="J3379" i="1" s="1"/>
  <c r="K3379" i="1" s="1"/>
  <c r="I3378" i="1"/>
  <c r="J3378" i="1" s="1"/>
  <c r="K3378" i="1" s="1"/>
  <c r="I3377" i="1"/>
  <c r="J3377" i="1" s="1"/>
  <c r="K3377" i="1" s="1"/>
  <c r="I3376" i="1"/>
  <c r="J3376" i="1" s="1"/>
  <c r="K3376" i="1" s="1"/>
  <c r="I3375" i="1"/>
  <c r="J3375" i="1" s="1"/>
  <c r="K3375" i="1" s="1"/>
  <c r="I3374" i="1"/>
  <c r="J3374" i="1" s="1"/>
  <c r="K3374" i="1" s="1"/>
  <c r="I3373" i="1"/>
  <c r="J3373" i="1" s="1"/>
  <c r="K3373" i="1" s="1"/>
  <c r="I3372" i="1"/>
  <c r="J3372" i="1" s="1"/>
  <c r="K3372" i="1" s="1"/>
  <c r="I3371" i="1"/>
  <c r="J3371" i="1" s="1"/>
  <c r="K3371" i="1" s="1"/>
  <c r="I3370" i="1"/>
  <c r="J3370" i="1" s="1"/>
  <c r="K3370" i="1" s="1"/>
  <c r="I3369" i="1"/>
  <c r="J3369" i="1" s="1"/>
  <c r="K3369" i="1" s="1"/>
  <c r="I3368" i="1"/>
  <c r="J3368" i="1" s="1"/>
  <c r="K3368" i="1" s="1"/>
  <c r="I3367" i="1"/>
  <c r="J3367" i="1" s="1"/>
  <c r="K3367" i="1" s="1"/>
  <c r="I3366" i="1"/>
  <c r="J3366" i="1" s="1"/>
  <c r="K3366" i="1" s="1"/>
  <c r="I3365" i="1"/>
  <c r="J3365" i="1" s="1"/>
  <c r="K3365" i="1" s="1"/>
  <c r="I3364" i="1"/>
  <c r="J3364" i="1" s="1"/>
  <c r="K3364" i="1" s="1"/>
  <c r="I3363" i="1"/>
  <c r="J3363" i="1" s="1"/>
  <c r="K3363" i="1" s="1"/>
  <c r="I3362" i="1"/>
  <c r="J3362" i="1" s="1"/>
  <c r="K3362" i="1" s="1"/>
  <c r="I3361" i="1"/>
  <c r="J3361" i="1" s="1"/>
  <c r="K3361" i="1" s="1"/>
  <c r="I3360" i="1"/>
  <c r="J3360" i="1" s="1"/>
  <c r="K3360" i="1" s="1"/>
  <c r="I3359" i="1"/>
  <c r="J3359" i="1" s="1"/>
  <c r="K3359" i="1" s="1"/>
  <c r="I3358" i="1"/>
  <c r="J3358" i="1" s="1"/>
  <c r="K3358" i="1" s="1"/>
  <c r="I3357" i="1"/>
  <c r="J3357" i="1" s="1"/>
  <c r="K3357" i="1" s="1"/>
  <c r="I3356" i="1"/>
  <c r="J3356" i="1" s="1"/>
  <c r="K3356" i="1" s="1"/>
  <c r="I3355" i="1"/>
  <c r="J3355" i="1" s="1"/>
  <c r="K3355" i="1" s="1"/>
  <c r="I3354" i="1"/>
  <c r="J3354" i="1" s="1"/>
  <c r="K3354" i="1" s="1"/>
  <c r="I3353" i="1"/>
  <c r="J3353" i="1" s="1"/>
  <c r="K3353" i="1" s="1"/>
  <c r="I3352" i="1"/>
  <c r="J3352" i="1" s="1"/>
  <c r="K3352" i="1" s="1"/>
  <c r="I3351" i="1"/>
  <c r="J3351" i="1" s="1"/>
  <c r="K3351" i="1" s="1"/>
  <c r="I3350" i="1"/>
  <c r="J3350" i="1" s="1"/>
  <c r="K3350" i="1" s="1"/>
  <c r="I3349" i="1"/>
  <c r="J3349" i="1" s="1"/>
  <c r="K3349" i="1" s="1"/>
  <c r="I3348" i="1"/>
  <c r="J3348" i="1" s="1"/>
  <c r="K3348" i="1" s="1"/>
  <c r="I3347" i="1"/>
  <c r="J3347" i="1" s="1"/>
  <c r="K3347" i="1" s="1"/>
  <c r="I3346" i="1"/>
  <c r="J3346" i="1" s="1"/>
  <c r="K3346" i="1" s="1"/>
  <c r="I3345" i="1"/>
  <c r="J3345" i="1" s="1"/>
  <c r="K3345" i="1" s="1"/>
  <c r="I3344" i="1"/>
  <c r="J3344" i="1" s="1"/>
  <c r="K3344" i="1" s="1"/>
  <c r="I3343" i="1"/>
  <c r="J3343" i="1" s="1"/>
  <c r="K3343" i="1" s="1"/>
  <c r="I3342" i="1"/>
  <c r="J3342" i="1" s="1"/>
  <c r="K3342" i="1" s="1"/>
  <c r="I3341" i="1"/>
  <c r="J3341" i="1" s="1"/>
  <c r="K3341" i="1" s="1"/>
  <c r="I3340" i="1"/>
  <c r="J3340" i="1" s="1"/>
  <c r="K3340" i="1" s="1"/>
  <c r="I3339" i="1"/>
  <c r="J3339" i="1" s="1"/>
  <c r="K3339" i="1" s="1"/>
  <c r="I3338" i="1"/>
  <c r="J3338" i="1" s="1"/>
  <c r="K3338" i="1" s="1"/>
  <c r="I3337" i="1"/>
  <c r="J3337" i="1" s="1"/>
  <c r="K3337" i="1" s="1"/>
  <c r="I3336" i="1"/>
  <c r="J3336" i="1" s="1"/>
  <c r="K3336" i="1" s="1"/>
  <c r="I3335" i="1"/>
  <c r="J3335" i="1" s="1"/>
  <c r="K3335" i="1" s="1"/>
  <c r="I3334" i="1"/>
  <c r="J3334" i="1" s="1"/>
  <c r="K3334" i="1" s="1"/>
  <c r="I3333" i="1"/>
  <c r="J3333" i="1" s="1"/>
  <c r="K3333" i="1" s="1"/>
  <c r="I3332" i="1"/>
  <c r="J3332" i="1" s="1"/>
  <c r="K3332" i="1" s="1"/>
  <c r="I3331" i="1"/>
  <c r="J3331" i="1" s="1"/>
  <c r="K3331" i="1" s="1"/>
  <c r="I3330" i="1"/>
  <c r="J3330" i="1" s="1"/>
  <c r="K3330" i="1" s="1"/>
  <c r="I3329" i="1"/>
  <c r="J3329" i="1" s="1"/>
  <c r="K3329" i="1" s="1"/>
  <c r="I3328" i="1"/>
  <c r="J3328" i="1" s="1"/>
  <c r="K3328" i="1" s="1"/>
  <c r="I3327" i="1"/>
  <c r="J3327" i="1" s="1"/>
  <c r="K3327" i="1" s="1"/>
  <c r="I3326" i="1"/>
  <c r="J3326" i="1" s="1"/>
  <c r="K3326" i="1" s="1"/>
  <c r="I3325" i="1"/>
  <c r="J3325" i="1" s="1"/>
  <c r="K3325" i="1" s="1"/>
  <c r="I3324" i="1"/>
  <c r="J3324" i="1" s="1"/>
  <c r="K3324" i="1" s="1"/>
  <c r="I3323" i="1"/>
  <c r="J3323" i="1" s="1"/>
  <c r="K3323" i="1" s="1"/>
  <c r="I3322" i="1"/>
  <c r="J3322" i="1" s="1"/>
  <c r="K3322" i="1" s="1"/>
  <c r="I3321" i="1"/>
  <c r="J3321" i="1" s="1"/>
  <c r="K3321" i="1" s="1"/>
  <c r="I3320" i="1"/>
  <c r="J3320" i="1" s="1"/>
  <c r="K3320" i="1" s="1"/>
  <c r="I3319" i="1"/>
  <c r="J3319" i="1" s="1"/>
  <c r="K3319" i="1" s="1"/>
  <c r="I3318" i="1"/>
  <c r="J3318" i="1" s="1"/>
  <c r="K3318" i="1" s="1"/>
  <c r="I3317" i="1"/>
  <c r="J3317" i="1" s="1"/>
  <c r="K3317" i="1" s="1"/>
  <c r="I3316" i="1"/>
  <c r="J3316" i="1" s="1"/>
  <c r="K3316" i="1" s="1"/>
  <c r="I3315" i="1"/>
  <c r="J3315" i="1" s="1"/>
  <c r="K3315" i="1" s="1"/>
  <c r="I3314" i="1"/>
  <c r="J3314" i="1" s="1"/>
  <c r="K3314" i="1" s="1"/>
  <c r="I3313" i="1"/>
  <c r="J3313" i="1" s="1"/>
  <c r="K3313" i="1" s="1"/>
  <c r="I3312" i="1"/>
  <c r="J3312" i="1" s="1"/>
  <c r="K3312" i="1" s="1"/>
  <c r="I3311" i="1"/>
  <c r="J3311" i="1" s="1"/>
  <c r="K3311" i="1" s="1"/>
  <c r="I3310" i="1"/>
  <c r="J3310" i="1" s="1"/>
  <c r="K3310" i="1" s="1"/>
  <c r="I3309" i="1"/>
  <c r="J3309" i="1" s="1"/>
  <c r="K3309" i="1" s="1"/>
  <c r="I3308" i="1"/>
  <c r="J3308" i="1" s="1"/>
  <c r="K3308" i="1" s="1"/>
  <c r="I3307" i="1"/>
  <c r="J3307" i="1" s="1"/>
  <c r="K3307" i="1" s="1"/>
  <c r="I3306" i="1"/>
  <c r="J3306" i="1" s="1"/>
  <c r="K3306" i="1" s="1"/>
  <c r="I3305" i="1"/>
  <c r="J3305" i="1" s="1"/>
  <c r="K3305" i="1" s="1"/>
  <c r="I3304" i="1"/>
  <c r="J3304" i="1" s="1"/>
  <c r="K3304" i="1" s="1"/>
  <c r="I3303" i="1"/>
  <c r="J3303" i="1" s="1"/>
  <c r="K3303" i="1" s="1"/>
  <c r="I3302" i="1"/>
  <c r="J3302" i="1" s="1"/>
  <c r="K3302" i="1" s="1"/>
  <c r="I3301" i="1"/>
  <c r="J3301" i="1" s="1"/>
  <c r="K3301" i="1" s="1"/>
  <c r="I3300" i="1"/>
  <c r="J3300" i="1" s="1"/>
  <c r="K3300" i="1" s="1"/>
  <c r="I3299" i="1"/>
  <c r="J3299" i="1" s="1"/>
  <c r="K3299" i="1" s="1"/>
  <c r="I3298" i="1"/>
  <c r="J3298" i="1" s="1"/>
  <c r="K3298" i="1" s="1"/>
  <c r="I3297" i="1"/>
  <c r="J3297" i="1" s="1"/>
  <c r="K3297" i="1" s="1"/>
  <c r="I3296" i="1"/>
  <c r="J3296" i="1" s="1"/>
  <c r="K3296" i="1" s="1"/>
  <c r="I3295" i="1"/>
  <c r="J3295" i="1" s="1"/>
  <c r="K3295" i="1" s="1"/>
  <c r="I3294" i="1"/>
  <c r="J3294" i="1" s="1"/>
  <c r="K3294" i="1" s="1"/>
  <c r="I3293" i="1"/>
  <c r="J3293" i="1" s="1"/>
  <c r="K3293" i="1" s="1"/>
  <c r="I3292" i="1"/>
  <c r="J3292" i="1" s="1"/>
  <c r="K3292" i="1" s="1"/>
  <c r="I3291" i="1"/>
  <c r="J3291" i="1" s="1"/>
  <c r="K3291" i="1" s="1"/>
  <c r="I3290" i="1"/>
  <c r="J3290" i="1" s="1"/>
  <c r="K3290" i="1" s="1"/>
  <c r="I3289" i="1"/>
  <c r="J3289" i="1" s="1"/>
  <c r="K3289" i="1" s="1"/>
  <c r="I3288" i="1"/>
  <c r="J3288" i="1" s="1"/>
  <c r="K3288" i="1" s="1"/>
  <c r="I3287" i="1"/>
  <c r="J3287" i="1" s="1"/>
  <c r="K3287" i="1" s="1"/>
  <c r="I3286" i="1"/>
  <c r="J3286" i="1" s="1"/>
  <c r="K3286" i="1" s="1"/>
  <c r="I3285" i="1"/>
  <c r="J3285" i="1" s="1"/>
  <c r="K3285" i="1" s="1"/>
  <c r="I3284" i="1"/>
  <c r="J3284" i="1" s="1"/>
  <c r="K3284" i="1" s="1"/>
  <c r="I3283" i="1"/>
  <c r="J3283" i="1" s="1"/>
  <c r="K3283" i="1" s="1"/>
  <c r="I3282" i="1"/>
  <c r="J3282" i="1" s="1"/>
  <c r="K3282" i="1" s="1"/>
  <c r="I3281" i="1"/>
  <c r="J3281" i="1" s="1"/>
  <c r="K3281" i="1" s="1"/>
  <c r="I3280" i="1"/>
  <c r="J3280" i="1" s="1"/>
  <c r="K3280" i="1" s="1"/>
  <c r="I3279" i="1"/>
  <c r="J3279" i="1" s="1"/>
  <c r="K3279" i="1" s="1"/>
  <c r="I3278" i="1"/>
  <c r="J3278" i="1" s="1"/>
  <c r="K3278" i="1" s="1"/>
  <c r="I3277" i="1"/>
  <c r="J3277" i="1" s="1"/>
  <c r="K3277" i="1" s="1"/>
  <c r="I3276" i="1"/>
  <c r="J3276" i="1" s="1"/>
  <c r="K3276" i="1" s="1"/>
  <c r="I3275" i="1"/>
  <c r="J3275" i="1" s="1"/>
  <c r="K3275" i="1" s="1"/>
  <c r="I3274" i="1"/>
  <c r="J3274" i="1" s="1"/>
  <c r="K3274" i="1" s="1"/>
  <c r="I3273" i="1"/>
  <c r="J3273" i="1" s="1"/>
  <c r="K3273" i="1" s="1"/>
  <c r="I3272" i="1"/>
  <c r="J3272" i="1" s="1"/>
  <c r="K3272" i="1" s="1"/>
  <c r="I3271" i="1"/>
  <c r="J3271" i="1" s="1"/>
  <c r="K3271" i="1" s="1"/>
  <c r="I3270" i="1"/>
  <c r="J3270" i="1" s="1"/>
  <c r="K3270" i="1" s="1"/>
  <c r="I3269" i="1"/>
  <c r="J3269" i="1" s="1"/>
  <c r="K3269" i="1" s="1"/>
  <c r="I3268" i="1"/>
  <c r="J3268" i="1" s="1"/>
  <c r="K3268" i="1" s="1"/>
  <c r="I3267" i="1"/>
  <c r="J3267" i="1" s="1"/>
  <c r="K3267" i="1" s="1"/>
  <c r="I3266" i="1"/>
  <c r="J3266" i="1" s="1"/>
  <c r="K3266" i="1" s="1"/>
  <c r="I3265" i="1"/>
  <c r="J3265" i="1" s="1"/>
  <c r="K3265" i="1" s="1"/>
  <c r="I3264" i="1"/>
  <c r="J3264" i="1" s="1"/>
  <c r="K3264" i="1" s="1"/>
  <c r="I3263" i="1"/>
  <c r="J3263" i="1" s="1"/>
  <c r="K3263" i="1" s="1"/>
  <c r="I3262" i="1"/>
  <c r="J3262" i="1" s="1"/>
  <c r="K3262" i="1" s="1"/>
  <c r="I3261" i="1"/>
  <c r="J3261" i="1" s="1"/>
  <c r="K3261" i="1" s="1"/>
  <c r="I3260" i="1"/>
  <c r="J3260" i="1" s="1"/>
  <c r="K3260" i="1" s="1"/>
  <c r="I3259" i="1"/>
  <c r="J3259" i="1" s="1"/>
  <c r="K3259" i="1" s="1"/>
  <c r="I3258" i="1"/>
  <c r="J3258" i="1" s="1"/>
  <c r="K3258" i="1" s="1"/>
  <c r="I3257" i="1"/>
  <c r="J3257" i="1" s="1"/>
  <c r="K3257" i="1" s="1"/>
  <c r="I3256" i="1"/>
  <c r="J3256" i="1" s="1"/>
  <c r="K3256" i="1" s="1"/>
  <c r="I3255" i="1"/>
  <c r="J3255" i="1" s="1"/>
  <c r="K3255" i="1" s="1"/>
  <c r="I3254" i="1"/>
  <c r="J3254" i="1" s="1"/>
  <c r="K3254" i="1" s="1"/>
  <c r="I3253" i="1"/>
  <c r="J3253" i="1" s="1"/>
  <c r="K3253" i="1" s="1"/>
  <c r="I3252" i="1"/>
  <c r="J3252" i="1" s="1"/>
  <c r="K3252" i="1" s="1"/>
  <c r="I3251" i="1"/>
  <c r="J3251" i="1" s="1"/>
  <c r="K3251" i="1" s="1"/>
  <c r="I3250" i="1"/>
  <c r="J3250" i="1" s="1"/>
  <c r="K3250" i="1" s="1"/>
  <c r="I3249" i="1"/>
  <c r="J3249" i="1" s="1"/>
  <c r="K3249" i="1" s="1"/>
  <c r="I3248" i="1"/>
  <c r="J3248" i="1" s="1"/>
  <c r="K3248" i="1" s="1"/>
  <c r="I3247" i="1"/>
  <c r="J3247" i="1" s="1"/>
  <c r="K3247" i="1" s="1"/>
  <c r="I3246" i="1"/>
  <c r="J3246" i="1" s="1"/>
  <c r="K3246" i="1" s="1"/>
  <c r="I3245" i="1"/>
  <c r="J3245" i="1" s="1"/>
  <c r="K3245" i="1" s="1"/>
  <c r="I3244" i="1"/>
  <c r="J3244" i="1" s="1"/>
  <c r="K3244" i="1" s="1"/>
  <c r="I3243" i="1"/>
  <c r="J3243" i="1" s="1"/>
  <c r="K3243" i="1" s="1"/>
  <c r="I3242" i="1"/>
  <c r="J3242" i="1" s="1"/>
  <c r="K3242" i="1" s="1"/>
  <c r="I3241" i="1"/>
  <c r="J3241" i="1" s="1"/>
  <c r="K3241" i="1" s="1"/>
  <c r="I3240" i="1"/>
  <c r="J3240" i="1" s="1"/>
  <c r="K3240" i="1" s="1"/>
  <c r="I3239" i="1"/>
  <c r="J3239" i="1" s="1"/>
  <c r="K3239" i="1" s="1"/>
  <c r="I3238" i="1"/>
  <c r="J3238" i="1" s="1"/>
  <c r="K3238" i="1" s="1"/>
  <c r="I3237" i="1"/>
  <c r="J3237" i="1" s="1"/>
  <c r="K3237" i="1" s="1"/>
  <c r="I3236" i="1"/>
  <c r="J3236" i="1" s="1"/>
  <c r="K3236" i="1" s="1"/>
  <c r="I3235" i="1"/>
  <c r="J3235" i="1" s="1"/>
  <c r="K3235" i="1" s="1"/>
  <c r="I3234" i="1"/>
  <c r="J3234" i="1" s="1"/>
  <c r="K3234" i="1" s="1"/>
  <c r="I3233" i="1"/>
  <c r="J3233" i="1" s="1"/>
  <c r="K3233" i="1" s="1"/>
  <c r="I3232" i="1"/>
  <c r="J3232" i="1" s="1"/>
  <c r="K3232" i="1" s="1"/>
  <c r="I3231" i="1"/>
  <c r="J3231" i="1" s="1"/>
  <c r="K3231" i="1" s="1"/>
  <c r="I3230" i="1"/>
  <c r="J3230" i="1" s="1"/>
  <c r="K3230" i="1" s="1"/>
  <c r="I3229" i="1"/>
  <c r="J3229" i="1" s="1"/>
  <c r="K3229" i="1" s="1"/>
  <c r="I3228" i="1"/>
  <c r="J3228" i="1" s="1"/>
  <c r="K3228" i="1" s="1"/>
  <c r="I3227" i="1"/>
  <c r="J3227" i="1" s="1"/>
  <c r="K3227" i="1" s="1"/>
  <c r="I3226" i="1"/>
  <c r="J3226" i="1" s="1"/>
  <c r="K3226" i="1" s="1"/>
  <c r="I3225" i="1"/>
  <c r="J3225" i="1" s="1"/>
  <c r="K3225" i="1" s="1"/>
  <c r="I3224" i="1"/>
  <c r="J3224" i="1" s="1"/>
  <c r="K3224" i="1" s="1"/>
  <c r="I3223" i="1"/>
  <c r="J3223" i="1" s="1"/>
  <c r="K3223" i="1" s="1"/>
  <c r="I3222" i="1"/>
  <c r="J3222" i="1" s="1"/>
  <c r="K3222" i="1" s="1"/>
  <c r="I3221" i="1"/>
  <c r="J3221" i="1" s="1"/>
  <c r="K3221" i="1" s="1"/>
  <c r="I3220" i="1"/>
  <c r="J3220" i="1" s="1"/>
  <c r="K3220" i="1" s="1"/>
  <c r="I3219" i="1"/>
  <c r="J3219" i="1" s="1"/>
  <c r="K3219" i="1" s="1"/>
  <c r="I3218" i="1"/>
  <c r="J3218" i="1" s="1"/>
  <c r="K3218" i="1" s="1"/>
  <c r="I3217" i="1"/>
  <c r="J3217" i="1" s="1"/>
  <c r="K3217" i="1" s="1"/>
  <c r="I3216" i="1"/>
  <c r="J3216" i="1" s="1"/>
  <c r="K3216" i="1" s="1"/>
  <c r="I3215" i="1"/>
  <c r="J3215" i="1" s="1"/>
  <c r="K3215" i="1" s="1"/>
  <c r="I3214" i="1"/>
  <c r="J3214" i="1" s="1"/>
  <c r="K3214" i="1" s="1"/>
  <c r="I3213" i="1"/>
  <c r="J3213" i="1" s="1"/>
  <c r="K3213" i="1" s="1"/>
  <c r="I3212" i="1"/>
  <c r="J3212" i="1" s="1"/>
  <c r="K3212" i="1" s="1"/>
  <c r="I3211" i="1"/>
  <c r="J3211" i="1" s="1"/>
  <c r="K3211" i="1" s="1"/>
  <c r="I3210" i="1"/>
  <c r="J3210" i="1" s="1"/>
  <c r="K3210" i="1" s="1"/>
  <c r="I3209" i="1"/>
  <c r="J3209" i="1" s="1"/>
  <c r="K3209" i="1" s="1"/>
  <c r="I3208" i="1"/>
  <c r="J3208" i="1" s="1"/>
  <c r="K3208" i="1" s="1"/>
  <c r="I3207" i="1"/>
  <c r="J3207" i="1" s="1"/>
  <c r="K3207" i="1" s="1"/>
  <c r="I3206" i="1"/>
  <c r="J3206" i="1" s="1"/>
  <c r="K3206" i="1" s="1"/>
  <c r="I3205" i="1"/>
  <c r="J3205" i="1" s="1"/>
  <c r="K3205" i="1" s="1"/>
  <c r="I3204" i="1"/>
  <c r="J3204" i="1" s="1"/>
  <c r="K3204" i="1" s="1"/>
  <c r="I3203" i="1"/>
  <c r="J3203" i="1" s="1"/>
  <c r="K3203" i="1" s="1"/>
  <c r="I3202" i="1"/>
  <c r="J3202" i="1" s="1"/>
  <c r="K3202" i="1" s="1"/>
  <c r="I3201" i="1"/>
  <c r="J3201" i="1" s="1"/>
  <c r="K3201" i="1" s="1"/>
  <c r="I3200" i="1"/>
  <c r="J3200" i="1" s="1"/>
  <c r="K3200" i="1" s="1"/>
  <c r="I3199" i="1"/>
  <c r="J3199" i="1" s="1"/>
  <c r="K3199" i="1" s="1"/>
  <c r="I3198" i="1"/>
  <c r="J3198" i="1" s="1"/>
  <c r="K3198" i="1" s="1"/>
  <c r="I3197" i="1"/>
  <c r="J3197" i="1" s="1"/>
  <c r="K3197" i="1" s="1"/>
  <c r="I3196" i="1"/>
  <c r="J3196" i="1" s="1"/>
  <c r="K3196" i="1" s="1"/>
  <c r="I3195" i="1"/>
  <c r="J3195" i="1" s="1"/>
  <c r="K3195" i="1" s="1"/>
  <c r="I3194" i="1"/>
  <c r="J3194" i="1" s="1"/>
  <c r="K3194" i="1" s="1"/>
  <c r="I3193" i="1"/>
  <c r="J3193" i="1" s="1"/>
  <c r="K3193" i="1" s="1"/>
  <c r="I3192" i="1"/>
  <c r="J3192" i="1" s="1"/>
  <c r="K3192" i="1" s="1"/>
  <c r="I3191" i="1"/>
  <c r="J3191" i="1" s="1"/>
  <c r="K3191" i="1" s="1"/>
  <c r="I3190" i="1"/>
  <c r="J3190" i="1" s="1"/>
  <c r="K3190" i="1" s="1"/>
  <c r="I3189" i="1"/>
  <c r="J3189" i="1" s="1"/>
  <c r="K3189" i="1" s="1"/>
  <c r="I3188" i="1"/>
  <c r="J3188" i="1" s="1"/>
  <c r="K3188" i="1" s="1"/>
  <c r="I3187" i="1"/>
  <c r="J3187" i="1" s="1"/>
  <c r="K3187" i="1" s="1"/>
  <c r="I3186" i="1"/>
  <c r="J3186" i="1" s="1"/>
  <c r="K3186" i="1" s="1"/>
  <c r="I3185" i="1"/>
  <c r="J3185" i="1" s="1"/>
  <c r="K3185" i="1" s="1"/>
  <c r="I3184" i="1"/>
  <c r="J3184" i="1" s="1"/>
  <c r="K3184" i="1" s="1"/>
  <c r="I3183" i="1"/>
  <c r="J3183" i="1" s="1"/>
  <c r="K3183" i="1" s="1"/>
  <c r="I3182" i="1"/>
  <c r="J3182" i="1" s="1"/>
  <c r="K3182" i="1" s="1"/>
  <c r="I3181" i="1"/>
  <c r="J3181" i="1" s="1"/>
  <c r="K3181" i="1" s="1"/>
  <c r="I3180" i="1"/>
  <c r="J3180" i="1" s="1"/>
  <c r="K3180" i="1" s="1"/>
  <c r="I3179" i="1"/>
  <c r="J3179" i="1" s="1"/>
  <c r="K3179" i="1" s="1"/>
  <c r="I3178" i="1"/>
  <c r="J3178" i="1" s="1"/>
  <c r="K3178" i="1" s="1"/>
  <c r="I3177" i="1"/>
  <c r="J3177" i="1" s="1"/>
  <c r="K3177" i="1" s="1"/>
  <c r="I3176" i="1"/>
  <c r="J3176" i="1" s="1"/>
  <c r="K3176" i="1" s="1"/>
  <c r="I3175" i="1"/>
  <c r="J3175" i="1" s="1"/>
  <c r="K3175" i="1" s="1"/>
  <c r="I3174" i="1"/>
  <c r="J3174" i="1" s="1"/>
  <c r="K3174" i="1" s="1"/>
  <c r="I3173" i="1"/>
  <c r="J3173" i="1" s="1"/>
  <c r="K3173" i="1" s="1"/>
  <c r="I3172" i="1"/>
  <c r="J3172" i="1" s="1"/>
  <c r="K3172" i="1" s="1"/>
  <c r="I3171" i="1"/>
  <c r="J3171" i="1" s="1"/>
  <c r="K3171" i="1" s="1"/>
  <c r="I3170" i="1"/>
  <c r="J3170" i="1" s="1"/>
  <c r="K3170" i="1" s="1"/>
  <c r="I3169" i="1"/>
  <c r="J3169" i="1" s="1"/>
  <c r="K3169" i="1" s="1"/>
  <c r="I3168" i="1"/>
  <c r="J3168" i="1" s="1"/>
  <c r="K3168" i="1" s="1"/>
  <c r="I3167" i="1"/>
  <c r="J3167" i="1" s="1"/>
  <c r="K3167" i="1" s="1"/>
  <c r="I3166" i="1"/>
  <c r="J3166" i="1" s="1"/>
  <c r="K3166" i="1" s="1"/>
  <c r="I3165" i="1"/>
  <c r="J3165" i="1" s="1"/>
  <c r="K3165" i="1" s="1"/>
  <c r="I3164" i="1"/>
  <c r="J3164" i="1" s="1"/>
  <c r="K3164" i="1" s="1"/>
  <c r="I3163" i="1"/>
  <c r="J3163" i="1" s="1"/>
  <c r="K3163" i="1" s="1"/>
  <c r="I3162" i="1"/>
  <c r="J3162" i="1" s="1"/>
  <c r="K3162" i="1" s="1"/>
  <c r="I3161" i="1"/>
  <c r="J3161" i="1" s="1"/>
  <c r="K3161" i="1" s="1"/>
  <c r="I3160" i="1"/>
  <c r="J3160" i="1" s="1"/>
  <c r="K3160" i="1" s="1"/>
  <c r="I3159" i="1"/>
  <c r="J3159" i="1" s="1"/>
  <c r="K3159" i="1" s="1"/>
  <c r="I3158" i="1"/>
  <c r="J3158" i="1" s="1"/>
  <c r="K3158" i="1" s="1"/>
  <c r="I3157" i="1"/>
  <c r="J3157" i="1" s="1"/>
  <c r="K3157" i="1" s="1"/>
  <c r="I3156" i="1"/>
  <c r="J3156" i="1" s="1"/>
  <c r="K3156" i="1" s="1"/>
  <c r="I3155" i="1"/>
  <c r="J3155" i="1" s="1"/>
  <c r="K3155" i="1" s="1"/>
  <c r="I3154" i="1"/>
  <c r="J3154" i="1" s="1"/>
  <c r="K3154" i="1" s="1"/>
  <c r="I3153" i="1"/>
  <c r="J3153" i="1" s="1"/>
  <c r="K3153" i="1" s="1"/>
  <c r="I3152" i="1"/>
  <c r="J3152" i="1" s="1"/>
  <c r="K3152" i="1" s="1"/>
  <c r="I3151" i="1"/>
  <c r="J3151" i="1" s="1"/>
  <c r="K3151" i="1" s="1"/>
  <c r="I3150" i="1"/>
  <c r="J3150" i="1" s="1"/>
  <c r="K3150" i="1" s="1"/>
  <c r="I3149" i="1"/>
  <c r="J3149" i="1" s="1"/>
  <c r="K3149" i="1" s="1"/>
  <c r="I3148" i="1"/>
  <c r="J3148" i="1" s="1"/>
  <c r="K3148" i="1" s="1"/>
  <c r="I3147" i="1"/>
  <c r="J3147" i="1" s="1"/>
  <c r="K3147" i="1" s="1"/>
  <c r="I3146" i="1"/>
  <c r="J3146" i="1" s="1"/>
  <c r="K3146" i="1" s="1"/>
  <c r="I3145" i="1"/>
  <c r="J3145" i="1" s="1"/>
  <c r="K3145" i="1" s="1"/>
  <c r="I3144" i="1"/>
  <c r="J3144" i="1" s="1"/>
  <c r="K3144" i="1" s="1"/>
  <c r="I3143" i="1"/>
  <c r="J3143" i="1" s="1"/>
  <c r="K3143" i="1" s="1"/>
  <c r="I3142" i="1"/>
  <c r="J3142" i="1" s="1"/>
  <c r="K3142" i="1" s="1"/>
  <c r="I3141" i="1"/>
  <c r="J3141" i="1" s="1"/>
  <c r="K3141" i="1" s="1"/>
  <c r="I3140" i="1"/>
  <c r="J3140" i="1" s="1"/>
  <c r="K3140" i="1" s="1"/>
  <c r="I3139" i="1"/>
  <c r="J3139" i="1" s="1"/>
  <c r="K3139" i="1" s="1"/>
  <c r="I3138" i="1"/>
  <c r="J3138" i="1" s="1"/>
  <c r="K3138" i="1" s="1"/>
  <c r="I3137" i="1"/>
  <c r="J3137" i="1" s="1"/>
  <c r="K3137" i="1" s="1"/>
  <c r="I3136" i="1"/>
  <c r="J3136" i="1" s="1"/>
  <c r="K3136" i="1" s="1"/>
  <c r="I3135" i="1"/>
  <c r="J3135" i="1" s="1"/>
  <c r="K3135" i="1" s="1"/>
  <c r="I3134" i="1"/>
  <c r="J3134" i="1" s="1"/>
  <c r="K3134" i="1" s="1"/>
  <c r="I3133" i="1"/>
  <c r="J3133" i="1" s="1"/>
  <c r="K3133" i="1" s="1"/>
  <c r="I3132" i="1"/>
  <c r="J3132" i="1" s="1"/>
  <c r="K3132" i="1" s="1"/>
  <c r="I3131" i="1"/>
  <c r="J3131" i="1" s="1"/>
  <c r="K3131" i="1" s="1"/>
  <c r="I3130" i="1"/>
  <c r="J3130" i="1" s="1"/>
  <c r="K3130" i="1" s="1"/>
  <c r="I3129" i="1"/>
  <c r="J3129" i="1" s="1"/>
  <c r="K3129" i="1" s="1"/>
  <c r="I3128" i="1"/>
  <c r="J3128" i="1" s="1"/>
  <c r="K3128" i="1" s="1"/>
  <c r="I3127" i="1"/>
  <c r="J3127" i="1" s="1"/>
  <c r="K3127" i="1" s="1"/>
  <c r="I3126" i="1"/>
  <c r="J3126" i="1" s="1"/>
  <c r="K3126" i="1" s="1"/>
  <c r="I3125" i="1"/>
  <c r="J3125" i="1" s="1"/>
  <c r="K3125" i="1" s="1"/>
  <c r="I3124" i="1"/>
  <c r="J3124" i="1" s="1"/>
  <c r="K3124" i="1" s="1"/>
  <c r="I3123" i="1"/>
  <c r="J3123" i="1" s="1"/>
  <c r="K3123" i="1" s="1"/>
  <c r="I3122" i="1"/>
  <c r="J3122" i="1" s="1"/>
  <c r="K3122" i="1" s="1"/>
  <c r="I3121" i="1"/>
  <c r="J3121" i="1" s="1"/>
  <c r="K3121" i="1" s="1"/>
  <c r="I3120" i="1"/>
  <c r="J3120" i="1" s="1"/>
  <c r="K3120" i="1" s="1"/>
  <c r="I3119" i="1"/>
  <c r="J3119" i="1" s="1"/>
  <c r="K3119" i="1" s="1"/>
  <c r="I3118" i="1"/>
  <c r="J3118" i="1" s="1"/>
  <c r="K3118" i="1" s="1"/>
  <c r="I3117" i="1"/>
  <c r="J3117" i="1" s="1"/>
  <c r="K3117" i="1" s="1"/>
  <c r="I3116" i="1"/>
  <c r="J3116" i="1" s="1"/>
  <c r="K3116" i="1" s="1"/>
  <c r="I3115" i="1"/>
  <c r="J3115" i="1" s="1"/>
  <c r="K3115" i="1" s="1"/>
  <c r="I3114" i="1"/>
  <c r="J3114" i="1" s="1"/>
  <c r="K3114" i="1" s="1"/>
  <c r="I3113" i="1"/>
  <c r="J3113" i="1" s="1"/>
  <c r="K3113" i="1" s="1"/>
  <c r="I3112" i="1"/>
  <c r="J3112" i="1" s="1"/>
  <c r="K3112" i="1" s="1"/>
  <c r="I3111" i="1"/>
  <c r="J3111" i="1" s="1"/>
  <c r="K3111" i="1" s="1"/>
  <c r="I3110" i="1"/>
  <c r="J3110" i="1" s="1"/>
  <c r="K3110" i="1" s="1"/>
  <c r="I3109" i="1"/>
  <c r="J3109" i="1" s="1"/>
  <c r="K3109" i="1" s="1"/>
  <c r="I3108" i="1"/>
  <c r="J3108" i="1" s="1"/>
  <c r="K3108" i="1" s="1"/>
  <c r="I3107" i="1"/>
  <c r="J3107" i="1" s="1"/>
  <c r="K3107" i="1" s="1"/>
  <c r="I3106" i="1"/>
  <c r="J3106" i="1" s="1"/>
  <c r="K3106" i="1" s="1"/>
  <c r="I3105" i="1"/>
  <c r="J3105" i="1" s="1"/>
  <c r="K3105" i="1" s="1"/>
  <c r="I3104" i="1"/>
  <c r="J3104" i="1" s="1"/>
  <c r="K3104" i="1" s="1"/>
  <c r="I3103" i="1"/>
  <c r="J3103" i="1" s="1"/>
  <c r="K3103" i="1" s="1"/>
  <c r="I3102" i="1"/>
  <c r="J3102" i="1" s="1"/>
  <c r="K3102" i="1" s="1"/>
  <c r="I3101" i="1"/>
  <c r="J3101" i="1" s="1"/>
  <c r="K3101" i="1" s="1"/>
  <c r="I3100" i="1"/>
  <c r="J3100" i="1" s="1"/>
  <c r="K3100" i="1" s="1"/>
  <c r="I3099" i="1"/>
  <c r="J3099" i="1" s="1"/>
  <c r="K3099" i="1" s="1"/>
  <c r="I3098" i="1"/>
  <c r="J3098" i="1" s="1"/>
  <c r="K3098" i="1" s="1"/>
  <c r="I3097" i="1"/>
  <c r="J3097" i="1" s="1"/>
  <c r="K3097" i="1" s="1"/>
  <c r="I3096" i="1"/>
  <c r="J3096" i="1" s="1"/>
  <c r="K3096" i="1" s="1"/>
  <c r="I3095" i="1"/>
  <c r="J3095" i="1" s="1"/>
  <c r="K3095" i="1" s="1"/>
  <c r="I3094" i="1"/>
  <c r="J3094" i="1" s="1"/>
  <c r="K3094" i="1" s="1"/>
  <c r="I3093" i="1"/>
  <c r="J3093" i="1" s="1"/>
  <c r="K3093" i="1" s="1"/>
  <c r="I3092" i="1"/>
  <c r="J3092" i="1" s="1"/>
  <c r="K3092" i="1" s="1"/>
  <c r="I3091" i="1"/>
  <c r="J3091" i="1" s="1"/>
  <c r="K3091" i="1" s="1"/>
  <c r="I3090" i="1"/>
  <c r="J3090" i="1" s="1"/>
  <c r="K3090" i="1" s="1"/>
  <c r="I3089" i="1"/>
  <c r="J3089" i="1" s="1"/>
  <c r="K3089" i="1" s="1"/>
  <c r="I3088" i="1"/>
  <c r="J3088" i="1" s="1"/>
  <c r="K3088" i="1" s="1"/>
  <c r="I3087" i="1"/>
  <c r="J3087" i="1" s="1"/>
  <c r="K3087" i="1" s="1"/>
  <c r="I3086" i="1"/>
  <c r="J3086" i="1" s="1"/>
  <c r="K3086" i="1" s="1"/>
  <c r="I3085" i="1"/>
  <c r="J3085" i="1" s="1"/>
  <c r="K3085" i="1" s="1"/>
  <c r="I3084" i="1"/>
  <c r="J3084" i="1" s="1"/>
  <c r="K3084" i="1" s="1"/>
  <c r="I3083" i="1"/>
  <c r="J3083" i="1" s="1"/>
  <c r="K3083" i="1" s="1"/>
  <c r="I3082" i="1"/>
  <c r="J3082" i="1" s="1"/>
  <c r="K3082" i="1" s="1"/>
  <c r="I3081" i="1"/>
  <c r="J3081" i="1" s="1"/>
  <c r="K3081" i="1" s="1"/>
  <c r="I3080" i="1"/>
  <c r="J3080" i="1" s="1"/>
  <c r="K3080" i="1" s="1"/>
  <c r="I3079" i="1"/>
  <c r="J3079" i="1" s="1"/>
  <c r="K3079" i="1" s="1"/>
  <c r="I3078" i="1"/>
  <c r="J3078" i="1" s="1"/>
  <c r="K3078" i="1" s="1"/>
  <c r="I3077" i="1"/>
  <c r="J3077" i="1" s="1"/>
  <c r="K3077" i="1" s="1"/>
  <c r="I3076" i="1"/>
  <c r="J3076" i="1" s="1"/>
  <c r="K3076" i="1" s="1"/>
  <c r="I3075" i="1"/>
  <c r="J3075" i="1" s="1"/>
  <c r="K3075" i="1" s="1"/>
  <c r="I3074" i="1"/>
  <c r="J3074" i="1" s="1"/>
  <c r="K3074" i="1" s="1"/>
  <c r="I3073" i="1"/>
  <c r="J3073" i="1" s="1"/>
  <c r="K3073" i="1" s="1"/>
  <c r="I3072" i="1"/>
  <c r="J3072" i="1" s="1"/>
  <c r="K3072" i="1" s="1"/>
  <c r="I3071" i="1"/>
  <c r="J3071" i="1" s="1"/>
  <c r="K3071" i="1" s="1"/>
  <c r="I3070" i="1"/>
  <c r="J3070" i="1" s="1"/>
  <c r="K3070" i="1" s="1"/>
  <c r="I3069" i="1"/>
  <c r="J3069" i="1" s="1"/>
  <c r="K3069" i="1" s="1"/>
  <c r="I3068" i="1"/>
  <c r="J3068" i="1" s="1"/>
  <c r="K3068" i="1" s="1"/>
  <c r="I3067" i="1"/>
  <c r="J3067" i="1" s="1"/>
  <c r="K3067" i="1" s="1"/>
  <c r="I3066" i="1"/>
  <c r="J3066" i="1" s="1"/>
  <c r="K3066" i="1" s="1"/>
  <c r="I3065" i="1"/>
  <c r="J3065" i="1" s="1"/>
  <c r="K3065" i="1" s="1"/>
  <c r="I3064" i="1"/>
  <c r="J3064" i="1" s="1"/>
  <c r="K3064" i="1" s="1"/>
  <c r="I3063" i="1"/>
  <c r="J3063" i="1" s="1"/>
  <c r="K3063" i="1" s="1"/>
  <c r="I3062" i="1"/>
  <c r="J3062" i="1" s="1"/>
  <c r="K3062" i="1" s="1"/>
  <c r="I3061" i="1"/>
  <c r="J3061" i="1" s="1"/>
  <c r="K3061" i="1" s="1"/>
  <c r="I3060" i="1"/>
  <c r="J3060" i="1" s="1"/>
  <c r="K3060" i="1" s="1"/>
  <c r="I3059" i="1"/>
  <c r="J3059" i="1" s="1"/>
  <c r="K3059" i="1" s="1"/>
  <c r="I3058" i="1"/>
  <c r="J3058" i="1" s="1"/>
  <c r="K3058" i="1" s="1"/>
  <c r="I3057" i="1"/>
  <c r="J3057" i="1" s="1"/>
  <c r="K3057" i="1" s="1"/>
  <c r="I3056" i="1"/>
  <c r="J3056" i="1" s="1"/>
  <c r="K3056" i="1" s="1"/>
  <c r="I3055" i="1"/>
  <c r="J3055" i="1" s="1"/>
  <c r="K3055" i="1" s="1"/>
  <c r="I3054" i="1"/>
  <c r="J3054" i="1" s="1"/>
  <c r="K3054" i="1" s="1"/>
  <c r="I3053" i="1"/>
  <c r="J3053" i="1" s="1"/>
  <c r="K3053" i="1" s="1"/>
  <c r="I3052" i="1"/>
  <c r="J3052" i="1" s="1"/>
  <c r="K3052" i="1" s="1"/>
  <c r="I3051" i="1"/>
  <c r="J3051" i="1" s="1"/>
  <c r="K3051" i="1" s="1"/>
  <c r="I3050" i="1"/>
  <c r="J3050" i="1" s="1"/>
  <c r="K3050" i="1" s="1"/>
  <c r="I3049" i="1"/>
  <c r="J3049" i="1" s="1"/>
  <c r="K3049" i="1" s="1"/>
  <c r="I3048" i="1"/>
  <c r="J3048" i="1" s="1"/>
  <c r="K3048" i="1" s="1"/>
  <c r="I3047" i="1"/>
  <c r="J3047" i="1" s="1"/>
  <c r="K3047" i="1" s="1"/>
  <c r="I3046" i="1"/>
  <c r="J3046" i="1" s="1"/>
  <c r="K3046" i="1" s="1"/>
  <c r="I3045" i="1"/>
  <c r="J3045" i="1" s="1"/>
  <c r="K3045" i="1" s="1"/>
  <c r="I3044" i="1"/>
  <c r="J3044" i="1" s="1"/>
  <c r="K3044" i="1" s="1"/>
  <c r="I3043" i="1"/>
  <c r="J3043" i="1" s="1"/>
  <c r="K3043" i="1" s="1"/>
  <c r="I3042" i="1"/>
  <c r="J3042" i="1" s="1"/>
  <c r="K3042" i="1" s="1"/>
  <c r="I3041" i="1"/>
  <c r="J3041" i="1" s="1"/>
  <c r="K3041" i="1" s="1"/>
  <c r="I3040" i="1"/>
  <c r="J3040" i="1" s="1"/>
  <c r="K3040" i="1" s="1"/>
  <c r="I3039" i="1"/>
  <c r="J3039" i="1" s="1"/>
  <c r="K3039" i="1" s="1"/>
  <c r="I3038" i="1"/>
  <c r="J3038" i="1" s="1"/>
  <c r="K3038" i="1" s="1"/>
  <c r="I3037" i="1"/>
  <c r="J3037" i="1" s="1"/>
  <c r="K3037" i="1" s="1"/>
  <c r="I3036" i="1"/>
  <c r="J3036" i="1" s="1"/>
  <c r="K3036" i="1" s="1"/>
  <c r="I3035" i="1"/>
  <c r="J3035" i="1" s="1"/>
  <c r="K3035" i="1" s="1"/>
  <c r="I3034" i="1"/>
  <c r="J3034" i="1" s="1"/>
  <c r="K3034" i="1" s="1"/>
  <c r="I3033" i="1"/>
  <c r="J3033" i="1" s="1"/>
  <c r="K3033" i="1" s="1"/>
  <c r="I3032" i="1"/>
  <c r="J3032" i="1" s="1"/>
  <c r="K3032" i="1" s="1"/>
  <c r="I3031" i="1"/>
  <c r="J3031" i="1" s="1"/>
  <c r="K3031" i="1" s="1"/>
  <c r="I3030" i="1"/>
  <c r="J3030" i="1" s="1"/>
  <c r="K3030" i="1" s="1"/>
  <c r="I3029" i="1"/>
  <c r="J3029" i="1" s="1"/>
  <c r="K3029" i="1" s="1"/>
  <c r="I3028" i="1"/>
  <c r="J3028" i="1" s="1"/>
  <c r="K3028" i="1" s="1"/>
  <c r="I3027" i="1"/>
  <c r="J3027" i="1" s="1"/>
  <c r="K3027" i="1" s="1"/>
  <c r="I3026" i="1"/>
  <c r="J3026" i="1" s="1"/>
  <c r="K3026" i="1" s="1"/>
  <c r="I3025" i="1"/>
  <c r="J3025" i="1" s="1"/>
  <c r="K3025" i="1" s="1"/>
  <c r="I3024" i="1"/>
  <c r="J3024" i="1" s="1"/>
  <c r="K3024" i="1" s="1"/>
  <c r="I3023" i="1"/>
  <c r="J3023" i="1" s="1"/>
  <c r="K3023" i="1" s="1"/>
  <c r="I3022" i="1"/>
  <c r="J3022" i="1" s="1"/>
  <c r="K3022" i="1" s="1"/>
  <c r="I3021" i="1"/>
  <c r="J3021" i="1" s="1"/>
  <c r="K3021" i="1" s="1"/>
  <c r="I3020" i="1"/>
  <c r="J3020" i="1" s="1"/>
  <c r="K3020" i="1" s="1"/>
  <c r="I3019" i="1"/>
  <c r="J3019" i="1" s="1"/>
  <c r="K3019" i="1" s="1"/>
  <c r="I3018" i="1"/>
  <c r="J3018" i="1" s="1"/>
  <c r="K3018" i="1" s="1"/>
  <c r="I3017" i="1"/>
  <c r="J3017" i="1" s="1"/>
  <c r="K3017" i="1" s="1"/>
  <c r="I3016" i="1"/>
  <c r="J3016" i="1" s="1"/>
  <c r="K3016" i="1" s="1"/>
  <c r="I3015" i="1"/>
  <c r="J3015" i="1" s="1"/>
  <c r="K3015" i="1" s="1"/>
  <c r="I3014" i="1"/>
  <c r="J3014" i="1" s="1"/>
  <c r="K3014" i="1" s="1"/>
  <c r="I3013" i="1"/>
  <c r="J3013" i="1" s="1"/>
  <c r="K3013" i="1" s="1"/>
  <c r="I3012" i="1"/>
  <c r="J3012" i="1" s="1"/>
  <c r="K3012" i="1" s="1"/>
  <c r="I3011" i="1"/>
  <c r="J3011" i="1" s="1"/>
  <c r="K3011" i="1" s="1"/>
  <c r="I3010" i="1"/>
  <c r="J3010" i="1" s="1"/>
  <c r="K3010" i="1" s="1"/>
  <c r="I3009" i="1"/>
  <c r="J3009" i="1" s="1"/>
  <c r="K3009" i="1" s="1"/>
  <c r="I3008" i="1"/>
  <c r="J3008" i="1" s="1"/>
  <c r="K3008" i="1" s="1"/>
  <c r="I3007" i="1"/>
  <c r="J3007" i="1" s="1"/>
  <c r="K3007" i="1" s="1"/>
  <c r="I3006" i="1"/>
  <c r="J3006" i="1" s="1"/>
  <c r="K3006" i="1" s="1"/>
  <c r="I3005" i="1"/>
  <c r="J3005" i="1" s="1"/>
  <c r="K3005" i="1" s="1"/>
  <c r="I3004" i="1"/>
  <c r="J3004" i="1" s="1"/>
  <c r="K3004" i="1" s="1"/>
  <c r="I3003" i="1"/>
  <c r="J3003" i="1" s="1"/>
  <c r="K3003" i="1" s="1"/>
  <c r="I3002" i="1"/>
  <c r="J3002" i="1" s="1"/>
  <c r="K3002" i="1" s="1"/>
  <c r="I3001" i="1"/>
  <c r="J3001" i="1" s="1"/>
  <c r="K3001" i="1" s="1"/>
  <c r="I3000" i="1"/>
  <c r="J3000" i="1" s="1"/>
  <c r="K3000" i="1" s="1"/>
  <c r="I2999" i="1"/>
  <c r="J2999" i="1" s="1"/>
  <c r="K2999" i="1" s="1"/>
  <c r="I2998" i="1"/>
  <c r="J2998" i="1" s="1"/>
  <c r="K2998" i="1" s="1"/>
  <c r="I2997" i="1"/>
  <c r="J2997" i="1" s="1"/>
  <c r="K2997" i="1" s="1"/>
  <c r="I2996" i="1"/>
  <c r="J2996" i="1" s="1"/>
  <c r="K2996" i="1" s="1"/>
  <c r="I2995" i="1"/>
  <c r="J2995" i="1" s="1"/>
  <c r="K2995" i="1" s="1"/>
  <c r="I2994" i="1"/>
  <c r="J2994" i="1" s="1"/>
  <c r="K2994" i="1" s="1"/>
  <c r="I2993" i="1"/>
  <c r="J2993" i="1" s="1"/>
  <c r="K2993" i="1" s="1"/>
  <c r="I2992" i="1"/>
  <c r="J2992" i="1" s="1"/>
  <c r="K2992" i="1" s="1"/>
  <c r="I2991" i="1"/>
  <c r="J2991" i="1" s="1"/>
  <c r="K2991" i="1" s="1"/>
  <c r="I2990" i="1"/>
  <c r="J2990" i="1" s="1"/>
  <c r="K2990" i="1" s="1"/>
  <c r="I2989" i="1"/>
  <c r="J2989" i="1" s="1"/>
  <c r="K2989" i="1" s="1"/>
  <c r="I2988" i="1"/>
  <c r="J2988" i="1" s="1"/>
  <c r="K2988" i="1" s="1"/>
  <c r="I2987" i="1"/>
  <c r="J2987" i="1" s="1"/>
  <c r="K2987" i="1" s="1"/>
  <c r="I2986" i="1"/>
  <c r="J2986" i="1" s="1"/>
  <c r="K2986" i="1" s="1"/>
  <c r="I2985" i="1"/>
  <c r="J2985" i="1" s="1"/>
  <c r="K2985" i="1" s="1"/>
  <c r="I2984" i="1"/>
  <c r="J2984" i="1" s="1"/>
  <c r="K2984" i="1" s="1"/>
  <c r="I2983" i="1"/>
  <c r="J2983" i="1" s="1"/>
  <c r="K2983" i="1" s="1"/>
  <c r="I2982" i="1"/>
  <c r="J2982" i="1" s="1"/>
  <c r="K2982" i="1" s="1"/>
  <c r="I2981" i="1"/>
  <c r="J2981" i="1" s="1"/>
  <c r="K2981" i="1" s="1"/>
  <c r="I2980" i="1"/>
  <c r="J2980" i="1" s="1"/>
  <c r="K2980" i="1" s="1"/>
  <c r="I2979" i="1"/>
  <c r="J2979" i="1" s="1"/>
  <c r="K2979" i="1" s="1"/>
  <c r="I2978" i="1"/>
  <c r="J2978" i="1" s="1"/>
  <c r="K2978" i="1" s="1"/>
  <c r="I2977" i="1"/>
  <c r="J2977" i="1" s="1"/>
  <c r="K2977" i="1" s="1"/>
  <c r="I2976" i="1"/>
  <c r="J2976" i="1" s="1"/>
  <c r="K2976" i="1" s="1"/>
  <c r="I2975" i="1"/>
  <c r="J2975" i="1" s="1"/>
  <c r="K2975" i="1" s="1"/>
  <c r="I2974" i="1"/>
  <c r="J2974" i="1" s="1"/>
  <c r="K2974" i="1" s="1"/>
  <c r="I2973" i="1"/>
  <c r="J2973" i="1" s="1"/>
  <c r="K2973" i="1" s="1"/>
  <c r="I2972" i="1"/>
  <c r="J2972" i="1" s="1"/>
  <c r="K2972" i="1" s="1"/>
  <c r="I2971" i="1"/>
  <c r="J2971" i="1" s="1"/>
  <c r="K2971" i="1" s="1"/>
  <c r="I2970" i="1"/>
  <c r="J2970" i="1" s="1"/>
  <c r="K2970" i="1" s="1"/>
  <c r="I2969" i="1"/>
  <c r="J2969" i="1" s="1"/>
  <c r="K2969" i="1" s="1"/>
  <c r="I2968" i="1"/>
  <c r="J2968" i="1" s="1"/>
  <c r="K2968" i="1" s="1"/>
  <c r="I2967" i="1"/>
  <c r="J2967" i="1" s="1"/>
  <c r="K2967" i="1" s="1"/>
  <c r="I2966" i="1"/>
  <c r="J2966" i="1" s="1"/>
  <c r="K2966" i="1" s="1"/>
  <c r="I2965" i="1"/>
  <c r="J2965" i="1" s="1"/>
  <c r="K2965" i="1" s="1"/>
  <c r="I2964" i="1"/>
  <c r="J2964" i="1" s="1"/>
  <c r="K2964" i="1" s="1"/>
  <c r="I2963" i="1"/>
  <c r="J2963" i="1" s="1"/>
  <c r="K2963" i="1" s="1"/>
  <c r="I2962" i="1"/>
  <c r="J2962" i="1" s="1"/>
  <c r="K2962" i="1" s="1"/>
  <c r="I2961" i="1"/>
  <c r="J2961" i="1" s="1"/>
  <c r="K2961" i="1" s="1"/>
  <c r="I2960" i="1"/>
  <c r="J2960" i="1" s="1"/>
  <c r="K2960" i="1" s="1"/>
  <c r="I2959" i="1"/>
  <c r="J2959" i="1" s="1"/>
  <c r="K2959" i="1" s="1"/>
  <c r="I2958" i="1"/>
  <c r="J2958" i="1" s="1"/>
  <c r="K2958" i="1" s="1"/>
  <c r="I2957" i="1"/>
  <c r="J2957" i="1" s="1"/>
  <c r="K2957" i="1" s="1"/>
  <c r="I2956" i="1"/>
  <c r="J2956" i="1" s="1"/>
  <c r="K2956" i="1" s="1"/>
  <c r="I2955" i="1"/>
  <c r="J2955" i="1" s="1"/>
  <c r="K2955" i="1" s="1"/>
  <c r="I2954" i="1"/>
  <c r="J2954" i="1" s="1"/>
  <c r="K2954" i="1" s="1"/>
  <c r="I2953" i="1"/>
  <c r="J2953" i="1" s="1"/>
  <c r="K2953" i="1" s="1"/>
  <c r="I2952" i="1"/>
  <c r="J2952" i="1" s="1"/>
  <c r="K2952" i="1" s="1"/>
  <c r="I2951" i="1"/>
  <c r="J2951" i="1" s="1"/>
  <c r="K2951" i="1" s="1"/>
  <c r="I2950" i="1"/>
  <c r="J2950" i="1" s="1"/>
  <c r="K2950" i="1" s="1"/>
  <c r="I2949" i="1"/>
  <c r="J2949" i="1" s="1"/>
  <c r="K2949" i="1" s="1"/>
  <c r="I2948" i="1"/>
  <c r="J2948" i="1" s="1"/>
  <c r="K2948" i="1" s="1"/>
  <c r="I2947" i="1"/>
  <c r="J2947" i="1" s="1"/>
  <c r="K2947" i="1" s="1"/>
  <c r="I2946" i="1"/>
  <c r="J2946" i="1" s="1"/>
  <c r="K2946" i="1" s="1"/>
  <c r="I2945" i="1"/>
  <c r="J2945" i="1" s="1"/>
  <c r="K2945" i="1" s="1"/>
  <c r="I2944" i="1"/>
  <c r="J2944" i="1" s="1"/>
  <c r="K2944" i="1" s="1"/>
  <c r="I2943" i="1"/>
  <c r="J2943" i="1" s="1"/>
  <c r="K2943" i="1" s="1"/>
  <c r="I2942" i="1"/>
  <c r="J2942" i="1" s="1"/>
  <c r="K2942" i="1" s="1"/>
  <c r="I2941" i="1"/>
  <c r="J2941" i="1" s="1"/>
  <c r="K2941" i="1" s="1"/>
  <c r="I2940" i="1"/>
  <c r="J2940" i="1" s="1"/>
  <c r="K2940" i="1" s="1"/>
  <c r="I2939" i="1"/>
  <c r="J2939" i="1" s="1"/>
  <c r="K2939" i="1" s="1"/>
  <c r="I2938" i="1"/>
  <c r="J2938" i="1" s="1"/>
  <c r="K2938" i="1" s="1"/>
  <c r="I2937" i="1"/>
  <c r="J2937" i="1" s="1"/>
  <c r="K2937" i="1" s="1"/>
  <c r="I2936" i="1"/>
  <c r="J2936" i="1" s="1"/>
  <c r="K2936" i="1" s="1"/>
  <c r="I2935" i="1"/>
  <c r="J2935" i="1" s="1"/>
  <c r="K2935" i="1" s="1"/>
  <c r="I2934" i="1"/>
  <c r="J2934" i="1" s="1"/>
  <c r="K2934" i="1" s="1"/>
  <c r="I2933" i="1"/>
  <c r="J2933" i="1" s="1"/>
  <c r="K2933" i="1" s="1"/>
  <c r="I2932" i="1"/>
  <c r="J2932" i="1" s="1"/>
  <c r="K2932" i="1" s="1"/>
  <c r="I2931" i="1"/>
  <c r="J2931" i="1" s="1"/>
  <c r="K2931" i="1" s="1"/>
  <c r="I2930" i="1"/>
  <c r="J2930" i="1" s="1"/>
  <c r="K2930" i="1" s="1"/>
  <c r="I2929" i="1"/>
  <c r="J2929" i="1" s="1"/>
  <c r="K2929" i="1" s="1"/>
  <c r="I2928" i="1"/>
  <c r="J2928" i="1" s="1"/>
  <c r="K2928" i="1" s="1"/>
  <c r="I2927" i="1"/>
  <c r="J2927" i="1" s="1"/>
  <c r="K2927" i="1" s="1"/>
  <c r="I2926" i="1"/>
  <c r="J2926" i="1" s="1"/>
  <c r="K2926" i="1" s="1"/>
  <c r="I2925" i="1"/>
  <c r="J2925" i="1" s="1"/>
  <c r="K2925" i="1" s="1"/>
  <c r="I2924" i="1"/>
  <c r="J2924" i="1" s="1"/>
  <c r="K2924" i="1" s="1"/>
  <c r="I2923" i="1"/>
  <c r="J2923" i="1" s="1"/>
  <c r="K2923" i="1" s="1"/>
  <c r="I2922" i="1"/>
  <c r="J2922" i="1" s="1"/>
  <c r="K2922" i="1" s="1"/>
  <c r="I2921" i="1"/>
  <c r="J2921" i="1" s="1"/>
  <c r="K2921" i="1" s="1"/>
  <c r="I2920" i="1"/>
  <c r="J2920" i="1" s="1"/>
  <c r="K2920" i="1" s="1"/>
  <c r="I2919" i="1"/>
  <c r="J2919" i="1" s="1"/>
  <c r="K2919" i="1" s="1"/>
  <c r="I2918" i="1"/>
  <c r="J2918" i="1" s="1"/>
  <c r="K2918" i="1" s="1"/>
  <c r="I2917" i="1"/>
  <c r="J2917" i="1" s="1"/>
  <c r="K2917" i="1" s="1"/>
  <c r="I2916" i="1"/>
  <c r="J2916" i="1" s="1"/>
  <c r="K2916" i="1" s="1"/>
  <c r="I2915" i="1"/>
  <c r="J2915" i="1" s="1"/>
  <c r="K2915" i="1" s="1"/>
  <c r="I2914" i="1"/>
  <c r="J2914" i="1" s="1"/>
  <c r="K2914" i="1" s="1"/>
  <c r="I2913" i="1"/>
  <c r="J2913" i="1" s="1"/>
  <c r="K2913" i="1" s="1"/>
  <c r="I2912" i="1"/>
  <c r="J2912" i="1" s="1"/>
  <c r="K2912" i="1" s="1"/>
  <c r="I2911" i="1"/>
  <c r="J2911" i="1" s="1"/>
  <c r="K2911" i="1" s="1"/>
  <c r="I2910" i="1"/>
  <c r="J2910" i="1" s="1"/>
  <c r="K2910" i="1" s="1"/>
  <c r="I2909" i="1"/>
  <c r="J2909" i="1" s="1"/>
  <c r="K2909" i="1" s="1"/>
  <c r="I2908" i="1"/>
  <c r="J2908" i="1" s="1"/>
  <c r="K2908" i="1" s="1"/>
  <c r="I2907" i="1"/>
  <c r="J2907" i="1" s="1"/>
  <c r="K2907" i="1" s="1"/>
  <c r="I2906" i="1"/>
  <c r="J2906" i="1" s="1"/>
  <c r="K2906" i="1" s="1"/>
  <c r="I2905" i="1"/>
  <c r="J2905" i="1" s="1"/>
  <c r="K2905" i="1" s="1"/>
  <c r="I2904" i="1"/>
  <c r="J2904" i="1" s="1"/>
  <c r="K2904" i="1" s="1"/>
  <c r="I2903" i="1"/>
  <c r="J2903" i="1" s="1"/>
  <c r="K2903" i="1" s="1"/>
  <c r="I2902" i="1"/>
  <c r="J2902" i="1" s="1"/>
  <c r="K2902" i="1" s="1"/>
  <c r="I2901" i="1"/>
  <c r="J2901" i="1" s="1"/>
  <c r="K2901" i="1" s="1"/>
  <c r="I2900" i="1"/>
  <c r="J2900" i="1" s="1"/>
  <c r="K2900" i="1" s="1"/>
  <c r="I2899" i="1"/>
  <c r="J2899" i="1" s="1"/>
  <c r="K2899" i="1" s="1"/>
  <c r="I2898" i="1"/>
  <c r="J2898" i="1" s="1"/>
  <c r="K2898" i="1" s="1"/>
  <c r="I2897" i="1"/>
  <c r="J2897" i="1" s="1"/>
  <c r="K2897" i="1" s="1"/>
  <c r="I2896" i="1"/>
  <c r="J2896" i="1" s="1"/>
  <c r="K2896" i="1" s="1"/>
  <c r="I2895" i="1"/>
  <c r="J2895" i="1" s="1"/>
  <c r="K2895" i="1" s="1"/>
  <c r="I2894" i="1"/>
  <c r="J2894" i="1" s="1"/>
  <c r="K2894" i="1" s="1"/>
  <c r="I2893" i="1"/>
  <c r="J2893" i="1" s="1"/>
  <c r="K2893" i="1" s="1"/>
  <c r="I2892" i="1"/>
  <c r="J2892" i="1" s="1"/>
  <c r="K2892" i="1" s="1"/>
  <c r="I2891" i="1"/>
  <c r="J2891" i="1" s="1"/>
  <c r="K2891" i="1" s="1"/>
  <c r="I2890" i="1"/>
  <c r="J2890" i="1" s="1"/>
  <c r="K2890" i="1" s="1"/>
  <c r="I2889" i="1"/>
  <c r="J2889" i="1" s="1"/>
  <c r="K2889" i="1" s="1"/>
  <c r="I2888" i="1"/>
  <c r="J2888" i="1" s="1"/>
  <c r="K2888" i="1" s="1"/>
  <c r="I2887" i="1"/>
  <c r="J2887" i="1" s="1"/>
  <c r="K2887" i="1" s="1"/>
  <c r="I2886" i="1"/>
  <c r="J2886" i="1" s="1"/>
  <c r="K2886" i="1" s="1"/>
  <c r="I2885" i="1"/>
  <c r="J2885" i="1" s="1"/>
  <c r="K2885" i="1" s="1"/>
  <c r="I2884" i="1"/>
  <c r="J2884" i="1" s="1"/>
  <c r="K2884" i="1" s="1"/>
  <c r="I2883" i="1"/>
  <c r="J2883" i="1" s="1"/>
  <c r="K2883" i="1" s="1"/>
  <c r="I2882" i="1"/>
  <c r="J2882" i="1" s="1"/>
  <c r="K2882" i="1" s="1"/>
  <c r="I2881" i="1"/>
  <c r="J2881" i="1" s="1"/>
  <c r="K2881" i="1" s="1"/>
  <c r="I2880" i="1"/>
  <c r="J2880" i="1" s="1"/>
  <c r="K2880" i="1" s="1"/>
  <c r="I2879" i="1"/>
  <c r="J2879" i="1" s="1"/>
  <c r="K2879" i="1" s="1"/>
  <c r="I2878" i="1"/>
  <c r="J2878" i="1" s="1"/>
  <c r="K2878" i="1" s="1"/>
  <c r="I2877" i="1"/>
  <c r="J2877" i="1" s="1"/>
  <c r="K2877" i="1" s="1"/>
  <c r="I2876" i="1"/>
  <c r="J2876" i="1" s="1"/>
  <c r="K2876" i="1" s="1"/>
  <c r="I2875" i="1"/>
  <c r="J2875" i="1" s="1"/>
  <c r="K2875" i="1" s="1"/>
  <c r="I2874" i="1"/>
  <c r="J2874" i="1" s="1"/>
  <c r="K2874" i="1" s="1"/>
  <c r="I2873" i="1"/>
  <c r="J2873" i="1" s="1"/>
  <c r="K2873" i="1" s="1"/>
  <c r="I2872" i="1"/>
  <c r="J2872" i="1" s="1"/>
  <c r="K2872" i="1" s="1"/>
  <c r="I2871" i="1"/>
  <c r="J2871" i="1" s="1"/>
  <c r="K2871" i="1" s="1"/>
  <c r="I2870" i="1"/>
  <c r="J2870" i="1" s="1"/>
  <c r="K2870" i="1" s="1"/>
  <c r="I2869" i="1"/>
  <c r="J2869" i="1" s="1"/>
  <c r="K2869" i="1" s="1"/>
  <c r="I2868" i="1"/>
  <c r="J2868" i="1" s="1"/>
  <c r="K2868" i="1" s="1"/>
  <c r="I2867" i="1"/>
  <c r="J2867" i="1" s="1"/>
  <c r="K2867" i="1" s="1"/>
  <c r="I2866" i="1"/>
  <c r="J2866" i="1" s="1"/>
  <c r="K2866" i="1" s="1"/>
  <c r="I2865" i="1"/>
  <c r="J2865" i="1" s="1"/>
  <c r="K2865" i="1" s="1"/>
  <c r="I2864" i="1"/>
  <c r="J2864" i="1" s="1"/>
  <c r="K2864" i="1" s="1"/>
  <c r="I2863" i="1"/>
  <c r="J2863" i="1" s="1"/>
  <c r="K2863" i="1" s="1"/>
  <c r="I2862" i="1"/>
  <c r="J2862" i="1" s="1"/>
  <c r="K2862" i="1" s="1"/>
  <c r="I2861" i="1"/>
  <c r="J2861" i="1" s="1"/>
  <c r="K2861" i="1" s="1"/>
  <c r="I2860" i="1"/>
  <c r="J2860" i="1" s="1"/>
  <c r="K2860" i="1" s="1"/>
  <c r="I2859" i="1"/>
  <c r="J2859" i="1" s="1"/>
  <c r="K2859" i="1" s="1"/>
  <c r="I2858" i="1"/>
  <c r="J2858" i="1" s="1"/>
  <c r="K2858" i="1" s="1"/>
  <c r="I2857" i="1"/>
  <c r="J2857" i="1" s="1"/>
  <c r="K2857" i="1" s="1"/>
  <c r="I2856" i="1"/>
  <c r="J2856" i="1" s="1"/>
  <c r="K2856" i="1" s="1"/>
  <c r="I2855" i="1"/>
  <c r="J2855" i="1" s="1"/>
  <c r="K2855" i="1" s="1"/>
  <c r="I2854" i="1"/>
  <c r="J2854" i="1" s="1"/>
  <c r="K2854" i="1" s="1"/>
  <c r="I2853" i="1"/>
  <c r="J2853" i="1" s="1"/>
  <c r="K2853" i="1" s="1"/>
  <c r="I2852" i="1"/>
  <c r="J2852" i="1" s="1"/>
  <c r="K2852" i="1" s="1"/>
  <c r="I2851" i="1"/>
  <c r="J2851" i="1" s="1"/>
  <c r="K2851" i="1" s="1"/>
  <c r="I2850" i="1"/>
  <c r="J2850" i="1" s="1"/>
  <c r="K2850" i="1" s="1"/>
  <c r="I2849" i="1"/>
  <c r="J2849" i="1" s="1"/>
  <c r="K2849" i="1" s="1"/>
  <c r="I2848" i="1"/>
  <c r="J2848" i="1" s="1"/>
  <c r="K2848" i="1" s="1"/>
  <c r="I2847" i="1"/>
  <c r="J2847" i="1" s="1"/>
  <c r="K2847" i="1" s="1"/>
  <c r="I2846" i="1"/>
  <c r="J2846" i="1" s="1"/>
  <c r="K2846" i="1" s="1"/>
  <c r="I2845" i="1"/>
  <c r="J2845" i="1" s="1"/>
  <c r="K2845" i="1" s="1"/>
  <c r="I2844" i="1"/>
  <c r="J2844" i="1" s="1"/>
  <c r="K2844" i="1" s="1"/>
  <c r="I2843" i="1"/>
  <c r="J2843" i="1" s="1"/>
  <c r="K2843" i="1" s="1"/>
  <c r="I2842" i="1"/>
  <c r="J2842" i="1" s="1"/>
  <c r="K2842" i="1" s="1"/>
  <c r="I2841" i="1"/>
  <c r="J2841" i="1" s="1"/>
  <c r="K2841" i="1" s="1"/>
  <c r="I2840" i="1"/>
  <c r="J2840" i="1" s="1"/>
  <c r="K2840" i="1" s="1"/>
  <c r="I2839" i="1"/>
  <c r="J2839" i="1" s="1"/>
  <c r="K2839" i="1" s="1"/>
  <c r="I2838" i="1"/>
  <c r="J2838" i="1" s="1"/>
  <c r="K2838" i="1" s="1"/>
  <c r="I2837" i="1"/>
  <c r="J2837" i="1" s="1"/>
  <c r="K2837" i="1" s="1"/>
  <c r="I2836" i="1"/>
  <c r="J2836" i="1" s="1"/>
  <c r="K2836" i="1" s="1"/>
  <c r="I2835" i="1"/>
  <c r="J2835" i="1" s="1"/>
  <c r="K2835" i="1" s="1"/>
  <c r="I2834" i="1"/>
  <c r="J2834" i="1" s="1"/>
  <c r="K2834" i="1" s="1"/>
  <c r="I2833" i="1"/>
  <c r="J2833" i="1" s="1"/>
  <c r="K2833" i="1" s="1"/>
  <c r="I2832" i="1"/>
  <c r="J2832" i="1" s="1"/>
  <c r="K2832" i="1" s="1"/>
  <c r="I2831" i="1"/>
  <c r="J2831" i="1" s="1"/>
  <c r="K2831" i="1" s="1"/>
  <c r="I2830" i="1"/>
  <c r="J2830" i="1" s="1"/>
  <c r="K2830" i="1" s="1"/>
  <c r="I2829" i="1"/>
  <c r="J2829" i="1" s="1"/>
  <c r="K2829" i="1" s="1"/>
  <c r="I2828" i="1"/>
  <c r="J2828" i="1" s="1"/>
  <c r="K2828" i="1" s="1"/>
  <c r="I2827" i="1"/>
  <c r="J2827" i="1" s="1"/>
  <c r="K2827" i="1" s="1"/>
  <c r="I2826" i="1"/>
  <c r="J2826" i="1" s="1"/>
  <c r="K2826" i="1" s="1"/>
  <c r="I2825" i="1"/>
  <c r="J2825" i="1" s="1"/>
  <c r="K2825" i="1" s="1"/>
  <c r="I2824" i="1"/>
  <c r="J2824" i="1" s="1"/>
  <c r="K2824" i="1" s="1"/>
  <c r="I2823" i="1"/>
  <c r="J2823" i="1" s="1"/>
  <c r="K2823" i="1" s="1"/>
  <c r="I2822" i="1"/>
  <c r="J2822" i="1" s="1"/>
  <c r="K2822" i="1" s="1"/>
  <c r="I2821" i="1"/>
  <c r="J2821" i="1" s="1"/>
  <c r="K2821" i="1" s="1"/>
  <c r="I2820" i="1"/>
  <c r="J2820" i="1" s="1"/>
  <c r="K2820" i="1" s="1"/>
  <c r="I2819" i="1"/>
  <c r="J2819" i="1" s="1"/>
  <c r="K2819" i="1" s="1"/>
  <c r="I2818" i="1"/>
  <c r="J2818" i="1" s="1"/>
  <c r="K2818" i="1" s="1"/>
  <c r="I2817" i="1"/>
  <c r="J2817" i="1" s="1"/>
  <c r="K2817" i="1" s="1"/>
  <c r="I2816" i="1"/>
  <c r="J2816" i="1" s="1"/>
  <c r="K2816" i="1" s="1"/>
  <c r="I2815" i="1"/>
  <c r="J2815" i="1" s="1"/>
  <c r="K2815" i="1" s="1"/>
  <c r="I2814" i="1"/>
  <c r="J2814" i="1" s="1"/>
  <c r="K2814" i="1" s="1"/>
  <c r="I2813" i="1"/>
  <c r="J2813" i="1" s="1"/>
  <c r="K2813" i="1" s="1"/>
  <c r="I2812" i="1"/>
  <c r="J2812" i="1" s="1"/>
  <c r="K2812" i="1" s="1"/>
  <c r="I2811" i="1"/>
  <c r="J2811" i="1" s="1"/>
  <c r="K2811" i="1" s="1"/>
  <c r="I2810" i="1"/>
  <c r="J2810" i="1" s="1"/>
  <c r="K2810" i="1" s="1"/>
  <c r="I2809" i="1"/>
  <c r="J2809" i="1" s="1"/>
  <c r="K2809" i="1" s="1"/>
  <c r="I2808" i="1"/>
  <c r="J2808" i="1" s="1"/>
  <c r="K2808" i="1" s="1"/>
  <c r="I2807" i="1"/>
  <c r="J2807" i="1" s="1"/>
  <c r="K2807" i="1" s="1"/>
  <c r="I2806" i="1"/>
  <c r="J2806" i="1" s="1"/>
  <c r="K2806" i="1" s="1"/>
  <c r="I2805" i="1"/>
  <c r="J2805" i="1" s="1"/>
  <c r="K2805" i="1" s="1"/>
  <c r="I2804" i="1"/>
  <c r="J2804" i="1" s="1"/>
  <c r="K2804" i="1" s="1"/>
  <c r="I2803" i="1"/>
  <c r="J2803" i="1" s="1"/>
  <c r="K2803" i="1" s="1"/>
  <c r="I2802" i="1"/>
  <c r="J2802" i="1" s="1"/>
  <c r="K2802" i="1" s="1"/>
  <c r="I2801" i="1"/>
  <c r="J2801" i="1" s="1"/>
  <c r="K2801" i="1" s="1"/>
  <c r="I2800" i="1"/>
  <c r="J2800" i="1" s="1"/>
  <c r="K2800" i="1" s="1"/>
  <c r="I2799" i="1"/>
  <c r="J2799" i="1" s="1"/>
  <c r="K2799" i="1" s="1"/>
  <c r="I2798" i="1"/>
  <c r="J2798" i="1" s="1"/>
  <c r="K2798" i="1" s="1"/>
  <c r="I2797" i="1"/>
  <c r="J2797" i="1" s="1"/>
  <c r="K2797" i="1" s="1"/>
  <c r="I2796" i="1"/>
  <c r="J2796" i="1" s="1"/>
  <c r="K2796" i="1" s="1"/>
  <c r="I2795" i="1"/>
  <c r="J2795" i="1" s="1"/>
  <c r="K2795" i="1" s="1"/>
  <c r="I2794" i="1"/>
  <c r="J2794" i="1" s="1"/>
  <c r="K2794" i="1" s="1"/>
  <c r="I2793" i="1"/>
  <c r="J2793" i="1" s="1"/>
  <c r="K2793" i="1" s="1"/>
  <c r="I2792" i="1"/>
  <c r="J2792" i="1" s="1"/>
  <c r="K2792" i="1" s="1"/>
  <c r="I2791" i="1"/>
  <c r="J2791" i="1" s="1"/>
  <c r="K2791" i="1" s="1"/>
  <c r="I2790" i="1"/>
  <c r="J2790" i="1" s="1"/>
  <c r="K2790" i="1" s="1"/>
  <c r="I2789" i="1"/>
  <c r="J2789" i="1" s="1"/>
  <c r="K2789" i="1" s="1"/>
  <c r="I2788" i="1"/>
  <c r="J2788" i="1" s="1"/>
  <c r="K2788" i="1" s="1"/>
  <c r="I2787" i="1"/>
  <c r="J2787" i="1" s="1"/>
  <c r="K2787" i="1" s="1"/>
  <c r="I2786" i="1"/>
  <c r="J2786" i="1" s="1"/>
  <c r="K2786" i="1" s="1"/>
  <c r="I2785" i="1"/>
  <c r="J2785" i="1" s="1"/>
  <c r="K2785" i="1" s="1"/>
  <c r="I2784" i="1"/>
  <c r="J2784" i="1" s="1"/>
  <c r="K2784" i="1" s="1"/>
  <c r="I2783" i="1"/>
  <c r="J2783" i="1" s="1"/>
  <c r="K2783" i="1" s="1"/>
  <c r="I2782" i="1"/>
  <c r="J2782" i="1" s="1"/>
  <c r="K2782" i="1" s="1"/>
  <c r="I2781" i="1"/>
  <c r="J2781" i="1" s="1"/>
  <c r="K2781" i="1" s="1"/>
  <c r="I2780" i="1"/>
  <c r="J2780" i="1" s="1"/>
  <c r="K2780" i="1" s="1"/>
  <c r="I2779" i="1"/>
  <c r="J2779" i="1" s="1"/>
  <c r="K2779" i="1" s="1"/>
  <c r="I2778" i="1"/>
  <c r="J2778" i="1" s="1"/>
  <c r="K2778" i="1" s="1"/>
  <c r="I2777" i="1"/>
  <c r="J2777" i="1" s="1"/>
  <c r="K2777" i="1" s="1"/>
  <c r="I2776" i="1"/>
  <c r="J2776" i="1" s="1"/>
  <c r="K2776" i="1" s="1"/>
  <c r="I2775" i="1"/>
  <c r="J2775" i="1" s="1"/>
  <c r="K2775" i="1" s="1"/>
  <c r="I2774" i="1"/>
  <c r="J2774" i="1" s="1"/>
  <c r="K2774" i="1" s="1"/>
  <c r="I2773" i="1"/>
  <c r="J2773" i="1" s="1"/>
  <c r="K2773" i="1" s="1"/>
  <c r="I2772" i="1"/>
  <c r="J2772" i="1" s="1"/>
  <c r="K2772" i="1" s="1"/>
  <c r="I2771" i="1"/>
  <c r="J2771" i="1" s="1"/>
  <c r="K2771" i="1" s="1"/>
  <c r="I2770" i="1"/>
  <c r="J2770" i="1" s="1"/>
  <c r="K2770" i="1" s="1"/>
  <c r="I2769" i="1"/>
  <c r="J2769" i="1" s="1"/>
  <c r="K2769" i="1" s="1"/>
  <c r="I2768" i="1"/>
  <c r="J2768" i="1" s="1"/>
  <c r="K2768" i="1" s="1"/>
  <c r="I2767" i="1"/>
  <c r="J2767" i="1" s="1"/>
  <c r="K2767" i="1" s="1"/>
  <c r="I2766" i="1"/>
  <c r="J2766" i="1" s="1"/>
  <c r="K2766" i="1" s="1"/>
  <c r="I2765" i="1"/>
  <c r="J2765" i="1" s="1"/>
  <c r="K2765" i="1" s="1"/>
  <c r="I2764" i="1"/>
  <c r="J2764" i="1" s="1"/>
  <c r="K2764" i="1" s="1"/>
  <c r="I2763" i="1"/>
  <c r="J2763" i="1" s="1"/>
  <c r="K2763" i="1" s="1"/>
  <c r="I2762" i="1"/>
  <c r="J2762" i="1" s="1"/>
  <c r="K2762" i="1" s="1"/>
  <c r="I2761" i="1"/>
  <c r="J2761" i="1" s="1"/>
  <c r="K2761" i="1" s="1"/>
  <c r="I2760" i="1"/>
  <c r="J2760" i="1" s="1"/>
  <c r="K2760" i="1" s="1"/>
  <c r="I2759" i="1"/>
  <c r="J2759" i="1" s="1"/>
  <c r="K2759" i="1" s="1"/>
  <c r="I2758" i="1"/>
  <c r="J2758" i="1" s="1"/>
  <c r="K2758" i="1" s="1"/>
  <c r="I2757" i="1"/>
  <c r="J2757" i="1" s="1"/>
  <c r="K2757" i="1" s="1"/>
  <c r="I2756" i="1"/>
  <c r="J2756" i="1" s="1"/>
  <c r="K2756" i="1" s="1"/>
  <c r="I2755" i="1"/>
  <c r="J2755" i="1" s="1"/>
  <c r="K2755" i="1" s="1"/>
  <c r="I2754" i="1"/>
  <c r="J2754" i="1" s="1"/>
  <c r="K2754" i="1" s="1"/>
  <c r="I2753" i="1"/>
  <c r="J2753" i="1" s="1"/>
  <c r="K2753" i="1" s="1"/>
  <c r="I2752" i="1"/>
  <c r="J2752" i="1" s="1"/>
  <c r="K2752" i="1" s="1"/>
  <c r="I2751" i="1"/>
  <c r="J2751" i="1" s="1"/>
  <c r="K2751" i="1" s="1"/>
  <c r="I2750" i="1"/>
  <c r="J2750" i="1" s="1"/>
  <c r="K2750" i="1" s="1"/>
  <c r="I2749" i="1"/>
  <c r="J2749" i="1" s="1"/>
  <c r="K2749" i="1" s="1"/>
  <c r="I2748" i="1"/>
  <c r="J2748" i="1" s="1"/>
  <c r="K2748" i="1" s="1"/>
  <c r="I2747" i="1"/>
  <c r="J2747" i="1" s="1"/>
  <c r="K2747" i="1" s="1"/>
  <c r="I2746" i="1"/>
  <c r="J2746" i="1" s="1"/>
  <c r="K2746" i="1" s="1"/>
  <c r="I2745" i="1"/>
  <c r="J2745" i="1" s="1"/>
  <c r="K2745" i="1" s="1"/>
  <c r="I2744" i="1"/>
  <c r="J2744" i="1" s="1"/>
  <c r="K2744" i="1" s="1"/>
  <c r="I2743" i="1"/>
  <c r="J2743" i="1" s="1"/>
  <c r="K2743" i="1" s="1"/>
  <c r="I2742" i="1"/>
  <c r="J2742" i="1" s="1"/>
  <c r="K2742" i="1" s="1"/>
  <c r="I2741" i="1"/>
  <c r="J2741" i="1" s="1"/>
  <c r="K2741" i="1" s="1"/>
  <c r="I2740" i="1"/>
  <c r="J2740" i="1" s="1"/>
  <c r="K2740" i="1" s="1"/>
  <c r="I2739" i="1"/>
  <c r="J2739" i="1" s="1"/>
  <c r="K2739" i="1" s="1"/>
  <c r="I2738" i="1"/>
  <c r="J2738" i="1" s="1"/>
  <c r="K2738" i="1" s="1"/>
  <c r="I2737" i="1"/>
  <c r="J2737" i="1" s="1"/>
  <c r="K2737" i="1" s="1"/>
  <c r="I2736" i="1"/>
  <c r="J2736" i="1" s="1"/>
  <c r="K2736" i="1" s="1"/>
  <c r="I2735" i="1"/>
  <c r="J2735" i="1" s="1"/>
  <c r="K2735" i="1" s="1"/>
  <c r="I2734" i="1"/>
  <c r="J2734" i="1" s="1"/>
  <c r="K2734" i="1" s="1"/>
  <c r="I2733" i="1"/>
  <c r="J2733" i="1" s="1"/>
  <c r="K2733" i="1" s="1"/>
  <c r="I2732" i="1"/>
  <c r="J2732" i="1" s="1"/>
  <c r="K2732" i="1" s="1"/>
  <c r="I2731" i="1"/>
  <c r="J2731" i="1" s="1"/>
  <c r="K2731" i="1" s="1"/>
  <c r="I2730" i="1"/>
  <c r="J2730" i="1" s="1"/>
  <c r="K2730" i="1" s="1"/>
  <c r="I2729" i="1"/>
  <c r="J2729" i="1" s="1"/>
  <c r="K2729" i="1" s="1"/>
  <c r="I2728" i="1"/>
  <c r="J2728" i="1" s="1"/>
  <c r="K2728" i="1" s="1"/>
  <c r="I2727" i="1"/>
  <c r="J2727" i="1" s="1"/>
  <c r="K2727" i="1" s="1"/>
  <c r="I2726" i="1"/>
  <c r="J2726" i="1" s="1"/>
  <c r="K2726" i="1" s="1"/>
  <c r="I2725" i="1"/>
  <c r="J2725" i="1" s="1"/>
  <c r="K2725" i="1" s="1"/>
  <c r="I2724" i="1"/>
  <c r="J2724" i="1" s="1"/>
  <c r="K2724" i="1" s="1"/>
  <c r="I2723" i="1"/>
  <c r="J2723" i="1" s="1"/>
  <c r="K2723" i="1" s="1"/>
  <c r="I2722" i="1"/>
  <c r="J2722" i="1" s="1"/>
  <c r="K2722" i="1" s="1"/>
  <c r="I2721" i="1"/>
  <c r="J2721" i="1" s="1"/>
  <c r="K2721" i="1" s="1"/>
  <c r="I2720" i="1"/>
  <c r="J2720" i="1" s="1"/>
  <c r="K2720" i="1" s="1"/>
  <c r="I2719" i="1"/>
  <c r="J2719" i="1" s="1"/>
  <c r="K2719" i="1" s="1"/>
  <c r="I2718" i="1"/>
  <c r="J2718" i="1" s="1"/>
  <c r="K2718" i="1" s="1"/>
  <c r="I2717" i="1"/>
  <c r="J2717" i="1" s="1"/>
  <c r="K2717" i="1" s="1"/>
  <c r="I2716" i="1"/>
  <c r="J2716" i="1" s="1"/>
  <c r="K2716" i="1" s="1"/>
  <c r="I2715" i="1"/>
  <c r="J2715" i="1" s="1"/>
  <c r="K2715" i="1" s="1"/>
  <c r="I2714" i="1"/>
  <c r="J2714" i="1" s="1"/>
  <c r="K2714" i="1" s="1"/>
  <c r="I2713" i="1"/>
  <c r="J2713" i="1" s="1"/>
  <c r="K2713" i="1" s="1"/>
  <c r="I2712" i="1"/>
  <c r="J2712" i="1" s="1"/>
  <c r="K2712" i="1" s="1"/>
  <c r="I2711" i="1"/>
  <c r="J2711" i="1" s="1"/>
  <c r="K2711" i="1" s="1"/>
  <c r="I2710" i="1"/>
  <c r="J2710" i="1" s="1"/>
  <c r="K2710" i="1" s="1"/>
  <c r="I2709" i="1"/>
  <c r="J2709" i="1" s="1"/>
  <c r="K2709" i="1" s="1"/>
  <c r="I2708" i="1"/>
  <c r="J2708" i="1" s="1"/>
  <c r="K2708" i="1" s="1"/>
  <c r="I2707" i="1"/>
  <c r="J2707" i="1" s="1"/>
  <c r="K2707" i="1" s="1"/>
  <c r="I2706" i="1"/>
  <c r="J2706" i="1" s="1"/>
  <c r="K2706" i="1" s="1"/>
  <c r="I2705" i="1"/>
  <c r="J2705" i="1" s="1"/>
  <c r="K2705" i="1" s="1"/>
  <c r="I2704" i="1"/>
  <c r="J2704" i="1" s="1"/>
  <c r="K2704" i="1" s="1"/>
  <c r="I2703" i="1"/>
  <c r="J2703" i="1" s="1"/>
  <c r="K2703" i="1" s="1"/>
  <c r="I2702" i="1"/>
  <c r="J2702" i="1" s="1"/>
  <c r="K2702" i="1" s="1"/>
  <c r="I2701" i="1"/>
  <c r="J2701" i="1" s="1"/>
  <c r="K2701" i="1" s="1"/>
  <c r="I2700" i="1"/>
  <c r="J2700" i="1" s="1"/>
  <c r="K2700" i="1" s="1"/>
  <c r="I2699" i="1"/>
  <c r="J2699" i="1" s="1"/>
  <c r="K2699" i="1" s="1"/>
  <c r="I2698" i="1"/>
  <c r="J2698" i="1" s="1"/>
  <c r="K2698" i="1" s="1"/>
  <c r="I2697" i="1"/>
  <c r="J2697" i="1" s="1"/>
  <c r="K2697" i="1" s="1"/>
  <c r="I2696" i="1"/>
  <c r="J2696" i="1" s="1"/>
  <c r="K2696" i="1" s="1"/>
  <c r="I2695" i="1"/>
  <c r="J2695" i="1" s="1"/>
  <c r="K2695" i="1" s="1"/>
  <c r="I2694" i="1"/>
  <c r="J2694" i="1" s="1"/>
  <c r="K2694" i="1" s="1"/>
  <c r="I2693" i="1"/>
  <c r="J2693" i="1" s="1"/>
  <c r="K2693" i="1" s="1"/>
  <c r="I2692" i="1"/>
  <c r="J2692" i="1" s="1"/>
  <c r="K2692" i="1" s="1"/>
  <c r="I2691" i="1"/>
  <c r="J2691" i="1" s="1"/>
  <c r="K2691" i="1" s="1"/>
  <c r="I2690" i="1"/>
  <c r="J2690" i="1" s="1"/>
  <c r="K2690" i="1" s="1"/>
  <c r="I2689" i="1"/>
  <c r="J2689" i="1" s="1"/>
  <c r="K2689" i="1" s="1"/>
  <c r="I2688" i="1"/>
  <c r="J2688" i="1" s="1"/>
  <c r="K2688" i="1" s="1"/>
  <c r="I2687" i="1"/>
  <c r="J2687" i="1" s="1"/>
  <c r="K2687" i="1" s="1"/>
  <c r="I2686" i="1"/>
  <c r="J2686" i="1" s="1"/>
  <c r="K2686" i="1" s="1"/>
  <c r="I2685" i="1"/>
  <c r="J2685" i="1" s="1"/>
  <c r="K2685" i="1" s="1"/>
  <c r="I2684" i="1"/>
  <c r="J2684" i="1" s="1"/>
  <c r="K2684" i="1" s="1"/>
  <c r="I2683" i="1"/>
  <c r="J2683" i="1" s="1"/>
  <c r="K2683" i="1" s="1"/>
  <c r="I2682" i="1"/>
  <c r="J2682" i="1" s="1"/>
  <c r="K2682" i="1" s="1"/>
  <c r="I2681" i="1"/>
  <c r="J2681" i="1" s="1"/>
  <c r="K2681" i="1" s="1"/>
  <c r="I2680" i="1"/>
  <c r="J2680" i="1" s="1"/>
  <c r="K2680" i="1" s="1"/>
  <c r="I2679" i="1"/>
  <c r="J2679" i="1" s="1"/>
  <c r="K2679" i="1" s="1"/>
  <c r="I2678" i="1"/>
  <c r="J2678" i="1" s="1"/>
  <c r="K2678" i="1" s="1"/>
  <c r="I2677" i="1"/>
  <c r="J2677" i="1" s="1"/>
  <c r="K2677" i="1" s="1"/>
  <c r="I2676" i="1"/>
  <c r="J2676" i="1" s="1"/>
  <c r="K2676" i="1" s="1"/>
  <c r="I2675" i="1"/>
  <c r="J2675" i="1" s="1"/>
  <c r="K2675" i="1" s="1"/>
  <c r="I2674" i="1"/>
  <c r="J2674" i="1" s="1"/>
  <c r="K2674" i="1" s="1"/>
  <c r="I2673" i="1"/>
  <c r="J2673" i="1" s="1"/>
  <c r="K2673" i="1" s="1"/>
  <c r="I2672" i="1"/>
  <c r="J2672" i="1" s="1"/>
  <c r="K2672" i="1" s="1"/>
  <c r="I2671" i="1"/>
  <c r="J2671" i="1" s="1"/>
  <c r="K2671" i="1" s="1"/>
  <c r="I2670" i="1"/>
  <c r="J2670" i="1" s="1"/>
  <c r="K2670" i="1" s="1"/>
  <c r="I2669" i="1"/>
  <c r="J2669" i="1" s="1"/>
  <c r="K2669" i="1" s="1"/>
  <c r="I2668" i="1"/>
  <c r="J2668" i="1" s="1"/>
  <c r="K2668" i="1" s="1"/>
  <c r="I2667" i="1"/>
  <c r="J2667" i="1" s="1"/>
  <c r="K2667" i="1" s="1"/>
  <c r="I2666" i="1"/>
  <c r="J2666" i="1" s="1"/>
  <c r="K2666" i="1" s="1"/>
  <c r="I2665" i="1"/>
  <c r="J2665" i="1" s="1"/>
  <c r="K2665" i="1" s="1"/>
  <c r="I2664" i="1"/>
  <c r="J2664" i="1" s="1"/>
  <c r="K2664" i="1" s="1"/>
  <c r="I2663" i="1"/>
  <c r="J2663" i="1" s="1"/>
  <c r="K2663" i="1" s="1"/>
  <c r="I2662" i="1"/>
  <c r="J2662" i="1" s="1"/>
  <c r="K2662" i="1" s="1"/>
  <c r="I2661" i="1"/>
  <c r="J2661" i="1" s="1"/>
  <c r="K2661" i="1" s="1"/>
  <c r="I2660" i="1"/>
  <c r="J2660" i="1" s="1"/>
  <c r="K2660" i="1" s="1"/>
  <c r="I2659" i="1"/>
  <c r="J2659" i="1" s="1"/>
  <c r="K2659" i="1" s="1"/>
  <c r="I2658" i="1"/>
  <c r="J2658" i="1" s="1"/>
  <c r="K2658" i="1" s="1"/>
  <c r="I2657" i="1"/>
  <c r="J2657" i="1" s="1"/>
  <c r="K2657" i="1" s="1"/>
  <c r="I2656" i="1"/>
  <c r="J2656" i="1" s="1"/>
  <c r="K2656" i="1" s="1"/>
  <c r="I2655" i="1"/>
  <c r="J2655" i="1" s="1"/>
  <c r="K2655" i="1" s="1"/>
  <c r="I2654" i="1"/>
  <c r="J2654" i="1" s="1"/>
  <c r="K2654" i="1" s="1"/>
  <c r="I2653" i="1"/>
  <c r="J2653" i="1" s="1"/>
  <c r="K2653" i="1" s="1"/>
  <c r="I2652" i="1"/>
  <c r="J2652" i="1" s="1"/>
  <c r="K2652" i="1" s="1"/>
  <c r="I2651" i="1"/>
  <c r="J2651" i="1" s="1"/>
  <c r="K2651" i="1" s="1"/>
  <c r="I2650" i="1"/>
  <c r="J2650" i="1" s="1"/>
  <c r="K2650" i="1" s="1"/>
  <c r="I2649" i="1"/>
  <c r="J2649" i="1" s="1"/>
  <c r="K2649" i="1" s="1"/>
  <c r="I2648" i="1"/>
  <c r="J2648" i="1" s="1"/>
  <c r="K2648" i="1" s="1"/>
  <c r="I2647" i="1"/>
  <c r="J2647" i="1" s="1"/>
  <c r="K2647" i="1" s="1"/>
  <c r="I2646" i="1"/>
  <c r="J2646" i="1" s="1"/>
  <c r="K2646" i="1" s="1"/>
  <c r="I2645" i="1"/>
  <c r="J2645" i="1" s="1"/>
  <c r="K2645" i="1" s="1"/>
  <c r="I2644" i="1"/>
  <c r="J2644" i="1" s="1"/>
  <c r="K2644" i="1" s="1"/>
  <c r="I2643" i="1"/>
  <c r="J2643" i="1" s="1"/>
  <c r="K2643" i="1" s="1"/>
  <c r="I2642" i="1"/>
  <c r="J2642" i="1" s="1"/>
  <c r="K2642" i="1" s="1"/>
  <c r="I2641" i="1"/>
  <c r="J2641" i="1" s="1"/>
  <c r="K2641" i="1" s="1"/>
  <c r="I2640" i="1"/>
  <c r="J2640" i="1" s="1"/>
  <c r="K2640" i="1" s="1"/>
  <c r="I2639" i="1"/>
  <c r="J2639" i="1" s="1"/>
  <c r="K2639" i="1" s="1"/>
  <c r="I2638" i="1"/>
  <c r="J2638" i="1" s="1"/>
  <c r="K2638" i="1" s="1"/>
  <c r="I2637" i="1"/>
  <c r="J2637" i="1" s="1"/>
  <c r="K2637" i="1" s="1"/>
  <c r="I2636" i="1"/>
  <c r="J2636" i="1" s="1"/>
  <c r="K2636" i="1" s="1"/>
  <c r="I2635" i="1"/>
  <c r="J2635" i="1" s="1"/>
  <c r="K2635" i="1" s="1"/>
  <c r="I2634" i="1"/>
  <c r="J2634" i="1" s="1"/>
  <c r="K2634" i="1" s="1"/>
  <c r="I2633" i="1"/>
  <c r="J2633" i="1" s="1"/>
  <c r="K2633" i="1" s="1"/>
  <c r="I2632" i="1"/>
  <c r="J2632" i="1" s="1"/>
  <c r="K2632" i="1" s="1"/>
  <c r="I2631" i="1"/>
  <c r="J2631" i="1" s="1"/>
  <c r="K2631" i="1" s="1"/>
  <c r="I2630" i="1"/>
  <c r="J2630" i="1" s="1"/>
  <c r="K2630" i="1" s="1"/>
  <c r="I2629" i="1"/>
  <c r="J2629" i="1" s="1"/>
  <c r="K2629" i="1" s="1"/>
  <c r="I2628" i="1"/>
  <c r="J2628" i="1" s="1"/>
  <c r="K2628" i="1" s="1"/>
  <c r="I2627" i="1"/>
  <c r="J2627" i="1" s="1"/>
  <c r="K2627" i="1" s="1"/>
  <c r="I2626" i="1"/>
  <c r="J2626" i="1" s="1"/>
  <c r="K2626" i="1" s="1"/>
  <c r="I2625" i="1"/>
  <c r="J2625" i="1" s="1"/>
  <c r="K2625" i="1" s="1"/>
  <c r="I2624" i="1"/>
  <c r="J2624" i="1" s="1"/>
  <c r="K2624" i="1" s="1"/>
  <c r="I2623" i="1"/>
  <c r="J2623" i="1" s="1"/>
  <c r="K2623" i="1" s="1"/>
  <c r="I2622" i="1"/>
  <c r="J2622" i="1" s="1"/>
  <c r="K2622" i="1" s="1"/>
  <c r="I2621" i="1"/>
  <c r="J2621" i="1" s="1"/>
  <c r="K2621" i="1" s="1"/>
  <c r="I2620" i="1"/>
  <c r="J2620" i="1" s="1"/>
  <c r="K2620" i="1" s="1"/>
  <c r="I2619" i="1"/>
  <c r="J2619" i="1" s="1"/>
  <c r="K2619" i="1" s="1"/>
  <c r="I2618" i="1"/>
  <c r="J2618" i="1" s="1"/>
  <c r="K2618" i="1" s="1"/>
  <c r="I2617" i="1"/>
  <c r="J2617" i="1" s="1"/>
  <c r="K2617" i="1" s="1"/>
  <c r="I2616" i="1"/>
  <c r="J2616" i="1" s="1"/>
  <c r="K2616" i="1" s="1"/>
  <c r="I2615" i="1"/>
  <c r="J2615" i="1" s="1"/>
  <c r="K2615" i="1" s="1"/>
  <c r="I2614" i="1"/>
  <c r="J2614" i="1" s="1"/>
  <c r="K2614" i="1" s="1"/>
  <c r="I2613" i="1"/>
  <c r="J2613" i="1" s="1"/>
  <c r="K2613" i="1" s="1"/>
  <c r="I2612" i="1"/>
  <c r="J2612" i="1" s="1"/>
  <c r="K2612" i="1" s="1"/>
  <c r="I2611" i="1"/>
  <c r="J2611" i="1" s="1"/>
  <c r="K2611" i="1" s="1"/>
  <c r="I2610" i="1"/>
  <c r="J2610" i="1" s="1"/>
  <c r="K2610" i="1" s="1"/>
  <c r="I2609" i="1"/>
  <c r="J2609" i="1" s="1"/>
  <c r="K2609" i="1" s="1"/>
  <c r="I2608" i="1"/>
  <c r="J2608" i="1" s="1"/>
  <c r="K2608" i="1" s="1"/>
  <c r="I2607" i="1"/>
  <c r="J2607" i="1" s="1"/>
  <c r="K2607" i="1" s="1"/>
  <c r="I2606" i="1"/>
  <c r="J2606" i="1" s="1"/>
  <c r="K2606" i="1" s="1"/>
  <c r="I2605" i="1"/>
  <c r="J2605" i="1" s="1"/>
  <c r="K2605" i="1" s="1"/>
  <c r="I2604" i="1"/>
  <c r="J2604" i="1" s="1"/>
  <c r="K2604" i="1" s="1"/>
  <c r="I2603" i="1"/>
  <c r="J2603" i="1" s="1"/>
  <c r="K2603" i="1" s="1"/>
  <c r="I2602" i="1"/>
  <c r="J2602" i="1" s="1"/>
  <c r="K2602" i="1" s="1"/>
  <c r="I2601" i="1"/>
  <c r="J2601" i="1" s="1"/>
  <c r="K2601" i="1" s="1"/>
  <c r="I2600" i="1"/>
  <c r="J2600" i="1" s="1"/>
  <c r="K2600" i="1" s="1"/>
  <c r="I2599" i="1"/>
  <c r="J2599" i="1" s="1"/>
  <c r="K2599" i="1" s="1"/>
  <c r="I2598" i="1"/>
  <c r="J2598" i="1" s="1"/>
  <c r="K2598" i="1" s="1"/>
  <c r="I2597" i="1"/>
  <c r="J2597" i="1" s="1"/>
  <c r="K2597" i="1" s="1"/>
  <c r="I2596" i="1"/>
  <c r="J2596" i="1" s="1"/>
  <c r="K2596" i="1" s="1"/>
  <c r="I2595" i="1"/>
  <c r="J2595" i="1" s="1"/>
  <c r="K2595" i="1" s="1"/>
  <c r="I2594" i="1"/>
  <c r="J2594" i="1" s="1"/>
  <c r="K2594" i="1" s="1"/>
  <c r="I2593" i="1"/>
  <c r="J2593" i="1" s="1"/>
  <c r="K2593" i="1" s="1"/>
  <c r="I2592" i="1"/>
  <c r="J2592" i="1" s="1"/>
  <c r="K2592" i="1" s="1"/>
  <c r="I2591" i="1"/>
  <c r="J2591" i="1" s="1"/>
  <c r="K2591" i="1" s="1"/>
  <c r="I2590" i="1"/>
  <c r="J2590" i="1" s="1"/>
  <c r="K2590" i="1" s="1"/>
  <c r="I2589" i="1"/>
  <c r="J2589" i="1" s="1"/>
  <c r="K2589" i="1" s="1"/>
  <c r="I2588" i="1"/>
  <c r="J2588" i="1" s="1"/>
  <c r="K2588" i="1" s="1"/>
  <c r="I2587" i="1"/>
  <c r="J2587" i="1" s="1"/>
  <c r="K2587" i="1" s="1"/>
  <c r="I2586" i="1"/>
  <c r="J2586" i="1" s="1"/>
  <c r="K2586" i="1" s="1"/>
  <c r="I2585" i="1"/>
  <c r="J2585" i="1" s="1"/>
  <c r="K2585" i="1" s="1"/>
  <c r="I2584" i="1"/>
  <c r="J2584" i="1" s="1"/>
  <c r="K2584" i="1" s="1"/>
  <c r="I2583" i="1"/>
  <c r="J2583" i="1" s="1"/>
  <c r="K2583" i="1" s="1"/>
  <c r="I2582" i="1"/>
  <c r="J2582" i="1" s="1"/>
  <c r="K2582" i="1" s="1"/>
  <c r="I2581" i="1"/>
  <c r="J2581" i="1" s="1"/>
  <c r="K2581" i="1" s="1"/>
  <c r="I2580" i="1"/>
  <c r="J2580" i="1" s="1"/>
  <c r="K2580" i="1" s="1"/>
  <c r="I2579" i="1"/>
  <c r="J2579" i="1" s="1"/>
  <c r="K2579" i="1" s="1"/>
  <c r="I2578" i="1"/>
  <c r="J2578" i="1" s="1"/>
  <c r="K2578" i="1" s="1"/>
  <c r="I2577" i="1"/>
  <c r="J2577" i="1" s="1"/>
  <c r="K2577" i="1" s="1"/>
  <c r="I2576" i="1"/>
  <c r="J2576" i="1" s="1"/>
  <c r="K2576" i="1" s="1"/>
  <c r="I2575" i="1"/>
  <c r="J2575" i="1" s="1"/>
  <c r="K2575" i="1" s="1"/>
  <c r="I2574" i="1"/>
  <c r="J2574" i="1" s="1"/>
  <c r="K2574" i="1" s="1"/>
  <c r="I2573" i="1"/>
  <c r="J2573" i="1" s="1"/>
  <c r="K2573" i="1" s="1"/>
  <c r="I2572" i="1"/>
  <c r="J2572" i="1" s="1"/>
  <c r="K2572" i="1" s="1"/>
  <c r="I2571" i="1"/>
  <c r="J2571" i="1" s="1"/>
  <c r="K2571" i="1" s="1"/>
  <c r="I2570" i="1"/>
  <c r="J2570" i="1" s="1"/>
  <c r="K2570" i="1" s="1"/>
  <c r="I2569" i="1"/>
  <c r="J2569" i="1" s="1"/>
  <c r="K2569" i="1" s="1"/>
  <c r="I2568" i="1"/>
  <c r="J2568" i="1" s="1"/>
  <c r="K2568" i="1" s="1"/>
  <c r="I2567" i="1"/>
  <c r="J2567" i="1" s="1"/>
  <c r="K2567" i="1" s="1"/>
  <c r="I2566" i="1"/>
  <c r="J2566" i="1" s="1"/>
  <c r="K2566" i="1" s="1"/>
  <c r="I2565" i="1"/>
  <c r="J2565" i="1" s="1"/>
  <c r="K2565" i="1" s="1"/>
  <c r="I2564" i="1"/>
  <c r="J2564" i="1" s="1"/>
  <c r="K2564" i="1" s="1"/>
  <c r="I2563" i="1"/>
  <c r="J2563" i="1" s="1"/>
  <c r="K2563" i="1" s="1"/>
  <c r="I2562" i="1"/>
  <c r="J2562" i="1" s="1"/>
  <c r="K2562" i="1" s="1"/>
  <c r="I2561" i="1"/>
  <c r="J2561" i="1" s="1"/>
  <c r="K2561" i="1" s="1"/>
  <c r="I2560" i="1"/>
  <c r="J2560" i="1" s="1"/>
  <c r="K2560" i="1" s="1"/>
  <c r="I2559" i="1"/>
  <c r="J2559" i="1" s="1"/>
  <c r="K2559" i="1" s="1"/>
  <c r="I2558" i="1"/>
  <c r="J2558" i="1" s="1"/>
  <c r="K2558" i="1" s="1"/>
  <c r="I2557" i="1"/>
  <c r="J2557" i="1" s="1"/>
  <c r="K2557" i="1" s="1"/>
  <c r="I2556" i="1"/>
  <c r="J2556" i="1" s="1"/>
  <c r="K2556" i="1" s="1"/>
  <c r="I2555" i="1"/>
  <c r="J2555" i="1" s="1"/>
  <c r="K2555" i="1" s="1"/>
  <c r="I2554" i="1"/>
  <c r="J2554" i="1" s="1"/>
  <c r="K2554" i="1" s="1"/>
  <c r="I2553" i="1"/>
  <c r="J2553" i="1" s="1"/>
  <c r="K2553" i="1" s="1"/>
  <c r="I2552" i="1"/>
  <c r="J2552" i="1" s="1"/>
  <c r="K2552" i="1" s="1"/>
  <c r="I2551" i="1"/>
  <c r="J2551" i="1" s="1"/>
  <c r="K2551" i="1" s="1"/>
  <c r="I2550" i="1"/>
  <c r="J2550" i="1" s="1"/>
  <c r="K2550" i="1" s="1"/>
  <c r="I2549" i="1"/>
  <c r="J2549" i="1" s="1"/>
  <c r="K2549" i="1" s="1"/>
  <c r="I2548" i="1"/>
  <c r="J2548" i="1" s="1"/>
  <c r="K2548" i="1" s="1"/>
  <c r="I2547" i="1"/>
  <c r="J2547" i="1" s="1"/>
  <c r="K2547" i="1" s="1"/>
  <c r="I2546" i="1"/>
  <c r="J2546" i="1" s="1"/>
  <c r="K2546" i="1" s="1"/>
  <c r="I2545" i="1"/>
  <c r="J2545" i="1" s="1"/>
  <c r="K2545" i="1" s="1"/>
  <c r="I2544" i="1"/>
  <c r="J2544" i="1" s="1"/>
  <c r="K2544" i="1" s="1"/>
  <c r="I2543" i="1"/>
  <c r="J2543" i="1" s="1"/>
  <c r="K2543" i="1" s="1"/>
  <c r="I2542" i="1"/>
  <c r="J2542" i="1" s="1"/>
  <c r="K2542" i="1" s="1"/>
  <c r="I2541" i="1"/>
  <c r="J2541" i="1" s="1"/>
  <c r="K2541" i="1" s="1"/>
  <c r="I2540" i="1"/>
  <c r="J2540" i="1" s="1"/>
  <c r="K2540" i="1" s="1"/>
  <c r="I2539" i="1"/>
  <c r="J2539" i="1" s="1"/>
  <c r="K2539" i="1" s="1"/>
  <c r="I2538" i="1"/>
  <c r="J2538" i="1" s="1"/>
  <c r="K2538" i="1" s="1"/>
  <c r="I2537" i="1"/>
  <c r="J2537" i="1" s="1"/>
  <c r="K2537" i="1" s="1"/>
  <c r="I2536" i="1"/>
  <c r="J2536" i="1" s="1"/>
  <c r="K2536" i="1" s="1"/>
  <c r="I2535" i="1"/>
  <c r="J2535" i="1" s="1"/>
  <c r="K2535" i="1" s="1"/>
  <c r="I2534" i="1"/>
  <c r="J2534" i="1" s="1"/>
  <c r="K2534" i="1" s="1"/>
  <c r="I2533" i="1"/>
  <c r="J2533" i="1" s="1"/>
  <c r="K2533" i="1" s="1"/>
  <c r="I2532" i="1"/>
  <c r="J2532" i="1" s="1"/>
  <c r="K2532" i="1" s="1"/>
  <c r="I2531" i="1"/>
  <c r="J2531" i="1" s="1"/>
  <c r="K2531" i="1" s="1"/>
  <c r="I2530" i="1"/>
  <c r="J2530" i="1" s="1"/>
  <c r="K2530" i="1" s="1"/>
  <c r="I2529" i="1"/>
  <c r="J2529" i="1" s="1"/>
  <c r="K2529" i="1" s="1"/>
  <c r="I2528" i="1"/>
  <c r="J2528" i="1" s="1"/>
  <c r="K2528" i="1" s="1"/>
  <c r="I2527" i="1"/>
  <c r="J2527" i="1" s="1"/>
  <c r="K2527" i="1" s="1"/>
  <c r="I2526" i="1"/>
  <c r="J2526" i="1" s="1"/>
  <c r="K2526" i="1" s="1"/>
  <c r="I2525" i="1"/>
  <c r="J2525" i="1" s="1"/>
  <c r="K2525" i="1" s="1"/>
  <c r="I2524" i="1"/>
  <c r="J2524" i="1" s="1"/>
  <c r="K2524" i="1" s="1"/>
  <c r="I2523" i="1"/>
  <c r="J2523" i="1" s="1"/>
  <c r="K2523" i="1" s="1"/>
  <c r="I2522" i="1"/>
  <c r="J2522" i="1" s="1"/>
  <c r="K2522" i="1" s="1"/>
  <c r="I2521" i="1"/>
  <c r="J2521" i="1" s="1"/>
  <c r="K2521" i="1" s="1"/>
  <c r="I2520" i="1"/>
  <c r="J2520" i="1" s="1"/>
  <c r="K2520" i="1" s="1"/>
  <c r="I2519" i="1"/>
  <c r="J2519" i="1" s="1"/>
  <c r="K2519" i="1" s="1"/>
  <c r="I2518" i="1"/>
  <c r="J2518" i="1" s="1"/>
  <c r="K2518" i="1" s="1"/>
  <c r="I2517" i="1"/>
  <c r="J2517" i="1" s="1"/>
  <c r="K2517" i="1" s="1"/>
  <c r="I2516" i="1"/>
  <c r="J2516" i="1" s="1"/>
  <c r="K2516" i="1" s="1"/>
  <c r="I2515" i="1"/>
  <c r="J2515" i="1" s="1"/>
  <c r="K2515" i="1" s="1"/>
  <c r="I2514" i="1"/>
  <c r="J2514" i="1" s="1"/>
  <c r="K2514" i="1" s="1"/>
  <c r="I2513" i="1"/>
  <c r="J2513" i="1" s="1"/>
  <c r="K2513" i="1" s="1"/>
  <c r="I2512" i="1"/>
  <c r="J2512" i="1" s="1"/>
  <c r="K2512" i="1" s="1"/>
  <c r="I2511" i="1"/>
  <c r="J2511" i="1" s="1"/>
  <c r="K2511" i="1" s="1"/>
  <c r="I2510" i="1"/>
  <c r="J2510" i="1" s="1"/>
  <c r="K2510" i="1" s="1"/>
  <c r="I2509" i="1"/>
  <c r="J2509" i="1" s="1"/>
  <c r="K2509" i="1" s="1"/>
  <c r="I2508" i="1"/>
  <c r="J2508" i="1" s="1"/>
  <c r="K2508" i="1" s="1"/>
  <c r="I2507" i="1"/>
  <c r="J2507" i="1" s="1"/>
  <c r="K2507" i="1" s="1"/>
  <c r="I2506" i="1"/>
  <c r="J2506" i="1" s="1"/>
  <c r="K2506" i="1" s="1"/>
  <c r="I2505" i="1"/>
  <c r="J2505" i="1" s="1"/>
  <c r="K2505" i="1" s="1"/>
  <c r="I2504" i="1"/>
  <c r="J2504" i="1" s="1"/>
  <c r="K2504" i="1" s="1"/>
  <c r="I2503" i="1"/>
  <c r="J2503" i="1" s="1"/>
  <c r="K2503" i="1" s="1"/>
  <c r="I2502" i="1"/>
  <c r="J2502" i="1" s="1"/>
  <c r="K2502" i="1" s="1"/>
  <c r="I2501" i="1"/>
  <c r="J2501" i="1" s="1"/>
  <c r="K2501" i="1" s="1"/>
  <c r="I2500" i="1"/>
  <c r="J2500" i="1" s="1"/>
  <c r="K2500" i="1" s="1"/>
  <c r="I2499" i="1"/>
  <c r="J2499" i="1" s="1"/>
  <c r="K2499" i="1" s="1"/>
  <c r="I2498" i="1"/>
  <c r="J2498" i="1" s="1"/>
  <c r="K2498" i="1" s="1"/>
  <c r="I2497" i="1"/>
  <c r="J2497" i="1" s="1"/>
  <c r="K2497" i="1" s="1"/>
  <c r="I2496" i="1"/>
  <c r="J2496" i="1" s="1"/>
  <c r="K2496" i="1" s="1"/>
  <c r="I2495" i="1"/>
  <c r="J2495" i="1" s="1"/>
  <c r="K2495" i="1" s="1"/>
  <c r="I2494" i="1"/>
  <c r="J2494" i="1" s="1"/>
  <c r="K2494" i="1" s="1"/>
  <c r="I2493" i="1"/>
  <c r="J2493" i="1" s="1"/>
  <c r="K2493" i="1" s="1"/>
  <c r="I2492" i="1"/>
  <c r="J2492" i="1" s="1"/>
  <c r="K2492" i="1" s="1"/>
  <c r="I2491" i="1"/>
  <c r="J2491" i="1" s="1"/>
  <c r="K2491" i="1" s="1"/>
  <c r="I2490" i="1"/>
  <c r="J2490" i="1" s="1"/>
  <c r="K2490" i="1" s="1"/>
  <c r="I2489" i="1"/>
  <c r="J2489" i="1" s="1"/>
  <c r="K2489" i="1" s="1"/>
  <c r="I2488" i="1"/>
  <c r="J2488" i="1" s="1"/>
  <c r="K2488" i="1" s="1"/>
  <c r="I2487" i="1"/>
  <c r="J2487" i="1" s="1"/>
  <c r="K2487" i="1" s="1"/>
  <c r="I2486" i="1"/>
  <c r="J2486" i="1" s="1"/>
  <c r="K2486" i="1" s="1"/>
  <c r="I2485" i="1"/>
  <c r="J2485" i="1" s="1"/>
  <c r="K2485" i="1" s="1"/>
  <c r="I2484" i="1"/>
  <c r="J2484" i="1" s="1"/>
  <c r="K2484" i="1" s="1"/>
  <c r="I2483" i="1"/>
  <c r="J2483" i="1" s="1"/>
  <c r="K2483" i="1" s="1"/>
  <c r="I2482" i="1"/>
  <c r="J2482" i="1" s="1"/>
  <c r="K2482" i="1" s="1"/>
  <c r="I2481" i="1"/>
  <c r="J2481" i="1" s="1"/>
  <c r="K2481" i="1" s="1"/>
  <c r="I2480" i="1"/>
  <c r="J2480" i="1" s="1"/>
  <c r="K2480" i="1" s="1"/>
  <c r="I2479" i="1"/>
  <c r="J2479" i="1" s="1"/>
  <c r="K2479" i="1" s="1"/>
  <c r="I2478" i="1"/>
  <c r="J2478" i="1" s="1"/>
  <c r="K2478" i="1" s="1"/>
  <c r="I2477" i="1"/>
  <c r="J2477" i="1" s="1"/>
  <c r="K2477" i="1" s="1"/>
  <c r="I2476" i="1"/>
  <c r="J2476" i="1" s="1"/>
  <c r="K2476" i="1" s="1"/>
  <c r="I2475" i="1"/>
  <c r="J2475" i="1" s="1"/>
  <c r="K2475" i="1" s="1"/>
  <c r="I2474" i="1"/>
  <c r="J2474" i="1" s="1"/>
  <c r="K2474" i="1" s="1"/>
  <c r="I2473" i="1"/>
  <c r="J2473" i="1" s="1"/>
  <c r="K2473" i="1" s="1"/>
  <c r="I2472" i="1"/>
  <c r="J2472" i="1" s="1"/>
  <c r="K2472" i="1" s="1"/>
  <c r="I2471" i="1"/>
  <c r="J2471" i="1" s="1"/>
  <c r="K2471" i="1" s="1"/>
  <c r="I2470" i="1"/>
  <c r="J2470" i="1" s="1"/>
  <c r="K2470" i="1" s="1"/>
  <c r="I2469" i="1"/>
  <c r="J2469" i="1" s="1"/>
  <c r="K2469" i="1" s="1"/>
  <c r="I2468" i="1"/>
  <c r="J2468" i="1" s="1"/>
  <c r="K2468" i="1" s="1"/>
  <c r="I2467" i="1"/>
  <c r="J2467" i="1" s="1"/>
  <c r="K2467" i="1" s="1"/>
  <c r="I2466" i="1"/>
  <c r="J2466" i="1" s="1"/>
  <c r="K2466" i="1" s="1"/>
  <c r="I2465" i="1"/>
  <c r="J2465" i="1" s="1"/>
  <c r="K2465" i="1" s="1"/>
  <c r="I2464" i="1"/>
  <c r="J2464" i="1" s="1"/>
  <c r="K2464" i="1" s="1"/>
  <c r="I2463" i="1"/>
  <c r="J2463" i="1" s="1"/>
  <c r="K2463" i="1" s="1"/>
  <c r="I2462" i="1"/>
  <c r="J2462" i="1" s="1"/>
  <c r="K2462" i="1" s="1"/>
  <c r="I2461" i="1"/>
  <c r="J2461" i="1" s="1"/>
  <c r="K2461" i="1" s="1"/>
  <c r="I2460" i="1"/>
  <c r="J2460" i="1" s="1"/>
  <c r="K2460" i="1" s="1"/>
  <c r="I2459" i="1"/>
  <c r="J2459" i="1" s="1"/>
  <c r="K2459" i="1" s="1"/>
  <c r="I2458" i="1"/>
  <c r="J2458" i="1" s="1"/>
  <c r="K2458" i="1" s="1"/>
  <c r="I2457" i="1"/>
  <c r="J2457" i="1" s="1"/>
  <c r="K2457" i="1" s="1"/>
  <c r="I2456" i="1"/>
  <c r="J2456" i="1" s="1"/>
  <c r="K2456" i="1" s="1"/>
  <c r="I2455" i="1"/>
  <c r="J2455" i="1" s="1"/>
  <c r="K2455" i="1" s="1"/>
  <c r="I2454" i="1"/>
  <c r="J2454" i="1" s="1"/>
  <c r="K2454" i="1" s="1"/>
  <c r="I2453" i="1"/>
  <c r="J2453" i="1" s="1"/>
  <c r="K2453" i="1" s="1"/>
  <c r="I2452" i="1"/>
  <c r="J2452" i="1" s="1"/>
  <c r="K2452" i="1" s="1"/>
  <c r="I2451" i="1"/>
  <c r="J2451" i="1" s="1"/>
  <c r="K2451" i="1" s="1"/>
  <c r="I2450" i="1"/>
  <c r="J2450" i="1" s="1"/>
  <c r="K2450" i="1" s="1"/>
  <c r="I2449" i="1"/>
  <c r="J2449" i="1" s="1"/>
  <c r="K2449" i="1" s="1"/>
  <c r="I2448" i="1"/>
  <c r="J2448" i="1" s="1"/>
  <c r="K2448" i="1" s="1"/>
  <c r="I2447" i="1"/>
  <c r="J2447" i="1" s="1"/>
  <c r="K2447" i="1" s="1"/>
  <c r="I2446" i="1"/>
  <c r="J2446" i="1" s="1"/>
  <c r="K2446" i="1" s="1"/>
  <c r="I2445" i="1"/>
  <c r="J2445" i="1" s="1"/>
  <c r="K2445" i="1" s="1"/>
  <c r="I2444" i="1"/>
  <c r="J2444" i="1" s="1"/>
  <c r="K2444" i="1" s="1"/>
  <c r="I2443" i="1"/>
  <c r="J2443" i="1" s="1"/>
  <c r="K2443" i="1" s="1"/>
  <c r="I2442" i="1"/>
  <c r="J2442" i="1" s="1"/>
  <c r="K2442" i="1" s="1"/>
  <c r="I2441" i="1"/>
  <c r="J2441" i="1" s="1"/>
  <c r="K2441" i="1" s="1"/>
  <c r="I2440" i="1"/>
  <c r="J2440" i="1" s="1"/>
  <c r="K2440" i="1" s="1"/>
  <c r="I2439" i="1"/>
  <c r="J2439" i="1" s="1"/>
  <c r="K2439" i="1" s="1"/>
  <c r="I2438" i="1"/>
  <c r="J2438" i="1" s="1"/>
  <c r="K2438" i="1" s="1"/>
  <c r="I2437" i="1"/>
  <c r="J2437" i="1" s="1"/>
  <c r="K2437" i="1" s="1"/>
  <c r="I2436" i="1"/>
  <c r="J2436" i="1" s="1"/>
  <c r="K2436" i="1" s="1"/>
  <c r="I2435" i="1"/>
  <c r="J2435" i="1" s="1"/>
  <c r="K2435" i="1" s="1"/>
  <c r="I2434" i="1"/>
  <c r="J2434" i="1" s="1"/>
  <c r="K2434" i="1" s="1"/>
  <c r="I2433" i="1"/>
  <c r="J2433" i="1" s="1"/>
  <c r="K2433" i="1" s="1"/>
  <c r="I2432" i="1"/>
  <c r="J2432" i="1" s="1"/>
  <c r="K2432" i="1" s="1"/>
  <c r="I2431" i="1"/>
  <c r="J2431" i="1" s="1"/>
  <c r="K2431" i="1" s="1"/>
  <c r="I2430" i="1"/>
  <c r="J2430" i="1" s="1"/>
  <c r="K2430" i="1" s="1"/>
  <c r="I2429" i="1"/>
  <c r="J2429" i="1" s="1"/>
  <c r="K2429" i="1" s="1"/>
  <c r="I2428" i="1"/>
  <c r="J2428" i="1" s="1"/>
  <c r="K2428" i="1" s="1"/>
  <c r="I2427" i="1"/>
  <c r="J2427" i="1" s="1"/>
  <c r="K2427" i="1" s="1"/>
  <c r="I2426" i="1"/>
  <c r="J2426" i="1" s="1"/>
  <c r="K2426" i="1" s="1"/>
  <c r="I2425" i="1"/>
  <c r="J2425" i="1" s="1"/>
  <c r="K2425" i="1" s="1"/>
  <c r="I2424" i="1"/>
  <c r="J2424" i="1" s="1"/>
  <c r="K2424" i="1" s="1"/>
  <c r="I2423" i="1"/>
  <c r="J2423" i="1" s="1"/>
  <c r="K2423" i="1" s="1"/>
  <c r="I2422" i="1"/>
  <c r="J2422" i="1" s="1"/>
  <c r="K2422" i="1" s="1"/>
  <c r="I2421" i="1"/>
  <c r="J2421" i="1" s="1"/>
  <c r="K2421" i="1" s="1"/>
  <c r="I2420" i="1"/>
  <c r="J2420" i="1" s="1"/>
  <c r="K2420" i="1" s="1"/>
  <c r="I2419" i="1"/>
  <c r="J2419" i="1" s="1"/>
  <c r="K2419" i="1" s="1"/>
  <c r="I2418" i="1"/>
  <c r="J2418" i="1" s="1"/>
  <c r="K2418" i="1" s="1"/>
  <c r="I2417" i="1"/>
  <c r="J2417" i="1" s="1"/>
  <c r="K2417" i="1" s="1"/>
  <c r="I2416" i="1"/>
  <c r="J2416" i="1" s="1"/>
  <c r="K2416" i="1" s="1"/>
  <c r="I2415" i="1"/>
  <c r="J2415" i="1" s="1"/>
  <c r="K2415" i="1" s="1"/>
  <c r="I2414" i="1"/>
  <c r="J2414" i="1" s="1"/>
  <c r="K2414" i="1" s="1"/>
  <c r="I2413" i="1"/>
  <c r="J2413" i="1" s="1"/>
  <c r="K2413" i="1" s="1"/>
  <c r="I2412" i="1"/>
  <c r="J2412" i="1" s="1"/>
  <c r="K2412" i="1" s="1"/>
  <c r="I2411" i="1"/>
  <c r="J2411" i="1" s="1"/>
  <c r="K2411" i="1" s="1"/>
  <c r="I2410" i="1"/>
  <c r="J2410" i="1" s="1"/>
  <c r="K2410" i="1" s="1"/>
  <c r="I2409" i="1"/>
  <c r="J2409" i="1" s="1"/>
  <c r="K2409" i="1" s="1"/>
  <c r="I2408" i="1"/>
  <c r="J2408" i="1" s="1"/>
  <c r="K2408" i="1" s="1"/>
  <c r="I2407" i="1"/>
  <c r="J2407" i="1" s="1"/>
  <c r="K2407" i="1" s="1"/>
  <c r="I2406" i="1"/>
  <c r="J2406" i="1" s="1"/>
  <c r="K2406" i="1" s="1"/>
  <c r="I2405" i="1"/>
  <c r="J2405" i="1" s="1"/>
  <c r="K2405" i="1" s="1"/>
  <c r="I2404" i="1"/>
  <c r="J2404" i="1" s="1"/>
  <c r="K2404" i="1" s="1"/>
  <c r="I2403" i="1"/>
  <c r="J2403" i="1" s="1"/>
  <c r="K2403" i="1" s="1"/>
  <c r="I2402" i="1"/>
  <c r="J2402" i="1" s="1"/>
  <c r="K2402" i="1" s="1"/>
  <c r="I2401" i="1"/>
  <c r="J2401" i="1" s="1"/>
  <c r="K2401" i="1" s="1"/>
  <c r="I2400" i="1"/>
  <c r="J2400" i="1" s="1"/>
  <c r="K2400" i="1" s="1"/>
  <c r="I2399" i="1"/>
  <c r="J2399" i="1" s="1"/>
  <c r="K2399" i="1" s="1"/>
  <c r="I2398" i="1"/>
  <c r="J2398" i="1" s="1"/>
  <c r="K2398" i="1" s="1"/>
  <c r="I2397" i="1"/>
  <c r="J2397" i="1" s="1"/>
  <c r="K2397" i="1" s="1"/>
  <c r="I2396" i="1"/>
  <c r="J2396" i="1" s="1"/>
  <c r="K2396" i="1" s="1"/>
  <c r="I2395" i="1"/>
  <c r="J2395" i="1" s="1"/>
  <c r="K2395" i="1" s="1"/>
  <c r="I2394" i="1"/>
  <c r="J2394" i="1" s="1"/>
  <c r="K2394" i="1" s="1"/>
  <c r="I2393" i="1"/>
  <c r="J2393" i="1" s="1"/>
  <c r="K2393" i="1" s="1"/>
  <c r="I2392" i="1"/>
  <c r="J2392" i="1" s="1"/>
  <c r="K2392" i="1" s="1"/>
  <c r="I2391" i="1"/>
  <c r="J2391" i="1" s="1"/>
  <c r="K2391" i="1" s="1"/>
  <c r="I2390" i="1"/>
  <c r="J2390" i="1" s="1"/>
  <c r="K2390" i="1" s="1"/>
  <c r="I2389" i="1"/>
  <c r="J2389" i="1" s="1"/>
  <c r="K2389" i="1" s="1"/>
  <c r="I2388" i="1"/>
  <c r="J2388" i="1" s="1"/>
  <c r="K2388" i="1" s="1"/>
  <c r="I2387" i="1"/>
  <c r="J2387" i="1" s="1"/>
  <c r="K2387" i="1" s="1"/>
  <c r="I2386" i="1"/>
  <c r="J2386" i="1" s="1"/>
  <c r="K2386" i="1" s="1"/>
  <c r="I2385" i="1"/>
  <c r="J2385" i="1" s="1"/>
  <c r="K2385" i="1" s="1"/>
  <c r="I2384" i="1"/>
  <c r="J2384" i="1" s="1"/>
  <c r="K2384" i="1" s="1"/>
  <c r="I2383" i="1"/>
  <c r="J2383" i="1" s="1"/>
  <c r="K2383" i="1" s="1"/>
  <c r="I2382" i="1"/>
  <c r="J2382" i="1" s="1"/>
  <c r="K2382" i="1" s="1"/>
  <c r="I2381" i="1"/>
  <c r="J2381" i="1" s="1"/>
  <c r="K2381" i="1" s="1"/>
  <c r="I2380" i="1"/>
  <c r="J2380" i="1" s="1"/>
  <c r="K2380" i="1" s="1"/>
  <c r="I2379" i="1"/>
  <c r="J2379" i="1" s="1"/>
  <c r="K2379" i="1" s="1"/>
  <c r="I2378" i="1"/>
  <c r="J2378" i="1" s="1"/>
  <c r="K2378" i="1" s="1"/>
  <c r="I2377" i="1"/>
  <c r="J2377" i="1" s="1"/>
  <c r="K2377" i="1" s="1"/>
  <c r="I2376" i="1"/>
  <c r="J2376" i="1" s="1"/>
  <c r="K2376" i="1" s="1"/>
  <c r="I2375" i="1"/>
  <c r="J2375" i="1" s="1"/>
  <c r="K2375" i="1" s="1"/>
  <c r="I2374" i="1"/>
  <c r="J2374" i="1" s="1"/>
  <c r="K2374" i="1" s="1"/>
  <c r="I2373" i="1"/>
  <c r="J2373" i="1" s="1"/>
  <c r="K2373" i="1" s="1"/>
  <c r="I2372" i="1"/>
  <c r="J2372" i="1" s="1"/>
  <c r="K2372" i="1" s="1"/>
  <c r="I2371" i="1"/>
  <c r="J2371" i="1" s="1"/>
  <c r="K2371" i="1" s="1"/>
  <c r="I2370" i="1"/>
  <c r="J2370" i="1" s="1"/>
  <c r="K2370" i="1" s="1"/>
  <c r="I2369" i="1"/>
  <c r="J2369" i="1" s="1"/>
  <c r="K2369" i="1" s="1"/>
  <c r="I2368" i="1"/>
  <c r="J2368" i="1" s="1"/>
  <c r="K2368" i="1" s="1"/>
  <c r="I2367" i="1"/>
  <c r="J2367" i="1" s="1"/>
  <c r="K2367" i="1" s="1"/>
  <c r="I2366" i="1"/>
  <c r="J2366" i="1" s="1"/>
  <c r="K2366" i="1" s="1"/>
  <c r="I2365" i="1"/>
  <c r="J2365" i="1" s="1"/>
  <c r="K2365" i="1" s="1"/>
  <c r="I2364" i="1"/>
  <c r="J2364" i="1" s="1"/>
  <c r="K2364" i="1" s="1"/>
  <c r="I2363" i="1"/>
  <c r="J2363" i="1" s="1"/>
  <c r="K2363" i="1" s="1"/>
  <c r="I2362" i="1"/>
  <c r="J2362" i="1" s="1"/>
  <c r="K2362" i="1" s="1"/>
  <c r="I2361" i="1"/>
  <c r="J2361" i="1" s="1"/>
  <c r="K2361" i="1" s="1"/>
  <c r="I2360" i="1"/>
  <c r="J2360" i="1" s="1"/>
  <c r="K2360" i="1" s="1"/>
  <c r="I2359" i="1"/>
  <c r="J2359" i="1" s="1"/>
  <c r="K2359" i="1" s="1"/>
  <c r="I2358" i="1"/>
  <c r="J2358" i="1" s="1"/>
  <c r="K2358" i="1" s="1"/>
  <c r="I2357" i="1"/>
  <c r="J2357" i="1" s="1"/>
  <c r="K2357" i="1" s="1"/>
  <c r="I2356" i="1"/>
  <c r="J2356" i="1" s="1"/>
  <c r="K2356" i="1" s="1"/>
  <c r="I2355" i="1"/>
  <c r="J2355" i="1" s="1"/>
  <c r="K2355" i="1" s="1"/>
  <c r="I2354" i="1"/>
  <c r="J2354" i="1" s="1"/>
  <c r="K2354" i="1" s="1"/>
  <c r="I2353" i="1"/>
  <c r="J2353" i="1" s="1"/>
  <c r="K2353" i="1" s="1"/>
  <c r="I2352" i="1"/>
  <c r="J2352" i="1" s="1"/>
  <c r="K2352" i="1" s="1"/>
  <c r="I2351" i="1"/>
  <c r="J2351" i="1" s="1"/>
  <c r="K2351" i="1" s="1"/>
  <c r="I2350" i="1"/>
  <c r="J2350" i="1" s="1"/>
  <c r="K2350" i="1" s="1"/>
  <c r="I2349" i="1"/>
  <c r="J2349" i="1" s="1"/>
  <c r="K2349" i="1" s="1"/>
  <c r="I2348" i="1"/>
  <c r="J2348" i="1" s="1"/>
  <c r="K2348" i="1" s="1"/>
  <c r="I2347" i="1"/>
  <c r="J2347" i="1" s="1"/>
  <c r="K2347" i="1" s="1"/>
  <c r="I2346" i="1"/>
  <c r="J2346" i="1" s="1"/>
  <c r="K2346" i="1" s="1"/>
  <c r="I2345" i="1"/>
  <c r="J2345" i="1" s="1"/>
  <c r="K2345" i="1" s="1"/>
  <c r="I2344" i="1"/>
  <c r="J2344" i="1" s="1"/>
  <c r="K2344" i="1" s="1"/>
  <c r="I2343" i="1"/>
  <c r="J2343" i="1" s="1"/>
  <c r="K2343" i="1" s="1"/>
  <c r="I2342" i="1"/>
  <c r="J2342" i="1" s="1"/>
  <c r="K2342" i="1" s="1"/>
  <c r="I2341" i="1"/>
  <c r="J2341" i="1" s="1"/>
  <c r="K2341" i="1" s="1"/>
  <c r="I2340" i="1"/>
  <c r="J2340" i="1" s="1"/>
  <c r="K2340" i="1" s="1"/>
  <c r="I2339" i="1"/>
  <c r="J2339" i="1" s="1"/>
  <c r="K2339" i="1" s="1"/>
  <c r="I2338" i="1"/>
  <c r="J2338" i="1" s="1"/>
  <c r="K2338" i="1" s="1"/>
  <c r="I2337" i="1"/>
  <c r="J2337" i="1" s="1"/>
  <c r="K2337" i="1" s="1"/>
  <c r="I2336" i="1"/>
  <c r="J2336" i="1" s="1"/>
  <c r="K2336" i="1" s="1"/>
  <c r="I2335" i="1"/>
  <c r="J2335" i="1" s="1"/>
  <c r="K2335" i="1" s="1"/>
  <c r="I2334" i="1"/>
  <c r="J2334" i="1" s="1"/>
  <c r="K2334" i="1" s="1"/>
  <c r="I2333" i="1"/>
  <c r="J2333" i="1" s="1"/>
  <c r="K2333" i="1" s="1"/>
  <c r="I2332" i="1"/>
  <c r="J2332" i="1" s="1"/>
  <c r="K2332" i="1" s="1"/>
  <c r="I2331" i="1"/>
  <c r="J2331" i="1" s="1"/>
  <c r="K2331" i="1" s="1"/>
  <c r="I2330" i="1"/>
  <c r="J2330" i="1" s="1"/>
  <c r="K2330" i="1" s="1"/>
  <c r="I2329" i="1"/>
  <c r="J2329" i="1" s="1"/>
  <c r="K2329" i="1" s="1"/>
  <c r="I2328" i="1"/>
  <c r="J2328" i="1" s="1"/>
  <c r="K2328" i="1" s="1"/>
  <c r="I2327" i="1"/>
  <c r="J2327" i="1" s="1"/>
  <c r="K2327" i="1" s="1"/>
  <c r="I2326" i="1"/>
  <c r="J2326" i="1" s="1"/>
  <c r="K2326" i="1" s="1"/>
  <c r="I2325" i="1"/>
  <c r="J2325" i="1" s="1"/>
  <c r="K2325" i="1" s="1"/>
  <c r="I2324" i="1"/>
  <c r="J2324" i="1" s="1"/>
  <c r="K2324" i="1" s="1"/>
  <c r="I2323" i="1"/>
  <c r="J2323" i="1" s="1"/>
  <c r="K2323" i="1" s="1"/>
  <c r="I2322" i="1"/>
  <c r="J2322" i="1" s="1"/>
  <c r="K2322" i="1" s="1"/>
  <c r="I2321" i="1"/>
  <c r="J2321" i="1" s="1"/>
  <c r="K2321" i="1" s="1"/>
  <c r="I2320" i="1"/>
  <c r="J2320" i="1" s="1"/>
  <c r="K2320" i="1" s="1"/>
  <c r="I2319" i="1"/>
  <c r="J2319" i="1" s="1"/>
  <c r="K2319" i="1" s="1"/>
  <c r="I2318" i="1"/>
  <c r="J2318" i="1" s="1"/>
  <c r="K2318" i="1" s="1"/>
  <c r="I2317" i="1"/>
  <c r="J2317" i="1" s="1"/>
  <c r="K2317" i="1" s="1"/>
  <c r="I2316" i="1"/>
  <c r="J2316" i="1" s="1"/>
  <c r="K2316" i="1" s="1"/>
  <c r="I2315" i="1"/>
  <c r="J2315" i="1" s="1"/>
  <c r="K2315" i="1" s="1"/>
  <c r="I2314" i="1"/>
  <c r="J2314" i="1" s="1"/>
  <c r="K2314" i="1" s="1"/>
  <c r="I2313" i="1"/>
  <c r="J2313" i="1" s="1"/>
  <c r="K2313" i="1" s="1"/>
  <c r="I2312" i="1"/>
  <c r="J2312" i="1" s="1"/>
  <c r="K2312" i="1" s="1"/>
  <c r="I2311" i="1"/>
  <c r="J2311" i="1" s="1"/>
  <c r="K2311" i="1" s="1"/>
  <c r="I2310" i="1"/>
  <c r="J2310" i="1" s="1"/>
  <c r="K2310" i="1" s="1"/>
  <c r="I2309" i="1"/>
  <c r="J2309" i="1" s="1"/>
  <c r="K2309" i="1" s="1"/>
  <c r="I2308" i="1"/>
  <c r="J2308" i="1" s="1"/>
  <c r="K2308" i="1" s="1"/>
  <c r="I2307" i="1"/>
  <c r="J2307" i="1" s="1"/>
  <c r="K2307" i="1" s="1"/>
  <c r="I2306" i="1"/>
  <c r="J2306" i="1" s="1"/>
  <c r="K2306" i="1" s="1"/>
  <c r="I2305" i="1"/>
  <c r="J2305" i="1" s="1"/>
  <c r="K2305" i="1" s="1"/>
  <c r="I2304" i="1"/>
  <c r="J2304" i="1" s="1"/>
  <c r="K2304" i="1" s="1"/>
  <c r="I2303" i="1"/>
  <c r="J2303" i="1" s="1"/>
  <c r="K2303" i="1" s="1"/>
  <c r="I2302" i="1"/>
  <c r="J2302" i="1" s="1"/>
  <c r="K2302" i="1" s="1"/>
  <c r="I2301" i="1"/>
  <c r="J2301" i="1" s="1"/>
  <c r="K2301" i="1" s="1"/>
  <c r="I2300" i="1"/>
  <c r="J2300" i="1" s="1"/>
  <c r="K2300" i="1" s="1"/>
  <c r="I2299" i="1"/>
  <c r="J2299" i="1" s="1"/>
  <c r="K2299" i="1" s="1"/>
  <c r="I2298" i="1"/>
  <c r="J2298" i="1" s="1"/>
  <c r="K2298" i="1" s="1"/>
  <c r="I2297" i="1"/>
  <c r="J2297" i="1" s="1"/>
  <c r="K2297" i="1" s="1"/>
  <c r="I2296" i="1"/>
  <c r="J2296" i="1" s="1"/>
  <c r="K2296" i="1" s="1"/>
  <c r="I2295" i="1"/>
  <c r="J2295" i="1" s="1"/>
  <c r="K2295" i="1" s="1"/>
  <c r="I2294" i="1"/>
  <c r="J2294" i="1" s="1"/>
  <c r="K2294" i="1" s="1"/>
  <c r="I2293" i="1"/>
  <c r="J2293" i="1" s="1"/>
  <c r="K2293" i="1" s="1"/>
  <c r="I2292" i="1"/>
  <c r="J2292" i="1" s="1"/>
  <c r="K2292" i="1" s="1"/>
  <c r="I2291" i="1"/>
  <c r="J2291" i="1" s="1"/>
  <c r="K2291" i="1" s="1"/>
  <c r="I2290" i="1"/>
  <c r="J2290" i="1" s="1"/>
  <c r="K2290" i="1" s="1"/>
  <c r="I2289" i="1"/>
  <c r="J2289" i="1" s="1"/>
  <c r="K2289" i="1" s="1"/>
  <c r="I2288" i="1"/>
  <c r="J2288" i="1" s="1"/>
  <c r="K2288" i="1" s="1"/>
  <c r="I2287" i="1"/>
  <c r="J2287" i="1" s="1"/>
  <c r="K2287" i="1" s="1"/>
  <c r="I2286" i="1"/>
  <c r="J2286" i="1" s="1"/>
  <c r="K2286" i="1" s="1"/>
  <c r="I2285" i="1"/>
  <c r="J2285" i="1" s="1"/>
  <c r="K2285" i="1" s="1"/>
  <c r="I2284" i="1"/>
  <c r="J2284" i="1" s="1"/>
  <c r="K2284" i="1" s="1"/>
  <c r="I2283" i="1"/>
  <c r="J2283" i="1" s="1"/>
  <c r="K2283" i="1" s="1"/>
  <c r="I2282" i="1"/>
  <c r="J2282" i="1" s="1"/>
  <c r="K2282" i="1" s="1"/>
  <c r="I2281" i="1"/>
  <c r="J2281" i="1" s="1"/>
  <c r="K2281" i="1" s="1"/>
  <c r="I2280" i="1"/>
  <c r="J2280" i="1" s="1"/>
  <c r="K2280" i="1" s="1"/>
  <c r="I2279" i="1"/>
  <c r="J2279" i="1" s="1"/>
  <c r="K2279" i="1" s="1"/>
  <c r="I2278" i="1"/>
  <c r="J2278" i="1" s="1"/>
  <c r="K2278" i="1" s="1"/>
  <c r="I2277" i="1"/>
  <c r="J2277" i="1" s="1"/>
  <c r="K2277" i="1" s="1"/>
  <c r="I2276" i="1"/>
  <c r="J2276" i="1" s="1"/>
  <c r="K2276" i="1" s="1"/>
  <c r="I2275" i="1"/>
  <c r="J2275" i="1" s="1"/>
  <c r="K2275" i="1" s="1"/>
  <c r="I2274" i="1"/>
  <c r="J2274" i="1" s="1"/>
  <c r="K2274" i="1" s="1"/>
  <c r="I2273" i="1"/>
  <c r="J2273" i="1" s="1"/>
  <c r="K2273" i="1" s="1"/>
  <c r="I2272" i="1"/>
  <c r="J2272" i="1" s="1"/>
  <c r="K2272" i="1" s="1"/>
  <c r="I2271" i="1"/>
  <c r="J2271" i="1" s="1"/>
  <c r="K2271" i="1" s="1"/>
  <c r="I2270" i="1"/>
  <c r="J2270" i="1" s="1"/>
  <c r="K2270" i="1" s="1"/>
  <c r="I2269" i="1"/>
  <c r="J2269" i="1" s="1"/>
  <c r="K2269" i="1" s="1"/>
  <c r="I2268" i="1"/>
  <c r="J2268" i="1" s="1"/>
  <c r="K2268" i="1" s="1"/>
  <c r="I2267" i="1"/>
  <c r="J2267" i="1" s="1"/>
  <c r="K2267" i="1" s="1"/>
  <c r="I2266" i="1"/>
  <c r="J2266" i="1" s="1"/>
  <c r="K2266" i="1" s="1"/>
  <c r="I2265" i="1"/>
  <c r="J2265" i="1" s="1"/>
  <c r="K2265" i="1" s="1"/>
  <c r="I2264" i="1"/>
  <c r="J2264" i="1" s="1"/>
  <c r="K2264" i="1" s="1"/>
  <c r="I2263" i="1"/>
  <c r="J2263" i="1" s="1"/>
  <c r="K2263" i="1" s="1"/>
  <c r="I2262" i="1"/>
  <c r="J2262" i="1" s="1"/>
  <c r="K2262" i="1" s="1"/>
  <c r="I2261" i="1"/>
  <c r="J2261" i="1" s="1"/>
  <c r="K2261" i="1" s="1"/>
  <c r="I2260" i="1"/>
  <c r="J2260" i="1" s="1"/>
  <c r="K2260" i="1" s="1"/>
  <c r="I2259" i="1"/>
  <c r="J2259" i="1" s="1"/>
  <c r="K2259" i="1" s="1"/>
  <c r="I2258" i="1"/>
  <c r="J2258" i="1" s="1"/>
  <c r="K2258" i="1" s="1"/>
  <c r="I2257" i="1"/>
  <c r="J2257" i="1" s="1"/>
  <c r="K2257" i="1" s="1"/>
  <c r="I2256" i="1"/>
  <c r="J2256" i="1" s="1"/>
  <c r="K2256" i="1" s="1"/>
  <c r="I2255" i="1"/>
  <c r="J2255" i="1" s="1"/>
  <c r="K2255" i="1" s="1"/>
  <c r="I2254" i="1"/>
  <c r="J2254" i="1" s="1"/>
  <c r="K2254" i="1" s="1"/>
  <c r="I2253" i="1"/>
  <c r="J2253" i="1" s="1"/>
  <c r="K2253" i="1" s="1"/>
  <c r="I2252" i="1"/>
  <c r="J2252" i="1" s="1"/>
  <c r="K2252" i="1" s="1"/>
  <c r="I2251" i="1"/>
  <c r="J2251" i="1" s="1"/>
  <c r="K2251" i="1" s="1"/>
  <c r="I2250" i="1"/>
  <c r="J2250" i="1" s="1"/>
  <c r="K2250" i="1" s="1"/>
  <c r="I2249" i="1"/>
  <c r="J2249" i="1" s="1"/>
  <c r="K2249" i="1" s="1"/>
  <c r="I2248" i="1"/>
  <c r="J2248" i="1" s="1"/>
  <c r="K2248" i="1" s="1"/>
  <c r="I2247" i="1"/>
  <c r="J2247" i="1" s="1"/>
  <c r="K2247" i="1" s="1"/>
  <c r="I2246" i="1"/>
  <c r="J2246" i="1" s="1"/>
  <c r="K2246" i="1" s="1"/>
  <c r="I2245" i="1"/>
  <c r="J2245" i="1" s="1"/>
  <c r="K2245" i="1" s="1"/>
  <c r="I2244" i="1"/>
  <c r="J2244" i="1" s="1"/>
  <c r="K2244" i="1" s="1"/>
  <c r="I2243" i="1"/>
  <c r="J2243" i="1" s="1"/>
  <c r="K2243" i="1" s="1"/>
  <c r="I2242" i="1"/>
  <c r="J2242" i="1" s="1"/>
  <c r="K2242" i="1" s="1"/>
  <c r="I2241" i="1"/>
  <c r="J2241" i="1" s="1"/>
  <c r="K2241" i="1" s="1"/>
  <c r="I2240" i="1"/>
  <c r="J2240" i="1" s="1"/>
  <c r="K2240" i="1" s="1"/>
  <c r="I2239" i="1"/>
  <c r="J2239" i="1" s="1"/>
  <c r="K2239" i="1" s="1"/>
  <c r="I2238" i="1"/>
  <c r="J2238" i="1" s="1"/>
  <c r="K2238" i="1" s="1"/>
  <c r="I2237" i="1"/>
  <c r="J2237" i="1" s="1"/>
  <c r="K2237" i="1" s="1"/>
  <c r="I2236" i="1"/>
  <c r="J2236" i="1" s="1"/>
  <c r="K2236" i="1" s="1"/>
  <c r="I2235" i="1"/>
  <c r="J2235" i="1" s="1"/>
  <c r="K2235" i="1" s="1"/>
  <c r="I2234" i="1"/>
  <c r="J2234" i="1" s="1"/>
  <c r="K2234" i="1" s="1"/>
  <c r="I2233" i="1"/>
  <c r="J2233" i="1" s="1"/>
  <c r="K2233" i="1" s="1"/>
  <c r="I2232" i="1"/>
  <c r="J2232" i="1" s="1"/>
  <c r="K2232" i="1" s="1"/>
  <c r="I2231" i="1"/>
  <c r="J2231" i="1" s="1"/>
  <c r="K2231" i="1" s="1"/>
  <c r="I2230" i="1"/>
  <c r="J2230" i="1" s="1"/>
  <c r="K2230" i="1" s="1"/>
  <c r="I2229" i="1"/>
  <c r="J2229" i="1" s="1"/>
  <c r="K2229" i="1" s="1"/>
  <c r="I2228" i="1"/>
  <c r="J2228" i="1" s="1"/>
  <c r="K2228" i="1" s="1"/>
  <c r="I2227" i="1"/>
  <c r="J2227" i="1" s="1"/>
  <c r="K2227" i="1" s="1"/>
  <c r="I2226" i="1"/>
  <c r="J2226" i="1" s="1"/>
  <c r="K2226" i="1" s="1"/>
  <c r="I2225" i="1"/>
  <c r="J2225" i="1" s="1"/>
  <c r="K2225" i="1" s="1"/>
  <c r="I2224" i="1"/>
  <c r="J2224" i="1" s="1"/>
  <c r="K2224" i="1" s="1"/>
  <c r="I2223" i="1"/>
  <c r="J2223" i="1" s="1"/>
  <c r="K2223" i="1" s="1"/>
  <c r="I2222" i="1"/>
  <c r="J2222" i="1" s="1"/>
  <c r="K2222" i="1" s="1"/>
  <c r="I2221" i="1"/>
  <c r="J2221" i="1" s="1"/>
  <c r="K2221" i="1" s="1"/>
  <c r="I2220" i="1"/>
  <c r="J2220" i="1" s="1"/>
  <c r="K2220" i="1" s="1"/>
  <c r="I2219" i="1"/>
  <c r="J2219" i="1" s="1"/>
  <c r="K2219" i="1" s="1"/>
  <c r="I2218" i="1"/>
  <c r="J2218" i="1" s="1"/>
  <c r="K2218" i="1" s="1"/>
  <c r="I2217" i="1"/>
  <c r="J2217" i="1" s="1"/>
  <c r="K2217" i="1" s="1"/>
  <c r="I2216" i="1"/>
  <c r="J2216" i="1" s="1"/>
  <c r="K2216" i="1" s="1"/>
  <c r="I2215" i="1"/>
  <c r="J2215" i="1" s="1"/>
  <c r="K2215" i="1" s="1"/>
  <c r="I2214" i="1"/>
  <c r="J2214" i="1" s="1"/>
  <c r="K2214" i="1" s="1"/>
  <c r="I2213" i="1"/>
  <c r="J2213" i="1" s="1"/>
  <c r="K2213" i="1" s="1"/>
  <c r="I2212" i="1"/>
  <c r="J2212" i="1" s="1"/>
  <c r="K2212" i="1" s="1"/>
  <c r="I2211" i="1"/>
  <c r="J2211" i="1" s="1"/>
  <c r="K2211" i="1" s="1"/>
  <c r="I2210" i="1"/>
  <c r="J2210" i="1" s="1"/>
  <c r="K2210" i="1" s="1"/>
  <c r="I2209" i="1"/>
  <c r="J2209" i="1" s="1"/>
  <c r="K2209" i="1" s="1"/>
  <c r="I2208" i="1"/>
  <c r="J2208" i="1" s="1"/>
  <c r="K2208" i="1" s="1"/>
  <c r="I2207" i="1"/>
  <c r="J2207" i="1" s="1"/>
  <c r="K2207" i="1" s="1"/>
  <c r="I2206" i="1"/>
  <c r="J2206" i="1" s="1"/>
  <c r="K2206" i="1" s="1"/>
  <c r="I2205" i="1"/>
  <c r="J2205" i="1" s="1"/>
  <c r="K2205" i="1" s="1"/>
  <c r="I2204" i="1"/>
  <c r="J2204" i="1" s="1"/>
  <c r="K2204" i="1" s="1"/>
  <c r="I2203" i="1"/>
  <c r="J2203" i="1" s="1"/>
  <c r="K2203" i="1" s="1"/>
  <c r="I2202" i="1"/>
  <c r="J2202" i="1" s="1"/>
  <c r="K2202" i="1" s="1"/>
  <c r="I2201" i="1"/>
  <c r="J2201" i="1" s="1"/>
  <c r="K2201" i="1" s="1"/>
  <c r="I2200" i="1"/>
  <c r="J2200" i="1" s="1"/>
  <c r="K2200" i="1" s="1"/>
  <c r="I2199" i="1"/>
  <c r="J2199" i="1" s="1"/>
  <c r="K2199" i="1" s="1"/>
  <c r="I2198" i="1"/>
  <c r="J2198" i="1" s="1"/>
  <c r="K2198" i="1" s="1"/>
  <c r="I2197" i="1"/>
  <c r="J2197" i="1" s="1"/>
  <c r="K2197" i="1" s="1"/>
  <c r="I2196" i="1"/>
  <c r="J2196" i="1" s="1"/>
  <c r="K2196" i="1" s="1"/>
  <c r="I2195" i="1"/>
  <c r="J2195" i="1" s="1"/>
  <c r="K2195" i="1" s="1"/>
  <c r="I2194" i="1"/>
  <c r="J2194" i="1" s="1"/>
  <c r="K2194" i="1" s="1"/>
  <c r="I2193" i="1"/>
  <c r="J2193" i="1" s="1"/>
  <c r="K2193" i="1" s="1"/>
  <c r="I2192" i="1"/>
  <c r="J2192" i="1" s="1"/>
  <c r="K2192" i="1" s="1"/>
  <c r="I2191" i="1"/>
  <c r="J2191" i="1" s="1"/>
  <c r="K2191" i="1" s="1"/>
  <c r="I2190" i="1"/>
  <c r="J2190" i="1" s="1"/>
  <c r="K2190" i="1" s="1"/>
  <c r="I2189" i="1"/>
  <c r="J2189" i="1" s="1"/>
  <c r="K2189" i="1" s="1"/>
  <c r="I2188" i="1"/>
  <c r="J2188" i="1" s="1"/>
  <c r="K2188" i="1" s="1"/>
  <c r="I2187" i="1"/>
  <c r="J2187" i="1" s="1"/>
  <c r="K2187" i="1" s="1"/>
  <c r="I2186" i="1"/>
  <c r="J2186" i="1" s="1"/>
  <c r="K2186" i="1" s="1"/>
  <c r="I2185" i="1"/>
  <c r="J2185" i="1" s="1"/>
  <c r="K2185" i="1" s="1"/>
  <c r="I2184" i="1"/>
  <c r="J2184" i="1" s="1"/>
  <c r="K2184" i="1" s="1"/>
  <c r="I2183" i="1"/>
  <c r="J2183" i="1" s="1"/>
  <c r="K2183" i="1" s="1"/>
  <c r="I2182" i="1"/>
  <c r="J2182" i="1" s="1"/>
  <c r="K2182" i="1" s="1"/>
  <c r="I2181" i="1"/>
  <c r="J2181" i="1" s="1"/>
  <c r="K2181" i="1" s="1"/>
  <c r="I2180" i="1"/>
  <c r="J2180" i="1" s="1"/>
  <c r="K2180" i="1" s="1"/>
  <c r="I2179" i="1"/>
  <c r="J2179" i="1" s="1"/>
  <c r="K2179" i="1" s="1"/>
  <c r="I2178" i="1"/>
  <c r="J2178" i="1" s="1"/>
  <c r="K2178" i="1" s="1"/>
  <c r="I2177" i="1"/>
  <c r="J2177" i="1" s="1"/>
  <c r="K2177" i="1" s="1"/>
  <c r="I2176" i="1"/>
  <c r="J2176" i="1" s="1"/>
  <c r="K2176" i="1" s="1"/>
  <c r="I2175" i="1"/>
  <c r="J2175" i="1" s="1"/>
  <c r="K2175" i="1" s="1"/>
  <c r="I2174" i="1"/>
  <c r="J2174" i="1" s="1"/>
  <c r="K2174" i="1" s="1"/>
  <c r="I2173" i="1"/>
  <c r="J2173" i="1" s="1"/>
  <c r="K2173" i="1" s="1"/>
  <c r="I2172" i="1"/>
  <c r="J2172" i="1" s="1"/>
  <c r="K2172" i="1" s="1"/>
  <c r="I2171" i="1"/>
  <c r="J2171" i="1" s="1"/>
  <c r="K2171" i="1" s="1"/>
  <c r="I2170" i="1"/>
  <c r="J2170" i="1" s="1"/>
  <c r="K2170" i="1" s="1"/>
  <c r="I2169" i="1"/>
  <c r="J2169" i="1" s="1"/>
  <c r="K2169" i="1" s="1"/>
  <c r="I2168" i="1"/>
  <c r="J2168" i="1" s="1"/>
  <c r="K2168" i="1" s="1"/>
  <c r="I2167" i="1"/>
  <c r="J2167" i="1" s="1"/>
  <c r="K2167" i="1" s="1"/>
  <c r="I2166" i="1"/>
  <c r="J2166" i="1" s="1"/>
  <c r="K2166" i="1" s="1"/>
  <c r="I2165" i="1"/>
  <c r="J2165" i="1" s="1"/>
  <c r="K2165" i="1" s="1"/>
  <c r="I2164" i="1"/>
  <c r="J2164" i="1" s="1"/>
  <c r="K2164" i="1" s="1"/>
  <c r="I2163" i="1"/>
  <c r="J2163" i="1" s="1"/>
  <c r="K2163" i="1" s="1"/>
  <c r="I2162" i="1"/>
  <c r="J2162" i="1" s="1"/>
  <c r="K2162" i="1" s="1"/>
  <c r="I2161" i="1"/>
  <c r="J2161" i="1" s="1"/>
  <c r="K2161" i="1" s="1"/>
  <c r="I2160" i="1"/>
  <c r="J2160" i="1" s="1"/>
  <c r="K2160" i="1" s="1"/>
  <c r="I2159" i="1"/>
  <c r="J2159" i="1" s="1"/>
  <c r="K2159" i="1" s="1"/>
  <c r="I2158" i="1"/>
  <c r="J2158" i="1" s="1"/>
  <c r="K2158" i="1" s="1"/>
  <c r="I2157" i="1"/>
  <c r="J2157" i="1" s="1"/>
  <c r="K2157" i="1" s="1"/>
  <c r="I2156" i="1"/>
  <c r="J2156" i="1" s="1"/>
  <c r="K2156" i="1" s="1"/>
  <c r="I2155" i="1"/>
  <c r="J2155" i="1" s="1"/>
  <c r="K2155" i="1" s="1"/>
  <c r="I2154" i="1"/>
  <c r="J2154" i="1" s="1"/>
  <c r="K2154" i="1" s="1"/>
  <c r="I2153" i="1"/>
  <c r="J2153" i="1" s="1"/>
  <c r="K2153" i="1" s="1"/>
  <c r="I2152" i="1"/>
  <c r="J2152" i="1" s="1"/>
  <c r="K2152" i="1" s="1"/>
  <c r="I2151" i="1"/>
  <c r="J2151" i="1" s="1"/>
  <c r="K2151" i="1" s="1"/>
  <c r="I2150" i="1"/>
  <c r="J2150" i="1" s="1"/>
  <c r="K2150" i="1" s="1"/>
  <c r="I2149" i="1"/>
  <c r="J2149" i="1" s="1"/>
  <c r="K2149" i="1" s="1"/>
  <c r="I2148" i="1"/>
  <c r="J2148" i="1" s="1"/>
  <c r="K2148" i="1" s="1"/>
  <c r="I2147" i="1"/>
  <c r="J2147" i="1" s="1"/>
  <c r="K2147" i="1" s="1"/>
  <c r="I2146" i="1"/>
  <c r="J2146" i="1" s="1"/>
  <c r="K2146" i="1" s="1"/>
  <c r="I2145" i="1"/>
  <c r="J2145" i="1" s="1"/>
  <c r="K2145" i="1" s="1"/>
  <c r="I2144" i="1"/>
  <c r="J2144" i="1" s="1"/>
  <c r="K2144" i="1" s="1"/>
  <c r="I2143" i="1"/>
  <c r="J2143" i="1" s="1"/>
  <c r="K2143" i="1" s="1"/>
  <c r="I2142" i="1"/>
  <c r="J2142" i="1" s="1"/>
  <c r="K2142" i="1" s="1"/>
  <c r="I2141" i="1"/>
  <c r="J2141" i="1" s="1"/>
  <c r="K2141" i="1" s="1"/>
  <c r="I2140" i="1"/>
  <c r="J2140" i="1" s="1"/>
  <c r="K2140" i="1" s="1"/>
  <c r="I2139" i="1"/>
  <c r="J2139" i="1" s="1"/>
  <c r="K2139" i="1" s="1"/>
  <c r="I2138" i="1"/>
  <c r="J2138" i="1" s="1"/>
  <c r="K2138" i="1" s="1"/>
  <c r="I2137" i="1"/>
  <c r="J2137" i="1" s="1"/>
  <c r="K2137" i="1" s="1"/>
  <c r="I2136" i="1"/>
  <c r="J2136" i="1" s="1"/>
  <c r="K2136" i="1" s="1"/>
  <c r="I2135" i="1"/>
  <c r="J2135" i="1" s="1"/>
  <c r="K2135" i="1" s="1"/>
  <c r="I2134" i="1"/>
  <c r="J2134" i="1" s="1"/>
  <c r="K2134" i="1" s="1"/>
  <c r="I2133" i="1"/>
  <c r="J2133" i="1" s="1"/>
  <c r="K2133" i="1" s="1"/>
  <c r="I2132" i="1"/>
  <c r="J2132" i="1" s="1"/>
  <c r="K2132" i="1" s="1"/>
  <c r="I2131" i="1"/>
  <c r="J2131" i="1" s="1"/>
  <c r="K2131" i="1" s="1"/>
  <c r="I2130" i="1"/>
  <c r="J2130" i="1" s="1"/>
  <c r="K2130" i="1" s="1"/>
  <c r="I2129" i="1"/>
  <c r="J2129" i="1" s="1"/>
  <c r="K2129" i="1" s="1"/>
  <c r="I2128" i="1"/>
  <c r="J2128" i="1" s="1"/>
  <c r="K2128" i="1" s="1"/>
  <c r="I2127" i="1"/>
  <c r="J2127" i="1" s="1"/>
  <c r="K2127" i="1" s="1"/>
  <c r="I2126" i="1"/>
  <c r="J2126" i="1" s="1"/>
  <c r="K2126" i="1" s="1"/>
  <c r="I2125" i="1"/>
  <c r="J2125" i="1" s="1"/>
  <c r="K2125" i="1" s="1"/>
  <c r="I2124" i="1"/>
  <c r="J2124" i="1" s="1"/>
  <c r="K2124" i="1" s="1"/>
  <c r="I2123" i="1"/>
  <c r="J2123" i="1" s="1"/>
  <c r="K2123" i="1" s="1"/>
  <c r="I2122" i="1"/>
  <c r="J2122" i="1" s="1"/>
  <c r="K2122" i="1" s="1"/>
  <c r="I2121" i="1"/>
  <c r="J2121" i="1" s="1"/>
  <c r="K2121" i="1" s="1"/>
  <c r="I2120" i="1"/>
  <c r="J2120" i="1" s="1"/>
  <c r="K2120" i="1" s="1"/>
  <c r="I2119" i="1"/>
  <c r="J2119" i="1" s="1"/>
  <c r="K2119" i="1" s="1"/>
  <c r="I2118" i="1"/>
  <c r="J2118" i="1" s="1"/>
  <c r="K2118" i="1" s="1"/>
  <c r="I2117" i="1"/>
  <c r="J2117" i="1" s="1"/>
  <c r="K2117" i="1" s="1"/>
  <c r="I2116" i="1"/>
  <c r="J2116" i="1" s="1"/>
  <c r="K2116" i="1" s="1"/>
  <c r="I2115" i="1"/>
  <c r="J2115" i="1" s="1"/>
  <c r="K2115" i="1" s="1"/>
  <c r="I2114" i="1"/>
  <c r="J2114" i="1" s="1"/>
  <c r="K2114" i="1" s="1"/>
  <c r="I2113" i="1"/>
  <c r="J2113" i="1" s="1"/>
  <c r="K2113" i="1" s="1"/>
  <c r="I2112" i="1"/>
  <c r="J2112" i="1" s="1"/>
  <c r="K2112" i="1" s="1"/>
  <c r="I2111" i="1"/>
  <c r="J2111" i="1" s="1"/>
  <c r="K2111" i="1" s="1"/>
  <c r="I2110" i="1"/>
  <c r="J2110" i="1" s="1"/>
  <c r="K2110" i="1" s="1"/>
  <c r="I2109" i="1"/>
  <c r="J2109" i="1" s="1"/>
  <c r="K2109" i="1" s="1"/>
  <c r="I2108" i="1"/>
  <c r="J2108" i="1" s="1"/>
  <c r="K2108" i="1" s="1"/>
  <c r="I2107" i="1"/>
  <c r="J2107" i="1" s="1"/>
  <c r="K2107" i="1" s="1"/>
  <c r="I2106" i="1"/>
  <c r="J2106" i="1" s="1"/>
  <c r="K2106" i="1" s="1"/>
  <c r="I2105" i="1"/>
  <c r="J2105" i="1" s="1"/>
  <c r="K2105" i="1" s="1"/>
  <c r="I2104" i="1"/>
  <c r="J2104" i="1" s="1"/>
  <c r="K2104" i="1" s="1"/>
  <c r="I2103" i="1"/>
  <c r="J2103" i="1" s="1"/>
  <c r="K2103" i="1" s="1"/>
  <c r="I2102" i="1"/>
  <c r="J2102" i="1" s="1"/>
  <c r="K2102" i="1" s="1"/>
  <c r="I2101" i="1"/>
  <c r="J2101" i="1" s="1"/>
  <c r="K2101" i="1" s="1"/>
  <c r="I2100" i="1"/>
  <c r="J2100" i="1" s="1"/>
  <c r="K2100" i="1" s="1"/>
  <c r="I2099" i="1"/>
  <c r="J2099" i="1" s="1"/>
  <c r="K2099" i="1" s="1"/>
  <c r="I2098" i="1"/>
  <c r="J2098" i="1" s="1"/>
  <c r="K2098" i="1" s="1"/>
  <c r="I2097" i="1"/>
  <c r="J2097" i="1" s="1"/>
  <c r="K2097" i="1" s="1"/>
  <c r="I2096" i="1"/>
  <c r="J2096" i="1" s="1"/>
  <c r="K2096" i="1" s="1"/>
  <c r="I2095" i="1"/>
  <c r="J2095" i="1" s="1"/>
  <c r="K2095" i="1" s="1"/>
  <c r="I2094" i="1"/>
  <c r="J2094" i="1" s="1"/>
  <c r="K2094" i="1" s="1"/>
  <c r="I2093" i="1"/>
  <c r="J2093" i="1" s="1"/>
  <c r="K2093" i="1" s="1"/>
  <c r="I2092" i="1"/>
  <c r="J2092" i="1" s="1"/>
  <c r="K2092" i="1" s="1"/>
  <c r="I2091" i="1"/>
  <c r="J2091" i="1" s="1"/>
  <c r="K2091" i="1" s="1"/>
  <c r="I2090" i="1"/>
  <c r="J2090" i="1" s="1"/>
  <c r="K2090" i="1" s="1"/>
  <c r="I2089" i="1"/>
  <c r="J2089" i="1" s="1"/>
  <c r="K2089" i="1" s="1"/>
  <c r="I2088" i="1"/>
  <c r="J2088" i="1" s="1"/>
  <c r="K2088" i="1" s="1"/>
  <c r="I2087" i="1"/>
  <c r="J2087" i="1" s="1"/>
  <c r="K2087" i="1" s="1"/>
  <c r="I2086" i="1"/>
  <c r="J2086" i="1" s="1"/>
  <c r="K2086" i="1" s="1"/>
  <c r="I2085" i="1"/>
  <c r="J2085" i="1" s="1"/>
  <c r="K2085" i="1" s="1"/>
  <c r="I2084" i="1"/>
  <c r="J2084" i="1" s="1"/>
  <c r="K2084" i="1" s="1"/>
  <c r="I2083" i="1"/>
  <c r="J2083" i="1" s="1"/>
  <c r="K2083" i="1" s="1"/>
  <c r="I2082" i="1"/>
  <c r="J2082" i="1" s="1"/>
  <c r="K2082" i="1" s="1"/>
  <c r="I2081" i="1"/>
  <c r="J2081" i="1" s="1"/>
  <c r="K2081" i="1" s="1"/>
  <c r="I2080" i="1"/>
  <c r="J2080" i="1" s="1"/>
  <c r="K2080" i="1" s="1"/>
  <c r="I2079" i="1"/>
  <c r="J2079" i="1" s="1"/>
  <c r="K2079" i="1" s="1"/>
  <c r="I2078" i="1"/>
  <c r="J2078" i="1" s="1"/>
  <c r="K2078" i="1" s="1"/>
  <c r="I2077" i="1"/>
  <c r="J2077" i="1" s="1"/>
  <c r="K2077" i="1" s="1"/>
  <c r="I2076" i="1"/>
  <c r="J2076" i="1" s="1"/>
  <c r="K2076" i="1" s="1"/>
  <c r="I2075" i="1"/>
  <c r="J2075" i="1" s="1"/>
  <c r="K2075" i="1" s="1"/>
  <c r="I2074" i="1"/>
  <c r="J2074" i="1" s="1"/>
  <c r="K2074" i="1" s="1"/>
  <c r="I2073" i="1"/>
  <c r="J2073" i="1" s="1"/>
  <c r="K2073" i="1" s="1"/>
  <c r="I2072" i="1"/>
  <c r="J2072" i="1" s="1"/>
  <c r="K2072" i="1" s="1"/>
  <c r="I2071" i="1"/>
  <c r="J2071" i="1" s="1"/>
  <c r="K2071" i="1" s="1"/>
  <c r="I2070" i="1"/>
  <c r="J2070" i="1" s="1"/>
  <c r="K2070" i="1" s="1"/>
  <c r="I2069" i="1"/>
  <c r="J2069" i="1" s="1"/>
  <c r="K2069" i="1" s="1"/>
  <c r="I2068" i="1"/>
  <c r="J2068" i="1" s="1"/>
  <c r="K2068" i="1" s="1"/>
  <c r="I2067" i="1"/>
  <c r="J2067" i="1" s="1"/>
  <c r="K2067" i="1" s="1"/>
  <c r="I2066" i="1"/>
  <c r="J2066" i="1" s="1"/>
  <c r="K2066" i="1" s="1"/>
  <c r="I2065" i="1"/>
  <c r="J2065" i="1" s="1"/>
  <c r="K2065" i="1" s="1"/>
  <c r="I2064" i="1"/>
  <c r="J2064" i="1" s="1"/>
  <c r="K2064" i="1" s="1"/>
  <c r="I2063" i="1"/>
  <c r="J2063" i="1" s="1"/>
  <c r="K2063" i="1" s="1"/>
  <c r="I2062" i="1"/>
  <c r="J2062" i="1" s="1"/>
  <c r="K2062" i="1" s="1"/>
  <c r="I2061" i="1"/>
  <c r="J2061" i="1" s="1"/>
  <c r="K2061" i="1" s="1"/>
  <c r="I2060" i="1"/>
  <c r="J2060" i="1" s="1"/>
  <c r="K2060" i="1" s="1"/>
  <c r="I2059" i="1"/>
  <c r="J2059" i="1" s="1"/>
  <c r="K2059" i="1" s="1"/>
  <c r="I2058" i="1"/>
  <c r="J2058" i="1" s="1"/>
  <c r="K2058" i="1" s="1"/>
  <c r="I2057" i="1"/>
  <c r="J2057" i="1" s="1"/>
  <c r="K2057" i="1" s="1"/>
  <c r="I2056" i="1"/>
  <c r="J2056" i="1" s="1"/>
  <c r="K2056" i="1" s="1"/>
  <c r="I2055" i="1"/>
  <c r="J2055" i="1" s="1"/>
  <c r="K2055" i="1" s="1"/>
  <c r="I2054" i="1"/>
  <c r="J2054" i="1" s="1"/>
  <c r="K2054" i="1" s="1"/>
  <c r="I2053" i="1"/>
  <c r="J2053" i="1" s="1"/>
  <c r="K2053" i="1" s="1"/>
  <c r="I2052" i="1"/>
  <c r="J2052" i="1" s="1"/>
  <c r="K2052" i="1" s="1"/>
  <c r="I2051" i="1"/>
  <c r="J2051" i="1" s="1"/>
  <c r="K2051" i="1" s="1"/>
  <c r="I2050" i="1"/>
  <c r="J2050" i="1" s="1"/>
  <c r="K2050" i="1" s="1"/>
  <c r="I2049" i="1"/>
  <c r="J2049" i="1" s="1"/>
  <c r="K2049" i="1" s="1"/>
  <c r="I2048" i="1"/>
  <c r="J2048" i="1" s="1"/>
  <c r="K2048" i="1" s="1"/>
  <c r="I2047" i="1"/>
  <c r="J2047" i="1" s="1"/>
  <c r="K2047" i="1" s="1"/>
  <c r="I2046" i="1"/>
  <c r="J2046" i="1" s="1"/>
  <c r="K2046" i="1" s="1"/>
  <c r="I2045" i="1"/>
  <c r="J2045" i="1" s="1"/>
  <c r="K2045" i="1" s="1"/>
  <c r="I2044" i="1"/>
  <c r="J2044" i="1" s="1"/>
  <c r="K2044" i="1" s="1"/>
  <c r="I2043" i="1"/>
  <c r="J2043" i="1" s="1"/>
  <c r="K2043" i="1" s="1"/>
  <c r="I2042" i="1"/>
  <c r="J2042" i="1" s="1"/>
  <c r="K2042" i="1" s="1"/>
  <c r="I2041" i="1"/>
  <c r="J2041" i="1" s="1"/>
  <c r="K2041" i="1" s="1"/>
  <c r="I2040" i="1"/>
  <c r="J2040" i="1" s="1"/>
  <c r="K2040" i="1" s="1"/>
  <c r="I2039" i="1"/>
  <c r="J2039" i="1" s="1"/>
  <c r="K2039" i="1" s="1"/>
  <c r="I2038" i="1"/>
  <c r="J2038" i="1" s="1"/>
  <c r="K2038" i="1" s="1"/>
  <c r="I2037" i="1"/>
  <c r="J2037" i="1" s="1"/>
  <c r="K2037" i="1" s="1"/>
  <c r="I2036" i="1"/>
  <c r="J2036" i="1" s="1"/>
  <c r="K2036" i="1" s="1"/>
  <c r="I2035" i="1"/>
  <c r="J2035" i="1" s="1"/>
  <c r="K2035" i="1" s="1"/>
  <c r="I2034" i="1"/>
  <c r="J2034" i="1" s="1"/>
  <c r="K2034" i="1" s="1"/>
  <c r="I2033" i="1"/>
  <c r="J2033" i="1" s="1"/>
  <c r="K2033" i="1" s="1"/>
  <c r="I2032" i="1"/>
  <c r="J2032" i="1" s="1"/>
  <c r="K2032" i="1" s="1"/>
  <c r="I2031" i="1"/>
  <c r="J2031" i="1" s="1"/>
  <c r="K2031" i="1" s="1"/>
  <c r="I2030" i="1"/>
  <c r="J2030" i="1" s="1"/>
  <c r="K2030" i="1" s="1"/>
  <c r="I2029" i="1"/>
  <c r="J2029" i="1" s="1"/>
  <c r="K2029" i="1" s="1"/>
  <c r="I2028" i="1"/>
  <c r="J2028" i="1" s="1"/>
  <c r="K2028" i="1" s="1"/>
  <c r="I2027" i="1"/>
  <c r="J2027" i="1" s="1"/>
  <c r="K2027" i="1" s="1"/>
  <c r="I2026" i="1"/>
  <c r="J2026" i="1" s="1"/>
  <c r="K2026" i="1" s="1"/>
  <c r="I2025" i="1"/>
  <c r="J2025" i="1" s="1"/>
  <c r="K2025" i="1" s="1"/>
  <c r="I2024" i="1"/>
  <c r="J2024" i="1" s="1"/>
  <c r="K2024" i="1" s="1"/>
  <c r="I2023" i="1"/>
  <c r="J2023" i="1" s="1"/>
  <c r="K2023" i="1" s="1"/>
  <c r="I2022" i="1"/>
  <c r="J2022" i="1" s="1"/>
  <c r="K2022" i="1" s="1"/>
  <c r="I2021" i="1"/>
  <c r="J2021" i="1" s="1"/>
  <c r="K2021" i="1" s="1"/>
  <c r="I2020" i="1"/>
  <c r="J2020" i="1" s="1"/>
  <c r="K2020" i="1" s="1"/>
  <c r="I2019" i="1"/>
  <c r="J2019" i="1" s="1"/>
  <c r="K2019" i="1" s="1"/>
  <c r="I2018" i="1"/>
  <c r="J2018" i="1" s="1"/>
  <c r="K2018" i="1" s="1"/>
  <c r="I2017" i="1"/>
  <c r="J2017" i="1" s="1"/>
  <c r="K2017" i="1" s="1"/>
  <c r="I2016" i="1"/>
  <c r="J2016" i="1" s="1"/>
  <c r="K2016" i="1" s="1"/>
  <c r="I2015" i="1"/>
  <c r="J2015" i="1" s="1"/>
  <c r="K2015" i="1" s="1"/>
  <c r="I2014" i="1"/>
  <c r="J2014" i="1" s="1"/>
  <c r="K2014" i="1" s="1"/>
  <c r="I2013" i="1"/>
  <c r="J2013" i="1" s="1"/>
  <c r="K2013" i="1" s="1"/>
  <c r="I2012" i="1"/>
  <c r="J2012" i="1" s="1"/>
  <c r="K2012" i="1" s="1"/>
  <c r="I2011" i="1"/>
  <c r="J2011" i="1" s="1"/>
  <c r="K2011" i="1" s="1"/>
  <c r="I2010" i="1"/>
  <c r="J2010" i="1" s="1"/>
  <c r="K2010" i="1" s="1"/>
  <c r="I2009" i="1"/>
  <c r="J2009" i="1" s="1"/>
  <c r="K2009" i="1" s="1"/>
  <c r="I2008" i="1"/>
  <c r="J2008" i="1" s="1"/>
  <c r="K2008" i="1" s="1"/>
  <c r="I2007" i="1"/>
  <c r="J2007" i="1" s="1"/>
  <c r="K2007" i="1" s="1"/>
  <c r="I2006" i="1"/>
  <c r="J2006" i="1" s="1"/>
  <c r="K2006" i="1" s="1"/>
  <c r="I2005" i="1"/>
  <c r="J2005" i="1" s="1"/>
  <c r="K2005" i="1" s="1"/>
  <c r="I2004" i="1"/>
  <c r="J2004" i="1" s="1"/>
  <c r="K2004" i="1" s="1"/>
  <c r="I2003" i="1"/>
  <c r="J2003" i="1" s="1"/>
  <c r="K2003" i="1" s="1"/>
  <c r="I2002" i="1"/>
  <c r="J2002" i="1" s="1"/>
  <c r="K2002" i="1" s="1"/>
  <c r="I2001" i="1"/>
  <c r="J2001" i="1" s="1"/>
  <c r="K2001" i="1" s="1"/>
  <c r="I2000" i="1"/>
  <c r="J2000" i="1" s="1"/>
  <c r="K2000" i="1" s="1"/>
  <c r="I1999" i="1"/>
  <c r="J1999" i="1" s="1"/>
  <c r="K1999" i="1" s="1"/>
  <c r="I1998" i="1"/>
  <c r="J1998" i="1" s="1"/>
  <c r="K1998" i="1" s="1"/>
  <c r="I1997" i="1"/>
  <c r="J1997" i="1" s="1"/>
  <c r="K1997" i="1" s="1"/>
  <c r="I1996" i="1"/>
  <c r="J1996" i="1" s="1"/>
  <c r="K1996" i="1" s="1"/>
  <c r="I1995" i="1"/>
  <c r="J1995" i="1" s="1"/>
  <c r="K1995" i="1" s="1"/>
  <c r="I1994" i="1"/>
  <c r="J1994" i="1" s="1"/>
  <c r="K1994" i="1" s="1"/>
  <c r="I1993" i="1"/>
  <c r="J1993" i="1" s="1"/>
  <c r="K1993" i="1" s="1"/>
  <c r="I1992" i="1"/>
  <c r="J1992" i="1" s="1"/>
  <c r="K1992" i="1" s="1"/>
  <c r="I1991" i="1"/>
  <c r="J1991" i="1" s="1"/>
  <c r="K1991" i="1" s="1"/>
  <c r="I1990" i="1"/>
  <c r="J1990" i="1" s="1"/>
  <c r="K1990" i="1" s="1"/>
  <c r="I1989" i="1"/>
  <c r="J1989" i="1" s="1"/>
  <c r="K1989" i="1" s="1"/>
  <c r="I1988" i="1"/>
  <c r="J1988" i="1" s="1"/>
  <c r="K1988" i="1" s="1"/>
  <c r="I1987" i="1"/>
  <c r="J1987" i="1" s="1"/>
  <c r="K1987" i="1" s="1"/>
  <c r="I1986" i="1"/>
  <c r="J1986" i="1" s="1"/>
  <c r="K1986" i="1" s="1"/>
  <c r="I1985" i="1"/>
  <c r="J1985" i="1" s="1"/>
  <c r="K1985" i="1" s="1"/>
  <c r="I1984" i="1"/>
  <c r="J1984" i="1" s="1"/>
  <c r="K1984" i="1" s="1"/>
  <c r="I1983" i="1"/>
  <c r="J1983" i="1" s="1"/>
  <c r="K1983" i="1" s="1"/>
  <c r="I1982" i="1"/>
  <c r="J1982" i="1" s="1"/>
  <c r="K1982" i="1" s="1"/>
  <c r="I1981" i="1"/>
  <c r="J1981" i="1" s="1"/>
  <c r="K1981" i="1" s="1"/>
  <c r="I1980" i="1"/>
  <c r="J1980" i="1" s="1"/>
  <c r="K1980" i="1" s="1"/>
  <c r="I1979" i="1"/>
  <c r="J1979" i="1" s="1"/>
  <c r="K1979" i="1" s="1"/>
  <c r="I1978" i="1"/>
  <c r="J1978" i="1" s="1"/>
  <c r="K1978" i="1" s="1"/>
  <c r="I1977" i="1"/>
  <c r="J1977" i="1" s="1"/>
  <c r="K1977" i="1" s="1"/>
  <c r="I1976" i="1"/>
  <c r="J1976" i="1" s="1"/>
  <c r="K1976" i="1" s="1"/>
  <c r="I1975" i="1"/>
  <c r="J1975" i="1" s="1"/>
  <c r="K1975" i="1" s="1"/>
  <c r="I1974" i="1"/>
  <c r="J1974" i="1" s="1"/>
  <c r="K1974" i="1" s="1"/>
  <c r="I1973" i="1"/>
  <c r="J1973" i="1" s="1"/>
  <c r="K1973" i="1" s="1"/>
  <c r="I1972" i="1"/>
  <c r="J1972" i="1" s="1"/>
  <c r="K1972" i="1" s="1"/>
  <c r="I1971" i="1"/>
  <c r="J1971" i="1" s="1"/>
  <c r="K1971" i="1" s="1"/>
  <c r="I1970" i="1"/>
  <c r="J1970" i="1" s="1"/>
  <c r="K1970" i="1" s="1"/>
  <c r="I1969" i="1"/>
  <c r="J1969" i="1" s="1"/>
  <c r="K1969" i="1" s="1"/>
  <c r="I1968" i="1"/>
  <c r="J1968" i="1" s="1"/>
  <c r="K1968" i="1" s="1"/>
  <c r="I1967" i="1"/>
  <c r="J1967" i="1" s="1"/>
  <c r="K1967" i="1" s="1"/>
  <c r="I1966" i="1"/>
  <c r="J1966" i="1" s="1"/>
  <c r="K1966" i="1" s="1"/>
  <c r="I1965" i="1"/>
  <c r="J1965" i="1" s="1"/>
  <c r="K1965" i="1" s="1"/>
  <c r="I1964" i="1"/>
  <c r="J1964" i="1" s="1"/>
  <c r="K1964" i="1" s="1"/>
  <c r="I1963" i="1"/>
  <c r="J1963" i="1" s="1"/>
  <c r="K1963" i="1" s="1"/>
  <c r="I1962" i="1"/>
  <c r="J1962" i="1" s="1"/>
  <c r="K1962" i="1" s="1"/>
  <c r="I1961" i="1"/>
  <c r="J1961" i="1" s="1"/>
  <c r="K1961" i="1" s="1"/>
  <c r="I1960" i="1"/>
  <c r="J1960" i="1" s="1"/>
  <c r="K1960" i="1" s="1"/>
  <c r="I1959" i="1"/>
  <c r="J1959" i="1" s="1"/>
  <c r="K1959" i="1" s="1"/>
  <c r="I1958" i="1"/>
  <c r="J1958" i="1" s="1"/>
  <c r="K1958" i="1" s="1"/>
  <c r="I1957" i="1"/>
  <c r="J1957" i="1" s="1"/>
  <c r="K1957" i="1" s="1"/>
  <c r="I1956" i="1"/>
  <c r="J1956" i="1" s="1"/>
  <c r="K1956" i="1" s="1"/>
  <c r="I1955" i="1"/>
  <c r="J1955" i="1" s="1"/>
  <c r="K1955" i="1" s="1"/>
  <c r="I1954" i="1"/>
  <c r="J1954" i="1" s="1"/>
  <c r="K1954" i="1" s="1"/>
  <c r="I1953" i="1"/>
  <c r="J1953" i="1" s="1"/>
  <c r="K1953" i="1" s="1"/>
  <c r="I1952" i="1"/>
  <c r="J1952" i="1" s="1"/>
  <c r="K1952" i="1" s="1"/>
  <c r="I1951" i="1"/>
  <c r="J1951" i="1" s="1"/>
  <c r="K1951" i="1" s="1"/>
  <c r="I1950" i="1"/>
  <c r="J1950" i="1" s="1"/>
  <c r="K1950" i="1" s="1"/>
  <c r="I1949" i="1"/>
  <c r="J1949" i="1" s="1"/>
  <c r="K1949" i="1" s="1"/>
  <c r="I1948" i="1"/>
  <c r="J1948" i="1" s="1"/>
  <c r="K1948" i="1" s="1"/>
  <c r="I1947" i="1"/>
  <c r="J1947" i="1" s="1"/>
  <c r="K1947" i="1" s="1"/>
  <c r="I1946" i="1"/>
  <c r="J1946" i="1" s="1"/>
  <c r="K1946" i="1" s="1"/>
  <c r="I1945" i="1"/>
  <c r="J1945" i="1" s="1"/>
  <c r="K1945" i="1" s="1"/>
  <c r="I1944" i="1"/>
  <c r="J1944" i="1" s="1"/>
  <c r="K1944" i="1" s="1"/>
  <c r="I1943" i="1"/>
  <c r="J1943" i="1" s="1"/>
  <c r="K1943" i="1" s="1"/>
  <c r="I1942" i="1"/>
  <c r="J1942" i="1" s="1"/>
  <c r="K1942" i="1" s="1"/>
  <c r="I1941" i="1"/>
  <c r="J1941" i="1" s="1"/>
  <c r="K1941" i="1" s="1"/>
  <c r="I1940" i="1"/>
  <c r="J1940" i="1" s="1"/>
  <c r="K1940" i="1" s="1"/>
  <c r="I1939" i="1"/>
  <c r="J1939" i="1" s="1"/>
  <c r="K1939" i="1" s="1"/>
  <c r="I1938" i="1"/>
  <c r="J1938" i="1" s="1"/>
  <c r="K1938" i="1" s="1"/>
  <c r="I1937" i="1"/>
  <c r="J1937" i="1" s="1"/>
  <c r="K1937" i="1" s="1"/>
  <c r="I1936" i="1"/>
  <c r="J1936" i="1" s="1"/>
  <c r="K1936" i="1" s="1"/>
  <c r="I1935" i="1"/>
  <c r="J1935" i="1" s="1"/>
  <c r="K1935" i="1" s="1"/>
  <c r="I1934" i="1"/>
  <c r="J1934" i="1" s="1"/>
  <c r="K1934" i="1" s="1"/>
  <c r="I1933" i="1"/>
  <c r="J1933" i="1" s="1"/>
  <c r="K1933" i="1" s="1"/>
  <c r="I1932" i="1"/>
  <c r="J1932" i="1" s="1"/>
  <c r="K1932" i="1" s="1"/>
  <c r="I1931" i="1"/>
  <c r="J1931" i="1" s="1"/>
  <c r="K1931" i="1" s="1"/>
  <c r="I1930" i="1"/>
  <c r="J1930" i="1" s="1"/>
  <c r="K1930" i="1" s="1"/>
  <c r="I1929" i="1"/>
  <c r="J1929" i="1" s="1"/>
  <c r="K1929" i="1" s="1"/>
  <c r="I1928" i="1"/>
  <c r="J1928" i="1" s="1"/>
  <c r="K1928" i="1" s="1"/>
  <c r="I1927" i="1"/>
  <c r="J1927" i="1" s="1"/>
  <c r="K1927" i="1" s="1"/>
  <c r="I1926" i="1"/>
  <c r="J1926" i="1" s="1"/>
  <c r="K1926" i="1" s="1"/>
  <c r="I1925" i="1"/>
  <c r="J1925" i="1" s="1"/>
  <c r="K1925" i="1" s="1"/>
  <c r="I1924" i="1"/>
  <c r="J1924" i="1" s="1"/>
  <c r="K1924" i="1" s="1"/>
  <c r="I1923" i="1"/>
  <c r="J1923" i="1" s="1"/>
  <c r="K1923" i="1" s="1"/>
  <c r="I1922" i="1"/>
  <c r="J1922" i="1" s="1"/>
  <c r="K1922" i="1" s="1"/>
  <c r="I1921" i="1"/>
  <c r="J1921" i="1" s="1"/>
  <c r="K1921" i="1" s="1"/>
  <c r="I1920" i="1"/>
  <c r="J1920" i="1" s="1"/>
  <c r="K1920" i="1" s="1"/>
  <c r="I1919" i="1"/>
  <c r="J1919" i="1" s="1"/>
  <c r="K1919" i="1" s="1"/>
  <c r="I1918" i="1"/>
  <c r="J1918" i="1" s="1"/>
  <c r="K1918" i="1" s="1"/>
  <c r="I1917" i="1"/>
  <c r="J1917" i="1" s="1"/>
  <c r="K1917" i="1" s="1"/>
  <c r="I1916" i="1"/>
  <c r="J1916" i="1" s="1"/>
  <c r="K1916" i="1" s="1"/>
  <c r="I1915" i="1"/>
  <c r="J1915" i="1" s="1"/>
  <c r="K1915" i="1" s="1"/>
  <c r="I1914" i="1"/>
  <c r="J1914" i="1" s="1"/>
  <c r="K1914" i="1" s="1"/>
  <c r="I1913" i="1"/>
  <c r="J1913" i="1" s="1"/>
  <c r="K1913" i="1" s="1"/>
  <c r="I1912" i="1"/>
  <c r="J1912" i="1" s="1"/>
  <c r="K1912" i="1" s="1"/>
  <c r="I1911" i="1"/>
  <c r="J1911" i="1" s="1"/>
  <c r="K1911" i="1" s="1"/>
  <c r="I1910" i="1"/>
  <c r="J1910" i="1" s="1"/>
  <c r="K1910" i="1" s="1"/>
  <c r="I1909" i="1"/>
  <c r="J1909" i="1" s="1"/>
  <c r="K1909" i="1" s="1"/>
  <c r="I1908" i="1"/>
  <c r="J1908" i="1" s="1"/>
  <c r="K1908" i="1" s="1"/>
  <c r="I1907" i="1"/>
  <c r="J1907" i="1" s="1"/>
  <c r="K1907" i="1" s="1"/>
  <c r="I1906" i="1"/>
  <c r="J1906" i="1" s="1"/>
  <c r="K1906" i="1" s="1"/>
  <c r="I1905" i="1"/>
  <c r="J1905" i="1" s="1"/>
  <c r="K1905" i="1" s="1"/>
  <c r="I1904" i="1"/>
  <c r="J1904" i="1" s="1"/>
  <c r="K1904" i="1" s="1"/>
  <c r="I1903" i="1"/>
  <c r="J1903" i="1" s="1"/>
  <c r="K1903" i="1" s="1"/>
  <c r="I1902" i="1"/>
  <c r="J1902" i="1" s="1"/>
  <c r="K1902" i="1" s="1"/>
  <c r="I1901" i="1"/>
  <c r="J1901" i="1" s="1"/>
  <c r="K1901" i="1" s="1"/>
  <c r="I1900" i="1"/>
  <c r="J1900" i="1" s="1"/>
  <c r="K1900" i="1" s="1"/>
  <c r="I1899" i="1"/>
  <c r="J1899" i="1" s="1"/>
  <c r="K1899" i="1" s="1"/>
  <c r="I1898" i="1"/>
  <c r="J1898" i="1" s="1"/>
  <c r="K1898" i="1" s="1"/>
  <c r="I1897" i="1"/>
  <c r="J1897" i="1" s="1"/>
  <c r="K1897" i="1" s="1"/>
  <c r="I1896" i="1"/>
  <c r="J1896" i="1" s="1"/>
  <c r="K1896" i="1" s="1"/>
  <c r="I1895" i="1"/>
  <c r="J1895" i="1" s="1"/>
  <c r="K1895" i="1" s="1"/>
  <c r="I1894" i="1"/>
  <c r="J1894" i="1" s="1"/>
  <c r="K1894" i="1" s="1"/>
  <c r="I1893" i="1"/>
  <c r="J1893" i="1" s="1"/>
  <c r="K1893" i="1" s="1"/>
  <c r="I1892" i="1"/>
  <c r="J1892" i="1" s="1"/>
  <c r="K1892" i="1" s="1"/>
  <c r="I1891" i="1"/>
  <c r="J1891" i="1" s="1"/>
  <c r="K1891" i="1" s="1"/>
  <c r="I1890" i="1"/>
  <c r="J1890" i="1" s="1"/>
  <c r="K1890" i="1" s="1"/>
  <c r="I1889" i="1"/>
  <c r="J1889" i="1" s="1"/>
  <c r="K1889" i="1" s="1"/>
  <c r="I1888" i="1"/>
  <c r="J1888" i="1" s="1"/>
  <c r="K1888" i="1" s="1"/>
  <c r="I1887" i="1"/>
  <c r="J1887" i="1" s="1"/>
  <c r="K1887" i="1" s="1"/>
  <c r="I1886" i="1"/>
  <c r="J1886" i="1" s="1"/>
  <c r="K1886" i="1" s="1"/>
  <c r="I1885" i="1"/>
  <c r="J1885" i="1" s="1"/>
  <c r="K1885" i="1" s="1"/>
  <c r="I1884" i="1"/>
  <c r="J1884" i="1" s="1"/>
  <c r="K1884" i="1" s="1"/>
  <c r="I1883" i="1"/>
  <c r="J1883" i="1" s="1"/>
  <c r="K1883" i="1" s="1"/>
  <c r="I1882" i="1"/>
  <c r="J1882" i="1" s="1"/>
  <c r="K1882" i="1" s="1"/>
  <c r="I1881" i="1"/>
  <c r="J1881" i="1" s="1"/>
  <c r="K1881" i="1" s="1"/>
  <c r="I1880" i="1"/>
  <c r="J1880" i="1" s="1"/>
  <c r="K1880" i="1" s="1"/>
  <c r="I1879" i="1"/>
  <c r="J1879" i="1" s="1"/>
  <c r="K1879" i="1" s="1"/>
  <c r="I1878" i="1"/>
  <c r="J1878" i="1" s="1"/>
  <c r="K1878" i="1" s="1"/>
  <c r="I1877" i="1"/>
  <c r="J1877" i="1" s="1"/>
  <c r="K1877" i="1" s="1"/>
  <c r="I1876" i="1"/>
  <c r="J1876" i="1" s="1"/>
  <c r="K1876" i="1" s="1"/>
  <c r="I1875" i="1"/>
  <c r="J1875" i="1" s="1"/>
  <c r="K1875" i="1" s="1"/>
  <c r="I1874" i="1"/>
  <c r="J1874" i="1" s="1"/>
  <c r="K1874" i="1" s="1"/>
  <c r="I1873" i="1"/>
  <c r="J1873" i="1" s="1"/>
  <c r="K1873" i="1" s="1"/>
  <c r="I1872" i="1"/>
  <c r="J1872" i="1" s="1"/>
  <c r="K1872" i="1" s="1"/>
  <c r="I1871" i="1"/>
  <c r="J1871" i="1" s="1"/>
  <c r="K1871" i="1" s="1"/>
  <c r="I1870" i="1"/>
  <c r="J1870" i="1" s="1"/>
  <c r="K1870" i="1" s="1"/>
  <c r="I1869" i="1"/>
  <c r="J1869" i="1" s="1"/>
  <c r="K1869" i="1" s="1"/>
  <c r="I1868" i="1"/>
  <c r="J1868" i="1" s="1"/>
  <c r="K1868" i="1" s="1"/>
  <c r="I1867" i="1"/>
  <c r="J1867" i="1" s="1"/>
  <c r="K1867" i="1" s="1"/>
  <c r="I1866" i="1"/>
  <c r="J1866" i="1" s="1"/>
  <c r="K1866" i="1" s="1"/>
  <c r="I1865" i="1"/>
  <c r="J1865" i="1" s="1"/>
  <c r="K1865" i="1" s="1"/>
  <c r="I1864" i="1"/>
  <c r="J1864" i="1" s="1"/>
  <c r="K1864" i="1" s="1"/>
  <c r="I1863" i="1"/>
  <c r="J1863" i="1" s="1"/>
  <c r="K1863" i="1" s="1"/>
  <c r="I1862" i="1"/>
  <c r="J1862" i="1" s="1"/>
  <c r="K1862" i="1" s="1"/>
  <c r="I1861" i="1"/>
  <c r="J1861" i="1" s="1"/>
  <c r="K1861" i="1" s="1"/>
  <c r="I1860" i="1"/>
  <c r="J1860" i="1" s="1"/>
  <c r="K1860" i="1" s="1"/>
  <c r="I1859" i="1"/>
  <c r="J1859" i="1" s="1"/>
  <c r="K1859" i="1" s="1"/>
  <c r="I1858" i="1"/>
  <c r="J1858" i="1" s="1"/>
  <c r="K1858" i="1" s="1"/>
  <c r="I1857" i="1"/>
  <c r="J1857" i="1" s="1"/>
  <c r="K1857" i="1" s="1"/>
  <c r="I1856" i="1"/>
  <c r="J1856" i="1" s="1"/>
  <c r="K1856" i="1" s="1"/>
  <c r="I1855" i="1"/>
  <c r="J1855" i="1" s="1"/>
  <c r="K1855" i="1" s="1"/>
  <c r="I1854" i="1"/>
  <c r="J1854" i="1" s="1"/>
  <c r="K1854" i="1" s="1"/>
  <c r="I1853" i="1"/>
  <c r="J1853" i="1" s="1"/>
  <c r="K1853" i="1" s="1"/>
  <c r="I1852" i="1"/>
  <c r="J1852" i="1" s="1"/>
  <c r="K1852" i="1" s="1"/>
  <c r="I1851" i="1"/>
  <c r="J1851" i="1" s="1"/>
  <c r="K1851" i="1" s="1"/>
  <c r="I1850" i="1"/>
  <c r="J1850" i="1" s="1"/>
  <c r="K1850" i="1" s="1"/>
  <c r="I1849" i="1"/>
  <c r="J1849" i="1" s="1"/>
  <c r="K1849" i="1" s="1"/>
  <c r="I1848" i="1"/>
  <c r="J1848" i="1" s="1"/>
  <c r="K1848" i="1" s="1"/>
  <c r="I1847" i="1"/>
  <c r="J1847" i="1" s="1"/>
  <c r="K1847" i="1" s="1"/>
  <c r="I1846" i="1"/>
  <c r="J1846" i="1" s="1"/>
  <c r="K1846" i="1" s="1"/>
  <c r="I1845" i="1"/>
  <c r="J1845" i="1" s="1"/>
  <c r="K1845" i="1" s="1"/>
  <c r="I1844" i="1"/>
  <c r="J1844" i="1" s="1"/>
  <c r="K1844" i="1" s="1"/>
  <c r="I1843" i="1"/>
  <c r="J1843" i="1" s="1"/>
  <c r="K1843" i="1" s="1"/>
  <c r="I1842" i="1"/>
  <c r="J1842" i="1" s="1"/>
  <c r="K1842" i="1" s="1"/>
  <c r="I1841" i="1"/>
  <c r="J1841" i="1" s="1"/>
  <c r="K1841" i="1" s="1"/>
  <c r="I1840" i="1"/>
  <c r="J1840" i="1" s="1"/>
  <c r="K1840" i="1" s="1"/>
  <c r="I1839" i="1"/>
  <c r="J1839" i="1" s="1"/>
  <c r="K1839" i="1" s="1"/>
  <c r="I1838" i="1"/>
  <c r="J1838" i="1" s="1"/>
  <c r="K1838" i="1" s="1"/>
  <c r="I1837" i="1"/>
  <c r="J1837" i="1" s="1"/>
  <c r="K1837" i="1" s="1"/>
  <c r="I1836" i="1"/>
  <c r="J1836" i="1" s="1"/>
  <c r="K1836" i="1" s="1"/>
  <c r="I1835" i="1"/>
  <c r="J1835" i="1" s="1"/>
  <c r="K1835" i="1" s="1"/>
  <c r="I1834" i="1"/>
  <c r="J1834" i="1" s="1"/>
  <c r="K1834" i="1" s="1"/>
  <c r="I1833" i="1"/>
  <c r="J1833" i="1" s="1"/>
  <c r="K1833" i="1" s="1"/>
  <c r="I1832" i="1"/>
  <c r="J1832" i="1" s="1"/>
  <c r="K1832" i="1" s="1"/>
  <c r="I1831" i="1"/>
  <c r="J1831" i="1" s="1"/>
  <c r="K1831" i="1" s="1"/>
  <c r="I1830" i="1"/>
  <c r="J1830" i="1" s="1"/>
  <c r="K1830" i="1" s="1"/>
  <c r="I1829" i="1"/>
  <c r="J1829" i="1" s="1"/>
  <c r="K1829" i="1" s="1"/>
  <c r="I1828" i="1"/>
  <c r="J1828" i="1" s="1"/>
  <c r="K1828" i="1" s="1"/>
  <c r="I1827" i="1"/>
  <c r="J1827" i="1" s="1"/>
  <c r="K1827" i="1" s="1"/>
  <c r="I1826" i="1"/>
  <c r="J1826" i="1" s="1"/>
  <c r="K1826" i="1" s="1"/>
  <c r="I1825" i="1"/>
  <c r="J1825" i="1" s="1"/>
  <c r="K1825" i="1" s="1"/>
  <c r="I1824" i="1"/>
  <c r="J1824" i="1" s="1"/>
  <c r="K1824" i="1" s="1"/>
  <c r="I1823" i="1"/>
  <c r="J1823" i="1" s="1"/>
  <c r="K1823" i="1" s="1"/>
  <c r="I1822" i="1"/>
  <c r="J1822" i="1" s="1"/>
  <c r="K1822" i="1" s="1"/>
  <c r="I1821" i="1"/>
  <c r="J1821" i="1" s="1"/>
  <c r="K1821" i="1" s="1"/>
  <c r="I1820" i="1"/>
  <c r="J1820" i="1" s="1"/>
  <c r="K1820" i="1" s="1"/>
  <c r="I1819" i="1"/>
  <c r="J1819" i="1" s="1"/>
  <c r="K1819" i="1" s="1"/>
  <c r="I1818" i="1"/>
  <c r="J1818" i="1" s="1"/>
  <c r="K1818" i="1" s="1"/>
  <c r="I1817" i="1"/>
  <c r="J1817" i="1" s="1"/>
  <c r="K1817" i="1" s="1"/>
  <c r="I1816" i="1"/>
  <c r="J1816" i="1" s="1"/>
  <c r="K1816" i="1" s="1"/>
  <c r="I1815" i="1"/>
  <c r="J1815" i="1" s="1"/>
  <c r="K1815" i="1" s="1"/>
  <c r="I1814" i="1"/>
  <c r="J1814" i="1" s="1"/>
  <c r="K1814" i="1" s="1"/>
  <c r="I1813" i="1"/>
  <c r="J1813" i="1" s="1"/>
  <c r="K1813" i="1" s="1"/>
  <c r="I1812" i="1"/>
  <c r="J1812" i="1" s="1"/>
  <c r="K1812" i="1" s="1"/>
  <c r="I1811" i="1"/>
  <c r="J1811" i="1" s="1"/>
  <c r="K1811" i="1" s="1"/>
  <c r="I1810" i="1"/>
  <c r="J1810" i="1" s="1"/>
  <c r="K1810" i="1" s="1"/>
  <c r="I1809" i="1"/>
  <c r="J1809" i="1" s="1"/>
  <c r="K1809" i="1" s="1"/>
  <c r="I1808" i="1"/>
  <c r="J1808" i="1" s="1"/>
  <c r="K1808" i="1" s="1"/>
  <c r="I1807" i="1"/>
  <c r="J1807" i="1" s="1"/>
  <c r="K1807" i="1" s="1"/>
  <c r="I1806" i="1"/>
  <c r="J1806" i="1" s="1"/>
  <c r="K1806" i="1" s="1"/>
  <c r="I1805" i="1"/>
  <c r="J1805" i="1" s="1"/>
  <c r="K1805" i="1" s="1"/>
  <c r="I1804" i="1"/>
  <c r="J1804" i="1" s="1"/>
  <c r="K1804" i="1" s="1"/>
  <c r="I1803" i="1"/>
  <c r="J1803" i="1" s="1"/>
  <c r="K1803" i="1" s="1"/>
  <c r="I1802" i="1"/>
  <c r="J1802" i="1" s="1"/>
  <c r="K1802" i="1" s="1"/>
  <c r="I1801" i="1"/>
  <c r="J1801" i="1" s="1"/>
  <c r="K1801" i="1" s="1"/>
  <c r="I1800" i="1"/>
  <c r="J1800" i="1" s="1"/>
  <c r="K1800" i="1" s="1"/>
  <c r="I1799" i="1"/>
  <c r="J1799" i="1" s="1"/>
  <c r="K1799" i="1" s="1"/>
  <c r="I1798" i="1"/>
  <c r="J1798" i="1" s="1"/>
  <c r="K1798" i="1" s="1"/>
  <c r="I1797" i="1"/>
  <c r="J1797" i="1" s="1"/>
  <c r="K1797" i="1" s="1"/>
  <c r="I1796" i="1"/>
  <c r="J1796" i="1" s="1"/>
  <c r="K1796" i="1" s="1"/>
  <c r="I1795" i="1"/>
  <c r="J1795" i="1" s="1"/>
  <c r="K1795" i="1" s="1"/>
  <c r="I1794" i="1"/>
  <c r="J1794" i="1" s="1"/>
  <c r="K1794" i="1" s="1"/>
  <c r="I1793" i="1"/>
  <c r="J1793" i="1" s="1"/>
  <c r="K1793" i="1" s="1"/>
  <c r="I1792" i="1"/>
  <c r="J1792" i="1" s="1"/>
  <c r="K1792" i="1" s="1"/>
  <c r="I1791" i="1"/>
  <c r="J1791" i="1" s="1"/>
  <c r="K1791" i="1" s="1"/>
  <c r="I1790" i="1"/>
  <c r="J1790" i="1" s="1"/>
  <c r="K1790" i="1" s="1"/>
  <c r="I1789" i="1"/>
  <c r="J1789" i="1" s="1"/>
  <c r="K1789" i="1" s="1"/>
  <c r="I1788" i="1"/>
  <c r="J1788" i="1" s="1"/>
  <c r="K1788" i="1" s="1"/>
  <c r="I1787" i="1"/>
  <c r="J1787" i="1" s="1"/>
  <c r="K1787" i="1" s="1"/>
  <c r="I1786" i="1"/>
  <c r="J1786" i="1" s="1"/>
  <c r="K1786" i="1" s="1"/>
  <c r="I1785" i="1"/>
  <c r="J1785" i="1" s="1"/>
  <c r="K1785" i="1" s="1"/>
  <c r="I1784" i="1"/>
  <c r="J1784" i="1" s="1"/>
  <c r="K1784" i="1" s="1"/>
  <c r="I1783" i="1"/>
  <c r="J1783" i="1" s="1"/>
  <c r="K1783" i="1" s="1"/>
  <c r="I1782" i="1"/>
  <c r="J1782" i="1" s="1"/>
  <c r="K1782" i="1" s="1"/>
  <c r="I1781" i="1"/>
  <c r="J1781" i="1" s="1"/>
  <c r="K1781" i="1" s="1"/>
  <c r="I1780" i="1"/>
  <c r="J1780" i="1" s="1"/>
  <c r="K1780" i="1" s="1"/>
  <c r="I1779" i="1"/>
  <c r="J1779" i="1" s="1"/>
  <c r="K1779" i="1" s="1"/>
  <c r="I1778" i="1"/>
  <c r="J1778" i="1" s="1"/>
  <c r="K1778" i="1" s="1"/>
  <c r="I1777" i="1"/>
  <c r="J1777" i="1" s="1"/>
  <c r="K1777" i="1" s="1"/>
  <c r="I1776" i="1"/>
  <c r="J1776" i="1" s="1"/>
  <c r="K1776" i="1" s="1"/>
  <c r="I1775" i="1"/>
  <c r="J1775" i="1" s="1"/>
  <c r="K1775" i="1" s="1"/>
  <c r="I1774" i="1"/>
  <c r="J1774" i="1" s="1"/>
  <c r="K1774" i="1" s="1"/>
  <c r="I1773" i="1"/>
  <c r="J1773" i="1" s="1"/>
  <c r="K1773" i="1" s="1"/>
  <c r="I1772" i="1"/>
  <c r="J1772" i="1" s="1"/>
  <c r="K1772" i="1" s="1"/>
  <c r="I1771" i="1"/>
  <c r="J1771" i="1" s="1"/>
  <c r="K1771" i="1" s="1"/>
  <c r="I1770" i="1"/>
  <c r="J1770" i="1" s="1"/>
  <c r="K1770" i="1" s="1"/>
  <c r="I1769" i="1"/>
  <c r="J1769" i="1" s="1"/>
  <c r="K1769" i="1" s="1"/>
  <c r="I1768" i="1"/>
  <c r="J1768" i="1" s="1"/>
  <c r="K1768" i="1" s="1"/>
  <c r="I1767" i="1"/>
  <c r="J1767" i="1" s="1"/>
  <c r="K1767" i="1" s="1"/>
  <c r="I1766" i="1"/>
  <c r="J1766" i="1" s="1"/>
  <c r="K1766" i="1" s="1"/>
  <c r="I1765" i="1"/>
  <c r="J1765" i="1" s="1"/>
  <c r="K1765" i="1" s="1"/>
  <c r="I1764" i="1"/>
  <c r="J1764" i="1" s="1"/>
  <c r="K1764" i="1" s="1"/>
  <c r="I1763" i="1"/>
  <c r="J1763" i="1" s="1"/>
  <c r="K1763" i="1" s="1"/>
  <c r="I1762" i="1"/>
  <c r="J1762" i="1" s="1"/>
  <c r="K1762" i="1" s="1"/>
  <c r="I1761" i="1"/>
  <c r="J1761" i="1" s="1"/>
  <c r="K1761" i="1" s="1"/>
  <c r="I1760" i="1"/>
  <c r="J1760" i="1" s="1"/>
  <c r="K1760" i="1" s="1"/>
  <c r="I1759" i="1"/>
  <c r="J1759" i="1" s="1"/>
  <c r="K1759" i="1" s="1"/>
  <c r="I1758" i="1"/>
  <c r="J1758" i="1" s="1"/>
  <c r="K1758" i="1" s="1"/>
  <c r="I1757" i="1"/>
  <c r="J1757" i="1" s="1"/>
  <c r="K1757" i="1" s="1"/>
  <c r="I1756" i="1"/>
  <c r="J1756" i="1" s="1"/>
  <c r="K1756" i="1" s="1"/>
  <c r="I1755" i="1"/>
  <c r="J1755" i="1" s="1"/>
  <c r="K1755" i="1" s="1"/>
  <c r="I1754" i="1"/>
  <c r="J1754" i="1" s="1"/>
  <c r="K1754" i="1" s="1"/>
  <c r="I1753" i="1"/>
  <c r="J1753" i="1" s="1"/>
  <c r="K1753" i="1" s="1"/>
  <c r="I1752" i="1"/>
  <c r="J1752" i="1" s="1"/>
  <c r="K1752" i="1" s="1"/>
  <c r="I1751" i="1"/>
  <c r="J1751" i="1" s="1"/>
  <c r="K1751" i="1" s="1"/>
  <c r="I1750" i="1"/>
  <c r="J1750" i="1" s="1"/>
  <c r="K1750" i="1" s="1"/>
  <c r="I1749" i="1"/>
  <c r="J1749" i="1" s="1"/>
  <c r="K1749" i="1" s="1"/>
  <c r="I1748" i="1"/>
  <c r="J1748" i="1" s="1"/>
  <c r="K1748" i="1" s="1"/>
  <c r="I1747" i="1"/>
  <c r="J1747" i="1" s="1"/>
  <c r="K1747" i="1" s="1"/>
  <c r="I1746" i="1"/>
  <c r="J1746" i="1" s="1"/>
  <c r="K1746" i="1" s="1"/>
  <c r="I1745" i="1"/>
  <c r="J1745" i="1" s="1"/>
  <c r="K1745" i="1" s="1"/>
  <c r="I1744" i="1"/>
  <c r="J1744" i="1" s="1"/>
  <c r="K1744" i="1" s="1"/>
  <c r="I1743" i="1"/>
  <c r="J1743" i="1" s="1"/>
  <c r="K1743" i="1" s="1"/>
  <c r="I1742" i="1"/>
  <c r="J1742" i="1" s="1"/>
  <c r="K1742" i="1" s="1"/>
  <c r="I1741" i="1"/>
  <c r="J1741" i="1" s="1"/>
  <c r="K1741" i="1" s="1"/>
  <c r="I1740" i="1"/>
  <c r="J1740" i="1" s="1"/>
  <c r="K1740" i="1" s="1"/>
  <c r="I1739" i="1"/>
  <c r="J1739" i="1" s="1"/>
  <c r="K1739" i="1" s="1"/>
  <c r="I1738" i="1"/>
  <c r="J1738" i="1" s="1"/>
  <c r="K1738" i="1" s="1"/>
  <c r="I1737" i="1"/>
  <c r="J1737" i="1" s="1"/>
  <c r="K1737" i="1" s="1"/>
  <c r="I1736" i="1"/>
  <c r="J1736" i="1" s="1"/>
  <c r="K1736" i="1" s="1"/>
  <c r="I1735" i="1"/>
  <c r="J1735" i="1" s="1"/>
  <c r="K1735" i="1" s="1"/>
  <c r="I1734" i="1"/>
  <c r="J1734" i="1" s="1"/>
  <c r="K1734" i="1" s="1"/>
  <c r="I1733" i="1"/>
  <c r="J1733" i="1" s="1"/>
  <c r="K1733" i="1" s="1"/>
  <c r="I1732" i="1"/>
  <c r="J1732" i="1" s="1"/>
  <c r="K1732" i="1" s="1"/>
  <c r="I1731" i="1"/>
  <c r="J1731" i="1" s="1"/>
  <c r="K1731" i="1" s="1"/>
  <c r="I1730" i="1"/>
  <c r="J1730" i="1" s="1"/>
  <c r="K1730" i="1" s="1"/>
  <c r="I1729" i="1"/>
  <c r="J1729" i="1" s="1"/>
  <c r="K1729" i="1" s="1"/>
  <c r="I1728" i="1"/>
  <c r="J1728" i="1" s="1"/>
  <c r="K1728" i="1" s="1"/>
  <c r="I1727" i="1"/>
  <c r="J1727" i="1" s="1"/>
  <c r="K1727" i="1" s="1"/>
  <c r="I1726" i="1"/>
  <c r="J1726" i="1" s="1"/>
  <c r="K1726" i="1" s="1"/>
  <c r="I1725" i="1"/>
  <c r="J1725" i="1" s="1"/>
  <c r="K1725" i="1" s="1"/>
  <c r="I1724" i="1"/>
  <c r="J1724" i="1" s="1"/>
  <c r="K1724" i="1" s="1"/>
  <c r="I1723" i="1"/>
  <c r="J1723" i="1" s="1"/>
  <c r="K1723" i="1" s="1"/>
  <c r="I1722" i="1"/>
  <c r="J1722" i="1" s="1"/>
  <c r="K1722" i="1" s="1"/>
  <c r="I1721" i="1"/>
  <c r="J1721" i="1" s="1"/>
  <c r="K1721" i="1" s="1"/>
  <c r="I1720" i="1"/>
  <c r="J1720" i="1" s="1"/>
  <c r="K1720" i="1" s="1"/>
  <c r="I1719" i="1"/>
  <c r="J1719" i="1" s="1"/>
  <c r="K1719" i="1" s="1"/>
  <c r="I1718" i="1"/>
  <c r="J1718" i="1" s="1"/>
  <c r="K1718" i="1" s="1"/>
  <c r="I1717" i="1"/>
  <c r="J1717" i="1" s="1"/>
  <c r="K1717" i="1" s="1"/>
  <c r="I1716" i="1"/>
  <c r="J1716" i="1" s="1"/>
  <c r="K1716" i="1" s="1"/>
  <c r="I1715" i="1"/>
  <c r="J1715" i="1" s="1"/>
  <c r="K1715" i="1" s="1"/>
  <c r="I1714" i="1"/>
  <c r="J1714" i="1" s="1"/>
  <c r="K1714" i="1" s="1"/>
  <c r="I1713" i="1"/>
  <c r="J1713" i="1" s="1"/>
  <c r="K1713" i="1" s="1"/>
  <c r="I1712" i="1"/>
  <c r="J1712" i="1" s="1"/>
  <c r="K1712" i="1" s="1"/>
  <c r="I1711" i="1"/>
  <c r="J1711" i="1" s="1"/>
  <c r="K1711" i="1" s="1"/>
  <c r="I1710" i="1"/>
  <c r="J1710" i="1" s="1"/>
  <c r="K1710" i="1" s="1"/>
  <c r="I1709" i="1"/>
  <c r="J1709" i="1" s="1"/>
  <c r="K1709" i="1" s="1"/>
  <c r="I1708" i="1"/>
  <c r="J1708" i="1" s="1"/>
  <c r="K1708" i="1" s="1"/>
  <c r="I1707" i="1"/>
  <c r="J1707" i="1" s="1"/>
  <c r="K1707" i="1" s="1"/>
  <c r="I1706" i="1"/>
  <c r="J1706" i="1" s="1"/>
  <c r="K1706" i="1" s="1"/>
  <c r="I1705" i="1"/>
  <c r="J1705" i="1" s="1"/>
  <c r="K1705" i="1" s="1"/>
  <c r="I1704" i="1"/>
  <c r="J1704" i="1" s="1"/>
  <c r="K1704" i="1" s="1"/>
  <c r="I1703" i="1"/>
  <c r="J1703" i="1" s="1"/>
  <c r="K1703" i="1" s="1"/>
  <c r="I1702" i="1"/>
  <c r="J1702" i="1" s="1"/>
  <c r="K1702" i="1" s="1"/>
  <c r="I1701" i="1"/>
  <c r="J1701" i="1" s="1"/>
  <c r="K1701" i="1" s="1"/>
  <c r="I1700" i="1"/>
  <c r="J1700" i="1" s="1"/>
  <c r="K1700" i="1" s="1"/>
  <c r="I1699" i="1"/>
  <c r="J1699" i="1" s="1"/>
  <c r="K1699" i="1" s="1"/>
  <c r="I1698" i="1"/>
  <c r="J1698" i="1" s="1"/>
  <c r="K1698" i="1" s="1"/>
  <c r="I1697" i="1"/>
  <c r="J1697" i="1" s="1"/>
  <c r="K1697" i="1" s="1"/>
  <c r="I1696" i="1"/>
  <c r="J1696" i="1" s="1"/>
  <c r="K1696" i="1" s="1"/>
  <c r="I1695" i="1"/>
  <c r="J1695" i="1" s="1"/>
  <c r="K1695" i="1" s="1"/>
  <c r="I1694" i="1"/>
  <c r="J1694" i="1" s="1"/>
  <c r="K1694" i="1" s="1"/>
  <c r="I1693" i="1"/>
  <c r="J1693" i="1" s="1"/>
  <c r="K1693" i="1" s="1"/>
  <c r="I1692" i="1"/>
  <c r="J1692" i="1" s="1"/>
  <c r="K1692" i="1" s="1"/>
  <c r="I1691" i="1"/>
  <c r="J1691" i="1" s="1"/>
  <c r="K1691" i="1" s="1"/>
  <c r="I1690" i="1"/>
  <c r="J1690" i="1" s="1"/>
  <c r="K1690" i="1" s="1"/>
  <c r="I1689" i="1"/>
  <c r="J1689" i="1" s="1"/>
  <c r="K1689" i="1" s="1"/>
  <c r="I1688" i="1"/>
  <c r="J1688" i="1" s="1"/>
  <c r="K1688" i="1" s="1"/>
  <c r="I1687" i="1"/>
  <c r="J1687" i="1" s="1"/>
  <c r="K1687" i="1" s="1"/>
  <c r="I1686" i="1"/>
  <c r="J1686" i="1" s="1"/>
  <c r="K1686" i="1" s="1"/>
  <c r="I1685" i="1"/>
  <c r="J1685" i="1" s="1"/>
  <c r="K1685" i="1" s="1"/>
  <c r="I1684" i="1"/>
  <c r="J1684" i="1" s="1"/>
  <c r="K1684" i="1" s="1"/>
  <c r="I1683" i="1"/>
  <c r="J1683" i="1" s="1"/>
  <c r="K1683" i="1" s="1"/>
  <c r="I1682" i="1"/>
  <c r="J1682" i="1" s="1"/>
  <c r="K1682" i="1" s="1"/>
  <c r="I1681" i="1"/>
  <c r="J1681" i="1" s="1"/>
  <c r="K1681" i="1" s="1"/>
  <c r="I1680" i="1"/>
  <c r="J1680" i="1" s="1"/>
  <c r="K1680" i="1" s="1"/>
  <c r="I1679" i="1"/>
  <c r="J1679" i="1" s="1"/>
  <c r="K1679" i="1" s="1"/>
  <c r="I1678" i="1"/>
  <c r="J1678" i="1" s="1"/>
  <c r="K1678" i="1" s="1"/>
  <c r="I1677" i="1"/>
  <c r="J1677" i="1" s="1"/>
  <c r="K1677" i="1" s="1"/>
  <c r="I1676" i="1"/>
  <c r="J1676" i="1" s="1"/>
  <c r="K1676" i="1" s="1"/>
  <c r="I1675" i="1"/>
  <c r="J1675" i="1" s="1"/>
  <c r="K1675" i="1" s="1"/>
  <c r="I1674" i="1"/>
  <c r="J1674" i="1" s="1"/>
  <c r="K1674" i="1" s="1"/>
  <c r="I1673" i="1"/>
  <c r="J1673" i="1" s="1"/>
  <c r="K1673" i="1" s="1"/>
  <c r="I1672" i="1"/>
  <c r="J1672" i="1" s="1"/>
  <c r="K1672" i="1" s="1"/>
  <c r="I1671" i="1"/>
  <c r="J1671" i="1" s="1"/>
  <c r="K1671" i="1" s="1"/>
  <c r="I1670" i="1"/>
  <c r="J1670" i="1" s="1"/>
  <c r="K1670" i="1" s="1"/>
  <c r="I1669" i="1"/>
  <c r="J1669" i="1" s="1"/>
  <c r="K1669" i="1" s="1"/>
  <c r="I1668" i="1"/>
  <c r="J1668" i="1" s="1"/>
  <c r="K1668" i="1" s="1"/>
  <c r="I1667" i="1"/>
  <c r="J1667" i="1" s="1"/>
  <c r="K1667" i="1" s="1"/>
  <c r="I1666" i="1"/>
  <c r="J1666" i="1" s="1"/>
  <c r="K1666" i="1" s="1"/>
  <c r="I1665" i="1"/>
  <c r="J1665" i="1" s="1"/>
  <c r="K1665" i="1" s="1"/>
  <c r="I1664" i="1"/>
  <c r="J1664" i="1" s="1"/>
  <c r="K1664" i="1" s="1"/>
  <c r="I1663" i="1"/>
  <c r="J1663" i="1" s="1"/>
  <c r="K1663" i="1" s="1"/>
  <c r="I1662" i="1"/>
  <c r="J1662" i="1" s="1"/>
  <c r="K1662" i="1" s="1"/>
  <c r="I1661" i="1"/>
  <c r="J1661" i="1" s="1"/>
  <c r="K1661" i="1" s="1"/>
  <c r="I1660" i="1"/>
  <c r="J1660" i="1" s="1"/>
  <c r="K1660" i="1" s="1"/>
  <c r="I1659" i="1"/>
  <c r="J1659" i="1" s="1"/>
  <c r="K1659" i="1" s="1"/>
  <c r="I1658" i="1"/>
  <c r="J1658" i="1" s="1"/>
  <c r="K1658" i="1" s="1"/>
  <c r="I1657" i="1"/>
  <c r="J1657" i="1" s="1"/>
  <c r="K1657" i="1" s="1"/>
  <c r="I1656" i="1"/>
  <c r="J1656" i="1" s="1"/>
  <c r="K1656" i="1" s="1"/>
  <c r="I1655" i="1"/>
  <c r="J1655" i="1" s="1"/>
  <c r="K1655" i="1" s="1"/>
  <c r="I1654" i="1"/>
  <c r="J1654" i="1" s="1"/>
  <c r="K1654" i="1" s="1"/>
  <c r="I1653" i="1"/>
  <c r="J1653" i="1" s="1"/>
  <c r="K1653" i="1" s="1"/>
  <c r="I1652" i="1"/>
  <c r="J1652" i="1" s="1"/>
  <c r="K1652" i="1" s="1"/>
  <c r="I1651" i="1"/>
  <c r="J1651" i="1" s="1"/>
  <c r="K1651" i="1" s="1"/>
  <c r="I1650" i="1"/>
  <c r="J1650" i="1" s="1"/>
  <c r="K1650" i="1" s="1"/>
  <c r="I1649" i="1"/>
  <c r="J1649" i="1" s="1"/>
  <c r="K1649" i="1" s="1"/>
  <c r="I1648" i="1"/>
  <c r="J1648" i="1" s="1"/>
  <c r="K1648" i="1" s="1"/>
  <c r="I1647" i="1"/>
  <c r="J1647" i="1" s="1"/>
  <c r="K1647" i="1" s="1"/>
  <c r="I1646" i="1"/>
  <c r="J1646" i="1" s="1"/>
  <c r="K1646" i="1" s="1"/>
  <c r="I1645" i="1"/>
  <c r="J1645" i="1" s="1"/>
  <c r="K1645" i="1" s="1"/>
  <c r="I1644" i="1"/>
  <c r="J1644" i="1" s="1"/>
  <c r="K1644" i="1" s="1"/>
  <c r="I1643" i="1"/>
  <c r="J1643" i="1" s="1"/>
  <c r="K1643" i="1" s="1"/>
  <c r="I1642" i="1"/>
  <c r="J1642" i="1" s="1"/>
  <c r="K1642" i="1" s="1"/>
  <c r="I1641" i="1"/>
  <c r="J1641" i="1" s="1"/>
  <c r="K1641" i="1" s="1"/>
  <c r="I1640" i="1"/>
  <c r="J1640" i="1" s="1"/>
  <c r="K1640" i="1" s="1"/>
  <c r="I1639" i="1"/>
  <c r="J1639" i="1" s="1"/>
  <c r="K1639" i="1" s="1"/>
  <c r="I1638" i="1"/>
  <c r="J1638" i="1" s="1"/>
  <c r="K1638" i="1" s="1"/>
  <c r="I1637" i="1"/>
  <c r="J1637" i="1" s="1"/>
  <c r="K1637" i="1" s="1"/>
  <c r="I1636" i="1"/>
  <c r="J1636" i="1" s="1"/>
  <c r="K1636" i="1" s="1"/>
  <c r="I1635" i="1"/>
  <c r="J1635" i="1" s="1"/>
  <c r="K1635" i="1" s="1"/>
  <c r="I1634" i="1"/>
  <c r="J1634" i="1" s="1"/>
  <c r="K1634" i="1" s="1"/>
  <c r="I1633" i="1"/>
  <c r="J1633" i="1" s="1"/>
  <c r="K1633" i="1" s="1"/>
  <c r="I1632" i="1"/>
  <c r="J1632" i="1" s="1"/>
  <c r="K1632" i="1" s="1"/>
  <c r="I1631" i="1"/>
  <c r="J1631" i="1" s="1"/>
  <c r="K1631" i="1" s="1"/>
  <c r="I1630" i="1"/>
  <c r="J1630" i="1" s="1"/>
  <c r="K1630" i="1" s="1"/>
  <c r="I1629" i="1"/>
  <c r="J1629" i="1" s="1"/>
  <c r="K1629" i="1" s="1"/>
  <c r="I1628" i="1"/>
  <c r="J1628" i="1" s="1"/>
  <c r="K1628" i="1" s="1"/>
  <c r="I1627" i="1"/>
  <c r="J1627" i="1" s="1"/>
  <c r="K1627" i="1" s="1"/>
  <c r="I1626" i="1"/>
  <c r="J1626" i="1" s="1"/>
  <c r="K1626" i="1" s="1"/>
  <c r="I1625" i="1"/>
  <c r="J1625" i="1" s="1"/>
  <c r="K1625" i="1" s="1"/>
  <c r="I1624" i="1"/>
  <c r="J1624" i="1" s="1"/>
  <c r="K1624" i="1" s="1"/>
  <c r="I1623" i="1"/>
  <c r="J1623" i="1" s="1"/>
  <c r="K1623" i="1" s="1"/>
  <c r="I1622" i="1"/>
  <c r="J1622" i="1" s="1"/>
  <c r="K1622" i="1" s="1"/>
  <c r="I1621" i="1"/>
  <c r="J1621" i="1" s="1"/>
  <c r="K1621" i="1" s="1"/>
  <c r="I1620" i="1"/>
  <c r="J1620" i="1" s="1"/>
  <c r="K1620" i="1" s="1"/>
  <c r="I1619" i="1"/>
  <c r="J1619" i="1" s="1"/>
  <c r="K1619" i="1" s="1"/>
  <c r="I1618" i="1"/>
  <c r="J1618" i="1" s="1"/>
  <c r="K1618" i="1" s="1"/>
  <c r="I1617" i="1"/>
  <c r="J1617" i="1" s="1"/>
  <c r="K1617" i="1" s="1"/>
  <c r="I1616" i="1"/>
  <c r="J1616" i="1" s="1"/>
  <c r="K1616" i="1" s="1"/>
  <c r="I1615" i="1"/>
  <c r="J1615" i="1" s="1"/>
  <c r="K1615" i="1" s="1"/>
  <c r="I1614" i="1"/>
  <c r="J1614" i="1" s="1"/>
  <c r="K1614" i="1" s="1"/>
  <c r="I1613" i="1"/>
  <c r="J1613" i="1" s="1"/>
  <c r="K1613" i="1" s="1"/>
  <c r="I1612" i="1"/>
  <c r="J1612" i="1" s="1"/>
  <c r="K1612" i="1" s="1"/>
  <c r="I1611" i="1"/>
  <c r="J1611" i="1" s="1"/>
  <c r="K1611" i="1" s="1"/>
  <c r="I1610" i="1"/>
  <c r="J1610" i="1" s="1"/>
  <c r="K1610" i="1" s="1"/>
  <c r="I1609" i="1"/>
  <c r="J1609" i="1" s="1"/>
  <c r="K1609" i="1" s="1"/>
  <c r="I1608" i="1"/>
  <c r="J1608" i="1" s="1"/>
  <c r="K1608" i="1" s="1"/>
  <c r="I1607" i="1"/>
  <c r="J1607" i="1" s="1"/>
  <c r="K1607" i="1" s="1"/>
  <c r="I1606" i="1"/>
  <c r="J1606" i="1" s="1"/>
  <c r="K1606" i="1" s="1"/>
  <c r="I1605" i="1"/>
  <c r="J1605" i="1" s="1"/>
  <c r="K1605" i="1" s="1"/>
  <c r="I1604" i="1"/>
  <c r="J1604" i="1" s="1"/>
  <c r="K1604" i="1" s="1"/>
  <c r="I1603" i="1"/>
  <c r="J1603" i="1" s="1"/>
  <c r="K1603" i="1" s="1"/>
  <c r="I1602" i="1"/>
  <c r="J1602" i="1" s="1"/>
  <c r="K1602" i="1" s="1"/>
  <c r="I1601" i="1"/>
  <c r="J1601" i="1" s="1"/>
  <c r="K1601" i="1" s="1"/>
  <c r="I1600" i="1"/>
  <c r="J1600" i="1" s="1"/>
  <c r="K1600" i="1" s="1"/>
  <c r="I1599" i="1"/>
  <c r="J1599" i="1" s="1"/>
  <c r="K1599" i="1" s="1"/>
  <c r="I1598" i="1"/>
  <c r="J1598" i="1" s="1"/>
  <c r="K1598" i="1" s="1"/>
  <c r="I1597" i="1"/>
  <c r="J1597" i="1" s="1"/>
  <c r="K1597" i="1" s="1"/>
  <c r="I1596" i="1"/>
  <c r="J1596" i="1" s="1"/>
  <c r="K1596" i="1" s="1"/>
  <c r="I1595" i="1"/>
  <c r="J1595" i="1" s="1"/>
  <c r="K1595" i="1" s="1"/>
  <c r="I1594" i="1"/>
  <c r="J1594" i="1" s="1"/>
  <c r="K1594" i="1" s="1"/>
  <c r="I1593" i="1"/>
  <c r="J1593" i="1" s="1"/>
  <c r="K1593" i="1" s="1"/>
  <c r="I1592" i="1"/>
  <c r="J1592" i="1" s="1"/>
  <c r="K1592" i="1" s="1"/>
  <c r="I1591" i="1"/>
  <c r="J1591" i="1" s="1"/>
  <c r="K1591" i="1" s="1"/>
  <c r="I1590" i="1"/>
  <c r="J1590" i="1" s="1"/>
  <c r="K1590" i="1" s="1"/>
  <c r="I1589" i="1"/>
  <c r="J1589" i="1" s="1"/>
  <c r="K1589" i="1" s="1"/>
  <c r="I1588" i="1"/>
  <c r="J1588" i="1" s="1"/>
  <c r="K1588" i="1" s="1"/>
  <c r="I1587" i="1"/>
  <c r="J1587" i="1" s="1"/>
  <c r="K1587" i="1" s="1"/>
  <c r="I1586" i="1"/>
  <c r="J1586" i="1" s="1"/>
  <c r="K1586" i="1" s="1"/>
  <c r="I1585" i="1"/>
  <c r="J1585" i="1" s="1"/>
  <c r="K1585" i="1" s="1"/>
  <c r="I1584" i="1"/>
  <c r="J1584" i="1" s="1"/>
  <c r="K1584" i="1" s="1"/>
  <c r="I1583" i="1"/>
  <c r="J1583" i="1" s="1"/>
  <c r="K1583" i="1" s="1"/>
  <c r="I1582" i="1"/>
  <c r="J1582" i="1" s="1"/>
  <c r="K1582" i="1" s="1"/>
  <c r="I1581" i="1"/>
  <c r="J1581" i="1" s="1"/>
  <c r="K1581" i="1" s="1"/>
  <c r="I1580" i="1"/>
  <c r="J1580" i="1" s="1"/>
  <c r="K1580" i="1" s="1"/>
  <c r="I1579" i="1"/>
  <c r="J1579" i="1" s="1"/>
  <c r="K1579" i="1" s="1"/>
  <c r="I1578" i="1"/>
  <c r="J1578" i="1" s="1"/>
  <c r="K1578" i="1" s="1"/>
  <c r="I1577" i="1"/>
  <c r="J1577" i="1" s="1"/>
  <c r="K1577" i="1" s="1"/>
  <c r="I1576" i="1"/>
  <c r="J1576" i="1" s="1"/>
  <c r="K1576" i="1" s="1"/>
  <c r="I1575" i="1"/>
  <c r="J1575" i="1" s="1"/>
  <c r="K1575" i="1" s="1"/>
  <c r="I1574" i="1"/>
  <c r="J1574" i="1" s="1"/>
  <c r="K1574" i="1" s="1"/>
  <c r="I1573" i="1"/>
  <c r="J1573" i="1" s="1"/>
  <c r="K1573" i="1" s="1"/>
  <c r="I1572" i="1"/>
  <c r="J1572" i="1" s="1"/>
  <c r="K1572" i="1" s="1"/>
  <c r="I1571" i="1"/>
  <c r="J1571" i="1" s="1"/>
  <c r="K1571" i="1" s="1"/>
  <c r="I1570" i="1"/>
  <c r="J1570" i="1" s="1"/>
  <c r="K1570" i="1" s="1"/>
  <c r="I1569" i="1"/>
  <c r="J1569" i="1" s="1"/>
  <c r="K1569" i="1" s="1"/>
  <c r="I1568" i="1"/>
  <c r="J1568" i="1" s="1"/>
  <c r="K1568" i="1" s="1"/>
  <c r="I1567" i="1"/>
  <c r="J1567" i="1" s="1"/>
  <c r="K1567" i="1" s="1"/>
  <c r="I1566" i="1"/>
  <c r="J1566" i="1" s="1"/>
  <c r="K1566" i="1" s="1"/>
  <c r="I1565" i="1"/>
  <c r="J1565" i="1" s="1"/>
  <c r="K1565" i="1" s="1"/>
  <c r="I1564" i="1"/>
  <c r="J1564" i="1" s="1"/>
  <c r="K1564" i="1" s="1"/>
  <c r="I1563" i="1"/>
  <c r="J1563" i="1" s="1"/>
  <c r="K1563" i="1" s="1"/>
  <c r="I1562" i="1"/>
  <c r="J1562" i="1" s="1"/>
  <c r="K1562" i="1" s="1"/>
  <c r="I1561" i="1"/>
  <c r="J1561" i="1" s="1"/>
  <c r="K1561" i="1" s="1"/>
  <c r="I1560" i="1"/>
  <c r="J1560" i="1" s="1"/>
  <c r="K1560" i="1" s="1"/>
  <c r="I1559" i="1"/>
  <c r="J1559" i="1" s="1"/>
  <c r="K1559" i="1" s="1"/>
  <c r="I1558" i="1"/>
  <c r="J1558" i="1" s="1"/>
  <c r="K1558" i="1" s="1"/>
  <c r="I1557" i="1"/>
  <c r="J1557" i="1" s="1"/>
  <c r="K1557" i="1" s="1"/>
  <c r="I1556" i="1"/>
  <c r="J1556" i="1" s="1"/>
  <c r="K1556" i="1" s="1"/>
  <c r="I1555" i="1"/>
  <c r="J1555" i="1" s="1"/>
  <c r="K1555" i="1" s="1"/>
  <c r="I1554" i="1"/>
  <c r="J1554" i="1" s="1"/>
  <c r="K1554" i="1" s="1"/>
  <c r="I1553" i="1"/>
  <c r="J1553" i="1" s="1"/>
  <c r="K1553" i="1" s="1"/>
  <c r="I1552" i="1"/>
  <c r="J1552" i="1" s="1"/>
  <c r="K1552" i="1" s="1"/>
  <c r="I1551" i="1"/>
  <c r="J1551" i="1" s="1"/>
  <c r="K1551" i="1" s="1"/>
  <c r="I1550" i="1"/>
  <c r="J1550" i="1" s="1"/>
  <c r="K1550" i="1" s="1"/>
  <c r="I1549" i="1"/>
  <c r="J1549" i="1" s="1"/>
  <c r="K1549" i="1" s="1"/>
  <c r="I1548" i="1"/>
  <c r="J1548" i="1" s="1"/>
  <c r="K1548" i="1" s="1"/>
  <c r="I1547" i="1"/>
  <c r="J1547" i="1" s="1"/>
  <c r="K1547" i="1" s="1"/>
  <c r="I1546" i="1"/>
  <c r="J1546" i="1" s="1"/>
  <c r="K1546" i="1" s="1"/>
  <c r="I1545" i="1"/>
  <c r="J1545" i="1" s="1"/>
  <c r="K1545" i="1" s="1"/>
  <c r="I1544" i="1"/>
  <c r="J1544" i="1" s="1"/>
  <c r="K1544" i="1" s="1"/>
  <c r="I1543" i="1"/>
  <c r="J1543" i="1" s="1"/>
  <c r="K1543" i="1" s="1"/>
  <c r="I1542" i="1"/>
  <c r="J1542" i="1" s="1"/>
  <c r="K1542" i="1" s="1"/>
  <c r="I1541" i="1"/>
  <c r="J1541" i="1" s="1"/>
  <c r="K1541" i="1" s="1"/>
  <c r="I1540" i="1"/>
  <c r="J1540" i="1" s="1"/>
  <c r="K1540" i="1" s="1"/>
  <c r="I1539" i="1"/>
  <c r="J1539" i="1" s="1"/>
  <c r="K1539" i="1" s="1"/>
  <c r="I1538" i="1"/>
  <c r="J1538" i="1" s="1"/>
  <c r="K1538" i="1" s="1"/>
  <c r="I1537" i="1"/>
  <c r="J1537" i="1" s="1"/>
  <c r="K1537" i="1" s="1"/>
  <c r="I1536" i="1"/>
  <c r="J1536" i="1" s="1"/>
  <c r="K1536" i="1" s="1"/>
  <c r="I1535" i="1"/>
  <c r="J1535" i="1" s="1"/>
  <c r="K1535" i="1" s="1"/>
  <c r="I1534" i="1"/>
  <c r="J1534" i="1" s="1"/>
  <c r="K1534" i="1" s="1"/>
  <c r="I1533" i="1"/>
  <c r="J1533" i="1" s="1"/>
  <c r="K1533" i="1" s="1"/>
  <c r="I1532" i="1"/>
  <c r="J1532" i="1" s="1"/>
  <c r="K1532" i="1" s="1"/>
  <c r="I1531" i="1"/>
  <c r="J1531" i="1" s="1"/>
  <c r="K1531" i="1" s="1"/>
  <c r="I1530" i="1"/>
  <c r="J1530" i="1" s="1"/>
  <c r="K1530" i="1" s="1"/>
  <c r="I1529" i="1"/>
  <c r="J1529" i="1" s="1"/>
  <c r="K1529" i="1" s="1"/>
  <c r="I1528" i="1"/>
  <c r="J1528" i="1" s="1"/>
  <c r="K1528" i="1" s="1"/>
  <c r="I1527" i="1"/>
  <c r="J1527" i="1" s="1"/>
  <c r="K1527" i="1" s="1"/>
  <c r="I1526" i="1"/>
  <c r="J1526" i="1" s="1"/>
  <c r="K1526" i="1" s="1"/>
  <c r="I1525" i="1"/>
  <c r="J1525" i="1" s="1"/>
  <c r="K1525" i="1" s="1"/>
  <c r="I1524" i="1"/>
  <c r="J1524" i="1" s="1"/>
  <c r="K1524" i="1" s="1"/>
  <c r="I1523" i="1"/>
  <c r="J1523" i="1" s="1"/>
  <c r="K1523" i="1" s="1"/>
  <c r="I1522" i="1"/>
  <c r="J1522" i="1" s="1"/>
  <c r="K1522" i="1" s="1"/>
  <c r="I1521" i="1"/>
  <c r="J1521" i="1" s="1"/>
  <c r="K1521" i="1" s="1"/>
  <c r="I1520" i="1"/>
  <c r="J1520" i="1" s="1"/>
  <c r="K1520" i="1" s="1"/>
  <c r="I1519" i="1"/>
  <c r="J1519" i="1" s="1"/>
  <c r="K1519" i="1" s="1"/>
  <c r="I1518" i="1"/>
  <c r="J1518" i="1" s="1"/>
  <c r="K1518" i="1" s="1"/>
  <c r="I1517" i="1"/>
  <c r="J1517" i="1" s="1"/>
  <c r="K1517" i="1" s="1"/>
  <c r="I1516" i="1"/>
  <c r="J1516" i="1" s="1"/>
  <c r="K1516" i="1" s="1"/>
  <c r="I1515" i="1"/>
  <c r="J1515" i="1" s="1"/>
  <c r="K1515" i="1" s="1"/>
  <c r="I1514" i="1"/>
  <c r="J1514" i="1" s="1"/>
  <c r="K1514" i="1" s="1"/>
  <c r="I1513" i="1"/>
  <c r="J1513" i="1" s="1"/>
  <c r="K1513" i="1" s="1"/>
  <c r="I1512" i="1"/>
  <c r="J1512" i="1" s="1"/>
  <c r="K1512" i="1" s="1"/>
  <c r="I1511" i="1"/>
  <c r="J1511" i="1" s="1"/>
  <c r="K1511" i="1" s="1"/>
  <c r="I1510" i="1"/>
  <c r="J1510" i="1" s="1"/>
  <c r="K1510" i="1" s="1"/>
  <c r="I1509" i="1"/>
  <c r="J1509" i="1" s="1"/>
  <c r="K1509" i="1" s="1"/>
  <c r="I1508" i="1"/>
  <c r="J1508" i="1" s="1"/>
  <c r="K1508" i="1" s="1"/>
  <c r="I1507" i="1"/>
  <c r="J1507" i="1" s="1"/>
  <c r="K1507" i="1" s="1"/>
  <c r="I1506" i="1"/>
  <c r="J1506" i="1" s="1"/>
  <c r="K1506" i="1" s="1"/>
  <c r="I1505" i="1"/>
  <c r="J1505" i="1" s="1"/>
  <c r="K1505" i="1" s="1"/>
  <c r="I1504" i="1"/>
  <c r="J1504" i="1" s="1"/>
  <c r="K1504" i="1" s="1"/>
  <c r="I1503" i="1"/>
  <c r="J1503" i="1" s="1"/>
  <c r="K1503" i="1" s="1"/>
  <c r="I1502" i="1"/>
  <c r="J1502" i="1" s="1"/>
  <c r="K1502" i="1" s="1"/>
  <c r="I1501" i="1"/>
  <c r="J1501" i="1" s="1"/>
  <c r="K1501" i="1" s="1"/>
  <c r="I1500" i="1"/>
  <c r="J1500" i="1" s="1"/>
  <c r="K1500" i="1" s="1"/>
  <c r="I1499" i="1"/>
  <c r="J1499" i="1" s="1"/>
  <c r="K1499" i="1" s="1"/>
  <c r="I1498" i="1"/>
  <c r="J1498" i="1" s="1"/>
  <c r="K1498" i="1" s="1"/>
  <c r="I1497" i="1"/>
  <c r="J1497" i="1" s="1"/>
  <c r="K1497" i="1" s="1"/>
  <c r="I1496" i="1"/>
  <c r="J1496" i="1" s="1"/>
  <c r="K1496" i="1" s="1"/>
  <c r="I1495" i="1"/>
  <c r="J1495" i="1" s="1"/>
  <c r="K1495" i="1" s="1"/>
  <c r="I1494" i="1"/>
  <c r="J1494" i="1" s="1"/>
  <c r="K1494" i="1" s="1"/>
  <c r="I1493" i="1"/>
  <c r="J1493" i="1" s="1"/>
  <c r="K1493" i="1" s="1"/>
  <c r="I1492" i="1"/>
  <c r="J1492" i="1" s="1"/>
  <c r="K1492" i="1" s="1"/>
  <c r="I1491" i="1"/>
  <c r="J1491" i="1" s="1"/>
  <c r="K1491" i="1" s="1"/>
  <c r="I1490" i="1"/>
  <c r="J1490" i="1" s="1"/>
  <c r="K1490" i="1" s="1"/>
  <c r="I1489" i="1"/>
  <c r="J1489" i="1" s="1"/>
  <c r="K1489" i="1" s="1"/>
  <c r="I1488" i="1"/>
  <c r="J1488" i="1" s="1"/>
  <c r="K1488" i="1" s="1"/>
  <c r="I1487" i="1"/>
  <c r="J1487" i="1" s="1"/>
  <c r="K1487" i="1" s="1"/>
  <c r="I1486" i="1"/>
  <c r="J1486" i="1" s="1"/>
  <c r="K1486" i="1" s="1"/>
  <c r="I1485" i="1"/>
  <c r="J1485" i="1" s="1"/>
  <c r="K1485" i="1" s="1"/>
  <c r="I1484" i="1"/>
  <c r="J1484" i="1" s="1"/>
  <c r="K1484" i="1" s="1"/>
  <c r="I1483" i="1"/>
  <c r="J1483" i="1" s="1"/>
  <c r="K1483" i="1" s="1"/>
  <c r="I1482" i="1"/>
  <c r="J1482" i="1" s="1"/>
  <c r="K1482" i="1" s="1"/>
  <c r="I1481" i="1"/>
  <c r="J1481" i="1" s="1"/>
  <c r="K1481" i="1" s="1"/>
  <c r="I1480" i="1"/>
  <c r="J1480" i="1" s="1"/>
  <c r="K1480" i="1" s="1"/>
  <c r="I1479" i="1"/>
  <c r="J1479" i="1" s="1"/>
  <c r="K1479" i="1" s="1"/>
  <c r="I1478" i="1"/>
  <c r="J1478" i="1" s="1"/>
  <c r="K1478" i="1" s="1"/>
  <c r="I1477" i="1"/>
  <c r="J1477" i="1" s="1"/>
  <c r="K1477" i="1" s="1"/>
  <c r="I1476" i="1"/>
  <c r="J1476" i="1" s="1"/>
  <c r="K1476" i="1" s="1"/>
  <c r="I1475" i="1"/>
  <c r="J1475" i="1" s="1"/>
  <c r="K1475" i="1" s="1"/>
  <c r="I1474" i="1"/>
  <c r="J1474" i="1" s="1"/>
  <c r="K1474" i="1" s="1"/>
  <c r="I1473" i="1"/>
  <c r="J1473" i="1" s="1"/>
  <c r="K1473" i="1" s="1"/>
  <c r="I1472" i="1"/>
  <c r="J1472" i="1" s="1"/>
  <c r="K1472" i="1" s="1"/>
  <c r="I1471" i="1"/>
  <c r="J1471" i="1" s="1"/>
  <c r="K1471" i="1" s="1"/>
  <c r="I1470" i="1"/>
  <c r="J1470" i="1" s="1"/>
  <c r="K1470" i="1" s="1"/>
  <c r="I1469" i="1"/>
  <c r="J1469" i="1" s="1"/>
  <c r="K1469" i="1" s="1"/>
  <c r="I1468" i="1"/>
  <c r="J1468" i="1" s="1"/>
  <c r="K1468" i="1" s="1"/>
  <c r="I1467" i="1"/>
  <c r="J1467" i="1" s="1"/>
  <c r="K1467" i="1" s="1"/>
  <c r="I1466" i="1"/>
  <c r="J1466" i="1" s="1"/>
  <c r="K1466" i="1" s="1"/>
  <c r="I1465" i="1"/>
  <c r="J1465" i="1" s="1"/>
  <c r="K1465" i="1" s="1"/>
  <c r="I1464" i="1"/>
  <c r="J1464" i="1" s="1"/>
  <c r="K1464" i="1" s="1"/>
  <c r="I1463" i="1"/>
  <c r="J1463" i="1" s="1"/>
  <c r="K1463" i="1" s="1"/>
  <c r="I1462" i="1"/>
  <c r="J1462" i="1" s="1"/>
  <c r="K1462" i="1" s="1"/>
  <c r="I1461" i="1"/>
  <c r="J1461" i="1" s="1"/>
  <c r="K1461" i="1" s="1"/>
  <c r="I1460" i="1"/>
  <c r="J1460" i="1" s="1"/>
  <c r="K1460" i="1" s="1"/>
  <c r="I1459" i="1"/>
  <c r="J1459" i="1" s="1"/>
  <c r="K1459" i="1" s="1"/>
  <c r="I1458" i="1"/>
  <c r="J1458" i="1" s="1"/>
  <c r="K1458" i="1" s="1"/>
  <c r="I1457" i="1"/>
  <c r="J1457" i="1" s="1"/>
  <c r="K1457" i="1" s="1"/>
  <c r="I1456" i="1"/>
  <c r="J1456" i="1" s="1"/>
  <c r="K1456" i="1" s="1"/>
  <c r="I1455" i="1"/>
  <c r="J1455" i="1" s="1"/>
  <c r="K1455" i="1" s="1"/>
  <c r="I1454" i="1"/>
  <c r="J1454" i="1" s="1"/>
  <c r="K1454" i="1" s="1"/>
  <c r="I1453" i="1"/>
  <c r="J1453" i="1" s="1"/>
  <c r="K1453" i="1" s="1"/>
  <c r="I1452" i="1"/>
  <c r="J1452" i="1" s="1"/>
  <c r="K1452" i="1" s="1"/>
  <c r="I1451" i="1"/>
  <c r="J1451" i="1" s="1"/>
  <c r="K1451" i="1" s="1"/>
  <c r="I1450" i="1"/>
  <c r="J1450" i="1" s="1"/>
  <c r="K1450" i="1" s="1"/>
  <c r="I1449" i="1"/>
  <c r="J1449" i="1" s="1"/>
  <c r="K1449" i="1" s="1"/>
  <c r="I1448" i="1"/>
  <c r="J1448" i="1" s="1"/>
  <c r="K1448" i="1" s="1"/>
  <c r="I1447" i="1"/>
  <c r="J1447" i="1" s="1"/>
  <c r="K1447" i="1" s="1"/>
  <c r="I1446" i="1"/>
  <c r="J1446" i="1" s="1"/>
  <c r="K1446" i="1" s="1"/>
  <c r="I1445" i="1"/>
  <c r="J1445" i="1" s="1"/>
  <c r="K1445" i="1" s="1"/>
  <c r="I1444" i="1"/>
  <c r="J1444" i="1" s="1"/>
  <c r="K1444" i="1" s="1"/>
  <c r="I1443" i="1"/>
  <c r="J1443" i="1" s="1"/>
  <c r="K1443" i="1" s="1"/>
  <c r="I1442" i="1"/>
  <c r="J1442" i="1" s="1"/>
  <c r="K1442" i="1" s="1"/>
  <c r="I1441" i="1"/>
  <c r="J1441" i="1" s="1"/>
  <c r="K1441" i="1" s="1"/>
  <c r="I1440" i="1"/>
  <c r="J1440" i="1" s="1"/>
  <c r="K1440" i="1" s="1"/>
  <c r="I1439" i="1"/>
  <c r="J1439" i="1" s="1"/>
  <c r="K1439" i="1" s="1"/>
  <c r="I1438" i="1"/>
  <c r="J1438" i="1" s="1"/>
  <c r="K1438" i="1" s="1"/>
  <c r="I1437" i="1"/>
  <c r="J1437" i="1" s="1"/>
  <c r="K1437" i="1" s="1"/>
  <c r="I1436" i="1"/>
  <c r="J1436" i="1" s="1"/>
  <c r="K1436" i="1" s="1"/>
  <c r="I1435" i="1"/>
  <c r="J1435" i="1" s="1"/>
  <c r="K1435" i="1" s="1"/>
  <c r="I1434" i="1"/>
  <c r="J1434" i="1" s="1"/>
  <c r="K1434" i="1" s="1"/>
  <c r="I1433" i="1"/>
  <c r="J1433" i="1" s="1"/>
  <c r="K1433" i="1" s="1"/>
  <c r="I1432" i="1"/>
  <c r="J1432" i="1" s="1"/>
  <c r="K1432" i="1" s="1"/>
  <c r="I1431" i="1"/>
  <c r="J1431" i="1" s="1"/>
  <c r="K1431" i="1" s="1"/>
  <c r="I1430" i="1"/>
  <c r="J1430" i="1" s="1"/>
  <c r="K1430" i="1" s="1"/>
  <c r="I1429" i="1"/>
  <c r="J1429" i="1" s="1"/>
  <c r="K1429" i="1" s="1"/>
  <c r="I1428" i="1"/>
  <c r="J1428" i="1" s="1"/>
  <c r="K1428" i="1" s="1"/>
  <c r="I1427" i="1"/>
  <c r="J1427" i="1" s="1"/>
  <c r="K1427" i="1" s="1"/>
  <c r="I1426" i="1"/>
  <c r="J1426" i="1" s="1"/>
  <c r="K1426" i="1" s="1"/>
  <c r="I1425" i="1"/>
  <c r="J1425" i="1" s="1"/>
  <c r="K1425" i="1" s="1"/>
  <c r="I1424" i="1"/>
  <c r="J1424" i="1" s="1"/>
  <c r="K1424" i="1" s="1"/>
  <c r="I1423" i="1"/>
  <c r="J1423" i="1" s="1"/>
  <c r="K1423" i="1" s="1"/>
  <c r="I1422" i="1"/>
  <c r="J1422" i="1" s="1"/>
  <c r="K1422" i="1" s="1"/>
  <c r="I1421" i="1"/>
  <c r="J1421" i="1" s="1"/>
  <c r="K1421" i="1" s="1"/>
  <c r="I1420" i="1"/>
  <c r="J1420" i="1" s="1"/>
  <c r="K1420" i="1" s="1"/>
  <c r="I1419" i="1"/>
  <c r="J1419" i="1" s="1"/>
  <c r="K1419" i="1" s="1"/>
  <c r="I1418" i="1"/>
  <c r="J1418" i="1" s="1"/>
  <c r="K1418" i="1" s="1"/>
  <c r="I1417" i="1"/>
  <c r="J1417" i="1" s="1"/>
  <c r="K1417" i="1" s="1"/>
  <c r="I1416" i="1"/>
  <c r="J1416" i="1" s="1"/>
  <c r="K1416" i="1" s="1"/>
  <c r="I1415" i="1"/>
  <c r="J1415" i="1" s="1"/>
  <c r="K1415" i="1" s="1"/>
  <c r="I1414" i="1"/>
  <c r="J1414" i="1" s="1"/>
  <c r="K1414" i="1" s="1"/>
  <c r="I1413" i="1"/>
  <c r="J1413" i="1" s="1"/>
  <c r="K1413" i="1" s="1"/>
  <c r="I1412" i="1"/>
  <c r="J1412" i="1" s="1"/>
  <c r="K1412" i="1" s="1"/>
  <c r="I1411" i="1"/>
  <c r="J1411" i="1" s="1"/>
  <c r="K1411" i="1" s="1"/>
  <c r="I1410" i="1"/>
  <c r="J1410" i="1" s="1"/>
  <c r="K1410" i="1" s="1"/>
  <c r="I1409" i="1"/>
  <c r="J1409" i="1" s="1"/>
  <c r="K1409" i="1" s="1"/>
  <c r="I1408" i="1"/>
  <c r="J1408" i="1" s="1"/>
  <c r="K1408" i="1" s="1"/>
  <c r="I1407" i="1"/>
  <c r="J1407" i="1" s="1"/>
  <c r="K1407" i="1" s="1"/>
  <c r="I1406" i="1"/>
  <c r="J1406" i="1" s="1"/>
  <c r="K1406" i="1" s="1"/>
  <c r="I1405" i="1"/>
  <c r="J1405" i="1" s="1"/>
  <c r="K1405" i="1" s="1"/>
  <c r="I1404" i="1"/>
  <c r="J1404" i="1" s="1"/>
  <c r="K1404" i="1" s="1"/>
  <c r="I1403" i="1"/>
  <c r="J1403" i="1" s="1"/>
  <c r="K1403" i="1" s="1"/>
  <c r="I1402" i="1"/>
  <c r="J1402" i="1" s="1"/>
  <c r="K1402" i="1" s="1"/>
  <c r="I1401" i="1"/>
  <c r="J1401" i="1" s="1"/>
  <c r="K1401" i="1" s="1"/>
  <c r="I1400" i="1"/>
  <c r="J1400" i="1" s="1"/>
  <c r="K1400" i="1" s="1"/>
  <c r="I1399" i="1"/>
  <c r="J1399" i="1" s="1"/>
  <c r="K1399" i="1" s="1"/>
  <c r="I1398" i="1"/>
  <c r="J1398" i="1" s="1"/>
  <c r="K1398" i="1" s="1"/>
  <c r="I1397" i="1"/>
  <c r="J1397" i="1" s="1"/>
  <c r="K1397" i="1" s="1"/>
  <c r="I1396" i="1"/>
  <c r="J1396" i="1" s="1"/>
  <c r="K1396" i="1" s="1"/>
  <c r="I1395" i="1"/>
  <c r="J1395" i="1" s="1"/>
  <c r="K1395" i="1" s="1"/>
  <c r="I1394" i="1"/>
  <c r="J1394" i="1" s="1"/>
  <c r="K1394" i="1" s="1"/>
  <c r="I1393" i="1"/>
  <c r="J1393" i="1" s="1"/>
  <c r="K1393" i="1" s="1"/>
  <c r="I1392" i="1"/>
  <c r="J1392" i="1" s="1"/>
  <c r="K1392" i="1" s="1"/>
  <c r="I1391" i="1"/>
  <c r="J1391" i="1" s="1"/>
  <c r="K1391" i="1" s="1"/>
  <c r="I1390" i="1"/>
  <c r="J1390" i="1" s="1"/>
  <c r="K1390" i="1" s="1"/>
  <c r="I1389" i="1"/>
  <c r="J1389" i="1" s="1"/>
  <c r="K1389" i="1" s="1"/>
  <c r="I1388" i="1"/>
  <c r="J1388" i="1" s="1"/>
  <c r="K1388" i="1" s="1"/>
  <c r="I1387" i="1"/>
  <c r="J1387" i="1" s="1"/>
  <c r="K1387" i="1" s="1"/>
  <c r="I1386" i="1"/>
  <c r="J1386" i="1" s="1"/>
  <c r="K1386" i="1" s="1"/>
  <c r="I1385" i="1"/>
  <c r="J1385" i="1" s="1"/>
  <c r="K1385" i="1" s="1"/>
  <c r="I1384" i="1"/>
  <c r="J1384" i="1" s="1"/>
  <c r="K1384" i="1" s="1"/>
  <c r="I1383" i="1"/>
  <c r="J1383" i="1" s="1"/>
  <c r="K1383" i="1" s="1"/>
  <c r="I1382" i="1"/>
  <c r="J1382" i="1" s="1"/>
  <c r="K1382" i="1" s="1"/>
  <c r="I1381" i="1"/>
  <c r="J1381" i="1" s="1"/>
  <c r="K1381" i="1" s="1"/>
  <c r="I1380" i="1"/>
  <c r="J1380" i="1" s="1"/>
  <c r="K1380" i="1" s="1"/>
  <c r="I1379" i="1"/>
  <c r="J1379" i="1" s="1"/>
  <c r="K1379" i="1" s="1"/>
  <c r="I1378" i="1"/>
  <c r="J1378" i="1" s="1"/>
  <c r="K1378" i="1" s="1"/>
  <c r="I1377" i="1"/>
  <c r="J1377" i="1" s="1"/>
  <c r="K1377" i="1" s="1"/>
  <c r="I1376" i="1"/>
  <c r="J1376" i="1" s="1"/>
  <c r="K1376" i="1" s="1"/>
  <c r="I1375" i="1"/>
  <c r="J1375" i="1" s="1"/>
  <c r="K1375" i="1" s="1"/>
  <c r="I1374" i="1"/>
  <c r="J1374" i="1" s="1"/>
  <c r="K1374" i="1" s="1"/>
  <c r="I1373" i="1"/>
  <c r="J1373" i="1" s="1"/>
  <c r="K1373" i="1" s="1"/>
  <c r="I1372" i="1"/>
  <c r="J1372" i="1" s="1"/>
  <c r="K1372" i="1" s="1"/>
  <c r="I1371" i="1"/>
  <c r="J1371" i="1" s="1"/>
  <c r="K1371" i="1" s="1"/>
  <c r="I1370" i="1"/>
  <c r="J1370" i="1" s="1"/>
  <c r="K1370" i="1" s="1"/>
  <c r="I1369" i="1"/>
  <c r="J1369" i="1" s="1"/>
  <c r="K1369" i="1" s="1"/>
  <c r="I1368" i="1"/>
  <c r="J1368" i="1" s="1"/>
  <c r="K1368" i="1" s="1"/>
  <c r="I1367" i="1"/>
  <c r="J1367" i="1" s="1"/>
  <c r="K1367" i="1" s="1"/>
  <c r="I1366" i="1"/>
  <c r="J1366" i="1" s="1"/>
  <c r="K1366" i="1" s="1"/>
  <c r="I1365" i="1"/>
  <c r="J1365" i="1" s="1"/>
  <c r="K1365" i="1" s="1"/>
  <c r="I1364" i="1"/>
  <c r="J1364" i="1" s="1"/>
  <c r="K1364" i="1" s="1"/>
  <c r="I1363" i="1"/>
  <c r="J1363" i="1" s="1"/>
  <c r="K1363" i="1" s="1"/>
  <c r="I1362" i="1"/>
  <c r="J1362" i="1" s="1"/>
  <c r="K1362" i="1" s="1"/>
  <c r="I1361" i="1"/>
  <c r="J1361" i="1" s="1"/>
  <c r="K1361" i="1" s="1"/>
  <c r="I1360" i="1"/>
  <c r="J1360" i="1" s="1"/>
  <c r="K1360" i="1" s="1"/>
  <c r="I1359" i="1"/>
  <c r="J1359" i="1" s="1"/>
  <c r="K1359" i="1" s="1"/>
  <c r="I1358" i="1"/>
  <c r="J1358" i="1" s="1"/>
  <c r="K1358" i="1" s="1"/>
  <c r="I1357" i="1"/>
  <c r="J1357" i="1" s="1"/>
  <c r="K1357" i="1" s="1"/>
  <c r="I1356" i="1"/>
  <c r="J1356" i="1" s="1"/>
  <c r="K1356" i="1" s="1"/>
  <c r="I1355" i="1"/>
  <c r="J1355" i="1" s="1"/>
  <c r="K1355" i="1" s="1"/>
  <c r="I1354" i="1"/>
  <c r="J1354" i="1" s="1"/>
  <c r="K1354" i="1" s="1"/>
  <c r="I1353" i="1"/>
  <c r="J1353" i="1" s="1"/>
  <c r="K1353" i="1" s="1"/>
  <c r="I1352" i="1"/>
  <c r="J1352" i="1" s="1"/>
  <c r="K1352" i="1" s="1"/>
  <c r="I1351" i="1"/>
  <c r="J1351" i="1" s="1"/>
  <c r="K1351" i="1" s="1"/>
  <c r="I1350" i="1"/>
  <c r="J1350" i="1" s="1"/>
  <c r="K1350" i="1" s="1"/>
  <c r="I1349" i="1"/>
  <c r="J1349" i="1" s="1"/>
  <c r="K1349" i="1" s="1"/>
  <c r="I1348" i="1"/>
  <c r="J1348" i="1" s="1"/>
  <c r="K1348" i="1" s="1"/>
  <c r="I1347" i="1"/>
  <c r="J1347" i="1" s="1"/>
  <c r="K1347" i="1" s="1"/>
  <c r="I1346" i="1"/>
  <c r="J1346" i="1" s="1"/>
  <c r="K1346" i="1" s="1"/>
  <c r="I1345" i="1"/>
  <c r="J1345" i="1" s="1"/>
  <c r="K1345" i="1" s="1"/>
  <c r="I1344" i="1"/>
  <c r="J1344" i="1" s="1"/>
  <c r="K1344" i="1" s="1"/>
  <c r="I1343" i="1"/>
  <c r="J1343" i="1" s="1"/>
  <c r="K1343" i="1" s="1"/>
  <c r="I1342" i="1"/>
  <c r="J1342" i="1" s="1"/>
  <c r="K1342" i="1" s="1"/>
  <c r="I1341" i="1"/>
  <c r="J1341" i="1" s="1"/>
  <c r="K1341" i="1" s="1"/>
  <c r="I1340" i="1"/>
  <c r="J1340" i="1" s="1"/>
  <c r="K1340" i="1" s="1"/>
  <c r="I1339" i="1"/>
  <c r="J1339" i="1" s="1"/>
  <c r="K1339" i="1" s="1"/>
  <c r="I1338" i="1"/>
  <c r="J1338" i="1" s="1"/>
  <c r="K1338" i="1" s="1"/>
  <c r="I1337" i="1"/>
  <c r="J1337" i="1" s="1"/>
  <c r="K1337" i="1" s="1"/>
  <c r="I1336" i="1"/>
  <c r="J1336" i="1" s="1"/>
  <c r="K1336" i="1" s="1"/>
  <c r="I1335" i="1"/>
  <c r="J1335" i="1" s="1"/>
  <c r="K1335" i="1" s="1"/>
  <c r="I1334" i="1"/>
  <c r="J1334" i="1" s="1"/>
  <c r="K1334" i="1" s="1"/>
  <c r="I1333" i="1"/>
  <c r="J1333" i="1" s="1"/>
  <c r="K1333" i="1" s="1"/>
  <c r="I1332" i="1"/>
  <c r="J1332" i="1" s="1"/>
  <c r="K1332" i="1" s="1"/>
  <c r="I1331" i="1"/>
  <c r="J1331" i="1" s="1"/>
  <c r="K1331" i="1" s="1"/>
  <c r="I1330" i="1"/>
  <c r="J1330" i="1" s="1"/>
  <c r="K1330" i="1" s="1"/>
  <c r="I1329" i="1"/>
  <c r="J1329" i="1" s="1"/>
  <c r="K1329" i="1" s="1"/>
  <c r="I1328" i="1"/>
  <c r="J1328" i="1" s="1"/>
  <c r="K1328" i="1" s="1"/>
  <c r="I1327" i="1"/>
  <c r="J1327" i="1" s="1"/>
  <c r="K1327" i="1" s="1"/>
  <c r="I1326" i="1"/>
  <c r="J1326" i="1" s="1"/>
  <c r="K1326" i="1" s="1"/>
  <c r="I1325" i="1"/>
  <c r="J1325" i="1" s="1"/>
  <c r="K1325" i="1" s="1"/>
  <c r="I1324" i="1"/>
  <c r="J1324" i="1" s="1"/>
  <c r="K1324" i="1" s="1"/>
  <c r="I1323" i="1"/>
  <c r="J1323" i="1" s="1"/>
  <c r="K1323" i="1" s="1"/>
  <c r="I1322" i="1"/>
  <c r="J1322" i="1" s="1"/>
  <c r="K1322" i="1" s="1"/>
  <c r="I1321" i="1"/>
  <c r="J1321" i="1" s="1"/>
  <c r="K1321" i="1" s="1"/>
  <c r="I1320" i="1"/>
  <c r="J1320" i="1" s="1"/>
  <c r="K1320" i="1" s="1"/>
  <c r="I1319" i="1"/>
  <c r="J1319" i="1" s="1"/>
  <c r="K1319" i="1" s="1"/>
  <c r="I1318" i="1"/>
  <c r="J1318" i="1" s="1"/>
  <c r="K1318" i="1" s="1"/>
  <c r="I1317" i="1"/>
  <c r="J1317" i="1" s="1"/>
  <c r="K1317" i="1" s="1"/>
  <c r="I1316" i="1"/>
  <c r="J1316" i="1" s="1"/>
  <c r="K1316" i="1" s="1"/>
  <c r="I1315" i="1"/>
  <c r="J1315" i="1" s="1"/>
  <c r="K1315" i="1" s="1"/>
  <c r="I1314" i="1"/>
  <c r="J1314" i="1" s="1"/>
  <c r="K1314" i="1" s="1"/>
  <c r="I1313" i="1"/>
  <c r="J1313" i="1" s="1"/>
  <c r="K1313" i="1" s="1"/>
  <c r="I1312" i="1"/>
  <c r="J1312" i="1" s="1"/>
  <c r="K1312" i="1" s="1"/>
  <c r="I1311" i="1"/>
  <c r="J1311" i="1" s="1"/>
  <c r="K1311" i="1" s="1"/>
  <c r="I1310" i="1"/>
  <c r="J1310" i="1" s="1"/>
  <c r="K1310" i="1" s="1"/>
  <c r="I1309" i="1"/>
  <c r="J1309" i="1" s="1"/>
  <c r="K1309" i="1" s="1"/>
  <c r="I1308" i="1"/>
  <c r="J1308" i="1" s="1"/>
  <c r="K1308" i="1" s="1"/>
  <c r="I1307" i="1"/>
  <c r="J1307" i="1" s="1"/>
  <c r="K1307" i="1" s="1"/>
  <c r="I1306" i="1"/>
  <c r="J1306" i="1" s="1"/>
  <c r="K1306" i="1" s="1"/>
  <c r="I1305" i="1"/>
  <c r="J1305" i="1" s="1"/>
  <c r="K1305" i="1" s="1"/>
  <c r="I1304" i="1"/>
  <c r="J1304" i="1" s="1"/>
  <c r="K1304" i="1" s="1"/>
  <c r="I1303" i="1"/>
  <c r="J1303" i="1" s="1"/>
  <c r="K1303" i="1" s="1"/>
  <c r="I1302" i="1"/>
  <c r="J1302" i="1" s="1"/>
  <c r="K1302" i="1" s="1"/>
  <c r="I1301" i="1"/>
  <c r="J1301" i="1" s="1"/>
  <c r="K1301" i="1" s="1"/>
  <c r="I1300" i="1"/>
  <c r="J1300" i="1" s="1"/>
  <c r="K1300" i="1" s="1"/>
  <c r="I1299" i="1"/>
  <c r="J1299" i="1" s="1"/>
  <c r="K1299" i="1" s="1"/>
  <c r="I1298" i="1"/>
  <c r="J1298" i="1" s="1"/>
  <c r="K1298" i="1" s="1"/>
  <c r="I1297" i="1"/>
  <c r="J1297" i="1" s="1"/>
  <c r="K1297" i="1" s="1"/>
  <c r="I1296" i="1"/>
  <c r="J1296" i="1" s="1"/>
  <c r="K1296" i="1" s="1"/>
  <c r="I1295" i="1"/>
  <c r="J1295" i="1" s="1"/>
  <c r="K1295" i="1" s="1"/>
  <c r="I1294" i="1"/>
  <c r="J1294" i="1" s="1"/>
  <c r="K1294" i="1" s="1"/>
  <c r="I1293" i="1"/>
  <c r="J1293" i="1" s="1"/>
  <c r="K1293" i="1" s="1"/>
  <c r="I1292" i="1"/>
  <c r="J1292" i="1" s="1"/>
  <c r="K1292" i="1" s="1"/>
  <c r="I1291" i="1"/>
  <c r="J1291" i="1" s="1"/>
  <c r="K1291" i="1" s="1"/>
  <c r="I1290" i="1"/>
  <c r="J1290" i="1" s="1"/>
  <c r="K1290" i="1" s="1"/>
  <c r="I1289" i="1"/>
  <c r="J1289" i="1" s="1"/>
  <c r="K1289" i="1" s="1"/>
  <c r="I1288" i="1"/>
  <c r="J1288" i="1" s="1"/>
  <c r="K1288" i="1" s="1"/>
  <c r="I1287" i="1"/>
  <c r="J1287" i="1" s="1"/>
  <c r="K1287" i="1" s="1"/>
  <c r="I1286" i="1"/>
  <c r="J1286" i="1" s="1"/>
  <c r="K1286" i="1" s="1"/>
  <c r="I1285" i="1"/>
  <c r="J1285" i="1" s="1"/>
  <c r="K1285" i="1" s="1"/>
  <c r="I1284" i="1"/>
  <c r="J1284" i="1" s="1"/>
  <c r="K1284" i="1" s="1"/>
  <c r="I1283" i="1"/>
  <c r="J1283" i="1" s="1"/>
  <c r="K1283" i="1" s="1"/>
  <c r="I1282" i="1"/>
  <c r="J1282" i="1" s="1"/>
  <c r="K1282" i="1" s="1"/>
  <c r="I1281" i="1"/>
  <c r="J1281" i="1" s="1"/>
  <c r="K1281" i="1" s="1"/>
  <c r="I1280" i="1"/>
  <c r="J1280" i="1" s="1"/>
  <c r="K1280" i="1" s="1"/>
  <c r="I1279" i="1"/>
  <c r="J1279" i="1" s="1"/>
  <c r="K1279" i="1" s="1"/>
  <c r="I1278" i="1"/>
  <c r="J1278" i="1" s="1"/>
  <c r="K1278" i="1" s="1"/>
  <c r="I1277" i="1"/>
  <c r="J1277" i="1" s="1"/>
  <c r="K1277" i="1" s="1"/>
  <c r="I1276" i="1"/>
  <c r="J1276" i="1" s="1"/>
  <c r="K1276" i="1" s="1"/>
  <c r="I1275" i="1"/>
  <c r="J1275" i="1" s="1"/>
  <c r="K1275" i="1" s="1"/>
  <c r="I1274" i="1"/>
  <c r="J1274" i="1" s="1"/>
  <c r="K1274" i="1" s="1"/>
  <c r="I1273" i="1"/>
  <c r="J1273" i="1" s="1"/>
  <c r="K1273" i="1" s="1"/>
  <c r="I1272" i="1"/>
  <c r="J1272" i="1" s="1"/>
  <c r="K1272" i="1" s="1"/>
  <c r="I1271" i="1"/>
  <c r="J1271" i="1" s="1"/>
  <c r="K1271" i="1" s="1"/>
  <c r="I1270" i="1"/>
  <c r="J1270" i="1" s="1"/>
  <c r="K1270" i="1" s="1"/>
  <c r="I1269" i="1"/>
  <c r="J1269" i="1" s="1"/>
  <c r="K1269" i="1" s="1"/>
  <c r="I1268" i="1"/>
  <c r="J1268" i="1" s="1"/>
  <c r="K1268" i="1" s="1"/>
  <c r="I1267" i="1"/>
  <c r="J1267" i="1" s="1"/>
  <c r="K1267" i="1" s="1"/>
  <c r="I1266" i="1"/>
  <c r="J1266" i="1" s="1"/>
  <c r="K1266" i="1" s="1"/>
  <c r="I1265" i="1"/>
  <c r="J1265" i="1" s="1"/>
  <c r="K1265" i="1" s="1"/>
  <c r="I1264" i="1"/>
  <c r="J1264" i="1" s="1"/>
  <c r="K1264" i="1" s="1"/>
  <c r="I1263" i="1"/>
  <c r="J1263" i="1" s="1"/>
  <c r="K1263" i="1" s="1"/>
  <c r="I1262" i="1"/>
  <c r="J1262" i="1" s="1"/>
  <c r="K1262" i="1" s="1"/>
  <c r="I1261" i="1"/>
  <c r="J1261" i="1" s="1"/>
  <c r="K1261" i="1" s="1"/>
  <c r="I1260" i="1"/>
  <c r="J1260" i="1" s="1"/>
  <c r="K1260" i="1" s="1"/>
  <c r="I1259" i="1"/>
  <c r="J1259" i="1" s="1"/>
  <c r="K1259" i="1" s="1"/>
  <c r="I1258" i="1"/>
  <c r="J1258" i="1" s="1"/>
  <c r="K1258" i="1" s="1"/>
  <c r="I1257" i="1"/>
  <c r="J1257" i="1" s="1"/>
  <c r="K1257" i="1" s="1"/>
  <c r="I1256" i="1"/>
  <c r="J1256" i="1" s="1"/>
  <c r="K1256" i="1" s="1"/>
  <c r="I1255" i="1"/>
  <c r="J1255" i="1" s="1"/>
  <c r="K1255" i="1" s="1"/>
  <c r="I1254" i="1"/>
  <c r="J1254" i="1" s="1"/>
  <c r="K1254" i="1" s="1"/>
  <c r="I1253" i="1"/>
  <c r="J1253" i="1" s="1"/>
  <c r="K1253" i="1" s="1"/>
  <c r="I1252" i="1"/>
  <c r="J1252" i="1" s="1"/>
  <c r="K1252" i="1" s="1"/>
  <c r="I1251" i="1"/>
  <c r="J1251" i="1" s="1"/>
  <c r="K1251" i="1" s="1"/>
  <c r="I1250" i="1"/>
  <c r="J1250" i="1" s="1"/>
  <c r="K1250" i="1" s="1"/>
  <c r="I1249" i="1"/>
  <c r="J1249" i="1" s="1"/>
  <c r="K1249" i="1" s="1"/>
  <c r="I1248" i="1"/>
  <c r="J1248" i="1" s="1"/>
  <c r="K1248" i="1" s="1"/>
  <c r="I1247" i="1"/>
  <c r="J1247" i="1" s="1"/>
  <c r="K1247" i="1" s="1"/>
  <c r="I1246" i="1"/>
  <c r="J1246" i="1" s="1"/>
  <c r="K1246" i="1" s="1"/>
  <c r="I1245" i="1"/>
  <c r="J1245" i="1" s="1"/>
  <c r="K1245" i="1" s="1"/>
  <c r="I1244" i="1"/>
  <c r="J1244" i="1" s="1"/>
  <c r="K1244" i="1" s="1"/>
  <c r="I1243" i="1"/>
  <c r="J1243" i="1" s="1"/>
  <c r="K1243" i="1" s="1"/>
  <c r="I1242" i="1"/>
  <c r="J1242" i="1" s="1"/>
  <c r="K1242" i="1" s="1"/>
  <c r="I1241" i="1"/>
  <c r="J1241" i="1" s="1"/>
  <c r="K1241" i="1" s="1"/>
  <c r="I1240" i="1"/>
  <c r="J1240" i="1" s="1"/>
  <c r="K1240" i="1" s="1"/>
  <c r="I1239" i="1"/>
  <c r="J1239" i="1" s="1"/>
  <c r="K1239" i="1" s="1"/>
  <c r="I1238" i="1"/>
  <c r="J1238" i="1" s="1"/>
  <c r="K1238" i="1" s="1"/>
  <c r="I1237" i="1"/>
  <c r="J1237" i="1" s="1"/>
  <c r="K1237" i="1" s="1"/>
  <c r="I1236" i="1"/>
  <c r="J1236" i="1" s="1"/>
  <c r="K1236" i="1" s="1"/>
  <c r="I1235" i="1"/>
  <c r="J1235" i="1" s="1"/>
  <c r="K1235" i="1" s="1"/>
  <c r="I1234" i="1"/>
  <c r="J1234" i="1" s="1"/>
  <c r="K1234" i="1" s="1"/>
  <c r="I1233" i="1"/>
  <c r="J1233" i="1" s="1"/>
  <c r="K1233" i="1" s="1"/>
  <c r="I1232" i="1"/>
  <c r="J1232" i="1" s="1"/>
  <c r="K1232" i="1" s="1"/>
  <c r="I1231" i="1"/>
  <c r="J1231" i="1" s="1"/>
  <c r="K1231" i="1" s="1"/>
  <c r="I1230" i="1"/>
  <c r="J1230" i="1" s="1"/>
  <c r="K1230" i="1" s="1"/>
  <c r="I1229" i="1"/>
  <c r="J1229" i="1" s="1"/>
  <c r="K1229" i="1" s="1"/>
  <c r="I1228" i="1"/>
  <c r="J1228" i="1" s="1"/>
  <c r="K1228" i="1" s="1"/>
  <c r="I1227" i="1"/>
  <c r="J1227" i="1" s="1"/>
  <c r="K1227" i="1" s="1"/>
  <c r="I1226" i="1"/>
  <c r="J1226" i="1" s="1"/>
  <c r="K1226" i="1" s="1"/>
  <c r="I1225" i="1"/>
  <c r="J1225" i="1" s="1"/>
  <c r="K1225" i="1" s="1"/>
  <c r="I1224" i="1"/>
  <c r="J1224" i="1" s="1"/>
  <c r="K1224" i="1" s="1"/>
  <c r="I1223" i="1"/>
  <c r="J1223" i="1" s="1"/>
  <c r="K1223" i="1" s="1"/>
  <c r="I1222" i="1"/>
  <c r="J1222" i="1" s="1"/>
  <c r="K1222" i="1" s="1"/>
  <c r="I1221" i="1"/>
  <c r="J1221" i="1" s="1"/>
  <c r="K1221" i="1" s="1"/>
  <c r="I1220" i="1"/>
  <c r="J1220" i="1" s="1"/>
  <c r="K1220" i="1" s="1"/>
  <c r="I1219" i="1"/>
  <c r="J1219" i="1" s="1"/>
  <c r="K1219" i="1" s="1"/>
  <c r="I1218" i="1"/>
  <c r="J1218" i="1" s="1"/>
  <c r="K1218" i="1" s="1"/>
  <c r="I1217" i="1"/>
  <c r="J1217" i="1" s="1"/>
  <c r="K1217" i="1" s="1"/>
  <c r="I1216" i="1"/>
  <c r="J1216" i="1" s="1"/>
  <c r="K1216" i="1" s="1"/>
  <c r="I1215" i="1"/>
  <c r="J1215" i="1" s="1"/>
  <c r="K1215" i="1" s="1"/>
  <c r="I1214" i="1"/>
  <c r="J1214" i="1" s="1"/>
  <c r="K1214" i="1" s="1"/>
  <c r="I1213" i="1"/>
  <c r="J1213" i="1" s="1"/>
  <c r="K1213" i="1" s="1"/>
  <c r="I1212" i="1"/>
  <c r="J1212" i="1" s="1"/>
  <c r="K1212" i="1" s="1"/>
  <c r="I1211" i="1"/>
  <c r="J1211" i="1" s="1"/>
  <c r="K1211" i="1" s="1"/>
  <c r="I1210" i="1"/>
  <c r="J1210" i="1" s="1"/>
  <c r="K1210" i="1" s="1"/>
  <c r="I1209" i="1"/>
  <c r="J1209" i="1" s="1"/>
  <c r="K1209" i="1" s="1"/>
  <c r="I1208" i="1"/>
  <c r="J1208" i="1" s="1"/>
  <c r="K1208" i="1" s="1"/>
  <c r="I1207" i="1"/>
  <c r="J1207" i="1" s="1"/>
  <c r="K1207" i="1" s="1"/>
  <c r="I1206" i="1"/>
  <c r="J1206" i="1" s="1"/>
  <c r="K1206" i="1" s="1"/>
  <c r="I1205" i="1"/>
  <c r="J1205" i="1" s="1"/>
  <c r="K1205" i="1" s="1"/>
  <c r="I1204" i="1"/>
  <c r="J1204" i="1" s="1"/>
  <c r="K1204" i="1" s="1"/>
  <c r="I1203" i="1"/>
  <c r="J1203" i="1" s="1"/>
  <c r="K1203" i="1" s="1"/>
  <c r="I1202" i="1"/>
  <c r="J1202" i="1" s="1"/>
  <c r="K1202" i="1" s="1"/>
  <c r="I1201" i="1"/>
  <c r="J1201" i="1" s="1"/>
  <c r="K1201" i="1" s="1"/>
  <c r="I1200" i="1"/>
  <c r="J1200" i="1" s="1"/>
  <c r="K1200" i="1" s="1"/>
  <c r="I1199" i="1"/>
  <c r="J1199" i="1" s="1"/>
  <c r="K1199" i="1" s="1"/>
  <c r="I1198" i="1"/>
  <c r="J1198" i="1" s="1"/>
  <c r="K1198" i="1" s="1"/>
  <c r="I1197" i="1"/>
  <c r="J1197" i="1" s="1"/>
  <c r="K1197" i="1" s="1"/>
  <c r="I1196" i="1"/>
  <c r="J1196" i="1" s="1"/>
  <c r="K1196" i="1" s="1"/>
  <c r="I1195" i="1"/>
  <c r="J1195" i="1" s="1"/>
  <c r="K1195" i="1" s="1"/>
  <c r="I1194" i="1"/>
  <c r="J1194" i="1" s="1"/>
  <c r="K1194" i="1" s="1"/>
  <c r="I1193" i="1"/>
  <c r="J1193" i="1" s="1"/>
  <c r="K1193" i="1" s="1"/>
  <c r="I1192" i="1"/>
  <c r="J1192" i="1" s="1"/>
  <c r="K1192" i="1" s="1"/>
  <c r="I1191" i="1"/>
  <c r="J1191" i="1" s="1"/>
  <c r="K1191" i="1" s="1"/>
  <c r="I1190" i="1"/>
  <c r="J1190" i="1" s="1"/>
  <c r="K1190" i="1" s="1"/>
  <c r="I1189" i="1"/>
  <c r="J1189" i="1" s="1"/>
  <c r="K1189" i="1" s="1"/>
  <c r="I1188" i="1"/>
  <c r="J1188" i="1" s="1"/>
  <c r="K1188" i="1" s="1"/>
  <c r="I1187" i="1"/>
  <c r="J1187" i="1" s="1"/>
  <c r="K1187" i="1" s="1"/>
  <c r="I1186" i="1"/>
  <c r="J1186" i="1" s="1"/>
  <c r="K1186" i="1" s="1"/>
  <c r="I1185" i="1"/>
  <c r="J1185" i="1" s="1"/>
  <c r="K1185" i="1" s="1"/>
  <c r="I1184" i="1"/>
  <c r="J1184" i="1" s="1"/>
  <c r="K1184" i="1" s="1"/>
  <c r="I1183" i="1"/>
  <c r="J1183" i="1" s="1"/>
  <c r="K1183" i="1" s="1"/>
  <c r="I1182" i="1"/>
  <c r="J1182" i="1" s="1"/>
  <c r="K1182" i="1" s="1"/>
  <c r="I1181" i="1"/>
  <c r="J1181" i="1" s="1"/>
  <c r="K1181" i="1" s="1"/>
  <c r="I1180" i="1"/>
  <c r="J1180" i="1" s="1"/>
  <c r="K1180" i="1" s="1"/>
  <c r="I1179" i="1"/>
  <c r="J1179" i="1" s="1"/>
  <c r="K1179" i="1" s="1"/>
  <c r="I1178" i="1"/>
  <c r="J1178" i="1" s="1"/>
  <c r="K1178" i="1" s="1"/>
  <c r="I1177" i="1"/>
  <c r="J1177" i="1" s="1"/>
  <c r="K1177" i="1" s="1"/>
  <c r="I1176" i="1"/>
  <c r="J1176" i="1" s="1"/>
  <c r="K1176" i="1" s="1"/>
  <c r="I1175" i="1"/>
  <c r="J1175" i="1" s="1"/>
  <c r="K1175" i="1" s="1"/>
  <c r="I1174" i="1"/>
  <c r="J1174" i="1" s="1"/>
  <c r="K1174" i="1" s="1"/>
  <c r="I1173" i="1"/>
  <c r="J1173" i="1" s="1"/>
  <c r="K1173" i="1" s="1"/>
  <c r="I1172" i="1"/>
  <c r="J1172" i="1" s="1"/>
  <c r="K1172" i="1" s="1"/>
  <c r="I1171" i="1"/>
  <c r="J1171" i="1" s="1"/>
  <c r="K1171" i="1" s="1"/>
  <c r="I1170" i="1"/>
  <c r="J1170" i="1" s="1"/>
  <c r="K1170" i="1" s="1"/>
  <c r="I1169" i="1"/>
  <c r="J1169" i="1" s="1"/>
  <c r="K1169" i="1" s="1"/>
  <c r="I1168" i="1"/>
  <c r="J1168" i="1" s="1"/>
  <c r="K1168" i="1" s="1"/>
  <c r="I1167" i="1"/>
  <c r="J1167" i="1" s="1"/>
  <c r="K1167" i="1" s="1"/>
  <c r="I1166" i="1" l="1"/>
  <c r="J1166" i="1" s="1"/>
  <c r="K1166" i="1" s="1"/>
  <c r="I1165" i="1"/>
  <c r="J1165" i="1" s="1"/>
  <c r="K1165" i="1" s="1"/>
  <c r="I1164" i="1"/>
  <c r="J1164" i="1" s="1"/>
  <c r="K1164" i="1" s="1"/>
  <c r="I1163" i="1"/>
  <c r="J1163" i="1" s="1"/>
  <c r="K1163" i="1" s="1"/>
  <c r="I1162" i="1"/>
  <c r="J1162" i="1" s="1"/>
  <c r="K1162" i="1" s="1"/>
  <c r="I1161" i="1"/>
  <c r="J1161" i="1" s="1"/>
  <c r="K1161" i="1" s="1"/>
  <c r="I1160" i="1"/>
  <c r="J1160" i="1" s="1"/>
  <c r="K1160" i="1" s="1"/>
  <c r="I1159" i="1"/>
  <c r="J1159" i="1" s="1"/>
  <c r="K1159" i="1" s="1"/>
  <c r="I1158" i="1"/>
  <c r="J1158" i="1" s="1"/>
  <c r="K1158" i="1" s="1"/>
  <c r="I1157" i="1"/>
  <c r="J1157" i="1" s="1"/>
  <c r="K1157" i="1" s="1"/>
  <c r="I1156" i="1"/>
  <c r="J1156" i="1" s="1"/>
  <c r="K1156" i="1" s="1"/>
  <c r="I1155" i="1"/>
  <c r="J1155" i="1" s="1"/>
  <c r="K1155" i="1" s="1"/>
  <c r="I1154" i="1"/>
  <c r="J1154" i="1" s="1"/>
  <c r="K1154" i="1" s="1"/>
  <c r="I1153" i="1"/>
  <c r="J1153" i="1" s="1"/>
  <c r="K1153" i="1" s="1"/>
  <c r="I1152" i="1"/>
  <c r="J1152" i="1" s="1"/>
  <c r="K1152" i="1" s="1"/>
  <c r="I1151" i="1"/>
  <c r="J1151" i="1" s="1"/>
  <c r="K1151" i="1" s="1"/>
  <c r="I1150" i="1"/>
  <c r="J1150" i="1" s="1"/>
  <c r="K1150" i="1" s="1"/>
  <c r="I1149" i="1"/>
  <c r="J1149" i="1" s="1"/>
  <c r="K1149" i="1" s="1"/>
  <c r="I1148" i="1"/>
  <c r="J1148" i="1" s="1"/>
  <c r="K1148" i="1" s="1"/>
  <c r="I1147" i="1"/>
  <c r="J1147" i="1" s="1"/>
  <c r="K1147" i="1" s="1"/>
  <c r="I1146" i="1"/>
  <c r="J1146" i="1" s="1"/>
  <c r="K1146" i="1" s="1"/>
  <c r="I1145" i="1"/>
  <c r="J1145" i="1" s="1"/>
  <c r="K1145" i="1" s="1"/>
  <c r="I1144" i="1"/>
  <c r="J1144" i="1" s="1"/>
  <c r="K1144" i="1" s="1"/>
  <c r="I1143" i="1"/>
  <c r="J1143" i="1" s="1"/>
  <c r="K1143" i="1" s="1"/>
  <c r="I1142" i="1"/>
  <c r="J1142" i="1" s="1"/>
  <c r="K1142" i="1" s="1"/>
  <c r="I1141" i="1"/>
  <c r="J1141" i="1" s="1"/>
  <c r="K1141" i="1" s="1"/>
  <c r="I1140" i="1"/>
  <c r="J1140" i="1" s="1"/>
  <c r="K1140" i="1" s="1"/>
  <c r="I1139" i="1"/>
  <c r="J1139" i="1" s="1"/>
  <c r="K1139" i="1" s="1"/>
  <c r="I1138" i="1"/>
  <c r="J1138" i="1" s="1"/>
  <c r="K1138" i="1" s="1"/>
  <c r="I1137" i="1"/>
  <c r="J1137" i="1" s="1"/>
  <c r="K1137" i="1" s="1"/>
  <c r="I1136" i="1"/>
  <c r="J1136" i="1" s="1"/>
  <c r="K1136" i="1" s="1"/>
  <c r="I1135" i="1"/>
  <c r="J1135" i="1" s="1"/>
  <c r="K1135" i="1" s="1"/>
  <c r="I1134" i="1"/>
  <c r="J1134" i="1" s="1"/>
  <c r="K1134" i="1" s="1"/>
  <c r="I1133" i="1"/>
  <c r="J1133" i="1" s="1"/>
  <c r="K1133" i="1" s="1"/>
  <c r="I1132" i="1"/>
  <c r="J1132" i="1" s="1"/>
  <c r="K1132" i="1" s="1"/>
  <c r="I1131" i="1"/>
  <c r="J1131" i="1" s="1"/>
  <c r="K1131" i="1" s="1"/>
  <c r="I1130" i="1"/>
  <c r="J1130" i="1" s="1"/>
  <c r="K1130" i="1" s="1"/>
  <c r="I1129" i="1"/>
  <c r="J1129" i="1" s="1"/>
  <c r="K1129" i="1" s="1"/>
  <c r="I1128" i="1"/>
  <c r="J1128" i="1" s="1"/>
  <c r="K1128" i="1" s="1"/>
  <c r="I1127" i="1"/>
  <c r="J1127" i="1" s="1"/>
  <c r="K1127" i="1" s="1"/>
  <c r="I1126" i="1"/>
  <c r="J1126" i="1" s="1"/>
  <c r="K1126" i="1" s="1"/>
  <c r="I1125" i="1"/>
  <c r="J1125" i="1" s="1"/>
  <c r="K1125" i="1" s="1"/>
  <c r="I1124" i="1"/>
  <c r="J1124" i="1" s="1"/>
  <c r="K1124" i="1" s="1"/>
  <c r="I1123" i="1"/>
  <c r="J1123" i="1" s="1"/>
  <c r="K1123" i="1" s="1"/>
  <c r="I1122" i="1"/>
  <c r="J1122" i="1" s="1"/>
  <c r="K1122" i="1" s="1"/>
  <c r="I1121" i="1"/>
  <c r="J1121" i="1" s="1"/>
  <c r="K1121" i="1" s="1"/>
  <c r="I1120" i="1"/>
  <c r="J1120" i="1" s="1"/>
  <c r="K1120" i="1" s="1"/>
  <c r="I1119" i="1"/>
  <c r="J1119" i="1" s="1"/>
  <c r="K1119" i="1" s="1"/>
  <c r="I1118" i="1"/>
  <c r="J1118" i="1" s="1"/>
  <c r="K1118" i="1" s="1"/>
  <c r="I1117" i="1"/>
  <c r="J1117" i="1" s="1"/>
  <c r="K1117" i="1" s="1"/>
  <c r="I1116" i="1"/>
  <c r="J1116" i="1" s="1"/>
  <c r="K1116" i="1" s="1"/>
  <c r="I1115" i="1"/>
  <c r="J1115" i="1" s="1"/>
  <c r="K1115" i="1" s="1"/>
  <c r="I1114" i="1"/>
  <c r="J1114" i="1" s="1"/>
  <c r="K1114" i="1" s="1"/>
  <c r="I1113" i="1"/>
  <c r="J1113" i="1" s="1"/>
  <c r="K1113" i="1" s="1"/>
  <c r="I1112" i="1"/>
  <c r="J1112" i="1" s="1"/>
  <c r="K1112" i="1" s="1"/>
  <c r="I1111" i="1"/>
  <c r="J1111" i="1" s="1"/>
  <c r="K1111" i="1" s="1"/>
  <c r="I1110" i="1"/>
  <c r="J1110" i="1" s="1"/>
  <c r="K1110" i="1" s="1"/>
  <c r="I1109" i="1"/>
  <c r="J1109" i="1" s="1"/>
  <c r="K1109" i="1" s="1"/>
  <c r="I1108" i="1"/>
  <c r="J1108" i="1" s="1"/>
  <c r="K1108" i="1" s="1"/>
  <c r="I1107" i="1"/>
  <c r="J1107" i="1" s="1"/>
  <c r="K1107" i="1" s="1"/>
  <c r="I1106" i="1"/>
  <c r="J1106" i="1" s="1"/>
  <c r="K1106" i="1" s="1"/>
  <c r="I1105" i="1"/>
  <c r="J1105" i="1" s="1"/>
  <c r="K1105" i="1" s="1"/>
  <c r="I1104" i="1"/>
  <c r="J1104" i="1" s="1"/>
  <c r="K1104" i="1" s="1"/>
  <c r="I1103" i="1"/>
  <c r="J1103" i="1" s="1"/>
  <c r="K1103" i="1" s="1"/>
  <c r="I1102" i="1"/>
  <c r="J1102" i="1" s="1"/>
  <c r="K1102" i="1" s="1"/>
  <c r="I1101" i="1"/>
  <c r="J1101" i="1" s="1"/>
  <c r="K1101" i="1" s="1"/>
  <c r="I1100" i="1"/>
  <c r="J1100" i="1" s="1"/>
  <c r="K1100" i="1" s="1"/>
  <c r="I1099" i="1"/>
  <c r="J1099" i="1" s="1"/>
  <c r="K1099" i="1" s="1"/>
  <c r="I1098" i="1"/>
  <c r="J1098" i="1" s="1"/>
  <c r="K1098" i="1" s="1"/>
  <c r="I1097" i="1"/>
  <c r="J1097" i="1" s="1"/>
  <c r="K1097" i="1" s="1"/>
  <c r="I1096" i="1"/>
  <c r="J1096" i="1" s="1"/>
  <c r="K1096" i="1" s="1"/>
  <c r="I1095" i="1"/>
  <c r="J1095" i="1" s="1"/>
  <c r="K1095" i="1" s="1"/>
  <c r="I1094" i="1"/>
  <c r="J1094" i="1" s="1"/>
  <c r="K1094" i="1" s="1"/>
  <c r="I1093" i="1"/>
  <c r="J1093" i="1" s="1"/>
  <c r="K1093" i="1" s="1"/>
  <c r="I1092" i="1"/>
  <c r="J1092" i="1" s="1"/>
  <c r="K1092" i="1" s="1"/>
  <c r="I1091" i="1"/>
  <c r="J1091" i="1" s="1"/>
  <c r="K1091" i="1" s="1"/>
  <c r="I1090" i="1"/>
  <c r="J1090" i="1" s="1"/>
  <c r="K1090" i="1" s="1"/>
  <c r="I1089" i="1"/>
  <c r="J1089" i="1" s="1"/>
  <c r="K1089" i="1" s="1"/>
  <c r="I1088" i="1"/>
  <c r="J1088" i="1" s="1"/>
  <c r="K1088" i="1" s="1"/>
  <c r="I1087" i="1"/>
  <c r="J1087" i="1" s="1"/>
  <c r="K1087" i="1" s="1"/>
  <c r="I1086" i="1"/>
  <c r="J1086" i="1" s="1"/>
  <c r="K1086" i="1" s="1"/>
  <c r="I1085" i="1"/>
  <c r="J1085" i="1" s="1"/>
  <c r="K1085" i="1" s="1"/>
  <c r="I1084" i="1"/>
  <c r="J1084" i="1" s="1"/>
  <c r="K1084" i="1" s="1"/>
  <c r="I1083" i="1"/>
  <c r="J1083" i="1" s="1"/>
  <c r="K1083" i="1" s="1"/>
  <c r="I1082" i="1"/>
  <c r="J1082" i="1" s="1"/>
  <c r="K1082" i="1" s="1"/>
  <c r="I1081" i="1"/>
  <c r="J1081" i="1" s="1"/>
  <c r="K1081" i="1" s="1"/>
  <c r="I1080" i="1"/>
  <c r="J1080" i="1" s="1"/>
  <c r="K1080" i="1" s="1"/>
  <c r="I1079" i="1"/>
  <c r="J1079" i="1" s="1"/>
  <c r="K1079" i="1" s="1"/>
  <c r="I1078" i="1"/>
  <c r="J1078" i="1" s="1"/>
  <c r="K1078" i="1" s="1"/>
  <c r="I1077" i="1"/>
  <c r="J1077" i="1" s="1"/>
  <c r="K1077" i="1" s="1"/>
  <c r="I1076" i="1"/>
  <c r="J1076" i="1" s="1"/>
  <c r="K1076" i="1" s="1"/>
  <c r="I1075" i="1"/>
  <c r="J1075" i="1" s="1"/>
  <c r="K1075" i="1" s="1"/>
  <c r="I1074" i="1"/>
  <c r="J1074" i="1" s="1"/>
  <c r="K1074" i="1" s="1"/>
  <c r="I1073" i="1"/>
  <c r="J1073" i="1" s="1"/>
  <c r="K1073" i="1" s="1"/>
  <c r="I1072" i="1"/>
  <c r="J1072" i="1" s="1"/>
  <c r="K1072" i="1" s="1"/>
  <c r="I1071" i="1"/>
  <c r="J1071" i="1" s="1"/>
  <c r="K1071" i="1" s="1"/>
  <c r="I1070" i="1"/>
  <c r="J1070" i="1" s="1"/>
  <c r="K1070" i="1" s="1"/>
  <c r="I1069" i="1"/>
  <c r="J1069" i="1" s="1"/>
  <c r="K1069" i="1" s="1"/>
  <c r="I1068" i="1"/>
  <c r="J1068" i="1" s="1"/>
  <c r="K1068" i="1" s="1"/>
  <c r="I1067" i="1"/>
  <c r="J1067" i="1" s="1"/>
  <c r="K1067" i="1" s="1"/>
  <c r="I1066" i="1"/>
  <c r="J1066" i="1" s="1"/>
  <c r="K1066" i="1" s="1"/>
  <c r="I1065" i="1"/>
  <c r="J1065" i="1" s="1"/>
  <c r="K1065" i="1" s="1"/>
  <c r="I1064" i="1"/>
  <c r="J1064" i="1" s="1"/>
  <c r="K1064" i="1" s="1"/>
  <c r="I1063" i="1"/>
  <c r="J1063" i="1" s="1"/>
  <c r="K1063" i="1" s="1"/>
  <c r="I1062" i="1"/>
  <c r="J1062" i="1" s="1"/>
  <c r="K1062" i="1" s="1"/>
  <c r="I1061" i="1"/>
  <c r="J1061" i="1" s="1"/>
  <c r="K1061" i="1" s="1"/>
  <c r="I1060" i="1"/>
  <c r="J1060" i="1" s="1"/>
  <c r="K1060" i="1" s="1"/>
  <c r="I1059" i="1"/>
  <c r="J1059" i="1" s="1"/>
  <c r="K1059" i="1" s="1"/>
  <c r="I1058" i="1"/>
  <c r="J1058" i="1" s="1"/>
  <c r="K1058" i="1" s="1"/>
  <c r="I1057" i="1"/>
  <c r="J1057" i="1" s="1"/>
  <c r="K1057" i="1" s="1"/>
  <c r="I1056" i="1"/>
  <c r="J1056" i="1" s="1"/>
  <c r="K1056" i="1" s="1"/>
  <c r="I1055" i="1"/>
  <c r="J1055" i="1" s="1"/>
  <c r="K1055" i="1" s="1"/>
  <c r="I1054" i="1"/>
  <c r="J1054" i="1" s="1"/>
  <c r="K1054" i="1" s="1"/>
  <c r="I1053" i="1"/>
  <c r="J1053" i="1" s="1"/>
  <c r="K1053" i="1" s="1"/>
  <c r="I1052" i="1"/>
  <c r="J1052" i="1" s="1"/>
  <c r="K1052" i="1" s="1"/>
  <c r="I1051" i="1"/>
  <c r="J1051" i="1" s="1"/>
  <c r="K1051" i="1" s="1"/>
  <c r="I1050" i="1"/>
  <c r="J1050" i="1" s="1"/>
  <c r="K1050" i="1" s="1"/>
  <c r="I1049" i="1"/>
  <c r="J1049" i="1" s="1"/>
  <c r="K1049" i="1" s="1"/>
  <c r="I1048" i="1"/>
  <c r="J1048" i="1" s="1"/>
  <c r="K1048" i="1" s="1"/>
  <c r="I1047" i="1"/>
  <c r="J1047" i="1" s="1"/>
  <c r="K1047" i="1" s="1"/>
  <c r="I1046" i="1"/>
  <c r="J1046" i="1" s="1"/>
  <c r="K1046" i="1" s="1"/>
  <c r="I1045" i="1"/>
  <c r="J1045" i="1" s="1"/>
  <c r="K1045" i="1" s="1"/>
  <c r="I1044" i="1"/>
  <c r="J1044" i="1" s="1"/>
  <c r="K1044" i="1" s="1"/>
  <c r="I1043" i="1"/>
  <c r="J1043" i="1" s="1"/>
  <c r="K1043" i="1" s="1"/>
  <c r="I1042" i="1"/>
  <c r="J1042" i="1" s="1"/>
  <c r="K1042" i="1" s="1"/>
  <c r="I1041" i="1"/>
  <c r="J1041" i="1" s="1"/>
  <c r="K1041" i="1" s="1"/>
  <c r="I1040" i="1"/>
  <c r="J1040" i="1" s="1"/>
  <c r="K1040" i="1" s="1"/>
  <c r="I1039" i="1"/>
  <c r="J1039" i="1" s="1"/>
  <c r="K1039" i="1" s="1"/>
  <c r="I1038" i="1"/>
  <c r="J1038" i="1" s="1"/>
  <c r="K1038" i="1" s="1"/>
  <c r="I1037" i="1"/>
  <c r="J1037" i="1" s="1"/>
  <c r="K1037" i="1" s="1"/>
  <c r="I1036" i="1"/>
  <c r="J1036" i="1" s="1"/>
  <c r="K1036" i="1" s="1"/>
  <c r="I1035" i="1"/>
  <c r="J1035" i="1" s="1"/>
  <c r="K1035" i="1" s="1"/>
  <c r="I1034" i="1"/>
  <c r="J1034" i="1" s="1"/>
  <c r="K1034" i="1" s="1"/>
  <c r="I1033" i="1"/>
  <c r="J1033" i="1" s="1"/>
  <c r="K1033" i="1" s="1"/>
  <c r="I1032" i="1"/>
  <c r="J1032" i="1" s="1"/>
  <c r="K1032" i="1" s="1"/>
  <c r="I1031" i="1"/>
  <c r="J1031" i="1" s="1"/>
  <c r="K1031" i="1" s="1"/>
  <c r="I1030" i="1"/>
  <c r="J1030" i="1" s="1"/>
  <c r="K1030" i="1" s="1"/>
  <c r="I1029" i="1"/>
  <c r="J1029" i="1" s="1"/>
  <c r="K1029" i="1" s="1"/>
  <c r="I1028" i="1"/>
  <c r="J1028" i="1" s="1"/>
  <c r="K1028" i="1" s="1"/>
  <c r="I1027" i="1"/>
  <c r="J1027" i="1" s="1"/>
  <c r="K1027" i="1" s="1"/>
  <c r="I1026" i="1"/>
  <c r="J1026" i="1" s="1"/>
  <c r="K1026" i="1" s="1"/>
  <c r="I1025" i="1"/>
  <c r="J1025" i="1" s="1"/>
  <c r="K1025" i="1" s="1"/>
  <c r="I1024" i="1"/>
  <c r="J1024" i="1" s="1"/>
  <c r="K1024" i="1" s="1"/>
  <c r="I1023" i="1"/>
  <c r="J1023" i="1" s="1"/>
  <c r="K1023" i="1" s="1"/>
  <c r="I1022" i="1"/>
  <c r="J1022" i="1" s="1"/>
  <c r="K1022" i="1" s="1"/>
  <c r="I1021" i="1"/>
  <c r="J1021" i="1" s="1"/>
  <c r="K1021" i="1" s="1"/>
  <c r="I1020" i="1"/>
  <c r="J1020" i="1" s="1"/>
  <c r="K1020" i="1" s="1"/>
  <c r="I1019" i="1"/>
  <c r="J1019" i="1" s="1"/>
  <c r="K1019" i="1" s="1"/>
  <c r="I1018" i="1"/>
  <c r="J1018" i="1" s="1"/>
  <c r="K1018" i="1" s="1"/>
  <c r="I1017" i="1"/>
  <c r="J1017" i="1" s="1"/>
  <c r="K1017" i="1" s="1"/>
  <c r="I1016" i="1"/>
  <c r="J1016" i="1" s="1"/>
  <c r="K1016" i="1" s="1"/>
  <c r="I1015" i="1"/>
  <c r="J1015" i="1" s="1"/>
  <c r="K1015" i="1" s="1"/>
  <c r="I1014" i="1"/>
  <c r="J1014" i="1" s="1"/>
  <c r="K1014" i="1" s="1"/>
  <c r="I1013" i="1"/>
  <c r="J1013" i="1" s="1"/>
  <c r="K1013" i="1" s="1"/>
  <c r="I1012" i="1"/>
  <c r="J1012" i="1" s="1"/>
  <c r="K1012" i="1" s="1"/>
  <c r="I1011" i="1"/>
  <c r="J1011" i="1" s="1"/>
  <c r="K1011" i="1" s="1"/>
  <c r="I1010" i="1"/>
  <c r="J1010" i="1" s="1"/>
  <c r="K1010" i="1" s="1"/>
  <c r="I1009" i="1"/>
  <c r="J1009" i="1" s="1"/>
  <c r="K1009" i="1" s="1"/>
  <c r="I1008" i="1"/>
  <c r="J1008" i="1" s="1"/>
  <c r="K1008" i="1" s="1"/>
  <c r="I1007" i="1"/>
  <c r="J1007" i="1" s="1"/>
  <c r="K1007" i="1" s="1"/>
  <c r="I1006" i="1"/>
  <c r="J1006" i="1" s="1"/>
  <c r="K1006" i="1" s="1"/>
  <c r="I1005" i="1"/>
  <c r="J1005" i="1" s="1"/>
  <c r="K1005" i="1" s="1"/>
  <c r="I1004" i="1"/>
  <c r="J1004" i="1" s="1"/>
  <c r="K1004" i="1" s="1"/>
  <c r="I1003" i="1"/>
  <c r="J1003" i="1" s="1"/>
  <c r="K1003" i="1" s="1"/>
  <c r="I1002" i="1"/>
  <c r="J1002" i="1" s="1"/>
  <c r="K1002" i="1" s="1"/>
  <c r="I1001" i="1"/>
  <c r="J1001" i="1" s="1"/>
  <c r="K1001" i="1" s="1"/>
  <c r="I1000" i="1"/>
  <c r="J1000" i="1" s="1"/>
  <c r="K1000" i="1" s="1"/>
  <c r="I999" i="1"/>
  <c r="J999" i="1" s="1"/>
  <c r="K999" i="1" s="1"/>
  <c r="I998" i="1"/>
  <c r="J998" i="1" s="1"/>
  <c r="K998" i="1" s="1"/>
  <c r="I997" i="1"/>
  <c r="J997" i="1" s="1"/>
  <c r="K997" i="1" s="1"/>
  <c r="I996" i="1"/>
  <c r="J996" i="1" s="1"/>
  <c r="K996" i="1" s="1"/>
  <c r="I995" i="1"/>
  <c r="J995" i="1" s="1"/>
  <c r="K995" i="1" s="1"/>
  <c r="I994" i="1"/>
  <c r="J994" i="1" s="1"/>
  <c r="K994" i="1" s="1"/>
  <c r="I993" i="1"/>
  <c r="J993" i="1" s="1"/>
  <c r="K993" i="1" s="1"/>
  <c r="I992" i="1"/>
  <c r="J992" i="1" s="1"/>
  <c r="K992" i="1" s="1"/>
  <c r="I991" i="1"/>
  <c r="J991" i="1" s="1"/>
  <c r="K991" i="1" s="1"/>
  <c r="I990" i="1"/>
  <c r="J990" i="1" s="1"/>
  <c r="K990" i="1" s="1"/>
  <c r="I989" i="1"/>
  <c r="J989" i="1" s="1"/>
  <c r="K989" i="1" s="1"/>
  <c r="I988" i="1"/>
  <c r="J988" i="1" s="1"/>
  <c r="K988" i="1" s="1"/>
  <c r="I987" i="1"/>
  <c r="J987" i="1" s="1"/>
  <c r="K987" i="1" s="1"/>
  <c r="I986" i="1"/>
  <c r="J986" i="1" s="1"/>
  <c r="K986" i="1" s="1"/>
  <c r="I985" i="1"/>
  <c r="J985" i="1" s="1"/>
  <c r="K985" i="1" s="1"/>
  <c r="I984" i="1"/>
  <c r="J984" i="1" s="1"/>
  <c r="K984" i="1" s="1"/>
  <c r="I983" i="1"/>
  <c r="J983" i="1" s="1"/>
  <c r="K983" i="1" s="1"/>
  <c r="I982" i="1"/>
  <c r="J982" i="1" s="1"/>
  <c r="K982" i="1" s="1"/>
  <c r="I981" i="1"/>
  <c r="J981" i="1" s="1"/>
  <c r="K981" i="1" s="1"/>
  <c r="I980" i="1"/>
  <c r="J980" i="1" s="1"/>
  <c r="K980" i="1" s="1"/>
  <c r="I979" i="1"/>
  <c r="J979" i="1" s="1"/>
  <c r="K979" i="1" s="1"/>
  <c r="I978" i="1"/>
  <c r="J978" i="1" s="1"/>
  <c r="K978" i="1" s="1"/>
  <c r="I977" i="1"/>
  <c r="J977" i="1" s="1"/>
  <c r="K977" i="1" s="1"/>
  <c r="I976" i="1"/>
  <c r="J976" i="1" s="1"/>
  <c r="K976" i="1" s="1"/>
  <c r="I975" i="1"/>
  <c r="J975" i="1" s="1"/>
  <c r="K975" i="1" s="1"/>
  <c r="I974" i="1"/>
  <c r="J974" i="1" s="1"/>
  <c r="K974" i="1" s="1"/>
  <c r="I973" i="1"/>
  <c r="J973" i="1" s="1"/>
  <c r="K973" i="1" s="1"/>
  <c r="I972" i="1"/>
  <c r="J972" i="1" s="1"/>
  <c r="K972" i="1" s="1"/>
  <c r="I971" i="1"/>
  <c r="J971" i="1" s="1"/>
  <c r="K971" i="1" s="1"/>
  <c r="I970" i="1"/>
  <c r="J970" i="1" s="1"/>
  <c r="K970" i="1" s="1"/>
  <c r="I969" i="1"/>
  <c r="J969" i="1" s="1"/>
  <c r="K969" i="1" s="1"/>
  <c r="I968" i="1"/>
  <c r="J968" i="1" s="1"/>
  <c r="K968" i="1" s="1"/>
  <c r="I967" i="1"/>
  <c r="J967" i="1" s="1"/>
  <c r="K967" i="1" s="1"/>
  <c r="I966" i="1"/>
  <c r="J966" i="1" s="1"/>
  <c r="K966" i="1" s="1"/>
  <c r="I965" i="1"/>
  <c r="J965" i="1" s="1"/>
  <c r="K965" i="1" s="1"/>
  <c r="I964" i="1"/>
  <c r="J964" i="1" s="1"/>
  <c r="K964" i="1" s="1"/>
  <c r="I963" i="1"/>
  <c r="J963" i="1" s="1"/>
  <c r="K963" i="1" s="1"/>
  <c r="I962" i="1"/>
  <c r="J962" i="1" s="1"/>
  <c r="K962" i="1" s="1"/>
  <c r="I961" i="1"/>
  <c r="J961" i="1" s="1"/>
  <c r="K961" i="1" s="1"/>
  <c r="I960" i="1"/>
  <c r="J960" i="1" s="1"/>
  <c r="K960" i="1" s="1"/>
  <c r="I959" i="1"/>
  <c r="J959" i="1" s="1"/>
  <c r="K959" i="1" s="1"/>
  <c r="I958" i="1"/>
  <c r="J958" i="1" s="1"/>
  <c r="K958" i="1" s="1"/>
  <c r="I957" i="1"/>
  <c r="J957" i="1" s="1"/>
  <c r="K957" i="1" s="1"/>
  <c r="I956" i="1"/>
  <c r="J956" i="1" s="1"/>
  <c r="K956" i="1" s="1"/>
  <c r="I955" i="1"/>
  <c r="J955" i="1" s="1"/>
  <c r="K955" i="1" s="1"/>
  <c r="I954" i="1"/>
  <c r="J954" i="1" s="1"/>
  <c r="K954" i="1" s="1"/>
  <c r="I953" i="1"/>
  <c r="J953" i="1" s="1"/>
  <c r="K953" i="1" s="1"/>
  <c r="I952" i="1"/>
  <c r="J952" i="1" s="1"/>
  <c r="K952" i="1" s="1"/>
  <c r="I951" i="1"/>
  <c r="J951" i="1" s="1"/>
  <c r="K951" i="1" s="1"/>
  <c r="I950" i="1"/>
  <c r="J950" i="1" s="1"/>
  <c r="K950" i="1" s="1"/>
  <c r="I949" i="1"/>
  <c r="J949" i="1" s="1"/>
  <c r="K949" i="1" s="1"/>
  <c r="I948" i="1"/>
  <c r="J948" i="1" s="1"/>
  <c r="K948" i="1" s="1"/>
  <c r="I947" i="1"/>
  <c r="J947" i="1" s="1"/>
  <c r="K947" i="1" s="1"/>
  <c r="I946" i="1"/>
  <c r="J946" i="1" s="1"/>
  <c r="K946" i="1" s="1"/>
  <c r="I945" i="1"/>
  <c r="J945" i="1" s="1"/>
  <c r="K945" i="1" s="1"/>
  <c r="I944" i="1"/>
  <c r="J944" i="1" s="1"/>
  <c r="K944" i="1" s="1"/>
  <c r="I943" i="1"/>
  <c r="J943" i="1" s="1"/>
  <c r="K943" i="1" s="1"/>
  <c r="I942" i="1"/>
  <c r="J942" i="1" s="1"/>
  <c r="K942" i="1" s="1"/>
  <c r="I941" i="1"/>
  <c r="J941" i="1" s="1"/>
  <c r="K941" i="1" s="1"/>
  <c r="I940" i="1"/>
  <c r="J940" i="1" s="1"/>
  <c r="K940" i="1" s="1"/>
  <c r="I939" i="1"/>
  <c r="J939" i="1" s="1"/>
  <c r="K939" i="1" s="1"/>
  <c r="I938" i="1"/>
  <c r="J938" i="1" s="1"/>
  <c r="K938" i="1" s="1"/>
  <c r="I937" i="1"/>
  <c r="J937" i="1" s="1"/>
  <c r="K937" i="1" s="1"/>
  <c r="I936" i="1"/>
  <c r="J936" i="1" s="1"/>
  <c r="K936" i="1" s="1"/>
  <c r="I935" i="1"/>
  <c r="J935" i="1" s="1"/>
  <c r="K935" i="1" s="1"/>
  <c r="I934" i="1"/>
  <c r="J934" i="1" s="1"/>
  <c r="K934" i="1" s="1"/>
  <c r="I933" i="1"/>
  <c r="J933" i="1" s="1"/>
  <c r="K933" i="1" s="1"/>
  <c r="I932" i="1"/>
  <c r="J932" i="1" s="1"/>
  <c r="K932" i="1" s="1"/>
  <c r="I931" i="1"/>
  <c r="J931" i="1" s="1"/>
  <c r="K931" i="1" s="1"/>
  <c r="I930" i="1"/>
  <c r="J930" i="1" s="1"/>
  <c r="K930" i="1" s="1"/>
  <c r="I929" i="1"/>
  <c r="J929" i="1" s="1"/>
  <c r="K929" i="1" s="1"/>
  <c r="I928" i="1"/>
  <c r="J928" i="1" s="1"/>
  <c r="K928" i="1" s="1"/>
  <c r="I927" i="1"/>
  <c r="J927" i="1" s="1"/>
  <c r="K927" i="1" s="1"/>
  <c r="I926" i="1"/>
  <c r="J926" i="1" s="1"/>
  <c r="K926" i="1" s="1"/>
  <c r="I925" i="1"/>
  <c r="J925" i="1" s="1"/>
  <c r="K925" i="1" s="1"/>
  <c r="I924" i="1"/>
  <c r="J924" i="1" s="1"/>
  <c r="K924" i="1" s="1"/>
  <c r="I923" i="1"/>
  <c r="J923" i="1" s="1"/>
  <c r="K923" i="1" s="1"/>
  <c r="I922" i="1"/>
  <c r="J922" i="1" s="1"/>
  <c r="K922" i="1" s="1"/>
  <c r="I921" i="1"/>
  <c r="J921" i="1" s="1"/>
  <c r="K921" i="1" s="1"/>
  <c r="I920" i="1"/>
  <c r="J920" i="1" s="1"/>
  <c r="K920" i="1" s="1"/>
  <c r="I919" i="1"/>
  <c r="J919" i="1" s="1"/>
  <c r="K919" i="1" s="1"/>
  <c r="I918" i="1"/>
  <c r="J918" i="1" s="1"/>
  <c r="K918" i="1" s="1"/>
  <c r="I917" i="1"/>
  <c r="J917" i="1" s="1"/>
  <c r="K917" i="1" s="1"/>
  <c r="I916" i="1"/>
  <c r="J916" i="1" s="1"/>
  <c r="K916" i="1" s="1"/>
  <c r="I915" i="1"/>
  <c r="J915" i="1" s="1"/>
  <c r="K915" i="1" s="1"/>
  <c r="I914" i="1"/>
  <c r="J914" i="1" s="1"/>
  <c r="K914" i="1" s="1"/>
  <c r="I913" i="1"/>
  <c r="J913" i="1" s="1"/>
  <c r="K913" i="1" s="1"/>
  <c r="I912" i="1"/>
  <c r="J912" i="1" s="1"/>
  <c r="K912" i="1" s="1"/>
  <c r="I911" i="1"/>
  <c r="J911" i="1" s="1"/>
  <c r="K911" i="1" s="1"/>
  <c r="I910" i="1"/>
  <c r="J910" i="1" s="1"/>
  <c r="K910" i="1" s="1"/>
  <c r="I909" i="1"/>
  <c r="J909" i="1" s="1"/>
  <c r="K909" i="1" s="1"/>
  <c r="I908" i="1"/>
  <c r="J908" i="1" s="1"/>
  <c r="K908" i="1" s="1"/>
  <c r="I907" i="1"/>
  <c r="J907" i="1" s="1"/>
  <c r="K907" i="1" s="1"/>
  <c r="I906" i="1"/>
  <c r="J906" i="1" s="1"/>
  <c r="K906" i="1" s="1"/>
  <c r="I905" i="1"/>
  <c r="J905" i="1" s="1"/>
  <c r="K905" i="1" s="1"/>
  <c r="I904" i="1"/>
  <c r="J904" i="1" s="1"/>
  <c r="K904" i="1" s="1"/>
  <c r="I903" i="1"/>
  <c r="J903" i="1" s="1"/>
  <c r="K903" i="1" s="1"/>
  <c r="I902" i="1"/>
  <c r="J902" i="1" s="1"/>
  <c r="K902" i="1" s="1"/>
  <c r="I901" i="1"/>
  <c r="J901" i="1" s="1"/>
  <c r="K901" i="1" s="1"/>
  <c r="I900" i="1"/>
  <c r="J900" i="1" s="1"/>
  <c r="K900" i="1" s="1"/>
  <c r="I899" i="1"/>
  <c r="J899" i="1" s="1"/>
  <c r="K899" i="1" s="1"/>
  <c r="I898" i="1"/>
  <c r="J898" i="1" s="1"/>
  <c r="K898" i="1" s="1"/>
  <c r="I897" i="1"/>
  <c r="J897" i="1" s="1"/>
  <c r="K897" i="1" s="1"/>
  <c r="I896" i="1"/>
  <c r="J896" i="1" s="1"/>
  <c r="K896" i="1" s="1"/>
  <c r="I895" i="1"/>
  <c r="J895" i="1" s="1"/>
  <c r="K895" i="1" s="1"/>
  <c r="I894" i="1"/>
  <c r="J894" i="1" s="1"/>
  <c r="K894" i="1" s="1"/>
  <c r="I893" i="1"/>
  <c r="J893" i="1" s="1"/>
  <c r="K893" i="1" s="1"/>
  <c r="I892" i="1"/>
  <c r="J892" i="1" s="1"/>
  <c r="K892" i="1" s="1"/>
  <c r="I891" i="1"/>
  <c r="J891" i="1" s="1"/>
  <c r="K891" i="1" s="1"/>
  <c r="I890" i="1"/>
  <c r="J890" i="1" s="1"/>
  <c r="K890" i="1" s="1"/>
  <c r="I889" i="1"/>
  <c r="J889" i="1" s="1"/>
  <c r="K889" i="1" s="1"/>
  <c r="I888" i="1"/>
  <c r="J888" i="1" s="1"/>
  <c r="K888" i="1" s="1"/>
  <c r="I887" i="1"/>
  <c r="J887" i="1" s="1"/>
  <c r="K887" i="1" s="1"/>
  <c r="I886" i="1"/>
  <c r="J886" i="1" s="1"/>
  <c r="K886" i="1" s="1"/>
  <c r="I885" i="1"/>
  <c r="J885" i="1" s="1"/>
  <c r="K885" i="1" s="1"/>
  <c r="I884" i="1"/>
  <c r="J884" i="1" s="1"/>
  <c r="K884" i="1" s="1"/>
  <c r="I883" i="1"/>
  <c r="J883" i="1" s="1"/>
  <c r="K883" i="1" s="1"/>
  <c r="I882" i="1"/>
  <c r="J882" i="1" s="1"/>
  <c r="K882" i="1" s="1"/>
  <c r="I881" i="1"/>
  <c r="J881" i="1" s="1"/>
  <c r="K881" i="1" s="1"/>
  <c r="I880" i="1"/>
  <c r="J880" i="1" s="1"/>
  <c r="K880" i="1" s="1"/>
  <c r="I879" i="1"/>
  <c r="J879" i="1" s="1"/>
  <c r="K879" i="1" s="1"/>
  <c r="I878" i="1"/>
  <c r="J878" i="1" s="1"/>
  <c r="K878" i="1" s="1"/>
  <c r="I877" i="1"/>
  <c r="J877" i="1" s="1"/>
  <c r="K877" i="1" s="1"/>
  <c r="I876" i="1"/>
  <c r="J876" i="1" s="1"/>
  <c r="K876" i="1" s="1"/>
  <c r="I875" i="1"/>
  <c r="J875" i="1" s="1"/>
  <c r="K875" i="1" s="1"/>
  <c r="I874" i="1"/>
  <c r="J874" i="1" s="1"/>
  <c r="K874" i="1" s="1"/>
  <c r="I873" i="1"/>
  <c r="J873" i="1" s="1"/>
  <c r="K873" i="1" s="1"/>
  <c r="I872" i="1"/>
  <c r="J872" i="1" s="1"/>
  <c r="K872" i="1" s="1"/>
  <c r="I871" i="1"/>
  <c r="J871" i="1" s="1"/>
  <c r="K871" i="1" s="1"/>
  <c r="I870" i="1"/>
  <c r="J870" i="1" s="1"/>
  <c r="K870" i="1" s="1"/>
  <c r="I869" i="1"/>
  <c r="J869" i="1" s="1"/>
  <c r="K869" i="1" s="1"/>
  <c r="I868" i="1"/>
  <c r="J868" i="1" s="1"/>
  <c r="K868" i="1" s="1"/>
  <c r="I867" i="1"/>
  <c r="J867" i="1" s="1"/>
  <c r="K867" i="1" s="1"/>
  <c r="I866" i="1"/>
  <c r="J866" i="1" s="1"/>
  <c r="K866" i="1" s="1"/>
  <c r="I865" i="1"/>
  <c r="J865" i="1" s="1"/>
  <c r="K865" i="1" s="1"/>
  <c r="I864" i="1"/>
  <c r="J864" i="1" s="1"/>
  <c r="K864" i="1" s="1"/>
  <c r="I863" i="1"/>
  <c r="J863" i="1" s="1"/>
  <c r="K863" i="1" s="1"/>
  <c r="I862" i="1"/>
  <c r="J862" i="1" s="1"/>
  <c r="K862" i="1" s="1"/>
  <c r="I861" i="1"/>
  <c r="J861" i="1" s="1"/>
  <c r="K861" i="1" s="1"/>
  <c r="I860" i="1"/>
  <c r="J860" i="1" s="1"/>
  <c r="K860" i="1" s="1"/>
  <c r="I859" i="1"/>
  <c r="J859" i="1" s="1"/>
  <c r="K859" i="1" s="1"/>
  <c r="I858" i="1"/>
  <c r="J858" i="1" s="1"/>
  <c r="K858" i="1" s="1"/>
  <c r="I857" i="1"/>
  <c r="J857" i="1" s="1"/>
  <c r="K857" i="1" s="1"/>
  <c r="I856" i="1"/>
  <c r="J856" i="1" s="1"/>
  <c r="K856" i="1" s="1"/>
  <c r="I855" i="1"/>
  <c r="J855" i="1" s="1"/>
  <c r="K855" i="1" s="1"/>
  <c r="I854" i="1"/>
  <c r="J854" i="1" s="1"/>
  <c r="K854" i="1" s="1"/>
  <c r="I853" i="1"/>
  <c r="J853" i="1" s="1"/>
  <c r="K853" i="1" s="1"/>
  <c r="I852" i="1"/>
  <c r="J852" i="1" s="1"/>
  <c r="K852" i="1" s="1"/>
  <c r="I851" i="1"/>
  <c r="J851" i="1" s="1"/>
  <c r="K851" i="1" s="1"/>
  <c r="I850" i="1"/>
  <c r="J850" i="1" s="1"/>
  <c r="K850" i="1" s="1"/>
  <c r="I849" i="1"/>
  <c r="J849" i="1" s="1"/>
  <c r="K849" i="1" s="1"/>
  <c r="I848" i="1"/>
  <c r="J848" i="1" s="1"/>
  <c r="K848" i="1" s="1"/>
  <c r="I847" i="1"/>
  <c r="J847" i="1" s="1"/>
  <c r="K847" i="1" s="1"/>
  <c r="I846" i="1"/>
  <c r="J846" i="1" s="1"/>
  <c r="K846" i="1" s="1"/>
  <c r="I845" i="1"/>
  <c r="J845" i="1" s="1"/>
  <c r="K845" i="1" s="1"/>
  <c r="I844" i="1"/>
  <c r="J844" i="1" s="1"/>
  <c r="K844" i="1" s="1"/>
  <c r="I843" i="1"/>
  <c r="J843" i="1" s="1"/>
  <c r="K843" i="1" s="1"/>
  <c r="I842" i="1"/>
  <c r="J842" i="1" s="1"/>
  <c r="K842" i="1" s="1"/>
  <c r="I841" i="1"/>
  <c r="J841" i="1" s="1"/>
  <c r="K841" i="1" s="1"/>
  <c r="I840" i="1"/>
  <c r="J840" i="1" s="1"/>
  <c r="K840" i="1" s="1"/>
  <c r="I839" i="1"/>
  <c r="J839" i="1" s="1"/>
  <c r="K839" i="1" s="1"/>
  <c r="I838" i="1"/>
  <c r="J838" i="1" s="1"/>
  <c r="K838" i="1" s="1"/>
  <c r="I837" i="1"/>
  <c r="J837" i="1" s="1"/>
  <c r="K837" i="1" s="1"/>
  <c r="I836" i="1"/>
  <c r="J836" i="1" s="1"/>
  <c r="K836" i="1" s="1"/>
  <c r="I835" i="1"/>
  <c r="J835" i="1" s="1"/>
  <c r="K835" i="1" s="1"/>
  <c r="I834" i="1"/>
  <c r="J834" i="1" s="1"/>
  <c r="K834" i="1" s="1"/>
  <c r="I833" i="1"/>
  <c r="J833" i="1" s="1"/>
  <c r="K833" i="1" s="1"/>
  <c r="I832" i="1"/>
  <c r="J832" i="1" s="1"/>
  <c r="K832" i="1" s="1"/>
  <c r="I831" i="1"/>
  <c r="J831" i="1" s="1"/>
  <c r="K831" i="1" s="1"/>
  <c r="I830" i="1"/>
  <c r="J830" i="1" s="1"/>
  <c r="K830" i="1" s="1"/>
</calcChain>
</file>

<file path=xl/sharedStrings.xml><?xml version="1.0" encoding="utf-8"?>
<sst xmlns="http://schemas.openxmlformats.org/spreadsheetml/2006/main" count="24111" uniqueCount="4557">
  <si>
    <t>Счет</t>
  </si>
  <si>
    <t>Дата</t>
  </si>
  <si>
    <t>Сумма остаток Дт</t>
  </si>
  <si>
    <t>Сумма остаток Кт</t>
  </si>
  <si>
    <t>Количество записей</t>
  </si>
  <si>
    <t>Дата образования задолженности</t>
  </si>
  <si>
    <t>срок дебиторской задолженности</t>
  </si>
  <si>
    <t>Период задолженности</t>
  </si>
  <si>
    <t>Дата отчета</t>
  </si>
  <si>
    <t>Причина образования ДЗ</t>
  </si>
  <si>
    <t>Ответственный отдел по урегулированию ДЗ</t>
  </si>
  <si>
    <t>Комментарий решения</t>
  </si>
  <si>
    <t>60.02</t>
  </si>
  <si>
    <t>АВТОДИЛЕР ООО РЦ</t>
  </si>
  <si>
    <t>№ РС-08-12-2022-3 от 08.12.2022г. спец № 1 от 08.12.2022</t>
  </si>
  <si>
    <t>Списание с расчетного счета 00БП-002073 от 05.05.2023 18:33:46</t>
  </si>
  <si>
    <t>05.05.23</t>
  </si>
  <si>
    <t>&gt;360</t>
  </si>
  <si>
    <t>АВЕРС - ЭЛЕКТРОННЫЕ ДОКУМЕНТЫ ООО</t>
  </si>
  <si>
    <t>Счёт № 9000-009814 от 23.10.2025г.</t>
  </si>
  <si>
    <t>Списание с расчетного счета 00БП-007871 от 23.10.2025 18:50:57</t>
  </si>
  <si>
    <t>23.10.25</t>
  </si>
  <si>
    <t>121-180</t>
  </si>
  <si>
    <t>АВИА - ЭКСПРЕСС ООО</t>
  </si>
  <si>
    <t>Счет №ЯСК-0401689 от 18.01.2026  Геоэкоцентр</t>
  </si>
  <si>
    <t>Списание с расчетного счета 00БП-000102 от 22.01.2026 6:54:22</t>
  </si>
  <si>
    <t>22.01.26</t>
  </si>
  <si>
    <t>31-90</t>
  </si>
  <si>
    <t>АВИАПАРТНЕР ООО</t>
  </si>
  <si>
    <t>Договор купли-продажи ВС № 02 от 01.12.2025</t>
  </si>
  <si>
    <t>Списание с расчетного счета 00БП-009273 от 24.12.2025 11:37:26</t>
  </si>
  <si>
    <t>24.12.25</t>
  </si>
  <si>
    <t>АВИСТА МОДУЛЬ ИНЖИНИРИНГ ООО</t>
  </si>
  <si>
    <t>№ 170 от 07.11.2023г, спец. № 8 от 25.12.2025г.</t>
  </si>
  <si>
    <t>Списание с расчетного счета 00БП-000026 от 14.01.2026 16:45:19</t>
  </si>
  <si>
    <t>14.01.26</t>
  </si>
  <si>
    <t>Списание с расчетного счета 00БП-000361 от 13.02.2026 17:04:30</t>
  </si>
  <si>
    <t>13.02.26</t>
  </si>
  <si>
    <t>0-30</t>
  </si>
  <si>
    <t>№ 170 от 07.11.2023г, спец. № 9 от 25.12.2025г.</t>
  </si>
  <si>
    <t>Списание с расчетного счета 00БП-000025 от 14.01.2026 16:45:18</t>
  </si>
  <si>
    <t>Списание с расчетного счета 00БП-000359 от 13.02.2026 17:04:28</t>
  </si>
  <si>
    <t>Автоград ООО</t>
  </si>
  <si>
    <t>2025-30/09-2 от 30.09.2025г. Седельный тягач SITRAK C7H - 2 ед.</t>
  </si>
  <si>
    <t>Списание с расчетного счета 00БП-007373 от 08.10.2025 18:26:41</t>
  </si>
  <si>
    <t>08.10.25</t>
  </si>
  <si>
    <t>Счёт-Договор № АА000000130 от 24.02.2026г. Диагностика автомобилей Седельный тягач - 2 ед.</t>
  </si>
  <si>
    <t>Списание с расчетного счета 00БП-000470 от 25.02.2026 17:39:33</t>
  </si>
  <si>
    <t>25.02.26</t>
  </si>
  <si>
    <t>Счёт-Договор № АА000000863 от 03.102025г. Фильтры, масло, влагоотделители, подогреватели ПЖД</t>
  </si>
  <si>
    <t>Списание с расчетного счета 00БП-007408 от 09.10.2025 16:57:55</t>
  </si>
  <si>
    <t>09.10.25</t>
  </si>
  <si>
    <t>АВТОДЕТАЛЬ ООО 7604274208</t>
  </si>
  <si>
    <t>№ РС-17-02-2023-1 от 20.02.2023г. Спец. 12 Запчасти для автомобилей</t>
  </si>
  <si>
    <t>Списание с расчетного счета 00БП-000477 от 25.02.2026 17:39:40</t>
  </si>
  <si>
    <t>РС-17-02-2023-1 от 20.02.2023г. Спец. 10 от 15.01.2026  Автозапчасти</t>
  </si>
  <si>
    <t>Списание с расчетного счета 00БП-000090 от 21.01.2026 11:45:50</t>
  </si>
  <si>
    <t>21.01.26</t>
  </si>
  <si>
    <t>Списание с расчетного счета 00БП-000439 от 24.02.2026 17:52:55</t>
  </si>
  <si>
    <t>24.02.26</t>
  </si>
  <si>
    <t>Списание с расчетного счета 00БП-000498 от 26.02.2026 17:17:28</t>
  </si>
  <si>
    <t>26.02.26</t>
  </si>
  <si>
    <t>РС-17-02-2023-1 от 20.02.2023г. Спец. 11 от 10.02.2026 г. Двигатели УАЗ.</t>
  </si>
  <si>
    <t>Списание с расчетного счета 00БП-000349 от 13.02.2026 17:04:18</t>
  </si>
  <si>
    <t>РС-17-02-2023-1 от 20.02.2023г. Спец. 8 Автозапчасти</t>
  </si>
  <si>
    <t>Списание с расчетного счета 00БП-006009 от 26.08.2025 19:15:04</t>
  </si>
  <si>
    <t>26.08.25</t>
  </si>
  <si>
    <t>181-270</t>
  </si>
  <si>
    <t>Счёт № ЯА000000571 от 13.10.2025г. Кабина УРАЛ.</t>
  </si>
  <si>
    <t>Списание с расчетного счета 00БП-008786 от 18.11.2025 23:05:28</t>
  </si>
  <si>
    <t>18.11.25</t>
  </si>
  <si>
    <t>91-120</t>
  </si>
  <si>
    <t>Автомастер ООО</t>
  </si>
  <si>
    <t>Дог. № 77 от 21 ноября 2025г.Спецификация №1,№2</t>
  </si>
  <si>
    <t>Списание с расчетного счета 00БП-009292 от 25.12.2025 12:00:16</t>
  </si>
  <si>
    <t>25.12.25</t>
  </si>
  <si>
    <t>АВТОМАТИКА ТД ООО</t>
  </si>
  <si>
    <t>Счёт № 9001 от 19.11.2025г. ПЭВ2-300/460-У2 Преобразователь электропривода вращателя</t>
  </si>
  <si>
    <t>Списание с расчетного счета 00БП-008834 от 19.11.2025 18:05:16</t>
  </si>
  <si>
    <t>19.11.25</t>
  </si>
  <si>
    <t>АВТОПИТЕР ООО</t>
  </si>
  <si>
    <t>Счёт № 83349880(1729594) от 07.07.2025г. Ремень вентиляторный - 20 шт.</t>
  </si>
  <si>
    <t>Списание с расчетного счета 00БП-004852 от 14.07.2025 17:54:02</t>
  </si>
  <si>
    <t>14.07.25</t>
  </si>
  <si>
    <t>АЗОТ КАО</t>
  </si>
  <si>
    <t>7875-ВО-10 от 14.12.2015 г.</t>
  </si>
  <si>
    <t>Списание с расчетного счета 00БП-009342 от 29.12.2025 17:48:57</t>
  </si>
  <si>
    <t>29.12.25</t>
  </si>
  <si>
    <t>АЙТИ СЕРВИС МЕНЕДЖМЕНТ ООО</t>
  </si>
  <si>
    <t>Счёт № 22940/ЛК от 05.03.2025г.</t>
  </si>
  <si>
    <t>Списание с расчетного счета 00БП-000549 от 07.03.2025 17:21:16</t>
  </si>
  <si>
    <t>07.03.25</t>
  </si>
  <si>
    <t>271-360</t>
  </si>
  <si>
    <t>Акиба ООО</t>
  </si>
  <si>
    <t>Счёт № АК00021166 от 04.08.2025г. Сосиски, мясо, печень</t>
  </si>
  <si>
    <t>Списание с расчетного счета 00БП-005478 от 07.08.2025 19:08:52</t>
  </si>
  <si>
    <t>07.08.25</t>
  </si>
  <si>
    <t>Счёт № АК00021169 от 04.08.2025г. Конфеты, кофе, приправы</t>
  </si>
  <si>
    <t>Списание с расчетного счета 00БП-005479 от 07.08.2025 19:08:53</t>
  </si>
  <si>
    <t>Корректировка поступления 00БП-000024 от 05.09.2025 16:20:03</t>
  </si>
  <si>
    <t>05.09.25</t>
  </si>
  <si>
    <t>АЛЬФА ООО</t>
  </si>
  <si>
    <t>РС-15-12-2025-1  спец 2 от 13.01.2026 г. Двигатели (9шт)</t>
  </si>
  <si>
    <t>Списание с расчетного счета 00БП-000092 от 21.01.2026 11:45:52</t>
  </si>
  <si>
    <t>Счет № 2025121604 от 16.12.2025 спец 1</t>
  </si>
  <si>
    <t>Списание с расчетного счета 00БП-009316 от 26.12.2025 12:00:22</t>
  </si>
  <si>
    <t>26.12.25</t>
  </si>
  <si>
    <t>АЛЬФА-МОТОРС ООО</t>
  </si>
  <si>
    <t>РС-16-02-2026-1 от 16.02.2026г. Спец. 1. Запчасти для автомобилей.</t>
  </si>
  <si>
    <t>Списание с расчетного счета 00БП-000505 от 26.02.2026 17:17:35</t>
  </si>
  <si>
    <t>Антипин Иван Алексеевич ИП</t>
  </si>
  <si>
    <t>Счёт № 34 от 18.12.2025г. Перевозка угля</t>
  </si>
  <si>
    <t>Списание с расчетного счета 00БП-009234 от 18.12.2025 17:20:48</t>
  </si>
  <si>
    <t>18.12.25</t>
  </si>
  <si>
    <t>АСМ-РЕСУРС ООО</t>
  </si>
  <si>
    <t xml:space="preserve"> РС-08-12-2022-5 от 08.12.2022г. Спец. 10 от 20.02.2026г. Запчасти МЗТ</t>
  </si>
  <si>
    <t>Списание с расчетного счета 00БП-000504 от 26.02.2026 17:17:34</t>
  </si>
  <si>
    <t>АУДИТОНЛАЙН ООО</t>
  </si>
  <si>
    <t>№ 20251110-01 от 10.11.2025г. Управленческое консультирование Заказчика.</t>
  </si>
  <si>
    <t>Списание с расчетного счета 00БП-008784 от 18.11.2025 23:05:26</t>
  </si>
  <si>
    <t>АФ ЭККАУНТ-ПРОФ ООО</t>
  </si>
  <si>
    <t>ОА-07/2025 от 28.03.2025г.</t>
  </si>
  <si>
    <t>Списание с расчетного счета 00БП-002345 от 05.05.2025 19:41:14</t>
  </si>
  <si>
    <t>05.05.25</t>
  </si>
  <si>
    <t>АЭРОПОРТ ЯКУТСК АО</t>
  </si>
  <si>
    <t>Паркинг 585/2021 от 22.12.2020 г.</t>
  </si>
  <si>
    <t>Списание с расчетного счета 00БП-000049 от 15.01.2026 14:53:16</t>
  </si>
  <si>
    <t>15.01.26</t>
  </si>
  <si>
    <t>Бакалова Марина Владимировна ИП</t>
  </si>
  <si>
    <t>01/09 от 15.09.2025г.</t>
  </si>
  <si>
    <t>Списание с расчетного счета 00БП-007195 от 01.10.2025 20:24:05</t>
  </si>
  <si>
    <t>01.10.25</t>
  </si>
  <si>
    <t>02/07 от 10.07.2025г.</t>
  </si>
  <si>
    <t>Списание с расчетного счета 00БП-004986 от 18.07.2025 20:39:46</t>
  </si>
  <si>
    <t>18.07.25</t>
  </si>
  <si>
    <t>Списание с расчетного счета 00БП-009315 от 26.12.2025 12:00:21</t>
  </si>
  <si>
    <t>02/09 от 15.09.2025г.</t>
  </si>
  <si>
    <t>Списание с расчетного счета 00БП-007194 от 01.10.2025 20:24:04</t>
  </si>
  <si>
    <t>11/08 от 25.08.2025г.</t>
  </si>
  <si>
    <t>Списание с расчетного счета 00БП-006765 от 17.09.2025 19:43:17</t>
  </si>
  <si>
    <t>17.09.25</t>
  </si>
  <si>
    <t>12/08 от 25.08.2025г.</t>
  </si>
  <si>
    <t>Списание с расчетного счета 00БП-006764 от 17.09.2025 19:43:16</t>
  </si>
  <si>
    <t>Береснева Аксана Викторовна ИП</t>
  </si>
  <si>
    <t>Счёт № 739 от 19.06.2025г.</t>
  </si>
  <si>
    <t>Списание с расчетного счета 00БП-004292 от 30.06.2025 23:59:59</t>
  </si>
  <si>
    <t>30.06.25</t>
  </si>
  <si>
    <t>Варламов Петр Константинович ИП</t>
  </si>
  <si>
    <t>38-25 от 05.12.2025г. Нера Талалах 2,3804 га</t>
  </si>
  <si>
    <t>Списание с расчетного счета 00БП-000342 от 13.02.2026 17:04:11</t>
  </si>
  <si>
    <t>ВГСЧ ФГУП</t>
  </si>
  <si>
    <t>10-ГСО/2026-СВ от 05.12.2025г.</t>
  </si>
  <si>
    <t>Списание с расчетного счета 00БП-000417 от 19.02.2026 16:28:32</t>
  </si>
  <si>
    <t>19.02.26</t>
  </si>
  <si>
    <t>18-24 от 01.12.2023 г.</t>
  </si>
  <si>
    <t>Списание с расчетного счета 00БП-000181 от 29.01.2026 11:53:12</t>
  </si>
  <si>
    <t>29.01.26</t>
  </si>
  <si>
    <t>Списание с расчетного счета 00БП-000347 от 13.02.2026 17:04:16</t>
  </si>
  <si>
    <t>ВЕНТИНФОРМ ООО</t>
  </si>
  <si>
    <t>Счёт № 2158 от 19.08.2025г. Детали вентиляции</t>
  </si>
  <si>
    <t>Списание с расчетного счета 00БП-005940 от 21.08.2025 17:24:52</t>
  </si>
  <si>
    <t>21.08.25</t>
  </si>
  <si>
    <t>Вертикаль ООО</t>
  </si>
  <si>
    <t>дог № 25/20 от 02.03.2020</t>
  </si>
  <si>
    <t>Списание с расчетного счета 00БП-000424 от 20.02.2026 17:20:32</t>
  </si>
  <si>
    <t>20.02.26</t>
  </si>
  <si>
    <t>ВЕСТЕРОС ООО</t>
  </si>
  <si>
    <t>19012026/02 от 19.01.2026г. Спец.1 от 19.01.2026 Рефрижераторный контейнер</t>
  </si>
  <si>
    <t>Списание с расчетного счета 00БП-000150 от 28.01.2026 12:00:06</t>
  </si>
  <si>
    <t>28.01.26</t>
  </si>
  <si>
    <t>19012026/02 от 19.01.2026г. Спец.2 от 19.01.2026 сухогр. контейнер</t>
  </si>
  <si>
    <t>Списание с расчетного счета 00БП-000149 от 28.01.2026 12:00:05</t>
  </si>
  <si>
    <t>ВИНАТ ООО</t>
  </si>
  <si>
    <t>Счёт № 1629 от 10.04.2024г.</t>
  </si>
  <si>
    <t>Списание с расчетного счета 00БП-001912 от 17.04.2024 20:48:12</t>
  </si>
  <si>
    <t>17.04.24</t>
  </si>
  <si>
    <t>ВостокТехТорг АО</t>
  </si>
  <si>
    <t>Счёт № УТ-10378 от 24.11.2025г. Насос консольный К 80-65-160 (К 45/30) 7,5х3000 - 1 шт.</t>
  </si>
  <si>
    <t>Списание с расчетного счета 00БП-008947 от 26.11.2025 14:57:07</t>
  </si>
  <si>
    <t>26.11.25</t>
  </si>
  <si>
    <t>ВСЕИНСТРУМЕНТЫ.РУ ООО</t>
  </si>
  <si>
    <t>Счёт № 2505-436846-71943 от 27.05.2025г. Инструмент. Инвентарь</t>
  </si>
  <si>
    <t>Списание с расчетного счета 00БП-003512 от 09.06.2025 17:56:01</t>
  </si>
  <si>
    <t>09.06.25</t>
  </si>
  <si>
    <t>Счёт № 2602-496112-75213 от 24.02.2026г. Энергокабельная продукция</t>
  </si>
  <si>
    <t>Списание с расчетного счета 00БП-000473 от 25.02.2026 17:39:36</t>
  </si>
  <si>
    <t>ГАЗПРОМ КОСМИЧЕСКИЕ СИСТЕМЫ АО</t>
  </si>
  <si>
    <t>КЮ48847 от 01.06.2019г</t>
  </si>
  <si>
    <t>Списание с расчетного счета 00БП-004058 от 28.06.2024 19:03:17</t>
  </si>
  <si>
    <t>28.06.24</t>
  </si>
  <si>
    <t>КЮ49360 от 14.06.2019г.</t>
  </si>
  <si>
    <t>Списание с расчетного счета 00БП-003852 от 24.06.2024 17:54:37</t>
  </si>
  <si>
    <t>24.06.24</t>
  </si>
  <si>
    <t>КЮ50102 от 03.07.2019 г.</t>
  </si>
  <si>
    <t>Списание с расчетного счета 00БП-006739 от 16.09.2025 17:34:57</t>
  </si>
  <si>
    <t>16.09.25</t>
  </si>
  <si>
    <t>КЮ55939 от 05.05.2021г</t>
  </si>
  <si>
    <t>Списание с расчетного счета 00БП-002905 от 27.05.2024 18:19:20</t>
  </si>
  <si>
    <t>27.05.24</t>
  </si>
  <si>
    <t>КЮ55941 от 05.05.2021г</t>
  </si>
  <si>
    <t>Списание с расчетного счета 00БП-003005 от 23.05.2025 20:52:15</t>
  </si>
  <si>
    <t>23.05.25</t>
  </si>
  <si>
    <t>КЮ55944 от 05.05.2021г</t>
  </si>
  <si>
    <t>Списание с расчетного счета 00БП-004318 от 08.07.2024 18:29:52</t>
  </si>
  <si>
    <t>08.07.24</t>
  </si>
  <si>
    <t>КЮ55952 от 05.05.2021</t>
  </si>
  <si>
    <t>Списание с расчетного счета 00БП-006217 от 01.09.2025 18:18:38</t>
  </si>
  <si>
    <t>01.09.25</t>
  </si>
  <si>
    <t>ГАРО ООО</t>
  </si>
  <si>
    <t>4 от 28.01.2026</t>
  </si>
  <si>
    <t>Списание с расчетного счета 00БП-000213 от 03.02.2026 14:13:45</t>
  </si>
  <si>
    <t>03.02.26</t>
  </si>
  <si>
    <t>ГЕОЭКОЦЕНТР ООО</t>
  </si>
  <si>
    <t>01-09/25 от 09.09.2025г. (Хапта)</t>
  </si>
  <si>
    <t>Списание с расчетного счета 00БП-007131 от 29.09.2025 19:12:04</t>
  </si>
  <si>
    <t>29.09.25</t>
  </si>
  <si>
    <t>01-10/25 от 10.10.2025г. (Ольчан-Талынья)</t>
  </si>
  <si>
    <t>Списание с расчетного счета 00БП-007756 от 17.10.2025 19:36:13</t>
  </si>
  <si>
    <t>17.10.25</t>
  </si>
  <si>
    <t>02-09/25 от 09.09.2025г. (Обман)</t>
  </si>
  <si>
    <t>Списание с расчетного счета 00БП-007130 от 29.09.2025 19:12:03</t>
  </si>
  <si>
    <t>02-10/25 от 10.10.2025г. (Ольчан-Смородина)</t>
  </si>
  <si>
    <t>Списание с расчетного счета 00БП-007755 от 17.10.2025 19:36:12</t>
  </si>
  <si>
    <t>04-09/25 от 09.09.2025г. (Большой Тарын)</t>
  </si>
  <si>
    <t>Списание с расчетного счета 00БП-007129 от 29.09.2025 19:12:02</t>
  </si>
  <si>
    <t>ГИД-СЕРВИС ООО</t>
  </si>
  <si>
    <t>ГСЗ-06/24 от 29.02.2024г.  перевозки</t>
  </si>
  <si>
    <t>Списание с расчетного счета 00БП-000341 от 13.02.2026 17:04:10</t>
  </si>
  <si>
    <t>ГИДРОСНАБ ТД НМЗ ООО</t>
  </si>
  <si>
    <t>046/25 от 27.05.2025г. Спец. 1. Выпресовщик пальца опорного катка гусеницы блока тележки бульдозера</t>
  </si>
  <si>
    <t>Списание с расчетного счета 00БП-009027 от 01.12.2025 15:42:22</t>
  </si>
  <si>
    <t>01.12.25</t>
  </si>
  <si>
    <t>Списание с расчетного счета 00БП-000503 от 26.02.2026 17:17:33</t>
  </si>
  <si>
    <t>046/25 от 27.05.2025г. Спец. 2. Выпресовщик пальцев гусеничных цепей</t>
  </si>
  <si>
    <t>Списание с расчетного счета 00БП-009026 от 01.12.2025 15:42:21</t>
  </si>
  <si>
    <t>Списание с расчетного счета 00БП-000502 от 26.02.2026 17:17:32</t>
  </si>
  <si>
    <t>046/25 от 27.05.2025г. Спец. 3. Приспособление для выпрессовки и запрессовки втулок</t>
  </si>
  <si>
    <t>Списание с расчетного счета 00БП-009025 от 01.12.2025 15:42:20</t>
  </si>
  <si>
    <t>Списание с расчетного счета 00БП-009090 от 05.12.2025 12:00:05</t>
  </si>
  <si>
    <t>05.12.25</t>
  </si>
  <si>
    <t>Списание с расчетного счета 00БП-000474 от 25.02.2026 17:39:37</t>
  </si>
  <si>
    <t>046/25 от 27.05.2025г. Спец. 4. Приспособление для выпрессовки и запрессовки втулок рукояти погрузчи</t>
  </si>
  <si>
    <t>Списание с расчетного счета 00БП-009024 от 01.12.2025 15:42:19</t>
  </si>
  <si>
    <t>Списание с расчетного счета 00БП-000499 от 26.02.2026 17:17:29</t>
  </si>
  <si>
    <t>ГКП ООО</t>
  </si>
  <si>
    <t>Счёт № 915052-СК от 19.05.2025г. Комплект гидравлического съёмника</t>
  </si>
  <si>
    <t>Списание с расчетного счета 00БП-002965 от 21.05.2025 20:10:56</t>
  </si>
  <si>
    <t>21.05.25</t>
  </si>
  <si>
    <t>ГЛОБАЛ ФИШ ООО</t>
  </si>
  <si>
    <t>№ РС-19-12-2025-1 от 19.12.2025г. Спецификация 1 продукты питания</t>
  </si>
  <si>
    <t>Списание с расчетного счета 00БП-000070 от 16.01.2026 17:13:38</t>
  </si>
  <si>
    <t>16.01.26</t>
  </si>
  <si>
    <t>№ РС-19-12-2025-2 от 19.12.2025г. Спецификация 1 спецодежда</t>
  </si>
  <si>
    <t>Списание с расчетного счета 00БП-000117 от 26.01.2026 12:00:04</t>
  </si>
  <si>
    <t>26.01.26</t>
  </si>
  <si>
    <t>РС-05-02-2026-1 от 05.02.2026г. Спец. 2 Канцелярские товары</t>
  </si>
  <si>
    <t>Списание с расчетного счета 00БП-000444 от 24.02.2026 17:53:00</t>
  </si>
  <si>
    <t>РС-05-02-2026-1 от 05.02.2026г. Спец.1 Хозяйственные товары</t>
  </si>
  <si>
    <t>Списание с расчетного счета 00БП-000407 от 18.02.2026 12:00:09</t>
  </si>
  <si>
    <t>18.02.26</t>
  </si>
  <si>
    <t>Счёт № 3 от 26.01.2026г. нанесение логотипа</t>
  </si>
  <si>
    <t>Списание с расчетного счета 00БП-000216 от 03.02.2026 14:13:48</t>
  </si>
  <si>
    <t>Счёт № 4 от 02.02.2026г.  перевозка</t>
  </si>
  <si>
    <t>Списание с расчетного счета 00БП-000217 от 03.02.2026 14:13:49</t>
  </si>
  <si>
    <t>Счёт № 6 от 17.02.2026г. ТЗР Продукты (РС-19-12-2025-1)</t>
  </si>
  <si>
    <t>Списание с расчетного счета 00БП-000409 от 18.02.2026 12:00:11</t>
  </si>
  <si>
    <t>Счёт № 7 от 17.02.2026г. ТЗР Спецодежда (РС-18-09-2025-1)</t>
  </si>
  <si>
    <t>Списание с расчетного счета 00БП-000408 от 18.02.2026 12:00:10</t>
  </si>
  <si>
    <t>Государственное бюджетное учреждение РС (Я) "Дирекция биологических ресурсов и особо охраняемых прир</t>
  </si>
  <si>
    <t>основной</t>
  </si>
  <si>
    <t>Списание с расчетного счета 00БП-000032 от 15.01.2026 14:52:57</t>
  </si>
  <si>
    <t>ГПФК АО</t>
  </si>
  <si>
    <t xml:space="preserve"> РС-26-12-2022-9/127з от 26.12.2022г. Спец. 30 от 11.02.2026г. Электроды.  </t>
  </si>
  <si>
    <t>Списание с расчетного счета 00БП-000348 от 13.02.2026 17:04:17</t>
  </si>
  <si>
    <t>РС-26-12-2022-9/127з от 26.12.2022г. Спец. 19 масла и смазки</t>
  </si>
  <si>
    <t>Списание с расчетного счета 00БП-003987 от 19.06.2025 19:28:50</t>
  </si>
  <si>
    <t>19.06.25</t>
  </si>
  <si>
    <t>РС-26-12-2022-9/127з от 26.12.2022г. Спец. 31 Металл</t>
  </si>
  <si>
    <t>Списание с расчетного счета 00БП-000358 от 13.02.2026 17:04:27</t>
  </si>
  <si>
    <t>РС-26-12-2022-9/127з от 26.12.2022г. Спец. 32 Подшипники</t>
  </si>
  <si>
    <t>Списание с расчетного счета 00БП-000322 от 12.02.2026 15:36:53</t>
  </si>
  <si>
    <t>12.02.26</t>
  </si>
  <si>
    <t>РС-26-12-2022-9/127з от 26.12.2022г. Спец. № 12  запчасти</t>
  </si>
  <si>
    <t>Списание с расчетного счета 00БП-001887 от 16.04.2024 20:42:34</t>
  </si>
  <si>
    <t>16.04.24</t>
  </si>
  <si>
    <t>спецификация 28 от 02.12.2025г.  масла, смазки</t>
  </si>
  <si>
    <t>Списание с расчетного счета 00БП-000091 от 21.01.2026 11:45:51</t>
  </si>
  <si>
    <t>Счёт № МГ00000292 от 21.02.2025г. Трубы</t>
  </si>
  <si>
    <t>Списание с расчетного счета 00БП-000423 от 28.02.2025 23:59:59</t>
  </si>
  <si>
    <t>28.02.25</t>
  </si>
  <si>
    <t>Счёт № МГ00001620 от 30.09.2025г.  Термостат, охладитель воды 201737 К-19 - 2 шт.</t>
  </si>
  <si>
    <t>Списание с расчетного счета 00БП-007268 от 03.10.2025 17:50:33</t>
  </si>
  <si>
    <t>03.10.25</t>
  </si>
  <si>
    <t>ГСИ-Хабаровск ООО</t>
  </si>
  <si>
    <t>50-25/СЦ от 10.11.2025г. Поверка и ремонт приемников Topcon</t>
  </si>
  <si>
    <t>Списание с расчетного счета 00БП-008971 от 27.11.2025 18:25:59</t>
  </si>
  <si>
    <t>27.11.25</t>
  </si>
  <si>
    <t>ДЕЛОВЫЕ ЛИНИИ ООО</t>
  </si>
  <si>
    <t>Счёт № 24-01391224225 от 05.06.2024г. Фильтры для КМУ</t>
  </si>
  <si>
    <t>Списание с расчетного счета 00БП-003308 от 06.06.2024 23:59:59</t>
  </si>
  <si>
    <t>06.06.24</t>
  </si>
  <si>
    <t>Счёт № 25-00241037196 от 05.02.2026г.  Холдинг Машинери</t>
  </si>
  <si>
    <t>Списание с расчетного счета 00БП-000265 от 06.02.2026 12:00:02</t>
  </si>
  <si>
    <t>06.02.26</t>
  </si>
  <si>
    <t>Счёт № 25-00241545915  от 26.12.2025г.  ООО "КПК-Партс"</t>
  </si>
  <si>
    <t>Списание с расчетного счета 00БП-009340 от 29.12.2025 17:48:55</t>
  </si>
  <si>
    <t>Счёт № 25-00371128245 от 18.11.2025г. (ТЗР ООО "Мипартс" Сч. № УТ-2388)</t>
  </si>
  <si>
    <t>Списание с расчетного счета 00БП-008817 от 19.11.2025 18:04:59</t>
  </si>
  <si>
    <t>Счёт № 25-00551032021 от 26.11.2025г. (ТЗР ООО "Приоритет" з/ч Komatsu)</t>
  </si>
  <si>
    <t>Списание с расчетного счета 00БП-008955 от 27.11.2025 18:25:43</t>
  </si>
  <si>
    <t>Счёт № 25-01071081467 от 29.10.2025г. (ТЗР ООО "Ниро-Трейд" Сч. 79)</t>
  </si>
  <si>
    <t>Списание с расчетного счета 00БП-008055 от 30.10.2025 20:00:11</t>
  </si>
  <si>
    <t>30.10.25</t>
  </si>
  <si>
    <t>Счёт № 25-01191314459 от 28.07.2025г. (ТЗР ООО "ГК ОИП" Отбойные бензиновые молотки) 59 903,00р</t>
  </si>
  <si>
    <t>Списание с расчетного счета 00БП-005955 от 22.08.2025 17:42:38</t>
  </si>
  <si>
    <t>22.08.25</t>
  </si>
  <si>
    <t>Счёт № 25-01691067692 от 04.07.2025г. (ТЗР ООО "ИСТК" Запчасти) 2414-1634</t>
  </si>
  <si>
    <t>Списание с расчетного счета 00БП-004471 от 07.07.2025 17:53:43</t>
  </si>
  <si>
    <t>07.07.25</t>
  </si>
  <si>
    <t>Счёт № 25-01691069050 от 16.07.2025г. (ТЗР ООО "ИСТК" Запчасти)</t>
  </si>
  <si>
    <t>Списание с расчетного счета 00БП-005515 от 11.08.2025 17:47:00</t>
  </si>
  <si>
    <t>11.08.25</t>
  </si>
  <si>
    <t>Счёт № 25-01761192047 от 18.11.2025г. (ТЗР ООО Компания "Объединённая энергия" Блоки управления)</t>
  </si>
  <si>
    <t>Списание с расчетного счета 00БП-008818 от 19.11.2025 18:05:00</t>
  </si>
  <si>
    <t>Счёт № 25-01801117156 от 08.10.2025г.  (ТЗР ООО "Автодеталь" Сч. 12283 )</t>
  </si>
  <si>
    <t>Списание с расчетного счета 00БП-007383 от 09.10.2025 16:57:30</t>
  </si>
  <si>
    <t>Счёт № 25-01801121072 от 08.10.2025г. (ТЗР ООО "МИК" Сч. 1815 )</t>
  </si>
  <si>
    <t>Списание с расчетного счета 00БП-007398 от 09.10.2025 16:57:45</t>
  </si>
  <si>
    <t>Счёт № 25-02442036228 от 02.10.2025г. (ТЗР ООО "Вентинформ")=113 416,00руб</t>
  </si>
  <si>
    <t>Списание с расчетного счета 00БП-007275 от 03.10.2025 17:50:40</t>
  </si>
  <si>
    <t>Счёт № 25-02445136895 от 03.10.2025г. (ТЗР ООО "Вентинформ")</t>
  </si>
  <si>
    <t>Списание с расчетного счета 00БП-007294 от 06.10.2025 18:16:04</t>
  </si>
  <si>
    <t>06.10.25</t>
  </si>
  <si>
    <t>счёт № 25-02445180456 от 23.12.2025г.  ООО "Аврора"</t>
  </si>
  <si>
    <t>Списание с расчетного счета 00БП-009261 от 24.12.2025 11:37:12</t>
  </si>
  <si>
    <t>Счет № 25-02445180462 от 23.12.2025г. ООО "Аврора"</t>
  </si>
  <si>
    <t>Списание с расчетного счета 00БП-009260 от 24.12.2025 11:37:11</t>
  </si>
  <si>
    <t>Счёт № 25-02551147261 от 21.07.2025г. (ТЗР ООО ИТЦ "Кран" Счёт 919) 4151,00руб</t>
  </si>
  <si>
    <t>Списание с расчетного счета 00БП-005289 от 29.07.2025 20:44:17</t>
  </si>
  <si>
    <t>29.07.25</t>
  </si>
  <si>
    <t>Счёт № 25-02551237533 от 28.10.2025г. (ТЗР ООО "ТехмоРусланд"  Радиатор компрес. для Everdigm ECD5)</t>
  </si>
  <si>
    <t>Списание с расчетного счета 00БП-008035 от 29.10.2025 17:11:11</t>
  </si>
  <si>
    <t>29.10.25</t>
  </si>
  <si>
    <t>Счёт № 25-02871282645 от 18.09.2025г. (ТЗР ООО "Автоком" Счёт № 294) оплачено 6411р</t>
  </si>
  <si>
    <t>Списание с расчетного счета 00БП-006819 от 19.09.2025 17:32:15</t>
  </si>
  <si>
    <t>19.09.25</t>
  </si>
  <si>
    <t>Счёт № 25-06151001836 от 08.10.2025г. (Пробы)</t>
  </si>
  <si>
    <t>Списание с расчетного счета 00БП-007404 от 09.10.2025 16:57:51</t>
  </si>
  <si>
    <t>Счёт № 25-06801000167 от 03.02.2025г. УВР</t>
  </si>
  <si>
    <t>Списание с расчетного счета 00БП-000232 от 04.02.2026 16:35:11</t>
  </si>
  <si>
    <t>04.02.26</t>
  </si>
  <si>
    <t>Счёт № 25-12571905084 от 22.10.2025г. (ТЗР ООО "Анкас" Сч. 119350)</t>
  </si>
  <si>
    <t>Списание с расчетного счета 00БП-007912 от 27.10.2025 18:43:11</t>
  </si>
  <si>
    <t>27.10.25</t>
  </si>
  <si>
    <t>Счёт № 25-50190432138 от 23.12.2025г. от 23.12.2025г.</t>
  </si>
  <si>
    <t>Списание с расчетного счета 00БП-009262 от 24.12.2025 11:37:13</t>
  </si>
  <si>
    <t>Счёт № 25-6155002837 от 08.10.2025г. (Отправка документов)</t>
  </si>
  <si>
    <t>Списание с расчетного счета 00БП-007379 от 09.10.2025 16:57:26</t>
  </si>
  <si>
    <t>Счёт № 26-00311011514 от 04.02.2026г.  ТД Динамика</t>
  </si>
  <si>
    <t>Списание с расчетного счета 00БП-000250 от 05.02.2026 22:16:09</t>
  </si>
  <si>
    <t>05.02.26</t>
  </si>
  <si>
    <t>Счёт № 26-00661052160 от 19.02.2026г. (ТЗР ООО "Проммаш")</t>
  </si>
  <si>
    <t>Списание с расчетного счета 00БП-000425 от 20.02.2026 17:20:33</t>
  </si>
  <si>
    <t>Счёт № 26-12571093603 от 06.02.2026 ООО Снабпоставка</t>
  </si>
  <si>
    <t>Списание с расчетного счета 00БП-000274 от 09.02.2026 16:00:02</t>
  </si>
  <si>
    <t>09.02.26</t>
  </si>
  <si>
    <t>Счёт № 26-12571137071 от 24.02.2026г. (ТЗР ООО "Доринг")</t>
  </si>
  <si>
    <t>Списание с расчетного счета 00БП-000467 от 25.02.2026 17:39:30</t>
  </si>
  <si>
    <t>Счёт № 26-12621018686 от 12.02.2026г. ТЗР ООО "Термоальянс"</t>
  </si>
  <si>
    <t>Списание с расчетного счета 00БП-000346 от 13.02.2026 17:04:15</t>
  </si>
  <si>
    <t>Счёт № 26-12791002282 от 26.01.2026г.  (ТЗР ООО "Техавтоцентр"  )</t>
  </si>
  <si>
    <t>Списание с расчетного счета 00БП-000147 от 28.01.2026 12:00:03</t>
  </si>
  <si>
    <t>Счёт № 26-12791004243 от 03.02.2026  Техавтоцентр</t>
  </si>
  <si>
    <t>Списание с расчетного счета 00БП-000233 от 04.02.2026 16:35:12</t>
  </si>
  <si>
    <t>счёту № 26-00241000327 от 08.01.2026 ООО "КПК -Партс"</t>
  </si>
  <si>
    <t>Списание с расчетного счета 00БП-000021 от 14.01.2026 16:45:14</t>
  </si>
  <si>
    <t>счёту № 26-00580013648 от 14.01.2026  ООО "Аврора"</t>
  </si>
  <si>
    <t>Списание с расчетного счета 00БП-000041 от 15.01.2026 14:53:08</t>
  </si>
  <si>
    <t>Динамика 76 ТД ООО</t>
  </si>
  <si>
    <t>РС-15-12-2025-2 от 15.12.2025г. Спец. 1 Запчасти для СЗМ</t>
  </si>
  <si>
    <t>Списание с расчетного счета 00БП-009286 от 25.12.2025 12:00:10</t>
  </si>
  <si>
    <t>Списание с расчетного счета 00БП-000441 от 24.02.2026 17:52:57</t>
  </si>
  <si>
    <t>Списание с расчетного счета 00БП-000495 от 26.02.2026 17:17:25</t>
  </si>
  <si>
    <t>ДНС Ритейл ООО Филиал Восточносибирский</t>
  </si>
  <si>
    <t>Счёт № А-00062063 от 21.02.2026г. Сушилка для белья, гладильная доска, телевизор.</t>
  </si>
  <si>
    <t>Списание с расчетного счета 00БП-000468 от 25.02.2026 17:39:31</t>
  </si>
  <si>
    <t>Доринг ООО</t>
  </si>
  <si>
    <t>БС-01.02.23/1 от 01.02.2023г. Спец. № 2 Фильтры</t>
  </si>
  <si>
    <t>Списание с расчетного счета 00БП-000403 от 18.02.2026 12:00:05</t>
  </si>
  <si>
    <t>ЖЕЛДОРЭКСПЕДИЦИЯ ООО</t>
  </si>
  <si>
    <t>Счёт № 22279566817644482Д от 21.10.2025г. (ТЗР АО "Воронежский ЭМЗ" Дог. ВЭ п 1/20-08, Спец. 1)</t>
  </si>
  <si>
    <t>Списание с расчетного счета 00БП-007851 от 22.10.2025 18:47:36</t>
  </si>
  <si>
    <t>22.10.25</t>
  </si>
  <si>
    <t>Жуков Юрий Викторович ИП</t>
  </si>
  <si>
    <t>жю0000000068 от 09.02.2026г. Станция РЭБ</t>
  </si>
  <si>
    <t>Списание с расчетного счета 00БП-000353 от 13.02.2026 17:04:22</t>
  </si>
  <si>
    <t>ЗАВОД-РЕДУКТОР ООО</t>
  </si>
  <si>
    <t>РС-02-02-2026-1 от 02.02.2026г. Спец. 1 от 02.02.2026г. Редукторы</t>
  </si>
  <si>
    <t>Списание с расчетного счета 00БП-000426 от 20.02.2026 17:20:34</t>
  </si>
  <si>
    <t>Зет-Техно ООО</t>
  </si>
  <si>
    <t>26-79 от 25.02.2026г. Запасные части к автомойкам. Счёт № 765</t>
  </si>
  <si>
    <t>Списание с расчетного счета 00БП-000501 от 26.02.2026 17:17:31</t>
  </si>
  <si>
    <t>ИННОПРОМ ООО</t>
  </si>
  <si>
    <t>№ 26.02.2021 от 26.02.2021г. (з/ч на пр/пр)</t>
  </si>
  <si>
    <t>Корректировка долга 00БП-000112 от 31.07.2022 13:59:59</t>
  </si>
  <si>
    <t>31.07.22</t>
  </si>
  <si>
    <t>Дог. № 17.12.2025 Счет № 83 от 17.12.2025 Долото шарошечное (160шт.)</t>
  </si>
  <si>
    <t>Списание с расчетного счета 00БП-009245 от 19.12.2025 12:51:13</t>
  </si>
  <si>
    <t>19.12.25</t>
  </si>
  <si>
    <t>ИНСВАРКОМ ООО</t>
  </si>
  <si>
    <t>Счёт № 6900 от 12.02.2026г. Инвектор сварочный</t>
  </si>
  <si>
    <t>Списание с расчетного счета 00БП-000471 от 25.02.2026 17:39:34</t>
  </si>
  <si>
    <t>Инстройтехком ООО</t>
  </si>
  <si>
    <t>ИН 11476/СДСТ-2025 от 29.05.2025г. Запчасти Komatsu</t>
  </si>
  <si>
    <t>Списание с расчетного счета 00БП-004119 от 25.06.2025 20:39:20</t>
  </si>
  <si>
    <t>25.06.25</t>
  </si>
  <si>
    <t>ИНТЕРНЕТ РЕШЕНИЯ ООО</t>
  </si>
  <si>
    <t>Счёт № 0211754693-0010 от 13.08.2025г. Водонепроницаемая лента. Саморезы</t>
  </si>
  <si>
    <t>Списание с расчетного счета 00БП-005812 от 14.08.2025 18:36:40</t>
  </si>
  <si>
    <t>14.08.25</t>
  </si>
  <si>
    <t>Счёт № 0211754693-0062 от 09.11.2025г. Умывальник ЗКИ.</t>
  </si>
  <si>
    <t>Списание с расчетного счета 00БП-008347 от 11.11.2025 18:13:26</t>
  </si>
  <si>
    <t>11.11.25</t>
  </si>
  <si>
    <t>Счёт № 0211754693-0064 от 10.11.2025г. Керамогранит.</t>
  </si>
  <si>
    <t>Списание с расчетного счета 00БП-008352 от 11.11.2025 18:13:31</t>
  </si>
  <si>
    <t>ИНЭКА - КОНСАЛТИНГ ООО</t>
  </si>
  <si>
    <t>ЛО-822/06-25 от 16.06.2025г.</t>
  </si>
  <si>
    <t>Списание с расчетного счета 00БП-004118 от 25.06.2025 20:39:19</t>
  </si>
  <si>
    <t>Списание с расчетного счета 00БП-006164 от 28.08.2025 19:12:06</t>
  </si>
  <si>
    <t>28.08.25</t>
  </si>
  <si>
    <t>ЛО-852/01-26 от 21.01.2026г.</t>
  </si>
  <si>
    <t>Списание с расчетного счета 00БП-000497 от 26.02.2026 17:17:27</t>
  </si>
  <si>
    <t>ЭК-853/01-26 от 21.01.2026г.</t>
  </si>
  <si>
    <t>Списание с расчетного счета 00БП-000494 от 26.02.2026 17:17:24</t>
  </si>
  <si>
    <t>Канмаш Сервисный Центр ООО</t>
  </si>
  <si>
    <t xml:space="preserve"> РС-08-12-2022-15 от 08.12.2022г. Спец. 4 Запчасти на промприборы</t>
  </si>
  <si>
    <t>Списание с расчетного счета 00БП-000360 от 13.02.2026 17:04:29</t>
  </si>
  <si>
    <t>125 от 13.10.2025г. Спец. 1 Конвейреры для промприборов</t>
  </si>
  <si>
    <t>Списание с расчетного счета 00БП-008361 от 11.11.2025 18:13:40</t>
  </si>
  <si>
    <t>Списание с расчетного счета 00БП-000202 от 02.02.2026 17:15:27</t>
  </si>
  <si>
    <t>02.02.26</t>
  </si>
  <si>
    <t>КАРАГИ ООО ТД</t>
  </si>
  <si>
    <t>МО-12-01-2024-1 от 12.01.2024г. Спец. 20  масло</t>
  </si>
  <si>
    <t>Списание с расчетного счета 00БП-009290 от 25.12.2025 12:00:14</t>
  </si>
  <si>
    <t>Списание с расчетного счета 00БП-000446 от 24.02.2026 17:53:02</t>
  </si>
  <si>
    <t>Карпенко Алексей Сергеевич ИП</t>
  </si>
  <si>
    <t>Счёт № 1 от 07.10.2025г. Детали для душевой кабины</t>
  </si>
  <si>
    <t>Списание с расчетного счета 00БП-007364 от 08.10.2025 18:26:32</t>
  </si>
  <si>
    <t>КИТ: Транспортная компания ООО</t>
  </si>
  <si>
    <t>Счёт № 0119737130 от 15.08.2025г. Транспортные услуги</t>
  </si>
  <si>
    <t>Списание с расчетного счета 00БП-005850 от 15.08.2025 19:11:20</t>
  </si>
  <si>
    <t>15.08.25</t>
  </si>
  <si>
    <t>Козлов Егор Александрович ИП</t>
  </si>
  <si>
    <t>01/06-2024 от 01.06.2024г.</t>
  </si>
  <si>
    <t>Списание с расчетного счета 00БП-000520 от 27.02.2026 17:35:29</t>
  </si>
  <si>
    <t>27.02.26</t>
  </si>
  <si>
    <t>Команда МКС ООО</t>
  </si>
  <si>
    <t>счёт № 921 от 22.09.2023</t>
  </si>
  <si>
    <t>Списание с расчетного счета 00БП-005685 от 26.09.2023 22:54:03</t>
  </si>
  <si>
    <t>26.09.23</t>
  </si>
  <si>
    <t>Счёт № 956 от 14.10.2025г. Азот газообразный.</t>
  </si>
  <si>
    <t>Списание с расчетного счета 00БП-007707 от 15.10.2025 22:57:03</t>
  </si>
  <si>
    <t>15.10.25</t>
  </si>
  <si>
    <t>КОМПАНИЯ СПЕЦПРИЦЕП ООО</t>
  </si>
  <si>
    <t>105Р от 20.11.2025г. Полуприцеп SPECPRICEP 9942K2 (99422К)</t>
  </si>
  <si>
    <t>Списание с расчетного счета 00БП-008927 от 25.11.2025 15:31:10</t>
  </si>
  <si>
    <t>25.11.25</t>
  </si>
  <si>
    <t>КОНТУР ПФ СКБ АО</t>
  </si>
  <si>
    <t>договор основной</t>
  </si>
  <si>
    <t>Списание с расчетного счета 00БП-008307 от 21.12.2021 12:00:28</t>
  </si>
  <si>
    <t>21.12.21</t>
  </si>
  <si>
    <t>Корнилова Екатерина Алексеевна ИП</t>
  </si>
  <si>
    <t>Счёт № Р-837 от 27.08.2025г. Кафель керамогранит</t>
  </si>
  <si>
    <t>Списание с расчетного счета 00БП-006163 от 28.08.2025 19:12:05</t>
  </si>
  <si>
    <t>КОРОТКОВ АНДРЕЙ АНДРЕЕВИЧ ИП</t>
  </si>
  <si>
    <t>Счёт № 601 от 19.04.2024г.</t>
  </si>
  <si>
    <t>Списание с расчетного счета 00БП-001959 от 19.04.2024 20:35:31</t>
  </si>
  <si>
    <t>19.04.24</t>
  </si>
  <si>
    <t>КПК-ПАРТС ООО</t>
  </si>
  <si>
    <t>1303-2023 от 13.03.2023 счет 300</t>
  </si>
  <si>
    <t>Списание с расчетного счета 00БП-009289 от 25.12.2025 12:00:13</t>
  </si>
  <si>
    <t>КРАСЦВЕТМЕТ ОАО</t>
  </si>
  <si>
    <t>1005/25 от 04.04.2025</t>
  </si>
  <si>
    <t>Списание с расчетного счета 00БП-008785 от 18.11.2025 23:05:27</t>
  </si>
  <si>
    <t>1327/23 от 20.03.2023</t>
  </si>
  <si>
    <t>Списание с расчетного счета 00БП-004591 от 10.07.2025 16:07:40</t>
  </si>
  <si>
    <t>10.07.25</t>
  </si>
  <si>
    <t>КТФ ООО</t>
  </si>
  <si>
    <t>МО-30-11-2023-1 от 30.11.2023 г.  спец 2</t>
  </si>
  <si>
    <t>Списание с расчетного счета 00БП-009153 от 05.12.2024 12:53:23</t>
  </si>
  <si>
    <t>05.12.24</t>
  </si>
  <si>
    <t>ЛВ-ГРУПП ООО</t>
  </si>
  <si>
    <t>17_02_LLX700H_6722 от 19.02.2026г. Автомобиль Lexus LX700H</t>
  </si>
  <si>
    <t>Списание с расчетного счета 00БП-000427 от 20.02.2026 17:20:35</t>
  </si>
  <si>
    <t>ЛЕНРЕАКТИВ АО</t>
  </si>
  <si>
    <t>Счёт № 31032 от 04.08.2025г. Аммиак</t>
  </si>
  <si>
    <t>Списание с расчетного счета 00БП-005457 от 06.08.2025 19:15:12</t>
  </si>
  <si>
    <t>06.08.25</t>
  </si>
  <si>
    <t>Ли Чжаньлинь ИП</t>
  </si>
  <si>
    <t>Счёт № 081025-001 от 08.10.2025г. Портативный гараж "Наташа"  (автомобиль ГАЗ Вепрь) - 1 шт.</t>
  </si>
  <si>
    <t>Списание с расчетного счета 00БП-007543 от 10.10.2025 17:09:37</t>
  </si>
  <si>
    <t>10.10.25</t>
  </si>
  <si>
    <t>Литвиненко Владимир Игоревич ИП</t>
  </si>
  <si>
    <t>Счёт № ВИ00006846 от 16.10.2024г. Водонагреватель, двери, вентиляторы, стройматериалы.</t>
  </si>
  <si>
    <t>Списание с расчетного счета 00БП-007816 от 22.10.2024 18:07:30</t>
  </si>
  <si>
    <t>22.10.24</t>
  </si>
  <si>
    <t>Счёт № ВИ00007092 от 25.10.2024г. Трап, полотенцесушитель, зеркало, крючок, душевая стойка</t>
  </si>
  <si>
    <t>Списание с расчетного счета 00БП-007962 от 28.10.2024 23:47:33</t>
  </si>
  <si>
    <t>28.10.24</t>
  </si>
  <si>
    <t>Лофинг Роман Русланович ИП</t>
  </si>
  <si>
    <t>б/н от 30.11.2025г.</t>
  </si>
  <si>
    <t>Списание с расчетного счета 00БП-008783 от 18.11.2025 23:05:25</t>
  </si>
  <si>
    <t>Магадантехснаб ООО</t>
  </si>
  <si>
    <t>Счёт № 2096 от 29.05.2025г. Запчасти для а/м</t>
  </si>
  <si>
    <t>Списание с расчетного счета 00БП-003507 от 09.06.2025 17:55:56</t>
  </si>
  <si>
    <t>Счёт № ЦБ-1843 от 19.05.2025г. Запчасти на а/м Урал</t>
  </si>
  <si>
    <t>Списание с расчетного счета 00БП-002932 от 20.05.2025 20:02:05</t>
  </si>
  <si>
    <t>20.05.25</t>
  </si>
  <si>
    <t>Счёт № ЦБ-2037 от 27.05.2025г. Термостат двигателя</t>
  </si>
  <si>
    <t>Списание с расчетного счета 00БП-003349 от 03.06.2025 17:39:01</t>
  </si>
  <si>
    <t>03.06.25</t>
  </si>
  <si>
    <t>Счёт № ЦБ-2450 от 17.07.2025г. Запчасти</t>
  </si>
  <si>
    <t>Списание с расчетного счета 00БП-004858 от 14.07.2025 17:54:08</t>
  </si>
  <si>
    <t>Счёт № ЦБ-5037 от 22.10.2025г. Коробка КАМАЗ отбора мощности КПП МП05 z=20 МП05-4202010 - 1 шт</t>
  </si>
  <si>
    <t>Списание с расчетного счета 00БП-007893 от 24.10.2025 17:29:35</t>
  </si>
  <si>
    <t>24.10.25</t>
  </si>
  <si>
    <t>МАГАДАНЭНЕРГО ПАО</t>
  </si>
  <si>
    <t>Списание с расчетного счета 00БП-008907 от 24.11.2025 16:33:57</t>
  </si>
  <si>
    <t>24.11.25</t>
  </si>
  <si>
    <t>МАГРЭ ООО</t>
  </si>
  <si>
    <t>Счёт-оферта № ГЛ-2749 от 02.06.2025г. Герметик</t>
  </si>
  <si>
    <t>Списание с расчетного счета 00БП-003413 от 05.06.2025 19:44:02</t>
  </si>
  <si>
    <t>05.06.25</t>
  </si>
  <si>
    <t>Счёт-оферта № СВ-224 от 16.05.2025г. Кабель</t>
  </si>
  <si>
    <t>Списание с расчетного счета 00БП-002901 от 19.05.2025 18:19:45</t>
  </si>
  <si>
    <t>19.05.25</t>
  </si>
  <si>
    <t>МЕДИАКАПИТАЛ ООО</t>
  </si>
  <si>
    <t>215/03 от 28.02.2025г.</t>
  </si>
  <si>
    <t>Списание с расчетного счета 00БП-000535 от 07.03.2025 17:21:02</t>
  </si>
  <si>
    <t>МЕРА ООО СТЛ</t>
  </si>
  <si>
    <t>26/08 от 26.08.2024г. Спец.№ 3</t>
  </si>
  <si>
    <t>Списание с расчетного счета 00БП-009339 от 29.12.2025 17:48:54</t>
  </si>
  <si>
    <t>28/06 от 26.08.2024г. Спец. 2</t>
  </si>
  <si>
    <t>Списание с расчетного счета 00БП-007854 от 22.10.2025 18:47:39</t>
  </si>
  <si>
    <t>Механика НПФ ООО</t>
  </si>
  <si>
    <t>РС-09-12-2022-3 от 09.12.2022г. Спец. 10 от 21.10.2025г. Отвалообразователь ОЗП</t>
  </si>
  <si>
    <t>Списание с расчетного счета 00БП-008910 от 24.11.2025 16:34:00</t>
  </si>
  <si>
    <t>РС-09-12-2022-3 от 09.12.2022г. Спец. 11 от 21.10.2025г. Скруббер-бутара СБ-2,1.</t>
  </si>
  <si>
    <t>Списание с расчетного счета 00БП-008909 от 24.11.2025 16:33:59</t>
  </si>
  <si>
    <t>РС-09-12-2022-3 от 09.12.2022г. Спец. 12 от 17.11.2025г. Загрузочный бункер под конвейерную загрузку</t>
  </si>
  <si>
    <t>Списание с расчетного счета 00БП-008905 от 24.11.2025 16:33:55</t>
  </si>
  <si>
    <t>РС-09-12-2022-3 от 09.12.2022г. Спец. 13 от 21.10.2025г. Скруббер-бутара СБ-2,1.</t>
  </si>
  <si>
    <t>Списание с расчетного счета 00БП-008911 от 24.11.2025 16:34:01</t>
  </si>
  <si>
    <t>РС-09-12-2022-3 от 09.12.2022г. Спец. 14 запчасти</t>
  </si>
  <si>
    <t>Списание с расчетного счета 00БП-000267 от 06.02.2026 12:00:04</t>
  </si>
  <si>
    <t>РС-09-12-2022-3 от 09.12.2022г. Спец. 15 запчасти</t>
  </si>
  <si>
    <t>Списание с расчетного счета 00БП-000268 от 06.02.2026 12:00:05</t>
  </si>
  <si>
    <t>Мобильные видеорешения АО</t>
  </si>
  <si>
    <t>Счёт № 93761 от 26.05.2025г.</t>
  </si>
  <si>
    <t>Списание с расчетного счета 00БП-003223 от 28.05.2025 21:55:54</t>
  </si>
  <si>
    <t>28.05.25</t>
  </si>
  <si>
    <t>МОДЕРН МАШИНЕРИ ФАР ИСТ ООО</t>
  </si>
  <si>
    <t>Договор № DW90A-18/12/25 от 01.12.2025 г. самосвалы RUB</t>
  </si>
  <si>
    <t>Списание с расчетного счета 00БП-009274 от 24.12.2025 11:37:27</t>
  </si>
  <si>
    <t>Договор № FE-P/14-111  (2024-2025гг)</t>
  </si>
  <si>
    <t>Списание с расчетного счета 00БП-004325 от 08.07.2024 18:29:59</t>
  </si>
  <si>
    <t>Списание с расчетного счета 00БП-004331 от 08.07.2024 18:30:05</t>
  </si>
  <si>
    <t>Списание с расчетного счета 00БП-005804 от 23.08.2024 17:14:33</t>
  </si>
  <si>
    <t>23.08.24</t>
  </si>
  <si>
    <t>Договор № FE-P/22-063 от 19.12.2022г (2024-2025 гг)</t>
  </si>
  <si>
    <t>Списание с расчетного счета 00БП-007827 от 21.10.2025 17:30:38</t>
  </si>
  <si>
    <t>21.10.25</t>
  </si>
  <si>
    <t>Списание с расчетного счета 00БП-007894 от 24.10.2025 17:29:36</t>
  </si>
  <si>
    <t>Списание с расчетного счета 00БП-007896 от 24.10.2025 17:29:38</t>
  </si>
  <si>
    <t>Счет № FECB-001052 от 26.01.2026 г. Договор №FE-P/22-063 от 19.12.22г.</t>
  </si>
  <si>
    <t>Списание с расчетного счета 00БП-000295 от 11.02.2026 17:01:51</t>
  </si>
  <si>
    <t>11.02.26</t>
  </si>
  <si>
    <t>Счёт № FECB-001140 от 27.01.2026г. Договор № FE-P/22-063 от 19.12.22г. Запчасти Komatsu</t>
  </si>
  <si>
    <t>Списание с расчетного счета 00БП-000481 от 25.02.2026 17:39:44</t>
  </si>
  <si>
    <t>Счет № FECB-001488 от 02.02.2026 г. Договор №FE-P/22-063 от 19.12.22г.</t>
  </si>
  <si>
    <t>Списание с расчетного счета 00БП-000290 от 11.02.2026 17:01:46</t>
  </si>
  <si>
    <t>Счет № FECB-001501 от 02.02.2026 г. Договор №FE-P/22-063 от 19.12.22г.</t>
  </si>
  <si>
    <t>Списание с расчетного счета 00БП-000291 от 11.02.2026 17:01:47</t>
  </si>
  <si>
    <t>Счёт № FECB-032064от от 10.12.2025 г. Договор №FE-P/22-063 от 19.12.22г.</t>
  </si>
  <si>
    <t>Списание с расчетного счета 00БП-009318 от 26.12.2025 12:00:24</t>
  </si>
  <si>
    <t>Счёт № FECB-032065  от 10.12.2025 г. Договор №FE-P/22-063 от 19.12.22г.</t>
  </si>
  <si>
    <t>Списание с расчетного счета 00БП-009317 от 26.12.2025 12:00:23</t>
  </si>
  <si>
    <t>Счёт № FECB-032613 от 19.12.2022г. Договор №FE-S/21-025 от 18.10.2021г.</t>
  </si>
  <si>
    <t>Списание с расчетного счета 00БП-009243 от 19.12.2025 12:51:11</t>
  </si>
  <si>
    <t>МТС ПАО</t>
  </si>
  <si>
    <t>Бардадым Никита Александрович</t>
  </si>
  <si>
    <t>Списание с расчетного счета 00БП-008210 от 05.11.2025 17:00:56</t>
  </si>
  <si>
    <t>05.11.25</t>
  </si>
  <si>
    <t>Списание с расчетного счета 00БП-000223 от 03.02.2026 14:13:57</t>
  </si>
  <si>
    <t>Бочкарев Константин Геннадьевич</t>
  </si>
  <si>
    <t>Списание с расчетного счета 00БП-000227 от 03.02.2026 14:14:01</t>
  </si>
  <si>
    <t>Каздобин Андрей Витальевич</t>
  </si>
  <si>
    <t>Списание с расчетного счета 00БП-000459 от 24.02.2026 17:53:17</t>
  </si>
  <si>
    <t>Колос Юрий Борисович</t>
  </si>
  <si>
    <t>Списание с расчетного счета 00БП-001107 от 05.04.2019 22:18:00</t>
  </si>
  <si>
    <t>05.04.19</t>
  </si>
  <si>
    <t>Лахманов Александр Игоревич</t>
  </si>
  <si>
    <t>Списание с расчетного счета 00БП-008215 от 05.11.2025 17:01:01</t>
  </si>
  <si>
    <t>Списание с расчетного счета 00БП-000222 от 03.02.2026 14:13:56</t>
  </si>
  <si>
    <t>Пивоварова Светлана Евгеньевна</t>
  </si>
  <si>
    <t>Списание с расчетного счета 00БП-005417 от 04.08.2025 21:25:09</t>
  </si>
  <si>
    <t>04.08.25</t>
  </si>
  <si>
    <t>Пожарная сигнализация</t>
  </si>
  <si>
    <t>Списание с расчетного счета 00БП-006846 от 03.11.2023 17:15:20</t>
  </si>
  <si>
    <t>03.11.23</t>
  </si>
  <si>
    <t>Списание с расчетного счета 00БП-000347 от 13.02.2024 16:34:45</t>
  </si>
  <si>
    <t>13.02.24</t>
  </si>
  <si>
    <t>Пряхина Татьяна Ивановна</t>
  </si>
  <si>
    <t>Списание с расчетного счета 00БП-008216 от 05.11.2025 17:01:02</t>
  </si>
  <si>
    <t>Списание с расчетного счета 00БП-000224 от 03.02.2026 14:13:58</t>
  </si>
  <si>
    <t>Телематика 1</t>
  </si>
  <si>
    <t>Списание с расчетного счета 0000-000968 от 08.04.2016 23:59:59</t>
  </si>
  <si>
    <t>08.04.16</t>
  </si>
  <si>
    <t>Списание с расчетного счета 0000-001483 от 11.05.2016 23:59:59</t>
  </si>
  <si>
    <t>11.05.16</t>
  </si>
  <si>
    <t>Списание с расчетного счета 00БП-006633 от 18.12.2019 20:16:13</t>
  </si>
  <si>
    <t>18.12.19</t>
  </si>
  <si>
    <t>Телематика 2</t>
  </si>
  <si>
    <t>Телематика 3</t>
  </si>
  <si>
    <t>Поступление (акт, накладная, УПД) 0000-000139 от 29.02.2016 23:59:59</t>
  </si>
  <si>
    <t>29.02.16</t>
  </si>
  <si>
    <t>Федянин Сергей Алексеевич</t>
  </si>
  <si>
    <t>Списание с расчетного счета 00БП-005424 от 04.08.2025 21:25:16</t>
  </si>
  <si>
    <t>Списание с расчетного счета 00БП-008214 от 05.11.2025 17:01:00</t>
  </si>
  <si>
    <t>Списание с расчетного счета 00БП-000226 от 03.02.2026 14:14:00</t>
  </si>
  <si>
    <t>Шеина Ольга Федоровна</t>
  </si>
  <si>
    <t>Списание с расчетного счета 00БП-008914 от 24.11.2025 16:34:06</t>
  </si>
  <si>
    <t>НЕДРА-XXI ООО НАУЧНО-ИНФОРМАЦИОННЫЙ ИЗДАТЕЛЬСКИЙ ЦЕНТР</t>
  </si>
  <si>
    <t>91/25/С от 05.09.2025г. Участие (онлайн) в совещании</t>
  </si>
  <si>
    <t>Списание с расчетного счета 00БП-006379 от 10.09.2025 18:06:41</t>
  </si>
  <si>
    <t>10.09.25</t>
  </si>
  <si>
    <t>НИТРО СИБИРЬ ГОЛД ООО</t>
  </si>
  <si>
    <t>26-10-ВМ/2025 от 26.10.2025</t>
  </si>
  <si>
    <t>Списание с расчетного счета 00БП-009285 от 25.12.2025 12:00:09</t>
  </si>
  <si>
    <t>Б/Н от 07.02.2026г. Спец. 1 Детонатор промежуточный "Сибирит-ПД" 80.</t>
  </si>
  <si>
    <t>Списание с расчетного счета 00БП-000531 от 27.02.2026 17:35:40</t>
  </si>
  <si>
    <t>НПП ЭТС ООО</t>
  </si>
  <si>
    <t>16/01-2026 от 16.01.2026  спец 1</t>
  </si>
  <si>
    <t>Списание с расчетного счета 00БП-000258 от 05.02.2026 22:16:17</t>
  </si>
  <si>
    <t>Списание с расчетного счета 00БП-000530 от 27.02.2026 17:35:39</t>
  </si>
  <si>
    <t>НПЦ СБТ ООО</t>
  </si>
  <si>
    <t>01/01 от 21.01.2026г. Буровая установка "Беркут" с комплектом оборудования</t>
  </si>
  <si>
    <t>Списание с расчетного счета 00БП-000103 от 22.01.2026 6:54:23</t>
  </si>
  <si>
    <t>07/02 от 09.02.2026г. Буровая установка "Беркут" с комплектом оборудования</t>
  </si>
  <si>
    <t>Списание с расчетного счета 00БП-000294 от 11.02.2026 17:01:50</t>
  </si>
  <si>
    <t>Счёт № 291 от 21.10.2025г. Запчасти Беркут</t>
  </si>
  <si>
    <t>Списание с расчетного счета 00БП-008314 от 10.11.2025 19:46:19</t>
  </si>
  <si>
    <t>10.11.25</t>
  </si>
  <si>
    <t>Оптимум ООО</t>
  </si>
  <si>
    <t>РС-14-01-2026-1 от 14.01.2026  Спец 1</t>
  </si>
  <si>
    <t>Списание с расчетного счета 00БП-000193 от 30.01.2026 12:00:05</t>
  </si>
  <si>
    <t>30.01.26</t>
  </si>
  <si>
    <t>РС-14-01-2026-1 от 14.01.2026  Спец 2 запчасти</t>
  </si>
  <si>
    <t>Списание с расчетного счета 00БП-000238 от 04.02.2026 16:35:17</t>
  </si>
  <si>
    <t>Партсбукинг Рус ООО</t>
  </si>
  <si>
    <t>Счёт № 26510 от 01.10.2025г. TECHNOPOWER РВД 0276200651 - 2 шт.</t>
  </si>
  <si>
    <t>Списание с расчетного счета 00БП-007233 от 02.10.2025 17:20:48</t>
  </si>
  <si>
    <t>02.10.25</t>
  </si>
  <si>
    <t>Певников Денис Александрович ИП</t>
  </si>
  <si>
    <t>Счёт № 79 от 07.11.2025г. Фильтр, масло, демонтаж защиты</t>
  </si>
  <si>
    <t>Списание с расчетного счета 00БП-008774 от 18.11.2025 23:05:16</t>
  </si>
  <si>
    <t>Петрова Инна Евгеньевна ИП</t>
  </si>
  <si>
    <t>Счёт № УТ-15821 от 23.09.2025г. Строительные материалы.</t>
  </si>
  <si>
    <t>Списание с расчетного счета 00БП-007167 от 30.09.2025 23:59:59</t>
  </si>
  <si>
    <t>30.09.25</t>
  </si>
  <si>
    <t>ПКФ ПРОМТЕХСНАБ ООО</t>
  </si>
  <si>
    <t>РС-05-03-2024-1 от 05.03.2024г. Спец. 4 Хоз.товары, бытовая химия</t>
  </si>
  <si>
    <t>Списание с расчетного счета 00БП-002240 от 28.04.2025 18:34:44</t>
  </si>
  <si>
    <t>28.04.25</t>
  </si>
  <si>
    <t>ПО ТРУБНОЕ РЕШЕНИЕ-ХАБАРОВСК ООО</t>
  </si>
  <si>
    <t>998/01/26 от 20.01.2026  спец 1</t>
  </si>
  <si>
    <t>Списание с расчетного счета 00БП-000235 от 04.02.2026 16:35:14</t>
  </si>
  <si>
    <t>ПОИСК ООО</t>
  </si>
  <si>
    <t>Договор аренды недвижимого имущества № БВ-2/2025 от 20.12.24г</t>
  </si>
  <si>
    <t>Списание с расчетного счета 00БП-009092 от 05.12.2025 12:00:07</t>
  </si>
  <si>
    <t>Правовой Эксперт ООО</t>
  </si>
  <si>
    <t>11235/2025/КИО от 01.03.2025 г.</t>
  </si>
  <si>
    <t>Списание с расчетного счета 00БП-001175 от 01.04.2025 17:50:06</t>
  </si>
  <si>
    <t>01.04.25</t>
  </si>
  <si>
    <t>Приоритет ООО</t>
  </si>
  <si>
    <t>№ МО-10-01-2023-1 от 10.01.2024г. Спец. 1 Запчасти</t>
  </si>
  <si>
    <t>Списание с расчетного счета 00БП-002041 от 24.04.2025 18:07:53</t>
  </si>
  <si>
    <t>24.04.25</t>
  </si>
  <si>
    <t>МО-24-08-2023-1 от 24.08.2023г. Спец. 2 Запчасти Komatsu</t>
  </si>
  <si>
    <t>Списание с расчетного счета 00БП-008010 от 28.10.2025 17:26:32</t>
  </si>
  <si>
    <t>28.10.25</t>
  </si>
  <si>
    <t>Списание с расчетного счета 00БП-008883 от 21.11.2025 18:51:10</t>
  </si>
  <si>
    <t>21.11.25</t>
  </si>
  <si>
    <t>МО-24-08-2023-1 от 24.08.2023г. Спец. 2 от 15/01/26</t>
  </si>
  <si>
    <t>Списание с расчетного счета 00БП-000186 от 29.01.2026 11:53:17</t>
  </si>
  <si>
    <t>Счёт № 100 от 15.10.2025г. Трубка 0978405 Hitachi - 1 шт.</t>
  </si>
  <si>
    <t>Списание с расчетного счета 00БП-007752 от 17.10.2025 19:36:09</t>
  </si>
  <si>
    <t>Счёт № 386762478 от 13.10.2023 шланг</t>
  </si>
  <si>
    <t>Списание с расчетного счета 00БП-006363 от 19.10.2023 17:19:29</t>
  </si>
  <si>
    <t>19.10.23</t>
  </si>
  <si>
    <t>Счёт № 70 от 10.06.2025г. Запчасти Hitachi (подшипники, уплотнения, кольца)</t>
  </si>
  <si>
    <t>Списание с расчетного счета 00БП-007634 от 13.10.2025 18:15:51</t>
  </si>
  <si>
    <t>13.10.25</t>
  </si>
  <si>
    <t>Счёт № 96 от 06.10.2025г. Гидроцилиндр 707-00-0G510 Komatsu - 1 шт.  Гидроцилиндр 707-00-0G520</t>
  </si>
  <si>
    <t>Списание с расчетного счета 00БП-007632 от 13.10.2025 18:15:49</t>
  </si>
  <si>
    <t>ПРОЕКТНО-ТЕХНОЛОГИЧЕСКОЕ БЮРО ООО</t>
  </si>
  <si>
    <t>4-10.25 от 21.10.2025г. Разработка технического проекта разработки месторождения</t>
  </si>
  <si>
    <t>Списание с расчетного счета 00БП-008787 от 18.11.2025 23:05:29</t>
  </si>
  <si>
    <t>ПРОММАШ ООО</t>
  </si>
  <si>
    <t>046-26 от 30.01.2026г. Насосы для промприборов</t>
  </si>
  <si>
    <t>Списание с расчетного счета 00БП-000383 от 16.02.2026 17:22:07</t>
  </si>
  <si>
    <t>16.02.26</t>
  </si>
  <si>
    <t>ПРОМРАДИАТОР-НК ООО</t>
  </si>
  <si>
    <t>Спецификация 5 от 12.01.2026 аналоги радиатора</t>
  </si>
  <si>
    <t>Списание с расчетного счета 00БП-000089 от 21.01.2026 11:45:49</t>
  </si>
  <si>
    <t>ПРОМРЕСУРС ООО</t>
  </si>
  <si>
    <t>ПР-04 24 от 01.04.2024г. Приложение № 26 от 13.10.2025г. ДТ Арктика</t>
  </si>
  <si>
    <t>Списание с расчетного счета 00БП-009117 от 08.12.2025 1:54:01</t>
  </si>
  <si>
    <t>08.12.25</t>
  </si>
  <si>
    <t>ПРОМЭКС ООО ПГ</t>
  </si>
  <si>
    <t>12С-177-Ц-ПЭ-ТД-ГТС-25 от 02.12.2025</t>
  </si>
  <si>
    <t>Списание с расчетного счета 00БП-009233 от 18.12.2025 17:20:47</t>
  </si>
  <si>
    <t>№ 12С-91-Ц-ПЭ-ТД-ГТС-25 от 06.06.2025г. Определение размера вреда от ГТС</t>
  </si>
  <si>
    <t>Списание с расчетного счета 00БП-003511 от 09.06.2025 17:56:00</t>
  </si>
  <si>
    <t>Списание с расчетного счета 00БП-009158 от 11.12.2025 10:37:33</t>
  </si>
  <si>
    <t>11.12.25</t>
  </si>
  <si>
    <t>ПЭК ООО</t>
  </si>
  <si>
    <t>Счёт № МВП05160658 от 15.05.2025г. (ТЗР ООО "РФС" Оборудование для спортзала)</t>
  </si>
  <si>
    <t>Списание с расчетного счета 00БП-002981 от 22.05.2025 18:45:24</t>
  </si>
  <si>
    <t>22.05.25</t>
  </si>
  <si>
    <t>Счёт № МВП05160660 от 16.05.2025г. (ТЗР ООО РФС" Оборудование для спортзала)</t>
  </si>
  <si>
    <t>Списание с расчетного счета 00БП-002894 от 19.05.2025 18:19:38</t>
  </si>
  <si>
    <t>Счёт № МДА07240016 от 24.07.2024г. ООО Промрадиатор-НК запчасти</t>
  </si>
  <si>
    <t>Списание с расчетного счета 00БП-006181 от 06.09.2024 17:41:01</t>
  </si>
  <si>
    <t>06.09.24</t>
  </si>
  <si>
    <t>Счёт № ЯКА04040011 от 04.04.2025г. (ТЗР ООО "Кран Мастер")</t>
  </si>
  <si>
    <t>Списание с расчетного счета 00БП-002958 от 21.05.2025 20:10:49</t>
  </si>
  <si>
    <t>Счёт № ЯКА06100019 от 10.06.2025г. (ТЗР запчасти для автомобилей)</t>
  </si>
  <si>
    <t>Списание с расчетного счета 00БП-004340 от 01.07.2025 20:38:11</t>
  </si>
  <si>
    <t>01.07.25</t>
  </si>
  <si>
    <t>РАРИТЭК АВТО ГРУПП ООО</t>
  </si>
  <si>
    <t>57/2025 от 24.11.2025 полуприцеп-тяжеловоз</t>
  </si>
  <si>
    <t>Списание с расчетного счета 00БП-009287 от 25.12.2025 12:00:11</t>
  </si>
  <si>
    <t>Списание с расчетного счета 00БП-000275 от 09.02.2026 16:00:03</t>
  </si>
  <si>
    <t>Списание с расчетного счета 00БП-000276 от 09.02.2026 16:00:04</t>
  </si>
  <si>
    <t>РЕГ.РУ ООО</t>
  </si>
  <si>
    <t>Счёт № 169612221 от 14.10.2024г.</t>
  </si>
  <si>
    <t>Списание с расчетного счета 00БП-007569 от 15.10.2024 19:25:20</t>
  </si>
  <si>
    <t>15.10.24</t>
  </si>
  <si>
    <t>РМЗ ООО</t>
  </si>
  <si>
    <t>БМ-04-2026 от 20.01.2026 Реблоки</t>
  </si>
  <si>
    <t>Списание с расчетного счета 00БП-000293 от 11.02.2026 17:01:49</t>
  </si>
  <si>
    <t>РОСЛЕСИНФОРГ ФГБУ.</t>
  </si>
  <si>
    <t>14/044-2026 от 26.01.2026     406382,33 Б.Тарын 136,0132га</t>
  </si>
  <si>
    <t>Списание с расчетного счета 00БП-000234 от 04.02.2026 16:35:13</t>
  </si>
  <si>
    <t>РСР ЯФЦ ОАО</t>
  </si>
  <si>
    <t>97/2014-15 от 30.09.2014 (ведение реестра, абон.)</t>
  </si>
  <si>
    <t>Списание с расчетного счета 00БП-000381 от 16.02.2026 17:22:05</t>
  </si>
  <si>
    <t>РУСЭЛКОМ ООО</t>
  </si>
  <si>
    <t>Счёт № ЭМУТ-36746 от 23.05.2025г. УПП Русэлком</t>
  </si>
  <si>
    <t>Списание с расчетного счета 00БП-003058 от 26.05.2025 22:23:12</t>
  </si>
  <si>
    <t>26.05.25</t>
  </si>
  <si>
    <t>РФС ООО</t>
  </si>
  <si>
    <t>РФС-28-2025 от 21.03.2025г. Спец. 1 Оборудование для спортзала</t>
  </si>
  <si>
    <t>Списание с расчетного счета 00БП-001305 от 04.04.2025 19:33:54</t>
  </si>
  <si>
    <t>04.04.25</t>
  </si>
  <si>
    <t>Сакура ООО</t>
  </si>
  <si>
    <t>БС-02.12.22/11 от 02.12.2022г. Спец. 7 Автошины</t>
  </si>
  <si>
    <t>Корректировка поступления 00БП-000016 от 17.06.2025 17:44:56</t>
  </si>
  <si>
    <t>17.06.25</t>
  </si>
  <si>
    <t>Сандрос Инна Витальевна ИП</t>
  </si>
  <si>
    <t>Счёт № ЦБ-366 от 17.08.2025г. Радиатор панельный  Royal Thermo Compact C21-500-600 - 2 шт</t>
  </si>
  <si>
    <t>Списание с расчетного счета 00БП-005899 от 19.08.2025 21:00:42</t>
  </si>
  <si>
    <t>19.08.25</t>
  </si>
  <si>
    <t>Сателлит Телеком ООО</t>
  </si>
  <si>
    <t>Основной договор (с поставщиком)</t>
  </si>
  <si>
    <t>Списание с расчетного счета 00БП-009160 от 11.12.2025 10:37:35</t>
  </si>
  <si>
    <t>СЕВЕРНЫЕ СТРЕЛЫ ООО</t>
  </si>
  <si>
    <t>счет № 172670 от 01.11.2022г</t>
  </si>
  <si>
    <t>Списание с расчетного счета 00БП-006900 от 03.11.2022 17:21:29</t>
  </si>
  <si>
    <t>03.11.22</t>
  </si>
  <si>
    <t>Северо-Восток СПЕЦТОРГ ООО</t>
  </si>
  <si>
    <t xml:space="preserve"> МО-28-01-2026-1 от 28.01.2026г. Спец. 1. Запчасти Komatsu (РВД) </t>
  </si>
  <si>
    <t>Списание с расчетного счета 00БП-000406 от 18.02.2026 12:00:08</t>
  </si>
  <si>
    <t>СЕРВИС МАШ ООО</t>
  </si>
  <si>
    <t>МО-23-01-2024-1 от 23.01.2024г. Спец. 7  Запасные части</t>
  </si>
  <si>
    <t>Списание с расчетного счета 00БП-000218 от 03.02.2026 14:13:50</t>
  </si>
  <si>
    <t>МО-23-01-2024-1 от 23.01.2024г. Спец. 8  Запасные части</t>
  </si>
  <si>
    <t>Списание с расчетного счета 00БП-000236 от 04.02.2026 16:35:15</t>
  </si>
  <si>
    <t>МО-23-01-2024-1 от 23.01.2024г. Спец. 9 Гидромеханическая передача (ремонт)</t>
  </si>
  <si>
    <t>Списание с расчетного счета 00БП-000324 от 12.02.2026 15:36:55</t>
  </si>
  <si>
    <t>Счёт № 1744 от 17.09.2025г. Запчасти на БелАЗ (Металлорукава, подшипники).</t>
  </si>
  <si>
    <t>Списание с расчетного счета 00БП-006826 от 19.09.2025 17:32:22</t>
  </si>
  <si>
    <t>СЕРВИС-РЕЕСТР АО</t>
  </si>
  <si>
    <t>счет № 0000-0006867 от 21.11.2022г</t>
  </si>
  <si>
    <t>Списание с расчетного счета 00БП-007146 от 24.11.2022 12:50:24</t>
  </si>
  <si>
    <t>24.11.22</t>
  </si>
  <si>
    <t>СИБИРСКИЕ ТЕХНОЛОГИИ ООО</t>
  </si>
  <si>
    <t xml:space="preserve"> МО-11-03-2024-1 от 11.03.2024г. Спецификация 7 фитинги</t>
  </si>
  <si>
    <t>Списание с расчетного счета 00БП-009047 от 02.12.2025 15:08:42</t>
  </si>
  <si>
    <t>02.12.25</t>
  </si>
  <si>
    <t>Сибирь Промышленные инвестиции ООО</t>
  </si>
  <si>
    <t>РС-09-12-2022-7 от 09.12.2022г. Спец. 2 Рукава</t>
  </si>
  <si>
    <t>Списание с расчетного счета 00БП-005942 от 21.08.2025 17:24:54</t>
  </si>
  <si>
    <t>СИБИРЬТРАНС ООО</t>
  </si>
  <si>
    <t>Счёт № 2987 от 19.05.2025г. (ТЗР ЗАО "Итомак" Сита)</t>
  </si>
  <si>
    <t>Списание с расчетного счета 00БП-003974 от 19.06.2025 19:28:37</t>
  </si>
  <si>
    <t>нет документов в бухгалтерии</t>
  </si>
  <si>
    <t>Счёт № 355 от 09.02.2026г. (ТЗР ООО "Автодеталь" запчасти)</t>
  </si>
  <si>
    <t>Списание с расчетного счета 00БП-000283 от 10.02.2026 17:01:18</t>
  </si>
  <si>
    <t>10.02.26</t>
  </si>
  <si>
    <t>Счёт № 424 от 12.02.2026г. ТЗР ООО СЦ "Канмаш" Промприборы</t>
  </si>
  <si>
    <t>Списание с расчетного счета 00БП-000352 от 13.02.2026 17:04:21</t>
  </si>
  <si>
    <t>Счёт № 439 от 12.02.2026г. ТЗР ООО СЦ "Канмаш" Промприборы</t>
  </si>
  <si>
    <t>Списание с расчетного счета 00БП-000351 от 13.02.2026 17:04:20</t>
  </si>
  <si>
    <t>Счёт № 496 от 17.02.2026г. ТЗР Промприборы ООО СЦ "Канмаш"</t>
  </si>
  <si>
    <t>Списание с расчетного счета 00БП-000404 от 18.02.2026 12:00:06</t>
  </si>
  <si>
    <t>Счёт № 548 от 19.02.2026г. .(ТЗР з/ч на промприборы ООО СЦ "Канмаш")</t>
  </si>
  <si>
    <t>Списание с расчетного счета 00БП-000445 от 24.02.2026 17:53:01</t>
  </si>
  <si>
    <t>Счёт № 6055 от 01.09.2025г. (ТЗР ООО "Ленреактив" Аммиак).</t>
  </si>
  <si>
    <t>Списание с расчетного счета 00БП-006898 от 24.09.2025 18:36:00</t>
  </si>
  <si>
    <t>24.09.25</t>
  </si>
  <si>
    <t>Счёт № 7386 от 10.11.2025г. (ТЗР ООО НПФ "Трэкол" Вездеход)</t>
  </si>
  <si>
    <t>Списание с расчетного счета 00БП-008458 от 14.11.2025 15:50:55</t>
  </si>
  <si>
    <t>14.11.25</t>
  </si>
  <si>
    <t>Счёт № 7590 от 19.11.2025г.(ТЗР ООО "ИРЗМК" Трафареты)</t>
  </si>
  <si>
    <t>Списание с расчетного счета 00БП-008863 от 20.11.2025 17:08:38</t>
  </si>
  <si>
    <t>20.11.25</t>
  </si>
  <si>
    <t>счет № 7934 от 10.12.2025г</t>
  </si>
  <si>
    <t>Списание с расчетного счета 00БП-009199 от 15.12.2025 12:52:28</t>
  </si>
  <si>
    <t>15.12.25</t>
  </si>
  <si>
    <t>СК-ПОЛИМЕРЫ ООО</t>
  </si>
  <si>
    <t>РС-09-12-2022-09 от 09.12.2022г. Спец. 3 Ленты конвейерные</t>
  </si>
  <si>
    <t>Списание с расчетного счета 00БП-003861 от 16.06.2025 18:31:26</t>
  </si>
  <si>
    <t>16.06.25</t>
  </si>
  <si>
    <t>СКС ООО</t>
  </si>
  <si>
    <t>26/03-46 от 27.01.2026 спец 1</t>
  </si>
  <si>
    <t>Списание с расчетного счета 00БП-000262 от 05.02.2026 22:16:21</t>
  </si>
  <si>
    <t>Смольников Алексей Владимирович ИП</t>
  </si>
  <si>
    <t>Счёт № ЦС00664433 от 24.09.2025г. Баллон пропановый с вентилем (Новый) (50л) Пустой - 2 шт.</t>
  </si>
  <si>
    <t>Списание с расчетного счета 00БП-006932 от 25.09.2025 17:23:28</t>
  </si>
  <si>
    <t>25.09.25</t>
  </si>
  <si>
    <t>Счёт № ЦС00664447 от 24.09.2025г. Катод (CS 101-141) IVB0606 - 130 шт</t>
  </si>
  <si>
    <t>Списание с расчетного счета 00БП-006934 от 25.09.2025 17:23:30</t>
  </si>
  <si>
    <t>СНАБЖЕНИЕ-ВОСТОК ООО</t>
  </si>
  <si>
    <t>сч № ЦБ-958 от 23.06.2023</t>
  </si>
  <si>
    <t>Списание с расчетного счета 00БП-005868 от 01.10.2023 17:17:54</t>
  </si>
  <si>
    <t>01.10.23</t>
  </si>
  <si>
    <t>Снабпоставка ООО</t>
  </si>
  <si>
    <t>Счет М-26/01/27-7 от 27.01.2026  генератор</t>
  </si>
  <si>
    <t>Списание с расчетного счета 00БП-000212 от 03.02.2026 14:13:44</t>
  </si>
  <si>
    <t>СТАНДАРТЭКО ООО</t>
  </si>
  <si>
    <t>01 от 12.01.2026г. (Хаптагай-Хая)</t>
  </si>
  <si>
    <t>Списание с расчетного счета 00БП-000148 от 28.01.2026 12:00:04</t>
  </si>
  <si>
    <t>СТЕИЛ ООО ТК  7751514620</t>
  </si>
  <si>
    <t>Счёт № ЯК-02250 от 18.08.2025г. (ТЗР ООО "Профессионал" Направляющая)</t>
  </si>
  <si>
    <t>Списание с расчетного счета 00БП-005897 от 19.08.2025 21:00:40</t>
  </si>
  <si>
    <t>счет № ЯКТ00003162 от 03.07.2023</t>
  </si>
  <si>
    <t>Списание с расчетного счета 00БП-003521 от 03.07.2023 19:02:19</t>
  </si>
  <si>
    <t>03.07.23</t>
  </si>
  <si>
    <t>счет № ЯКТ00007407 от 16.09.2023</t>
  </si>
  <si>
    <t>Списание с расчетного счета 00БП-005527 от 18.09.2023 19:05:35</t>
  </si>
  <si>
    <t>18.09.23</t>
  </si>
  <si>
    <t>Счёт № ЯКТ00008323 от 10.06.2024г.</t>
  </si>
  <si>
    <t>Списание с расчетного счета 00БП-003633 от 13.06.2024 19:28:05</t>
  </si>
  <si>
    <t>13.06.24</t>
  </si>
  <si>
    <t>счет № ЯКТ00009516 от 25.10.2023 медикаменты для работника ?</t>
  </si>
  <si>
    <t>Списание с расчетного счета 00БП-007285 от 22.11.2023 15:47:11</t>
  </si>
  <si>
    <t>22.11.23</t>
  </si>
  <si>
    <t>Счёт № ЯКТ01160 от 04.02.2026г. (ТЗР ООО "ТД Динамика76 ")</t>
  </si>
  <si>
    <t>Списание с расчетного счета 00БП-000253 от 05.02.2026 22:16:12</t>
  </si>
  <si>
    <t>Счёт № ЯКТ01180 от 04.02.2026г. (ТЗР ООО "ВсеИнструменты.ру")</t>
  </si>
  <si>
    <t>Списание с расчетного счета 00БП-000255 от 05.02.2026 22:16:14</t>
  </si>
  <si>
    <t>Счёт № ЯКТ01220 от 05.02.2026г. (ТЗР ООО "ТД Динамика 76")</t>
  </si>
  <si>
    <t>Списание с расчетного счета 00БП-000254 от 05.02.2026 22:16:13</t>
  </si>
  <si>
    <t>Счёт № ЯКТ01221 от 05.02.2026г. (ТЗР ООО "ТД Динамика 76")</t>
  </si>
  <si>
    <t>Списание с расчетного счета 00БП-000249 от 05.02.2026 22:16:08</t>
  </si>
  <si>
    <t>Счёт № ЯКТ01366 от 09.02.2026г. (ТЗР ООО "ТД Динамика 76")</t>
  </si>
  <si>
    <t>Списание с расчетного счета 00БП-000282 от 10.02.2026 17:01:17</t>
  </si>
  <si>
    <t>Счёт № ЯКТ01621 от 13.02.2026г. (ТЗР ООО "ТД Динамика76")</t>
  </si>
  <si>
    <t>Списание с расчетного счета 00БП-000382 от 16.02.2026 17:22:06</t>
  </si>
  <si>
    <t>Счёт № ЯКТ02004 от 20.02.2026г.(ТЗР ООО "Автодеталь" Спец. 11)</t>
  </si>
  <si>
    <t>Списание с расчетного счета 00БП-000469 от 25.02.2026 17:39:32</t>
  </si>
  <si>
    <t>Счёт № ЯКТ05070 от 06.05.2025г. (ТЗР ООО ТД "Волга Моторс")оплл 32495 (док=4105, переплата =28390р)</t>
  </si>
  <si>
    <t>Списание с расчетного счета 00БП-002403 от 06.05.2025 20:09:56</t>
  </si>
  <si>
    <t>06.05.25</t>
  </si>
  <si>
    <t>Корректировка поступления 00БП-000026 от 30.09.2025 10:00:00</t>
  </si>
  <si>
    <t>Корректировка поступления 00БП-000033 от 01.12.2025 20:43:05</t>
  </si>
  <si>
    <t>Счёт № ЯКТ09408 от 18.08.2025г. (ТЗР ООО "Профессионал")</t>
  </si>
  <si>
    <t>Списание с расчетного счета 00БП-005980 от 25.08.2025 20:08:28</t>
  </si>
  <si>
    <t>25.08.25</t>
  </si>
  <si>
    <t>Счёт № ЯКТ09821 от 28.08.2025г. (ТЗР ООО "ВсеИнструменты.ру" Конусы)</t>
  </si>
  <si>
    <t>Списание с расчетного счета 00БП-006199 от 29.08.2025 23:56:43</t>
  </si>
  <si>
    <t>29.08.25</t>
  </si>
  <si>
    <t>СТЕИЛ ТК  ООО  7729654396</t>
  </si>
  <si>
    <t>счет № ЯК-00005095 от 03.04.2023г</t>
  </si>
  <si>
    <t>Списание с расчетного счета 00БП-001303 от 06.04.2023 19:01:54</t>
  </si>
  <si>
    <t>06.04.23</t>
  </si>
  <si>
    <t>счет № ЯК-00007904 от 03.10.2023</t>
  </si>
  <si>
    <t>Списание с расчетного счета 00БП-005944 от 04.10.2023 23:59:59</t>
  </si>
  <si>
    <t>04.10.23</t>
  </si>
  <si>
    <t>СТЕИЛ-ЯКУТСК ТК ООО  1435276408</t>
  </si>
  <si>
    <t>Списание с расчетного счета 00БП-003627 от 02.08.2019 16:20:39</t>
  </si>
  <si>
    <t>02.08.19</t>
  </si>
  <si>
    <t>СФЕРА ООО 9724162588</t>
  </si>
  <si>
    <t>МО-03-01-2024-1 от 03.01.2024г. Спец. 13 Запчасти Komatsu (Ходовая РС-800)</t>
  </si>
  <si>
    <t>Списание с расчетного счета 00БП-006359 от 09.09.2025 23:59:59</t>
  </si>
  <si>
    <t>09.09.25</t>
  </si>
  <si>
    <t>МО-03-01-2024-1 от 03.01.2024г. Спец. 15 Гуслента, направляющее колесо</t>
  </si>
  <si>
    <t>Списание с расчетного счета 00БП-007633 от 13.10.2025 18:15:50</t>
  </si>
  <si>
    <t>МО-03-01-2024-1 от 03.01.2024г. Спец. 16 Запчасти Komatsu ( гуслента, катки , ленивец)</t>
  </si>
  <si>
    <t>Списание с расчетного счета 00БП-000151 от 28.01.2026 12:00:07</t>
  </si>
  <si>
    <t>ТЕРМОАЛЬЯНС ООО</t>
  </si>
  <si>
    <t>1501-1/ТА от 15.01.2026 Станция подачи-фильтрации топлива</t>
  </si>
  <si>
    <t>Списание с расчетного счета 00БП-000183 от 29.01.2026 11:53:14</t>
  </si>
  <si>
    <t>ТЕХМО РУСЛАНД ООО</t>
  </si>
  <si>
    <t>2022/08-24 от 24.08.2022г. Спец. 6  Радиатор компрессора для Everdigm ECD50</t>
  </si>
  <si>
    <t>Списание с расчетного счета 00БП-007823 от 21.10.2025 17:30:34</t>
  </si>
  <si>
    <t>2022/08-24 от 24.08.2022г. Счет № 6 от 19.03.2024 г.</t>
  </si>
  <si>
    <t>Корректировка долга 00БП-000037 от 10.04.2024 10:00:00</t>
  </si>
  <si>
    <t>10.04.24</t>
  </si>
  <si>
    <t>МО-19-11-2024-1 от 28.11.2025г. Спец. 2</t>
  </si>
  <si>
    <t>Списание с расчетного счета 00БП-000260 от 05.02.2026 22:16:19</t>
  </si>
  <si>
    <t>счет № 100</t>
  </si>
  <si>
    <t>Списание с расчетного счета 00БП-009162 от 11.12.2025 10:37:37</t>
  </si>
  <si>
    <t>ТЕХНОСФЕРА ООО</t>
  </si>
  <si>
    <t>10/09-2025 от 23.09.2025г. Ремонт гидравлических насосов Hitachi.</t>
  </si>
  <si>
    <t>Списание с расчетного счета 00БП-007249 от 02.10.2025 17:21:04</t>
  </si>
  <si>
    <t>Списание с расчетного счета 00БП-009213 от 16.12.2025 12:00:04</t>
  </si>
  <si>
    <t>16.12.25</t>
  </si>
  <si>
    <t>Списание с расчетного счета 00БП-000116 от 26.01.2026 12:00:03</t>
  </si>
  <si>
    <t>ТЕХНОХИМ ООО</t>
  </si>
  <si>
    <t>01-2024/ТХ от 09.01.2024г. Спец. 4 Рукав полиэтиленовый</t>
  </si>
  <si>
    <t>Списание с расчетного счета 00БП-000192 от 30.01.2026 12:00:04</t>
  </si>
  <si>
    <t>Списание с расчетного счета 00БП-000384 от 16.02.2026 17:22:08</t>
  </si>
  <si>
    <t>ТЕХСЕРВИС-ЯКУТИЯ АО</t>
  </si>
  <si>
    <t>Счёт № КТ-2333 от 24.09.2025г. Запчасти SHANTUI</t>
  </si>
  <si>
    <t>Списание с расчетного счета 00БП-006936 от 25.09.2025 17:23:32</t>
  </si>
  <si>
    <t>Счёт № КТ-2361 от 29.09.2025г. Запчасти МЗТ</t>
  </si>
  <si>
    <t>Списание с расчетного счета 00БП-007196 от 01.10.2025 20:24:06</t>
  </si>
  <si>
    <t>Счёт № КТ-59 от 16.01.2026г. Коронка, фиксатор+шайба</t>
  </si>
  <si>
    <t>Списание с расчетного счета 00БП-000115 от 26.01.2026 12:00:02</t>
  </si>
  <si>
    <t>Счёт № КТ-735 от 27.03.2025г. Фильтры</t>
  </si>
  <si>
    <t>Списание с расчетного счета 00БП-001221 от 02.04.2025 17:47:06</t>
  </si>
  <si>
    <t>02.04.25</t>
  </si>
  <si>
    <t>Тимченко Денис Владиславович ИП</t>
  </si>
  <si>
    <t>Счёт № 16204 от 18.11.2025г. (ТЗР ООО "Сибирские технологии" Спец. 7)</t>
  </si>
  <si>
    <t>Списание с расчетного счета 00БП-008819 от 19.11.2025 18:05:01</t>
  </si>
  <si>
    <t>ТИТАН ТЕХНИКА ТД ООО</t>
  </si>
  <si>
    <t>РС-16-01-2026-2 от 16.01.2026  спец 1 запчасти</t>
  </si>
  <si>
    <t>Списание с расчетного счета 00БП-000251 от 05.02.2026 22:16:10</t>
  </si>
  <si>
    <t>РС-16-01-2026-2 от 16.01.2026  спец 2 запчасти</t>
  </si>
  <si>
    <t>Списание с расчетного счета 00БП-000257 от 05.02.2026 22:16:16</t>
  </si>
  <si>
    <t>ТИТАНИУМ ООО</t>
  </si>
  <si>
    <t>РС-25-12-2025-1 от 25.12.2025  спец 1</t>
  </si>
  <si>
    <t>Списание с расчетного счета 00БП-000187 от 29.01.2026 11:53:18</t>
  </si>
  <si>
    <t>Торговый дом Электрощит ООО</t>
  </si>
  <si>
    <t>РС-21-01-2026-2 от 21.01.2026  спец 1</t>
  </si>
  <si>
    <t>Списание с расчетного счета 00БП-000259 от 05.02.2026 22:16:18</t>
  </si>
  <si>
    <t>ТСС-Н ООО</t>
  </si>
  <si>
    <t>Счёт № И000000071 от 25.02.2026г. ВС-250/0,7 Базовый блок. ВС-250/0,7 Секция вышки туры.</t>
  </si>
  <si>
    <t>Списание с расчетного счета 00БП-000496 от 26.02.2026 17:17:26</t>
  </si>
  <si>
    <t>УВР ООО</t>
  </si>
  <si>
    <t>01-26 от 12.01.2026 Устройство УПЭ-1,5/Х</t>
  </si>
  <si>
    <t>Списание с расчетного счета 00БП-000191 от 30.01.2026 12:00:03</t>
  </si>
  <si>
    <t>УРАЛЬСКАЯ ВЕРТОЛЕТНАЯ КОМПАНИЯ ООО</t>
  </si>
  <si>
    <t>2003-УВК/ТО/2019 от 20.03.2019г.</t>
  </si>
  <si>
    <t>Списание с расчетного счета 00БП-000703 от 13.03.2025 18:55:48</t>
  </si>
  <si>
    <t>13.03.25</t>
  </si>
  <si>
    <t>УФК по г. Москве (ФГКУ РОСГЕОЛЭКСПЕРТИЗА , л/с 04731F92250)</t>
  </si>
  <si>
    <t>Основной договор</t>
  </si>
  <si>
    <t>УФК по Республике Саха (Якутия) (Администрация МО Момский район ) л/сч 04163252070</t>
  </si>
  <si>
    <t>24/19 от 01.06.2024г. Аренда земельного участка</t>
  </si>
  <si>
    <t>Списание с расчетного счета 00БП-008191 от 05.11.2025 17:00:33</t>
  </si>
  <si>
    <t>ПЗ-1-03/25 от 01.04.2025г. Аренда земельного участка</t>
  </si>
  <si>
    <t>Списание с расчетного счета 00БП-008184 от 05.11.2025 17:00:26</t>
  </si>
  <si>
    <t>УФК по Республике Саха (Якутия) (МИНИСТЕРСТВО ПО РАЗВИТИЮ АРКТИКИ И ДЕЛАМ НАРОДОВ СЕВЕРА РЕСПУБЛИКИ</t>
  </si>
  <si>
    <t>Договор № 76-ЭЭ от 16.10.2025</t>
  </si>
  <si>
    <t>Списание с расчетного счета 00БП-000142 от 27.01.2026 15:05:20</t>
  </si>
  <si>
    <t>27.01.26</t>
  </si>
  <si>
    <t>Феоктистов Максим Владимирович ИП</t>
  </si>
  <si>
    <t>Счёт № 04/02 от 04.04.2025г. Сухие пайки</t>
  </si>
  <si>
    <t>Списание с расчетного счета 00БП-001386 от 08.04.2025 23:49:32</t>
  </si>
  <si>
    <t>08.04.25</t>
  </si>
  <si>
    <t>Финконсалт ООО</t>
  </si>
  <si>
    <t>Ю/011777 от 17.03.2025г.</t>
  </si>
  <si>
    <t>Списание с расчетного счета 00БП-001145 от 31.03.2025 23:59:59</t>
  </si>
  <si>
    <t>31.03.25</t>
  </si>
  <si>
    <t>ФИТНЕС ДОМ ООО</t>
  </si>
  <si>
    <t>ФДН-43 от 21.03.2025г. Оборудование для спортзала</t>
  </si>
  <si>
    <t>Списание с расчетного счета 00БП-006763 от 17.09.2025 19:43:15</t>
  </si>
  <si>
    <t>Фролов Алексей Владимирович ИП</t>
  </si>
  <si>
    <t>Счёт № ИП25-000773 от 24.03.2025г. Рукава, Резак, пуско-зарядное устройство, диз.пушк</t>
  </si>
  <si>
    <t>Списание с расчетного счета 00БП-000930 от 25.03.2025 17:52:15</t>
  </si>
  <si>
    <t>25.03.25</t>
  </si>
  <si>
    <t>ФЭО ФГУП</t>
  </si>
  <si>
    <t>108418 от 07.02.2024г. Экология</t>
  </si>
  <si>
    <t>Списание с расчетного счета 00БП-006058 от 30.08.2024 18:05:51</t>
  </si>
  <si>
    <t>30.08.24</t>
  </si>
  <si>
    <t>109553 от 09.02.2024г. экология</t>
  </si>
  <si>
    <t>Списание с расчетного счета 00БП-007214 от 08.10.2024 20:35:02</t>
  </si>
  <si>
    <t>08.10.24</t>
  </si>
  <si>
    <t>ХОЛДИНГ МАШИНЕРИ</t>
  </si>
  <si>
    <t>РС-16-01-2026-1 от 16.01.2026  спец 1</t>
  </si>
  <si>
    <t>Списание с расчетного счета 00БП-000184 от 29.01.2026 11:53:15</t>
  </si>
  <si>
    <t>ХЭДХАНТЕР ООО</t>
  </si>
  <si>
    <t>Счёт № 3261515/203 от 04.02.2026г.</t>
  </si>
  <si>
    <t>Списание с расчетного счета 00БП-000256 от 05.02.2026 22:16:15</t>
  </si>
  <si>
    <t>ЦЕЗАРЬ САТЕЛЛИТ АО</t>
  </si>
  <si>
    <t>Списание с расчетного счета 00БП-005685 от 15.08.2024 20:47:50</t>
  </si>
  <si>
    <t>15.08.24</t>
  </si>
  <si>
    <t>ЦЕНТР ГИГИЕНЫ И ЭПИДЕМИОЛОГИИ В РЕСПУБЛИКЕ САХА (ЯКУТИЯ) ФБУЗ</t>
  </si>
  <si>
    <t>2413 ИЛЦ-02-23 от 12.04.2023 г.</t>
  </si>
  <si>
    <t>Корректировка поступления 00БП-000018 от 25.10.2023 14:58:39</t>
  </si>
  <si>
    <t>25.10.23</t>
  </si>
  <si>
    <t>3185ИЛЦ-02-25 от 22.04.2025г. (453990-82)</t>
  </si>
  <si>
    <t>Списание с расчетного счета 00БП-002336 от 05.05.2025 19:41:05</t>
  </si>
  <si>
    <t>Центр правовой экологии ООО</t>
  </si>
  <si>
    <t>ЭЮ-0509/2026 от 27.02.2026г.</t>
  </si>
  <si>
    <t>Списание с расчетного счета 00БП-000528 от 27.02.2026 17:35:37</t>
  </si>
  <si>
    <t>ЦИФРОВЫЕ ТЕХНОЛОГИИ ООО</t>
  </si>
  <si>
    <t>Счёт № 122895 от 11.03.2025г.</t>
  </si>
  <si>
    <t>Списание с расчетного счета 00БП-000655 от 12.03.2025 18:04:03</t>
  </si>
  <si>
    <t>12.03.25</t>
  </si>
  <si>
    <t>ЦСБ Контроль ООО</t>
  </si>
  <si>
    <t>Счёт № ЦСБ26965 от 14.08.2025г.</t>
  </si>
  <si>
    <t>Списание с расчетного счета 00БП-006060 от 27.08.2025 18:30:27</t>
  </si>
  <si>
    <t>27.08.25</t>
  </si>
  <si>
    <t>ЦЭП И О ООО</t>
  </si>
  <si>
    <t>011 от 28.05.2025г.</t>
  </si>
  <si>
    <t>Списание с расчетного счета 00БП-003382 от 04.06.2025 18:58:23</t>
  </si>
  <si>
    <t>04.06.25</t>
  </si>
  <si>
    <t>Списание с расчетного счета 00БП-008902 от 24.11.2025 16:33:52</t>
  </si>
  <si>
    <t>012 от 29.05.2025г.</t>
  </si>
  <si>
    <t>Списание с расчетного счета 00БП-003379 от 04.06.2025 18:58:20</t>
  </si>
  <si>
    <t>Списание с расчетного счета 00БП-007748 от 17.10.2025 19:36:05</t>
  </si>
  <si>
    <t>Списание с расчетного счета 00БП-008900 от 24.11.2025 16:33:50</t>
  </si>
  <si>
    <t>014 от 20.06.2025г.</t>
  </si>
  <si>
    <t>Списание с расчетного счета 00БП-004063 от 23.06.2025 18:09:41</t>
  </si>
  <si>
    <t>23.06.25</t>
  </si>
  <si>
    <t>Списание с расчетного счета 00БП-008925 от 25.11.2025 15:31:08</t>
  </si>
  <si>
    <t>015 от 21.06.2025г.</t>
  </si>
  <si>
    <t>Списание с расчетного счета 00БП-004062 от 23.06.2025 18:09:40</t>
  </si>
  <si>
    <t>ЧИП И ДИП АО</t>
  </si>
  <si>
    <t>15094215 от 10.06.2025г. Реле для компрессора - 2 шт</t>
  </si>
  <si>
    <t>Списание с расчетного счета 00БП-003903 от 17.06.2025 22:58:29</t>
  </si>
  <si>
    <t>Шарапов Андрей Александрович ИП</t>
  </si>
  <si>
    <t>Счёт № 7491876450 от 23.07.2025г. Заправка кондиционера Land Rover</t>
  </si>
  <si>
    <t>Списание с расчетного счета 00БП-005054 от 23.07.2025 20:44:19</t>
  </si>
  <si>
    <t>23.07.25</t>
  </si>
  <si>
    <t>Шумилов Олег Анатольевич ИП</t>
  </si>
  <si>
    <t>Счёт № УТ-67 от 25.03.2025г. 255/55 R 19 YOKOHAMMA G015 (автошины) - 4 шт.</t>
  </si>
  <si>
    <t>Списание с расчетного счета 00БП-001173 от 01.04.2025 17:50:04</t>
  </si>
  <si>
    <t>ЭКСПЕРТ ООО</t>
  </si>
  <si>
    <t>1-26-ВМ от 24.11.2025г. Спец. 1 ВМ</t>
  </si>
  <si>
    <t>Списание с расчетного счета 00БП-009095 от 05.12.2025 12:00:10</t>
  </si>
  <si>
    <t>Списание с расчетного счета 00БП-000237 от 04.02.2026 16:35:16</t>
  </si>
  <si>
    <t>ЭнергоКабельСбыт ТД ООО</t>
  </si>
  <si>
    <t>РС-07-03-2025-1 от 07.03.2025г. Спец. 2. Кабель КГ-ХЛ 3х120+1х35.</t>
  </si>
  <si>
    <t>Списание с расчетного счета 00БП-000529 от 27.02.2026 17:35:38</t>
  </si>
  <si>
    <t>ЭНЕРГОТЕРМ-СИСТЕМА ООО</t>
  </si>
  <si>
    <t>Договор  № РКД-1  от 14.01.2025</t>
  </si>
  <si>
    <t>Списание с расчетного счета 00БП-000052 от 15.01.2026 14:53:19</t>
  </si>
  <si>
    <t>ЭСМИКОМ И К ООО</t>
  </si>
  <si>
    <t>Счёт № 1825 от 08.10.2025г. Доп. комплектация к седельным тягачам</t>
  </si>
  <si>
    <t>Списание с расчетного счета 00БП-007407 от 09.10.2025 16:57:54</t>
  </si>
  <si>
    <t>Юношева Татьяна Анатольевна</t>
  </si>
  <si>
    <t>Авансовый отчет 00БП-000339 от 24.11.2025 12:03:37</t>
  </si>
  <si>
    <t>ЯКУТЛЕСРЕСУРС ГАУ РС(Я)</t>
  </si>
  <si>
    <t>КЛВ-1/22 от 16.05.2022г.</t>
  </si>
  <si>
    <t>Списание с расчетного счета 00БП-006742 от 26.10.2022 17:19:37</t>
  </si>
  <si>
    <t>26.10.22</t>
  </si>
  <si>
    <t>зачем - то отдельно переплатили 4 р.</t>
  </si>
  <si>
    <t>ЯКУТСКИЙ ЦСМ ФБУ</t>
  </si>
  <si>
    <t>ЯКТ-01222 от 14.04.2025г.</t>
  </si>
  <si>
    <t>Списание с расчетного счета 00БП-005938 от 21.08.2025 17:24:50</t>
  </si>
  <si>
    <t>ЯНДЕКС 360 ДЛЯ БИЗНЕСА ООО</t>
  </si>
  <si>
    <t>Счёт № ЛС-4074970856-1 от 19.05.2025</t>
  </si>
  <si>
    <t>Корректировка долга 00БП-000094 от 25.09.2025 17:23:53</t>
  </si>
  <si>
    <t>Ярлыков Сергей Михайлович ИП</t>
  </si>
  <si>
    <t>БН от 23.07.2025г.</t>
  </si>
  <si>
    <t>Списание с расчетного счета 00БП-005475 от 07.08.2025 19:08:49</t>
  </si>
  <si>
    <t>60.32</t>
  </si>
  <si>
    <t>АВРОРА ООО.</t>
  </si>
  <si>
    <t>Счёт № AU90506194 от 04.07.2025г. Датчик скорости - 2 шт.</t>
  </si>
  <si>
    <t>Списание с расчетного счета 00БП-004562 от 09.07.2025 20:21:45</t>
  </si>
  <si>
    <t>09.07.25</t>
  </si>
  <si>
    <t>АЛТАЙ МЕХАНИКА ООО</t>
  </si>
  <si>
    <t>№ БС-12.12.22 от 12.12.2022г  CNY</t>
  </si>
  <si>
    <t>Списание с расчетного счета 00БП-000024 от 14.01.2026 16:45:17</t>
  </si>
  <si>
    <t>Счёт № 12 от 03.04.2024г. Фильтр масляный USD</t>
  </si>
  <si>
    <t>Списание с расчетного счета 00БП-006625 от 19.09.2024 18:14:26</t>
  </si>
  <si>
    <t>19.09.24</t>
  </si>
  <si>
    <t>РС-26-12-2022-9/127з от 26.12.2022г. Спец. 20 Фильтры EUR</t>
  </si>
  <si>
    <t>Списание с расчетного счета 00БП-006941 от 25.09.2025 17:23:37</t>
  </si>
  <si>
    <t>РС-26-12-2022-9/127з от 26.12.2022г. Спец. 22 Запчасти USD</t>
  </si>
  <si>
    <t>Списание с расчетного счета 00БП-007817 от 21.10.2025 17:30:28</t>
  </si>
  <si>
    <t>Списание с расчетного счета 00БП-007824 от 21.10.2025 17:30:35</t>
  </si>
  <si>
    <t>Списание с расчетного счета 00БП-008864 от 20.11.2025 17:08:39</t>
  </si>
  <si>
    <t>Списание с расчетного счета 00БП-008877 от 21.11.2025 18:51:04</t>
  </si>
  <si>
    <t>Списание с расчетного счета 00БП-008880 от 21.11.2025 18:51:07</t>
  </si>
  <si>
    <t>РС-26-12-2022-9/127з от 26.12.2022г. Спец. 29 Запчасти USD</t>
  </si>
  <si>
    <t>Списание с расчетного счета 00БП-000325 от 12.02.2026 15:36:56</t>
  </si>
  <si>
    <t>Счёт № МГ00001648 от 07.10.2025г. Ремень привода вентилятора двигателя - 2 шт. USD</t>
  </si>
  <si>
    <t>Списание с расчетного счета 00БП-007402 от 09.10.2025 16:57:49</t>
  </si>
  <si>
    <t>Счёт № МГ00002106/01 от 24 ноября 2025г.(Карьерные самосвалы)</t>
  </si>
  <si>
    <t>Списание с расчетного счета 00БП-009293 от 25.12.2025 12:00:17</t>
  </si>
  <si>
    <t>CLG9125F-21/11/25 от 21.11.2025г. Счёт № FECB-030886 от 21.11.2025г. Экскаватор LiuGong 9125F s/n</t>
  </si>
  <si>
    <t>Списание с расчетного счета 00БП-009029 от 01.12.2025 15:42:24</t>
  </si>
  <si>
    <t>Спецификация № FECB-026228. Договор FE-P/22-063 от 19.12.22г. Запчасти Komatsu USD</t>
  </si>
  <si>
    <t>Списание с расчетного счета 00БП-000532 от 27.02.2026 17:35:41</t>
  </si>
  <si>
    <t>Счёт № FECB-004787 от 17.03.2025г. Договор № FE-P/22-063 от 19.12.22г. USD Гусленты, сегменты, ленив</t>
  </si>
  <si>
    <t>Списание с расчетного счета 00БП-000875 от 21.03.2025 17:21:00</t>
  </si>
  <si>
    <t>21.03.25</t>
  </si>
  <si>
    <t>Счёт № FECB-017590 от 09.07.2025г. Договор FE-P/22-063 от 19.12.22г. Двигатель в сборе. USD</t>
  </si>
  <si>
    <t>Списание с расчетного счета 00БП-008463 от 14.11.2025 15:51:00</t>
  </si>
  <si>
    <t>Счёт № FECB-017605 от 09.07.2025г. Договор № FE-P/22-063 от 19.12.22г. Модуль D375A6. USD  Скидка =</t>
  </si>
  <si>
    <t>Списание с расчетного счета 00БП-007312 от 06.10.2025 18:16:22</t>
  </si>
  <si>
    <t>Счёт № FECB-017606 от 09.07.2025г. Договор № FE-P/22-063 от 19.12.22г. Двигатель D375A5D USD</t>
  </si>
  <si>
    <t>Списание с расчетного счета 00БП-007338 от 07.10.2025 17:57:46</t>
  </si>
  <si>
    <t>07.10.25</t>
  </si>
  <si>
    <t>Счёт № FECB-026222 от 30.09.2025г. Договор № FE-P/22-063 от 19.12.22г. Двигатель в сборе.</t>
  </si>
  <si>
    <t>Списание с расчетного счета 00БП-007683 от 14.10.2025 17:30:20</t>
  </si>
  <si>
    <t>14.10.25</t>
  </si>
  <si>
    <t>Счёт № FECB-026225 от 30.09.2025г. Договор № FE-P/22-063 от 19.12.22г. Двигатель в сборе. Скидка=</t>
  </si>
  <si>
    <t>Списание с расчетного счета 00БП-007684 от 14.10.2025 17:30:21</t>
  </si>
  <si>
    <t>Протех ООО</t>
  </si>
  <si>
    <t>Договор ХАБ-251202-1 Спецификация №1 от 02.12.2025</t>
  </si>
  <si>
    <t>Списание с расчетного счета 00БП-009269 от 24.12.2025 11:37:20</t>
  </si>
  <si>
    <t>Списание с расчетного счета 00БП-009288 от 25.12.2025 12:00:12</t>
  </si>
  <si>
    <t>РЕАЛИСТ-ЛИЗИНГ ООО</t>
  </si>
  <si>
    <t>1010-1 от 02.02.2026  EUR</t>
  </si>
  <si>
    <t>Списание с расчетного счета 00БП-000270 от 06.02.2026 12:00:07</t>
  </si>
  <si>
    <t>№ БС-02.12.22/11 от 02.12.2022г., спец № 10 , CNY, шины, автокамеры</t>
  </si>
  <si>
    <t>Списание с расчетного счета 00БП-000143 от 27.01.2026 15:05:21</t>
  </si>
  <si>
    <t>Списание с расчетного счета 00БП-000479 от 25.02.2026 17:39:42</t>
  </si>
  <si>
    <t>СтройИмпортТехника ООО</t>
  </si>
  <si>
    <t>№ 88/272-3032648-1 от 17.11.2025г. Бульдозер.</t>
  </si>
  <si>
    <t>Списание с расчетного счета 00БП-000067 от 16.01.2026 17:13:35</t>
  </si>
  <si>
    <t>№ 88/272-3036951-1 от 17.11.2025г. Бульдозер</t>
  </si>
  <si>
    <t>Списание с расчетного счета 00БП-000068 от 16.01.2026 17:13:36</t>
  </si>
  <si>
    <t>№ 88/272-3037123-1 от 17.11.2025г. Автогрейдер.</t>
  </si>
  <si>
    <t>Списание с расчетного счета 00БП-000066 от 16.01.2026 17:13:34</t>
  </si>
  <si>
    <t>БВ 01/24 от 29.01.2024 Спец. 3</t>
  </si>
  <si>
    <t>Списание с расчетного счета 00БП-009356 от 30.12.2025 12:00:18</t>
  </si>
  <si>
    <t>30.12.25</t>
  </si>
  <si>
    <t>Счёт № ЯА000000447 от 20.01.2026г. рессора</t>
  </si>
  <si>
    <t>Списание с расчетного счета 00БП-000110 от 23.01.2026 9:40:13</t>
  </si>
  <si>
    <t>23.01.26</t>
  </si>
  <si>
    <t>Счёт № ЯА000012283 от 03.10.2025г. Автомобильные запчасти</t>
  </si>
  <si>
    <t>Списание с расчетного счета 00БП-007299 от 06.10.2025 18:16:09</t>
  </si>
  <si>
    <t>АЛЬКОМ ТК ООО</t>
  </si>
  <si>
    <t>МО-07-03-2024-1 от 07.03.2024г. Спец. 19 запчасти</t>
  </si>
  <si>
    <t>Списание с расчетного счета 00БП-000088 от 21.01.2026 11:45:48</t>
  </si>
  <si>
    <t>АНКАС ООО</t>
  </si>
  <si>
    <t>Счёт № 119350 от 23.10.2025г. Трансформатор розжига FIDA Compact 12/35-33 - 1 шт.</t>
  </si>
  <si>
    <t>Списание с расчетного счета 00БП-007892 от 24.10.2025 17:29:34</t>
  </si>
  <si>
    <t>Вербицкий Олег Васильевич ИП</t>
  </si>
  <si>
    <t>№ 09-12-2025 от 09.12.2025г Перевозка Снегоболотохода ТРЭКОЛ</t>
  </si>
  <si>
    <t>Списание с расчетного счета 00БП-009223 от 17.12.2025 15:35:07</t>
  </si>
  <si>
    <t>17.12.25</t>
  </si>
  <si>
    <t>ВОРОНЕЖСКИЙ ЭЛЕКТРОМЕХАНИЧЕСКИЙ ЗАВОД АО</t>
  </si>
  <si>
    <t xml:space="preserve"> ВЭ п 1/20-08 от 20.08.2025г. Спец. 1 Эл. двиг: кран</t>
  </si>
  <si>
    <t>Списание с расчетного счета 00БП-006591 от 12.09.2025 17:33:13</t>
  </si>
  <si>
    <t>12.09.25</t>
  </si>
  <si>
    <t>КЮ55956 от 05.05.2021г.</t>
  </si>
  <si>
    <t>Списание с расчетного счета 00БП-006329 от 08.09.2025 18:50:19</t>
  </si>
  <si>
    <t>08.09.25</t>
  </si>
  <si>
    <t>47-25/П от 17.11.2025г. (рюкзак,антена)</t>
  </si>
  <si>
    <t>Списание с расчетного счета 00БП-009144 от 10.12.2025 15:32:12</t>
  </si>
  <si>
    <t>10.12.25</t>
  </si>
  <si>
    <t>Счёт № 25-01211307514 от 19.09.2025г. (ТЗР ООО "Тинкер Групп" Фильтр воздушный Shacman WP10)</t>
  </si>
  <si>
    <t>Списание с расчетного счета 00БП-006837 от 22.09.2025 19:07:50</t>
  </si>
  <si>
    <t>22.09.25</t>
  </si>
  <si>
    <t>Счёт № 0211754693-0060 от 08.11.2025г. Стройматериалы для душевых.</t>
  </si>
  <si>
    <t>Списание с расчетного счета 00БП-008357 от 11.11.2025 18:13:36</t>
  </si>
  <si>
    <t>ИРЗМК ООО</t>
  </si>
  <si>
    <t>04/06-2025п от 04.06.2025г. Спец. 3. Трафарет ГИТ-62 09Г2С. - 54 шт.</t>
  </si>
  <si>
    <t>Списание с расчетного счета 00БП-006381 от 10.09.2025 18:06:43</t>
  </si>
  <si>
    <t>Списание с расчетного счета 00БП-007705 от 15.10.2025 22:57:01</t>
  </si>
  <si>
    <t>МИПАРТС ООО</t>
  </si>
  <si>
    <t>Счёт № УТ-2388 от 05.11.2025г. Шестерня редуктора привода. - 1 шт</t>
  </si>
  <si>
    <t>Списание с расчетного счета 00БП-008350 от 11.11.2025 18:13:29</t>
  </si>
  <si>
    <t>Списание с расчетного счета 00БП-008212 от 05.11.2025 17:00:58</t>
  </si>
  <si>
    <t>Списание с расчетного счета 00БП-005423 от 04.08.2025 21:25:15</t>
  </si>
  <si>
    <t>Списание с расчетного счета 00БП-008213 от 05.11.2025 17:00:59</t>
  </si>
  <si>
    <t>НИРО-ТРЕЙД ООО</t>
  </si>
  <si>
    <t>Счёт № 79 от 30.06.2025г. Емкость полипропиленовая - 1 шт.</t>
  </si>
  <si>
    <t>Списание с расчетного счета 00БП-005300 от 29.07.2025 20:44:28</t>
  </si>
  <si>
    <t>ОБЪЕДИНЕННАЯ ЭНЕРГИЯ ООО КОМПАНИЯ</t>
  </si>
  <si>
    <t>JP-20-071 от 10.08.2020г. Спец. 3 Блок управления привода вращателя "БУВ1.00.00.00) - 2 шт.</t>
  </si>
  <si>
    <t>Списание с расчетного счета 00БП-007874 от 23.10.2025 18:51:00</t>
  </si>
  <si>
    <t>Списание с расчетного счета 00БП-008429 от 13.11.2025 17:26:12</t>
  </si>
  <si>
    <t>13.11.25</t>
  </si>
  <si>
    <t>Списание с расчетного счета 00БП-005992 от 25.08.2025 20:08:40</t>
  </si>
  <si>
    <t>Списание с расчетного счета 00БП-006768 от 17.09.2025 19:43:20</t>
  </si>
  <si>
    <t>Счёт № 92 от 23.09.2025г. Крышка 195-03-65990 Komatsu - 5 шт</t>
  </si>
  <si>
    <t>Списание с расчетного счета 00БП-006937 от 25.09.2025 17:23:33</t>
  </si>
  <si>
    <t>САХА-ТРЕЙД ООО</t>
  </si>
  <si>
    <t>НП-01-05/25 СПЕЦИФИКАЦИЯ 1 от 05.05.2025</t>
  </si>
  <si>
    <t>Списание с расчетного счета 00БП-004571 от 09.07.2025 20:21:54</t>
  </si>
  <si>
    <t>Счёт № ЯКТ11221 от 29.09.2025г. (ТЗР ООО "Сервис Маш" Запчасти)</t>
  </si>
  <si>
    <t>Списание с расчетного счета 00БП-007158 от 30.09.2025 23:59:59</t>
  </si>
  <si>
    <t>Счёт № КТ-1117 от 28.08.2025г. Запчасти МЗТ</t>
  </si>
  <si>
    <t>Списание с расчетного счета 00БП-006307 от 05.09.2025 18:19:31</t>
  </si>
  <si>
    <t>Счёт № КТ-2345 от 25.09.2025г. Замок зажигания D2500-00000 - 1 шт</t>
  </si>
  <si>
    <t>Списание с расчетного счета 00БП-006948 от 26.09.2025 18:42:56</t>
  </si>
  <si>
    <t>26.09.25</t>
  </si>
  <si>
    <t>Счёт № КТ-2390 от 30.09.2025г. Каток поддерживающий  (SD16/D65) - 4 шт.</t>
  </si>
  <si>
    <t>Списание с расчетного счета 00БП-007240 от 02.10.2025 17:20:55</t>
  </si>
  <si>
    <t>Счёт № КТ-2412 от 03.10.2025г. Запчасти МЗТ</t>
  </si>
  <si>
    <t>Списание с расчетного счета 00БП-007271 от 03.10.2025 17:50:36</t>
  </si>
  <si>
    <t>ТРЭКОЛ ООО НПФ</t>
  </si>
  <si>
    <t>9/53-2025 от 28.08.2025г. Снегоболотоход</t>
  </si>
  <si>
    <t>Списание с расчетного счета 00БП-006382 от 10.09.2025 18:06:44</t>
  </si>
  <si>
    <t>Списание с расчетного счета 00БП-007828 от 21.10.2025 17:30:39</t>
  </si>
  <si>
    <t>ХИМПРОМ ООО</t>
  </si>
  <si>
    <t>Счёт № 1246 от 29.09.2025г. Противогололёдный реагент "STOP ICE" 25 кг - 200 кг.</t>
  </si>
  <si>
    <t>Списание с расчетного счета 00БП-007160 от 30.09.2025 23:59:59</t>
  </si>
  <si>
    <t>Счёт № 3261515/202 от 25.03.2025г.</t>
  </si>
  <si>
    <t>Списание с расчетного счета 00БП-000936 от 25.03.2025 17:52:21</t>
  </si>
  <si>
    <t>ГЕОТЕХНОГЕН-ПРОЕКТ ООО</t>
  </si>
  <si>
    <t>ЕДАМЕНКО АЛЕКСЕЙ НИКОЛАЕВИЧ ИП</t>
  </si>
  <si>
    <t>Красовская Кристина Игоревна ИП</t>
  </si>
  <si>
    <t>СЖС Восток Лимитед АО (КПП 384943001)</t>
  </si>
  <si>
    <t>101-09/2024 от 20.09.2024 г. проект на геол.изучение м/р р.Тегергачи с притоками</t>
  </si>
  <si>
    <t>73-08/2025 от 14.08.2025г. Геол. отчёт с подсчётом запасов на м/е Хаптагай-Хая</t>
  </si>
  <si>
    <t>16-06-2025 от 16.06.2025г. Перевозка овощей Якутск-Усть-Нера</t>
  </si>
  <si>
    <t>МО-12-01-2024-1 от 12.01.2024г. Спец. 13 Запчасти</t>
  </si>
  <si>
    <t>Счёт № 2567 от 25.04.2025г. Датчики, форсунки</t>
  </si>
  <si>
    <t>Счёт № 865 от 26.02.2025г. Антифриз и масло</t>
  </si>
  <si>
    <t>№ 02/09/25-1-КК от 02.09.2025г. Сертификация "Эрри-тест"</t>
  </si>
  <si>
    <t>14/488-2025 от 26.10.2025г. Талынья 10,5345га</t>
  </si>
  <si>
    <t>Счету №923 от 19.05.2025  Передача БЗ - 1 шт</t>
  </si>
  <si>
    <t>SA-1327-NR-MIN-IK-23 от 04.07.2023</t>
  </si>
  <si>
    <t>Счёт № 434471 от 26.12.2025г.</t>
  </si>
  <si>
    <t>Счёт № 62018624 от 24.10.2025г. Проведение анализа проб</t>
  </si>
  <si>
    <t>ЭЮ-0509/2025 от 10.03.2025г.</t>
  </si>
  <si>
    <t>Списание с расчетного счета 00БП-008353 от 11.11.2025 18:13:32</t>
  </si>
  <si>
    <t>Списание с расчетного счета 00БП-006204 от 29.08.2025 23:56:48</t>
  </si>
  <si>
    <t>Списание с расчетного счета 00БП-009313 от 26.12.2025 12:00:19</t>
  </si>
  <si>
    <t>Списание с расчетного счета 00БП-003906 от 17.06.2025 22:58:32</t>
  </si>
  <si>
    <t>Списание с расчетного счета 00БП-004432 от 03.07.2025 18:29:09</t>
  </si>
  <si>
    <t>Списание с расчетного счета 00БП-009263 от 24.12.2025 11:37:14</t>
  </si>
  <si>
    <t>Списание с расчетного счета 00БП-007237 от 02.10.2025 17:20:52</t>
  </si>
  <si>
    <t>Списание с расчетного счета 00БП-001343 от 07.04.2025 19:17:39</t>
  </si>
  <si>
    <t>Списание с расчетного счета 00БП-006327 от 08.09.2025 18:50:17</t>
  </si>
  <si>
    <t>Списание с расчетного счета 00БП-008321 от 10.11.2025 19:46:26</t>
  </si>
  <si>
    <t>Списание с расчетного счета 00БП-005419 от 04.08.2025 21:25:11</t>
  </si>
  <si>
    <t>Списание с расчетного счета 00БП-008240 от 06.11.2025 17:50:40</t>
  </si>
  <si>
    <t>Списание с расчетного счета 00БП-009242 от 19.12.2025 12:51:10</t>
  </si>
  <si>
    <t>Списание с расчетного счета 00БП-007987 от 28.12.2023 15:20:48</t>
  </si>
  <si>
    <t>Списание с расчетного счета 00БП-007750 от 17.10.2025 19:36:07</t>
  </si>
  <si>
    <t>Списание с расчетного счета 00БП-008309 от 10.11.2025 19:46:14</t>
  </si>
  <si>
    <t>Списание с расчетного счета 00БП-000608 от 11.03.2025 17:05:30</t>
  </si>
  <si>
    <t>03.07.25</t>
  </si>
  <si>
    <t>07.04.25</t>
  </si>
  <si>
    <t>06.11.25</t>
  </si>
  <si>
    <t>28.12.23</t>
  </si>
  <si>
    <t>11.03.25</t>
  </si>
  <si>
    <t>Абдирахимов Мухаммадазим Лухмонжонович ИП</t>
  </si>
  <si>
    <t>Счёт № П04 от 24.09.2025г. Овощи</t>
  </si>
  <si>
    <t>Списание с расчетного счета 00БП-007126 от 29.09.2025 19:11:59</t>
  </si>
  <si>
    <t>Счёт № 9000-008684 от 12.07.2025г.</t>
  </si>
  <si>
    <t>Списание с расчетного счета 00БП-005314 от 30.07.2025 17:47:00</t>
  </si>
  <si>
    <t>АВТО-КОМ ООО</t>
  </si>
  <si>
    <t>Счёт № 237 от 22.04.2025г. Фильтры</t>
  </si>
  <si>
    <t>Списание с расчетного счета 00БП-002956 от 21.05.2025 20:10:47</t>
  </si>
  <si>
    <t>Счёт № 294 от 05.06.2025г. Запчасти ДЭС</t>
  </si>
  <si>
    <t>Списание с расчетного счета 00БП-003859 от 16.06.2025 18:31:24</t>
  </si>
  <si>
    <t>Счёт № ЯА000010225 от 18.08.2025г. Запчасти, фильтры, ролики, ремни</t>
  </si>
  <si>
    <t>Списание с расчетного счета 00БП-005952 от 22.08.2025 17:42:35</t>
  </si>
  <si>
    <t>АВТОДЕТАЛЬ ООО ИНН 1435329233</t>
  </si>
  <si>
    <t>Счёт № МТ-1163 от 11.09.2025г. Стекло лобовое Toyota Higlander</t>
  </si>
  <si>
    <t>Списание с расчетного счета 00БП-006734 от 16.09.2025 17:34:52</t>
  </si>
  <si>
    <t>АДС-АВТО ООО</t>
  </si>
  <si>
    <t xml:space="preserve"> Счёт № У9762965/1 от 12.09.2025г. Фильтры топливные Shacman SHAANXI</t>
  </si>
  <si>
    <t>Списание с расчетного счета 00БП-006743 от 16.09.2025 17:35:01</t>
  </si>
  <si>
    <t>АЗИАМОТОРС ООО</t>
  </si>
  <si>
    <t>Счёт № 4 от 17.03.2025г.</t>
  </si>
  <si>
    <t>Списание с расчетного счета 00БП-000812 от 19.03.2025 15:53:58</t>
  </si>
  <si>
    <t>Счёт № 5 от 17.03.2025г.</t>
  </si>
  <si>
    <t>Списание с расчетного счета 00БП-000811 от 19.03.2025 15:53:57</t>
  </si>
  <si>
    <t>Счёт № 6 от 17.03.2025г.</t>
  </si>
  <si>
    <t>Списание с расчетного счета 00БП-000808 от 19.03.2025 15:53:54</t>
  </si>
  <si>
    <t>Счёт № 7 от 17.03.2025г.</t>
  </si>
  <si>
    <t>Списание с расчетного счета 00БП-000809 от 19.03.2025 15:53:55</t>
  </si>
  <si>
    <t>7875-В0-10 от 14.12.2015г. Доп. соглашение № 28 от 20.08.2025г.</t>
  </si>
  <si>
    <t>Списание с расчетного счета 00БП-006383 от 10.09.2025 18:06:45</t>
  </si>
  <si>
    <t>Алексеев Афанасий Павлович ИП</t>
  </si>
  <si>
    <t>Авансовый отчет 00БП-000269 от 26.08.2025 11:55:19</t>
  </si>
  <si>
    <t>Антонов Максим Сергеевич ИП</t>
  </si>
  <si>
    <t>Счёт № 1440 от 12.08.2025г. Шаровые опопры</t>
  </si>
  <si>
    <t>Списание с расчетного счета 00БП-005635 от 12.08.2025 17:40:22</t>
  </si>
  <si>
    <t>Счёт № 961 от 24.05.2025г. Фаркоп</t>
  </si>
  <si>
    <t>Списание с расчетного счета 00БП-003211 от 28.05.2025 21:55:42</t>
  </si>
  <si>
    <t>Арбатский Виктор Борисович ИП</t>
  </si>
  <si>
    <t>Счёт № 48 от 15.04.2025г. (Фильтр, сепаратор)</t>
  </si>
  <si>
    <t>Списание с расчетного счета 00БП-001813 от 15.04.2025 18:43:38</t>
  </si>
  <si>
    <t>Списание с расчетного счета 00БП-009249 от 13.12.2024 12:00:03</t>
  </si>
  <si>
    <t>Бадаева Саргылана Васильевна ИП</t>
  </si>
  <si>
    <t>Счёт № БЛ-25843 от 29.09.2025г. Пленка полиэтиленовая  200 мкр (шир 1,5м) ГОСТ - 150 м.</t>
  </si>
  <si>
    <t>Списание с расчетного счета 00БП-007162 от 30.09.2025 23:59:59</t>
  </si>
  <si>
    <t>БЕЛА ООО</t>
  </si>
  <si>
    <t>Счёт № 248423 от 17.09.2025г. Тенты  Тарпаулин 180 г/м2</t>
  </si>
  <si>
    <t>Списание с расчетного счета 00БП-006879 от 23.09.2025 18:41:26</t>
  </si>
  <si>
    <t>1-19 от 16.11.2018г.</t>
  </si>
  <si>
    <t>Списание с расчетного счета 00БП-005411 от 04.08.2025 21:24:59</t>
  </si>
  <si>
    <t>5-ГСО/2025-СВ от 29.11.2024 г. Обман</t>
  </si>
  <si>
    <t>Списание с расчетного счета 00БП-000357 от 25.02.2025 17:04:16</t>
  </si>
  <si>
    <t>5-ГСО/2025-СВ от 29.11.2024 г. Хаптагай-Хая, Дымный, Бедовый</t>
  </si>
  <si>
    <t>Списание с расчетного счета 00БП-000153 от 30.01.2025 12:00:11</t>
  </si>
  <si>
    <t>Списание с расчетного счета 00БП-005452 от 06.08.2025 19:15:07</t>
  </si>
  <si>
    <t>Винокурова Ирина Бояновна ИП</t>
  </si>
  <si>
    <t>Авансовый отчет 00БП-000265 от 12.08.2025 12:22:27</t>
  </si>
  <si>
    <t>Авансовый отчет 00БП-000295 от 22.09.2025 15:55:01</t>
  </si>
  <si>
    <t xml:space="preserve"> Счёт № 2509-467802-05702 от 23.09.2025г.  Ковёр резиновый. Щетинистое покрытие. Уголки.</t>
  </si>
  <si>
    <t>Списание с расчетного счета 00БП-006896 от 24.09.2025 18:35:58</t>
  </si>
  <si>
    <t>Счёт № 2509-474666-48993 от 02.09.2025г.  DEPUR Тефлоновая смазка 210 мл</t>
  </si>
  <si>
    <t>Списание с расчетного счета 00БП-006258 от 03.09.2025 17:18:09</t>
  </si>
  <si>
    <t>Списание с расчетного счета 00БП-006218 от 01.09.2025 18:18:39</t>
  </si>
  <si>
    <t>Списание с расчетного счета 00БП-006929 от 25.09.2025 17:23:25</t>
  </si>
  <si>
    <t>КЮ49273 от 21.06.2021г.</t>
  </si>
  <si>
    <t>Списание с расчетного счета 00БП-003901 от 17.06.2025 22:58:27</t>
  </si>
  <si>
    <t>КЮ49609 от 01.06.2022</t>
  </si>
  <si>
    <t>Списание с расчетного счета 00БП-005917 от 20.08.2025 18:07:36</t>
  </si>
  <si>
    <t>Списание с расчетного счета 00БП-006328 от 08.09.2025 18:50:18</t>
  </si>
  <si>
    <t>КЮ55933 от 05.05.2021г</t>
  </si>
  <si>
    <t>Списание с расчетного счета 00БП-005915 от 20.08.2025 18:07:34</t>
  </si>
  <si>
    <t>КЮ55935 от 05.05.2021г</t>
  </si>
  <si>
    <t>Списание с расчетного счета 00БП-006220 от 01.09.2025 18:18:41</t>
  </si>
  <si>
    <t>Списание с расчетного счета 00БП-006737 от 16.09.2025 17:34:55</t>
  </si>
  <si>
    <t>КЮ55937 от 05.05.2021г.</t>
  </si>
  <si>
    <t>Списание с расчетного счета 00БП-006735 от 16.09.2025 17:34:53</t>
  </si>
  <si>
    <t>КЮ55942 от 05.05.2021г</t>
  </si>
  <si>
    <t>Списание с расчетного счета 00БП-005984 от 25.08.2025 20:08:32</t>
  </si>
  <si>
    <t>КЮ55943 от 05.05.2021г</t>
  </si>
  <si>
    <t>Списание с расчетного счета 00БП-005918 от 20.08.2025 18:07:37</t>
  </si>
  <si>
    <t>Списание с расчетного счета 00БП-006219 от 01.09.2025 18:18:40</t>
  </si>
  <si>
    <t>Списание с расчетного счета 00БП-006738 от 16.09.2025 17:34:56</t>
  </si>
  <si>
    <t>КЮ55946 от 05.05.2021г</t>
  </si>
  <si>
    <t>Списание с расчетного счета 00БП-005344 от 31.07.2025 23:59:59</t>
  </si>
  <si>
    <t>КЮ55948 от 05.05.2021г</t>
  </si>
  <si>
    <t>Списание с расчетного счета 00БП-003837 от 16.06.2025 18:31:02</t>
  </si>
  <si>
    <t>КЮ55954 от 05.05.2021г</t>
  </si>
  <si>
    <t>Списание с расчетного счета 00БП-003015 от 23.05.2025 20:52:25</t>
  </si>
  <si>
    <t>КЮ55955 от 05.05.2021г.</t>
  </si>
  <si>
    <t>Списание с расчетного счета 00БП-006736 от 16.09.2025 17:34:54</t>
  </si>
  <si>
    <t>Списание с расчетного счета 00БП-005916 от 20.08.2025 18:07:35</t>
  </si>
  <si>
    <t>Списание с расчетного счета 00БП-006221 от 01.09.2025 18:18:42</t>
  </si>
  <si>
    <t>ГАЗСПАССЕРВИС ООО</t>
  </si>
  <si>
    <t>ППЛРН-18-24 от 19.11.2024г.</t>
  </si>
  <si>
    <t>Списание с расчетного счета 00БП-009102 от 03.12.2024 16:43:31</t>
  </si>
  <si>
    <t>Галиев Сергей Кенесович ИП</t>
  </si>
  <si>
    <t>Счёт № ОБ-2220 от 12.08.2025г. Краска в/д для внутр. работ Top/atex 2 10л. - 6 шт.</t>
  </si>
  <si>
    <t>Списание с расчетного счета 00БП-005794 от 13.08.2025 18:01:07</t>
  </si>
  <si>
    <t>ГИДРОИМПУЛЬС ООО</t>
  </si>
  <si>
    <t>Счёт № 416 от 08.09.2025г. Гидронасосы</t>
  </si>
  <si>
    <t>Списание с расчетного счета 00БП-006407 от 11.09.2025 23:41:05</t>
  </si>
  <si>
    <t>ГЛАВРЫБВОД УФК по Республике Саха (Якутия) (Якутский филиал ФГБУ "Главрыбвод" л/с 20166Н21040)</t>
  </si>
  <si>
    <t>Счёт № 2700-000088 от 22.05.2025г.</t>
  </si>
  <si>
    <t>Списание с расчетного счета 00БП-003024 от 23.05.2025 20:52:34</t>
  </si>
  <si>
    <t>РС-18-09-2025-1 от 18.09.2025г. Спец. 1 Спецодежда</t>
  </si>
  <si>
    <t>Списание с расчетного счета 00БП-006905 от 24.09.2025 18:36:07</t>
  </si>
  <si>
    <t>ГЛОБАЛТЕЛ АО</t>
  </si>
  <si>
    <t>Списание с расчетного счета 00БП-004383 от 26.07.2021 18:25:32</t>
  </si>
  <si>
    <t>Списание с расчетного счета 00БП-003554 от 10.06.2025 19:31:45</t>
  </si>
  <si>
    <t>Счёт № МГ00001577 от 22.09.2025г.  Сталь круглая ГОСТ 2590-2006 -0,5 т.</t>
  </si>
  <si>
    <t>Списание с расчетного счета 00БП-006897 от 24.09.2025 18:35:59</t>
  </si>
  <si>
    <t>Григорьева Ирина Борисовна ИП</t>
  </si>
  <si>
    <t>Счёт № ЦБ-2276 от 22.09.2025г. Стеллаж Trend высокий (03 орех 1м)</t>
  </si>
  <si>
    <t>Списание с расчетного счета 00БП-006872 от 23.09.2025 18:41:19</t>
  </si>
  <si>
    <t>Девятко Артур Владимирович ИП</t>
  </si>
  <si>
    <t>Счёт № СП-ЯКТ207 от 09.07.2025г. Запчасти Соболь</t>
  </si>
  <si>
    <t>Списание с расчетного счета 00БП-004553 от 09.07.2025 20:21:36</t>
  </si>
  <si>
    <t>Счёт № СП-ЯКТ59 от 20.05.2025г. Тяга Газель</t>
  </si>
  <si>
    <t>Списание с расчетного счета 00БП-002949 от 21.05.2025 20:10:40</t>
  </si>
  <si>
    <t>Счёт № 25-000021379836 от 26.09.2025г. (ТЗР ООО "НЗ-ПАРТС" Насосы шестерённые)</t>
  </si>
  <si>
    <t>Списание с расчетного счета 00БП-007113 от 29.09.2025 19:11:46</t>
  </si>
  <si>
    <t>Счёт № 25-00211304066 от 09.09.2025г. (ТЗР ООО "Русарсенал-СПБ")</t>
  </si>
  <si>
    <t>Списание с расчетного счета 00БП-006408 от 11.09.2025 23:41:06</t>
  </si>
  <si>
    <t>Счёт № 25-00221190447 от 08.08.2025г. (ТЗР ООО "Автопитер")</t>
  </si>
  <si>
    <t>Списание с расчетного счета 00БП-005516 от 11.08.2025 17:47:01</t>
  </si>
  <si>
    <t>Счёт № 25-00341052092 от 24.09.2025г. (ТЗР ООО "Шакман-Центр" Болт D24)</t>
  </si>
  <si>
    <t>Списание с расчетного счета 00БП-006923 от 25.09.2025 17:23:19</t>
  </si>
  <si>
    <t>Счёт № 25-00551027007 от 29.09.2025г. (ТЗР ООО "Приоритет" )</t>
  </si>
  <si>
    <t>Списание с расчетного счета 00БП-007153 от 30.09.2025 23:59:59</t>
  </si>
  <si>
    <t>Счёт № 25-00551027226 от 24.09.2025г. (ТЗР ООО "Приоритет" Запчасти Komatsu)</t>
  </si>
  <si>
    <t>Списание с расчетного счета 00БП-006956 от 26.09.2025 18:43:04</t>
  </si>
  <si>
    <t>Счёт № 25-00551027261 от 24.09.2025г. (ТЗР ООО "Приоритет" Запчасти Komatsu)</t>
  </si>
  <si>
    <t>Списание с расчетного счета 00БП-006935 от 25.09.2025 17:23:31</t>
  </si>
  <si>
    <t>Счёт № 25-00555011573 от 24.09.2025г. (ТЗР ООО "Приоритет" Запчасти Komatsu).</t>
  </si>
  <si>
    <t>Списание с расчетного счета 00БП-006921 от 25.09.2025 17:23:17</t>
  </si>
  <si>
    <t>Счёт № 25-00661398752 от 10.09.2025г. (ТЗР ООО "Сервис Маш" Счёт № 1677)</t>
  </si>
  <si>
    <t>Списание с расчетного счета 00БП-006423 от 12.09.2025 17:30:25</t>
  </si>
  <si>
    <t>Счёт № 25-00661408752 от 22.09.2025г. (ТЗР ООО "ИППОНСПОРТ" Счёт № 137)</t>
  </si>
  <si>
    <t>Списание с расчетного счета 00БП-006867 от 23.09.2025 18:41:14</t>
  </si>
  <si>
    <t>Счёт № 25-01391179362 от 27.09.2025г. (ТЗР ООО "Гидроимпульс" Гидронасосы)</t>
  </si>
  <si>
    <t>Списание с расчетного счета 00БП-007118 от 29.09.2025 19:11:51</t>
  </si>
  <si>
    <t>Счёт № 25-01801107131 от 05.09.2025г. (ТЗР ООО "Автодеталь" Счёт № 10225, Спец. 8)</t>
  </si>
  <si>
    <t>Списание с расчетного счета 00БП-006324 от 08.09.2025 18:50:14</t>
  </si>
  <si>
    <t>Счёт № 25-01941048404 от 05.09.2025г. (ТЗР ООО "СДИ" Буровой инструмент)</t>
  </si>
  <si>
    <t>Списание с расчетного счета 00БП-006333 от 08.09.2025 18:50:23</t>
  </si>
  <si>
    <t>Счёт № 25-02321132301/1 от 10.09.2025г. (ТЗР ИП Молоткова Н.А. Валики)</t>
  </si>
  <si>
    <t>Списание с расчетного счета 00БП-006404 от 11.09.2025 23:41:02</t>
  </si>
  <si>
    <t>Счёт № 25-02801339305 от 17.09.2025г. (ТЗР ООО "Сваркамолл" Плата 10067683 (CUT100(L221) - 2 шт)</t>
  </si>
  <si>
    <t>Списание с расчетного счета 00БП-006920 от 25.09.2025 17:23:16</t>
  </si>
  <si>
    <t>Счёт № 25-50190252661 от 25.08.2025г. (ТЗР ООО "ФОРСУНКИПРО" Дог. 69)</t>
  </si>
  <si>
    <t>Списание с расчетного счета 00БП-006006 от 26.08.2025 19:15:01</t>
  </si>
  <si>
    <t>Счёт № А-00289421 от 08.08.2025г. Внешний HDD</t>
  </si>
  <si>
    <t>Списание с расчетного счета 00БП-005489 от 08.08.2025 19:20:52</t>
  </si>
  <si>
    <t>До Мира Владимировна ИП</t>
  </si>
  <si>
    <t>Счёт № УТ-59886 от 22.09.2025г. Стройматериалы</t>
  </si>
  <si>
    <t>Списание с расчетного счета 00БП-006877 от 23.09.2025 18:41:24</t>
  </si>
  <si>
    <t>Счёт № УТ-60223 от 23.09.2025г. Профиль направляющий, перегородочный ПН-2 - 4 шт.</t>
  </si>
  <si>
    <t>Списание с расчетного счета 00БП-006890 от 24.09.2025 18:35:52</t>
  </si>
  <si>
    <t>Счёт № УТ-61799 от 29.09.2025г. Пистолет для монтажной пены - 2 шт.</t>
  </si>
  <si>
    <t>Списание с расчетного счета 00БП-007157 от 30.09.2025 23:59:59</t>
  </si>
  <si>
    <t>Счёту № УТ-60185 от 23.09.2025г. Мастика гидроизоляционная КНАУФ Флэхендихт 5 кг Арт 137742 - 9 шт.</t>
  </si>
  <si>
    <t>Списание с расчетного счета 00БП-006895 от 24.09.2025 18:35:57</t>
  </si>
  <si>
    <t>ДОРОГИ АРКТИКИ КП РС(Я)</t>
  </si>
  <si>
    <t>20/2025-ТО789 от 23.07.2025г. ТО автотранспорта</t>
  </si>
  <si>
    <t>Списание с расчетного счета 00БП-006242 от 02.09.2025 18:32:28</t>
  </si>
  <si>
    <t>Списание с расчетного счета 00БП-006246 от 02.09.2025 18:32:32</t>
  </si>
  <si>
    <t>Егоров Роман Геннадьевич ИП</t>
  </si>
  <si>
    <t>СПИ 21.06.2019 от 21.06.2019г.</t>
  </si>
  <si>
    <t>Корректировка поступления 00БП-000021 от 23.07.2025 16:48:30</t>
  </si>
  <si>
    <t>ЗОДЧИЙ ООО</t>
  </si>
  <si>
    <t>ИВЦ АЛЬТА ООО</t>
  </si>
  <si>
    <t>Счёт № 5190197 от 07.06.2024г.</t>
  </si>
  <si>
    <t>Списание с расчетного счета 00БП-003336 от 07.06.2024 20:17:33</t>
  </si>
  <si>
    <t>Игнатьев Сергей Витальевич ИП</t>
  </si>
  <si>
    <t>Счёт № 13 от 24.04.2025г. Комплект защиты</t>
  </si>
  <si>
    <t>Списание с расчетного счета 00БП-002146 от 25.04.2025 19:00:37</t>
  </si>
  <si>
    <t>ИГТ ООО</t>
  </si>
  <si>
    <t>Счёт № 14 от 07.02.2022г от 07.02.2022</t>
  </si>
  <si>
    <t>Списание с расчетного счета 00БП-000172 от 08.02.2022 10:36:25</t>
  </si>
  <si>
    <t>Счёт № 0211754693-0017 от 01.09.2025г. Фильтры масляные</t>
  </si>
  <si>
    <t>Списание с расчетного счета 00БП-006244 от 02.09.2025 18:32:30</t>
  </si>
  <si>
    <t>Счёт № 0211754693-0019 от 01.09.2025г. Генератор Huter HT950A</t>
  </si>
  <si>
    <t>Списание с расчетного счета 00БП-006259 от 03.09.2025 17:18:10</t>
  </si>
  <si>
    <t>Счёт № 0211754693-002 от 12.09.2025г. Манометр высокого давления</t>
  </si>
  <si>
    <t>Списание с расчетного счета 00БП-006732 от 16.09.2025 17:34:50</t>
  </si>
  <si>
    <t>Счёт № 0211754693-0020 от 02.09.2025г. Рулонные шторы</t>
  </si>
  <si>
    <t>Списание с расчетного счета 00БП-006257 от 03.09.2025 17:18:08</t>
  </si>
  <si>
    <t>Счёт № 0211754693-0023 от 05.09.2025г. Измеритель сигнала токовой петли ОВЕН</t>
  </si>
  <si>
    <t>Списание с расчетного счета 00БП-006351 от 09.09.2025 23:59:59</t>
  </si>
  <si>
    <t>Счёт № 0211754693-0024 от 09.09.2025г. Сухпаёк армейский 2300г</t>
  </si>
  <si>
    <t>Списание с расчетного счета 00БП-006378 от 10.09.2025 18:06:40</t>
  </si>
  <si>
    <t>Счёт № 0211754693-0034 от 24.09.2025г. Пенная насадка для Керхер  - 1 шт</t>
  </si>
  <si>
    <t>Списание с расчетного счета 00БП-006930 от 25.09.2025 17:23:26</t>
  </si>
  <si>
    <t>Счёт № 0211754693-0035 от 25.09.2025г. Фильтры масляные  - 3 шт.</t>
  </si>
  <si>
    <t>Списание с расчетного счета 00БП-006925 от 25.09.2025 17:23:21</t>
  </si>
  <si>
    <t>Счёт № 0211754693-0036 от 25.09.2025г. Диск и корзина сцепления</t>
  </si>
  <si>
    <t>Списание с расчетного счета 00БП-007166 от 30.09.2025 23:59:59</t>
  </si>
  <si>
    <t>Счёт № 0211754693-026 от 19.09.2025г. Сальник рулевой рейки - 3 шт.</t>
  </si>
  <si>
    <t>Списание с расчетного счета 00БП-006836 от 22.09.2025 19:07:49</t>
  </si>
  <si>
    <t>Счёт № 0211754693-030 от 22.09.2025г. Часы электронные настенные "Соломон" - 1 шт</t>
  </si>
  <si>
    <t>Списание с расчетного счета 00БП-006841 от 22.09.2025 19:07:54</t>
  </si>
  <si>
    <t>Счёт № 0211754693-031 от 22.09.2025г. Фольгированная подложка. Клейкая лента</t>
  </si>
  <si>
    <t>Списание с расчетного счета 00БП-006874 от 23.09.2025 18:41:21</t>
  </si>
  <si>
    <t>Счёт № 0211754693-032 от 22.09.2025г. Крестики для кафеля. Крестики для плитки.</t>
  </si>
  <si>
    <t>Списание с расчетного счета 00БП-006860 от 23.09.2025 18:41:07</t>
  </si>
  <si>
    <t>ИППОНСПОРТ ООО</t>
  </si>
  <si>
    <t>Счёт № 137 от 12.09.2025г. Весы</t>
  </si>
  <si>
    <t>Списание с расчетного счета 00БП-006824 от 19.09.2025 17:32:20</t>
  </si>
  <si>
    <t>ИТОМАК ЗАО</t>
  </si>
  <si>
    <t>Счёт № 77 от 23.04.2025г. Сита к вибрационному грохоту</t>
  </si>
  <si>
    <t>Списание с расчетного счета 00БП-002032 от 24.04.2025 18:07:44</t>
  </si>
  <si>
    <t>КАМДЕО ООО</t>
  </si>
  <si>
    <t>1 от 11.04.2024г. Приложение 2  сервисное обслуж</t>
  </si>
  <si>
    <t>Списание с расчетного счета 00БП-003273 от 05.06.2024 18:44:06</t>
  </si>
  <si>
    <t>МО-07-11-2023-1 спец 5-1 от 07.11.2023 запчасти</t>
  </si>
  <si>
    <t>Списание с расчетного счета 00БП-007991 от 28.12.2023 15:20:52</t>
  </si>
  <si>
    <t>Списание с расчетного счета 00БП-004098 от 24.06.2025 23:59:59</t>
  </si>
  <si>
    <t>МО-12-01-2024-1 от 12.01.2024г. Спецификация 17 Масло</t>
  </si>
  <si>
    <t>Списание с расчетного счета 00БП-000974 от 26.03.2025 19:28:59</t>
  </si>
  <si>
    <t>Счёт № 6891 от 15.09.2025г.  Запчасти для автомобилей (Шланги, лампы, свечи зажигания)</t>
  </si>
  <si>
    <t>Списание с расчетного счета 00БП-006761 от 17.09.2025 19:43:13</t>
  </si>
  <si>
    <t>Списание с расчетного счета 00БП-007168 от 30.09.2025 23:59:59</t>
  </si>
  <si>
    <t>КОНТИНЕНТ ЗОЛОТО ООО</t>
  </si>
  <si>
    <t>7-БВ/25 от 05.06.2025г. Комплекс горных работ Нера-Талалах</t>
  </si>
  <si>
    <t>Списание с расчетного счета 00БП-003561 от 10.06.2025 19:31:52</t>
  </si>
  <si>
    <t>Списание с расчетного счета 00БП-005065 от 23.07.2025 20:44:30</t>
  </si>
  <si>
    <t>Списание с расчетного счета 00БП-005965 от 22.08.2025 17:42:48</t>
  </si>
  <si>
    <t>Списание с расчетного счета 00БП-006751 от 16.09.2025 17:35:09</t>
  </si>
  <si>
    <t>КонтрактСервис ООО</t>
  </si>
  <si>
    <t>Счёт № 820044344164 от 06.05.2025г. Ходовая для МЗТ Шантуй</t>
  </si>
  <si>
    <t>Корректировка долга 00БП-000058 от 01.08.2025 20:45:06</t>
  </si>
  <si>
    <t>ТСЗ-100000232-0147 от 04.10.2023г. Спец. № 4114177 Гусеница в сборе 40L 1G 610мм - 2 шт</t>
  </si>
  <si>
    <t>Списание с расчетного счета 00БП-007134 от 29.09.2025 19:12:07</t>
  </si>
  <si>
    <t>Корнилов Виталий Игоревич ИП</t>
  </si>
  <si>
    <t>Счёт № Р-871 от 22.09.2025г. Керамогранит для душевой комнаты</t>
  </si>
  <si>
    <t>Списание с расчетного счета 00БП-006876 от 23.09.2025 18:41:23</t>
  </si>
  <si>
    <t>1303-2023 от 13.03.2025г. Спец. 7-2 FEMA 2657309536 клапан - 2 шт</t>
  </si>
  <si>
    <t>Списание с расчетного счета 00БП-006845 от 22.09.2025 19:07:58</t>
  </si>
  <si>
    <t>1303-2023 от 13.03.2025г. Спец. 8 2657826356 Джойстик- 1 шт.</t>
  </si>
  <si>
    <t>Списание с расчетного счета 00БП-006846 от 22.09.2025 19:07:59</t>
  </si>
  <si>
    <t>Счёт № 146 от 06.06.2025г. Прокладка ГБЦ - 9 шт.</t>
  </si>
  <si>
    <t>Списание с расчетного счета 00БП-003489 от 09.06.2025 17:55:38</t>
  </si>
  <si>
    <t>Кукин Егор Алексеевич ИП</t>
  </si>
  <si>
    <t>Счёт № 77323 от 16.09.2025г.  Блок питания для сетевого хранилища QNAR</t>
  </si>
  <si>
    <t>Списание с расчетного счета 00БП-006840 от 22.09.2025 19:07:53</t>
  </si>
  <si>
    <t>Счёт №  ЦБ-3744 от 15.08.2025г. Наконечники тяги рулевой трапеции</t>
  </si>
  <si>
    <t>Списание с расчетного счета 00БП-005884 от 18.08.2025 17:47:17</t>
  </si>
  <si>
    <t>Счёт № ЦБ-2465 от 17.06.2025г. Вилка ЯМЗ выключения сцепления</t>
  </si>
  <si>
    <t>Списание с расчетного счета 00БП-004006 от 20.06.2025 19:02:29</t>
  </si>
  <si>
    <t>Счёт № ЦБ-4271 от 08.09.2025г.  Радиатор водяной (УРАЛ) - 1 шт. Стартер (ЯМЗ) - 1 шт.</t>
  </si>
  <si>
    <t>Списание с расчетного счета 00БП-006352 от 09.09.2025 23:59:59</t>
  </si>
  <si>
    <t>Счёт № ЦБ-4277 от 09.09.2025г. Привод вентилятора (ЯМЗ) - 2 шт.</t>
  </si>
  <si>
    <t>Списание с расчетного счета 00БП-006655 от 15.09.2025 20:00:13</t>
  </si>
  <si>
    <t>Счёт № ЦБ-4305 от 10 сентября 2025г. Клемма АКБ СВИНЕЦ - 50 к-т.</t>
  </si>
  <si>
    <t>Списание с расчетного счета 00БП-006652 от 15.09.2025 20:00:10</t>
  </si>
  <si>
    <t>ЦБ-4421 от 15.09.2025г. (Цилиндры БелАЗ - 2 шт., Фильт ры масл. - 10 шт.)</t>
  </si>
  <si>
    <t>Списание с расчетного счета 00БП-006802 от 18.09.2025 17:50:44</t>
  </si>
  <si>
    <t>МЕТАЛЛЭНЕРГОХОЛДИНГ ООО ГК</t>
  </si>
  <si>
    <t>Счёт № КМЮ2026 от 20.05.2025г. Краны шаровые</t>
  </si>
  <si>
    <t>Списание с расчетного счета 00БП-002968 от 21.05.2025 20:10:59</t>
  </si>
  <si>
    <t>Счёт № КМЮ3505 от 05.09.2025г. Шайбы дроссельные Гранбаланс</t>
  </si>
  <si>
    <t>Списание с расчетного счета 00БП-006355 от 09.09.2025 23:59:59</t>
  </si>
  <si>
    <t>Метир СПб ООО</t>
  </si>
  <si>
    <t>Счёт № МТ000000406 от 08.07.2025г. (ТЗР ООО "Завод Пирс")</t>
  </si>
  <si>
    <t>Списание с расчетного счета 00БП-004783 от 11.07.2025 17:24:48</t>
  </si>
  <si>
    <t>Мецкан Ярослав Васильевич ИП</t>
  </si>
  <si>
    <t>Авансовый отчет 00БП-000058 от 19.03.2025 15:03:17</t>
  </si>
  <si>
    <t>FE-S/21-025 от 18.10.2021</t>
  </si>
  <si>
    <t>Списание с расчетного счета 00БП-007127 от 29.09.2025 19:12:00</t>
  </si>
  <si>
    <t>Основной (курсовая разница)</t>
  </si>
  <si>
    <t>Списание с расчетного счета 00БП-002496 от 23.05.2023 18:50:13</t>
  </si>
  <si>
    <t>Счет № FECB-004969 от 29.03.2024 г. ШЛАНГИ  Договор №FE-P/22-063 от 19.12.22г.</t>
  </si>
  <si>
    <t>Списание с расчетного счета 00БП-001526 от 09.04.2024 19:40:18</t>
  </si>
  <si>
    <t>Счёт № FECB-006203 от 27.03.2025г. Договор № FE-P/22-063 от 19.12.22г. Запчасти LIUGONG</t>
  </si>
  <si>
    <t>Списание с расчетного счета 00БП-001309 от 04.04.2025 19:33:58</t>
  </si>
  <si>
    <t>Счет № FECB-006443 от 16.04.2024 г. Договор №FE-P/22-063 от 19.12.22г.</t>
  </si>
  <si>
    <t>Списание с расчетного счета 00БП-001915 от 17.04.2024 20:48:15</t>
  </si>
  <si>
    <t>Счёт № FECB-008170 от 15.04.2025г. Договор № FE-P/22-063 от 19.12.22г. Ремни, болты, гайки</t>
  </si>
  <si>
    <t>Списание с расчетного счета 00БП-001873 от 16.04.2025 19:34:09</t>
  </si>
  <si>
    <t>Счёт № FECB-010222 от 03.05.2025г. Договор № FE-P/22-063 от 19.12.22г. Шланги137 658,66</t>
  </si>
  <si>
    <t>Списание с расчетного счета 00БП-002445 от 07.05.2025 17:27:22</t>
  </si>
  <si>
    <t>Счёт № FECB-011951 от 16.05.2025г. Договор № FE-P/22-063 от 19.12.22г. Втулки, штифты 372 271,48</t>
  </si>
  <si>
    <t>Списание с расчетного счета 00БП-002911 от 19.05.2025 18:19:55</t>
  </si>
  <si>
    <t>Счёт № FECB-011960 от 14.06.2024г. Договор № FE-P/22-063 от 19.12.22г. Уплотнительные кольца</t>
  </si>
  <si>
    <t>Списание с расчетного счета 00БП-003849 от 24.06.2024 17:54:34</t>
  </si>
  <si>
    <t>Счёт № FECB-013110 от 27.06.2024г. Договор № FE-P/22-063 от 19.12.22г. (Сальник)</t>
  </si>
  <si>
    <t>Списание с расчетного счета 00БП-003944 от 27.06.2024 23:59:59</t>
  </si>
  <si>
    <t>Счёт № FECB-013317 от 01.07.2024г. Договор № FE-P/14-111 от 19.12.22г. Пружина, болт, гайка</t>
  </si>
  <si>
    <t>Счет № FECB-013401 от 29.05.2025  Договор №FE-P/22-063 от 19.12.22г.</t>
  </si>
  <si>
    <t>Списание с расчетного счета 00БП-004434 от 03.07.2025 18:29:11</t>
  </si>
  <si>
    <t>Счёт № FECB-013671 от 03.07.2024г. Договор № FE-P/22-063 от 19.12.22г.</t>
  </si>
  <si>
    <t>Списание с расчетного счета 00БП-004303 от 05.07.2024 18:28:48</t>
  </si>
  <si>
    <t>Счёт № FECB-013758 от 04.07.2024г. Договор № FE-P/14-111</t>
  </si>
  <si>
    <t>Счёт № FECB-014137 от 05.06.2025г. Договор № FE-P/22-063 от 19.12.22г. Запчасти Komatsu</t>
  </si>
  <si>
    <t>Списание с расчетного счета 00БП-003509 от 09.06.2025 17:55:58</t>
  </si>
  <si>
    <t>Счёт № FECB-015268 от 17.06.2025г. Договор № FE-P/22-063 от 19.12.22г. Запчасти Komatsu</t>
  </si>
  <si>
    <t>Списание с расчетного счета 00БП-004103 от 24.06.2025 23:59:59</t>
  </si>
  <si>
    <t>Счёт № FECB-015269 от 17.06.2025г. Договор FE-P/22-063 от 19.12.22г. Запчасти Komatsu</t>
  </si>
  <si>
    <t>Списание с расчетного счета 00БП-004007 от 20.06.2025 19:02:30</t>
  </si>
  <si>
    <t>Счёт № FECB-015272 от 17.06.2025г. Договор № FE-P/22-063 от 19.12.22г. Запчасти Komatsu.</t>
  </si>
  <si>
    <t>Списание с расчетного счета 00БП-004307 от 30.06.2025 23:59:59</t>
  </si>
  <si>
    <t>Счёт № FECB-016236 от 30.07.2024г. Договор № FE-P/14-111</t>
  </si>
  <si>
    <t>Счёт № FECB-016448 от 30.06.2025г. Договор № FE-P/22-063 от 19.12.22г. Запчасти Komatsu</t>
  </si>
  <si>
    <t>Списание с расчетного счета 00БП-004362 от 01.07.2025 20:38:33</t>
  </si>
  <si>
    <t>Счёт № FECB-016903 от 07.08.2024г. Договор № FE-P/22-063 от 19.12.22г.  Втулки</t>
  </si>
  <si>
    <t>Списание с расчетного счета 00БП-005316 от 08.08.2024 17:52:19</t>
  </si>
  <si>
    <t>Счёт № FECB-017079 от 04.07.2025г. Договор FE-P/22-063 от 19.12.22г. Фильтры</t>
  </si>
  <si>
    <t>Списание с расчетного счета 00БП-004561 от 09.07.2025 20:21:44</t>
  </si>
  <si>
    <t>Счёт № FECB-017936 от 16.08.2024г. Договор № FE-P/22-063 от 19.12.22г. Шланги. Электродвигатель.</t>
  </si>
  <si>
    <t>Списание с расчетного счета 00БП-005769 от 20.08.2024 18:37:41</t>
  </si>
  <si>
    <t>Счёт № FECB-018565 от 21.08.2024г. Договор № FE-P/22-063 от 19.12.22г. Ножи, болты, гайки, трубки, ш</t>
  </si>
  <si>
    <t>Списание с расчетного счета 00БП-005912 от 27.08.2024 17:47:21</t>
  </si>
  <si>
    <t>Счёт № FECB-019929 от 03.09.2024г. Договор № FE-P/22-063 от 19.12.22г. (Сальники, шланги)</t>
  </si>
  <si>
    <t>Списание с расчетного счета 00БП-006187 от 06.09.2024 17:41:07</t>
  </si>
  <si>
    <t>Счет № FECB-020593  Договор №FE-P/22-063 от 19.12.22г.</t>
  </si>
  <si>
    <t>Списание с расчетного счета 00БП-006248 от 02.09.2025 18:32:34</t>
  </si>
  <si>
    <t>Счёт № FECB-022405 о25.08.2025г. Договор № FE-P/22-063 от 19.12.22г. Запчасти Komatsu</t>
  </si>
  <si>
    <t>Списание с расчетного счета 00БП-006749 от 16.09.2025 17:35:07</t>
  </si>
  <si>
    <t>Счёт № FECB-022473   Договор № FE-P/22-063 от 19.12.22г. Втулки, Клапан</t>
  </si>
  <si>
    <t>Списание с расчетного счета 00БП-006906 от 24.09.2025 18:36:08</t>
  </si>
  <si>
    <t>Счёт № FECB-022781 от 28.08.2025г Договор № FE-P/22-063 от 19.12.22г.  Фильтры, кожухи</t>
  </si>
  <si>
    <t>Списание с расчетного счета 00БП-006247 от 02.09.2025 18:32:33</t>
  </si>
  <si>
    <t>Счёт № FECB-023345 от 03.09.2025г. Договор № FE-P/22-063 от 19.12.22г. Насос, штифты, втулки</t>
  </si>
  <si>
    <t>Списание с расчетного счета 00БП-006314 от 05.09.2025 18:19:38</t>
  </si>
  <si>
    <t>Счёт № FECB-023355 от 03.09.2025г. Договор № FE-P/22-063 от 19.12.22г.Фильтрующий картридж 4 шт</t>
  </si>
  <si>
    <t>Списание с расчетного счета 00БП-006326 от 08.09.2025 18:50:16</t>
  </si>
  <si>
    <t>Счёт № FECB-024228 от 11.09.2025г. Договор № FE-P/22-063 от 19.12.22г. Запчасти Komatsu</t>
  </si>
  <si>
    <t>Списание с расчетного счета 00БП-006748 от 16.09.2025 17:35:06</t>
  </si>
  <si>
    <t>Счёт № FECB-024601 от 15.09.2025г. Договор № FE-P/22-063 от 19.12.22г. Запчасти Komatsu</t>
  </si>
  <si>
    <t>Списание с расчетного счета 00БП-006881 от 23.09.2025 18:41:28</t>
  </si>
  <si>
    <t>Счёт № FECB-024603 от 15.09.2025г. Договор № FE-P/22-063 от 19.12.22г. Запчасти Komatsu.</t>
  </si>
  <si>
    <t>Списание с расчетного счета 00БП-007132 от 29.09.2025 19:12:05</t>
  </si>
  <si>
    <t>Счёт № FECB-024833 от 17.09.2025г. Договор № FE-P/22-063 от 19.12.22г. Запчасти Komatsu</t>
  </si>
  <si>
    <t>Списание с расчетного счета 00БП-007044 от 26.09.2025 18:44:32</t>
  </si>
  <si>
    <t>Счёт № FECB-025549 от 23.09.2025г. Договор № FE-P/22-063 от 19.12.22г. Запчасти Komatsu</t>
  </si>
  <si>
    <t>Списание с расчетного счета 00БП-006940 от 25.09.2025 17:23:36</t>
  </si>
  <si>
    <t>Счёт № FECB-025551 от 23.09.2025г. Договор № FE-P/22-063 от 19.12.22г. Запчасти Komatsu</t>
  </si>
  <si>
    <t>Списание с расчетного счета 00БП-007045 от 26.09.2025 18:44:33</t>
  </si>
  <si>
    <t>Счёт № FECB-025553 от 23.09.2025г. Договор № FE-P/22-063 от 19.12.22г. Запчасти Komatsu.</t>
  </si>
  <si>
    <t>Списание с расчетного счета 00БП-007133 от 29.09.2025 19:12:06</t>
  </si>
  <si>
    <t>Счёт № FECB-025612 от 24.09.2025г. Договор № FE-P/22-063 от 19.12.22г. Коронка D375 - 50 шт</t>
  </si>
  <si>
    <t>Списание с расчетного счета 00БП-006939 от 25.09.2025 17:23:35</t>
  </si>
  <si>
    <t>Счет № FECB-028846 от 25.12.2024 г. Договор №FE-P/22-063 от 19.12.22г.</t>
  </si>
  <si>
    <t>Списание с расчетного счета 00БП-000064 от 16.01.2025 9:16:39</t>
  </si>
  <si>
    <t>Молоткова Нелли Александровна ИП</t>
  </si>
  <si>
    <t>БН Счёт № 145 от 05.09.2025г. Валик (брезент)</t>
  </si>
  <si>
    <t>Списание с расчетного счета 00БП-006331 от 08.09.2025 18:50:21</t>
  </si>
  <si>
    <t>Списание с расчетного счета 00БП-005421 от 04.08.2025 21:25:13</t>
  </si>
  <si>
    <t>Списание с расчетного счета 00БП-003368 от 03.06.2025 17:39:22</t>
  </si>
  <si>
    <t>Списание с расчетного счета 00БП-002372 от 05.05.2025 19:41:43</t>
  </si>
  <si>
    <t>Списание с расчетного счета 00БП-005420 от 04.08.2025 21:25:12</t>
  </si>
  <si>
    <t>Списание с расчетного счета 00БП-004275 от 04.07.2024 18:48:03</t>
  </si>
  <si>
    <t>Списание с расчетного счета 00БП-002375 от 05.05.2025 19:41:46</t>
  </si>
  <si>
    <t>Списание с расчетного счета 00БП-005418 от 04.08.2025 21:25:10</t>
  </si>
  <si>
    <t>НЗ-ПАРТС ООО</t>
  </si>
  <si>
    <t>Счёт № УТ-3167 от 23.09.2025г. Насос шестерённый НШ-10У-3 (правый (РФ)) МЛМЗ - 2 шт</t>
  </si>
  <si>
    <t>Списание с расчетного счета 00БП-006928 от 25.09.2025 17:23:24</t>
  </si>
  <si>
    <t>Новоселова Людмила Владиславовна ИП</t>
  </si>
  <si>
    <t>Авансовый отчет 00БП-000061 от 21.03.2025 17:05:13</t>
  </si>
  <si>
    <t>Авансовый отчет 00БП-000196 от 26.05.2025 17:17:33</t>
  </si>
  <si>
    <t>Авансовый отчет 00БП-000231 от 25.06.2025 16:15:28</t>
  </si>
  <si>
    <t>Авансовый отчет 00БП-000234 от 03.07.2025 15:38:44</t>
  </si>
  <si>
    <t>Авансовый отчет 00БП-000242 от 10.07.2025 15:42:35</t>
  </si>
  <si>
    <t>Авансовый отчет 00БП-000245 от 14.07.2025 17:24:30</t>
  </si>
  <si>
    <t>Счёт № 34 от 24.04.2025г. Фильтры, масла, демонтаж защиты</t>
  </si>
  <si>
    <t>Списание с расчетного счета 00БП-002297 от 30.04.2025 23:59:59</t>
  </si>
  <si>
    <t>Счёт № УТ-15617 от 18 сентября 2025г. Стройматериалы. метизы.</t>
  </si>
  <si>
    <t>Списание с расчетного счета 00БП-006825 от 19.09.2025 17:32:21</t>
  </si>
  <si>
    <t>Счёт № УТ-16196 от 29.09.2025г. Пена полиуретановая профессиональная зимняя - 24 шт.</t>
  </si>
  <si>
    <t>Списание с расчетного счета 00БП-007165 от 30.09.2025 23:59:59</t>
  </si>
  <si>
    <t>ПЛАНЕТА БЕЗОПАСНОСТИ ТОРГОВЫЙ ДОМ ООО</t>
  </si>
  <si>
    <t>Счёт № 24069 от 23.06.2025г. Комплектующие для видеонаблюдения</t>
  </si>
  <si>
    <t>Списание с расчетного счета 00БП-004099 от 24.06.2025 23:59:59</t>
  </si>
  <si>
    <t>ПЛАСТЕКС ООО</t>
  </si>
  <si>
    <t>Счёт № 580 от 06.09.2025г. Емкость "ОВАЛЬНАЯ" 65*180*150 см с полосой * 1500л. - 1 шт.</t>
  </si>
  <si>
    <t>Списание с расчетного счета 00БП-006330 от 08.09.2025 18:50:20</t>
  </si>
  <si>
    <t>Счёт № 581 от 06.09.2025г. ИРПЛАСТ Ёмкость ЕК 2000 лит.- 1 шт.</t>
  </si>
  <si>
    <t>Списание с расчетного счета 00БП-006334 от 08.09.2025 18:50:24</t>
  </si>
  <si>
    <t>Списание с расчетного счета 00БП-004942 от 16.07.2025 18:27:15</t>
  </si>
  <si>
    <t>Списание с расчетного счета 00БП-005010 от 21.07.2025 17:20:10</t>
  </si>
  <si>
    <t>Списание с расчетного счета 00БП-005011 от 21.07.2025 17:20:11</t>
  </si>
  <si>
    <t>Списание с расчетного счета 00БП-005986 от 25.08.2025 20:08:34</t>
  </si>
  <si>
    <t>Списание с расчетного счета 00БП-005988 от 25.08.2025 20:08:36</t>
  </si>
  <si>
    <t>ПРОФСВАРКА ООО</t>
  </si>
  <si>
    <t>Счёт № 1242 от 24.09.2025г. Катод СР 101-141 - 20 шт.</t>
  </si>
  <si>
    <t>Списание с расчетного счета 00БП-006926 от 25.09.2025 17:23:22</t>
  </si>
  <si>
    <t>Рефтранзит ООО</t>
  </si>
  <si>
    <t>ВД-01-02-2024 от 01.02.2024г.</t>
  </si>
  <si>
    <t>Списание с расчетного счета 00БП-006880 от 23.09.2025 18:41:27</t>
  </si>
  <si>
    <t>РОЛЬФ АО филиал СИТИ</t>
  </si>
  <si>
    <t>Счёт 2 74699568 от 09.04.2025г. ТО Toyota Land Cruiser Аб04НР14</t>
  </si>
  <si>
    <t>Списание с расчетного счета 00БП-001818 от 15.04.2025 18:43:43</t>
  </si>
  <si>
    <t>14/398-2025 от 13.08.2025г. Обман 0,1446га  28 535,32</t>
  </si>
  <si>
    <t>Списание с расчетного счета 00БП-005939 от 21.08.2025 17:24:51</t>
  </si>
  <si>
    <t>РУСАРСЕНАЛ-СПБ ООО</t>
  </si>
  <si>
    <t>Счёт № УТ-9045 от 29.07.2025г. Стиральный порошок, хоз товары</t>
  </si>
  <si>
    <t>Списание с расчетного счета 00БП-005353 от 31.07.2025 23:59:59</t>
  </si>
  <si>
    <t>РУСТЕХНИКА ООО ТОРГОВО-СЕРВИСНАЯ КОМПАНИЯ</t>
  </si>
  <si>
    <t>Счёт № УТ-8119 от 15.08.2025г. LNC-188 ПО KAMAZ для сканеров Launch.</t>
  </si>
  <si>
    <t>Списание с расчетного счета 00БП-005900 от 19.08.2025 21:00:43</t>
  </si>
  <si>
    <t>БС-02.12.22/11 от 02.12.2022г. Спец. 9 Запчасти Komatsu</t>
  </si>
  <si>
    <t>Списание с расчетного счета 00БП-004101 от 24.06.2025 23:59:59</t>
  </si>
  <si>
    <t>Списание с расчетного счета 00БП-004249 от 27.06.2025 17:37:22</t>
  </si>
  <si>
    <t>Счёт № 90 от 21.05.2025г. Адаптеры</t>
  </si>
  <si>
    <t>Списание с расчетного счета 00БП-004097 от 24.06.2025 23:59:59</t>
  </si>
  <si>
    <t>СВАРКАМОЛЛ ООО</t>
  </si>
  <si>
    <t>Счёт № УТ-2289 от 09.09.2025г. Плата 10067683 (CUT100(L221) - 2 шт.</t>
  </si>
  <si>
    <t>Списание с расчетного счета 00БП-006377 от 10.09.2025 18:06:39</t>
  </si>
  <si>
    <t>Свинцицкий Семен Владимирович ИП</t>
  </si>
  <si>
    <t>Счёт № РТ-560 от 22.09.2025г. Уголок комбинированный</t>
  </si>
  <si>
    <t>Списание с расчетного счета 00БП-006857 от 23.09.2025 18:41:04</t>
  </si>
  <si>
    <t>СДИ ООО</t>
  </si>
  <si>
    <t>Счёт № 286 от 27.06.2025г. Инструмент</t>
  </si>
  <si>
    <t>Списание с расчетного счета 00БП-004248 от 27.06.2025 17:37:21</t>
  </si>
  <si>
    <t>Счёт № ЦБ-2382 от 15.04.2025г. Фитинги</t>
  </si>
  <si>
    <t>Списание с расчетного счета 00БП-001865 от 16.04.2025 19:34:01</t>
  </si>
  <si>
    <t>Счёт № ЦБ-6409 от 26.08.2025г. Турбокомпрессор 17201-0L070 2KD-FTV ORIG Hilux - 1 шт.</t>
  </si>
  <si>
    <t>Списание с расчетного счета 00БП-006146 от 27.08.2025 18:31:53</t>
  </si>
  <si>
    <t>Северовостокуголь ООО</t>
  </si>
  <si>
    <t>3-2025 от 09.12.2024г.</t>
  </si>
  <si>
    <t>Списание с расчетного счета 00БП-000553 от 07.03.2025 17:21:20</t>
  </si>
  <si>
    <t>Счёт № 1440 от 30.07.2025г. Сигнальное оборудование для автомобилей.</t>
  </si>
  <si>
    <t>Списание с расчетного счета 00БП-005797 от 13.08.2025 18:01:10</t>
  </si>
  <si>
    <t>Счёт № 1677 от 05 сентября 2025г 5336-3506085-01 Шланг - 10 шт.</t>
  </si>
  <si>
    <t>Списание с расчетного счета 00БП-006375 от 10.09.2025 18:06:37</t>
  </si>
  <si>
    <t>Счёт № 1737 от 16.09.2025г. Запчасти на БелАЗ (Пальцы, цилиндры, гидрораспределители).</t>
  </si>
  <si>
    <t>Списание с расчетного счета 00БП-006827 от 19.09.2025 17:32:23</t>
  </si>
  <si>
    <t>Сидоров Николай Александрович ИП</t>
  </si>
  <si>
    <t>Счет 95 от 16.12.2024</t>
  </si>
  <si>
    <t>Списание с расчетного счета 00БП-009304 от 18.12.2024 13:07:13</t>
  </si>
  <si>
    <t>Счёт № 65 от 29.08.2025г. Датчики износа тормозных колодок Land Rover</t>
  </si>
  <si>
    <t>Списание с расчетного счета 00БП-006395 от 11.09.2025 23:40:53</t>
  </si>
  <si>
    <t>Счёт № 68 от 11.09.2025г. Амортизатор Toyota Highlander передний KYB - 2 шт.</t>
  </si>
  <si>
    <t>Списание с расчетного счета 00БП-006740 от 16.09.2025 17:34:58</t>
  </si>
  <si>
    <t>Счёт № ЯКТ10916 от 22.09.2025г. (ТЗР ООО "Сервис Маш" Запчасти)</t>
  </si>
  <si>
    <t>Списание с расчетного счета 00БП-006871 от 23.09.2025 18:41:18</t>
  </si>
  <si>
    <t>Счёт № ЯКТ11106 от 25.09.2025г. (ТЗР ООО "Бела"  Тенты Тарпаулин)</t>
  </si>
  <si>
    <t>Списание с расчетного счета 00БП-007035 от 26.09.2025 18:44:23</t>
  </si>
  <si>
    <t>Счёт № ЯКТ11132 от 25.09.2025г. (ТЗР ООО "Глобал Фиш"  Спецодежда)</t>
  </si>
  <si>
    <t>Списание с расчетного счета 00БП-007043 от 26.09.2025 18:44:31</t>
  </si>
  <si>
    <t>Счёт № СФРХ_00734 от 11.04.2025г. Фильтры</t>
  </si>
  <si>
    <t>Списание с расчетного счета 00БП-001766 от 14.04.2025 19:30:11</t>
  </si>
  <si>
    <t>Тарасов Владимир Андреевич ИП</t>
  </si>
  <si>
    <t>Счёт № НБ-261 от 26.04.2025г. Столы, стулья</t>
  </si>
  <si>
    <t>Списание с расчетного счета 00БП-004389 от 02.07.2025 18:29:40</t>
  </si>
  <si>
    <t>Счёт № НБ-262 от 26.06.2025г. Стул металл. "Венский"- 2 шт.</t>
  </si>
  <si>
    <t>Списание с расчетного счета 00БП-004385 от 02.07.2025 18:29:36</t>
  </si>
  <si>
    <t>Тахватулин Артем Кимальевич ИП</t>
  </si>
  <si>
    <t>Счёт № 227 от 16.07.2025г. Запчасти</t>
  </si>
  <si>
    <t>Списание с расчетного счета 00БП-004998 от 21.07.2025 17:19:58</t>
  </si>
  <si>
    <t>ТЕКТОНА-ТАЙЛ ООО</t>
  </si>
  <si>
    <t>Счёт № ЦБ-60 от 22.09.2025г. Клей Litoflex K80, клеевая смесь для керамогранита (25кг) - 31 шт</t>
  </si>
  <si>
    <t>Списание с расчетного счета 00БП-007170 от 30.09.2025 23:59:59</t>
  </si>
  <si>
    <t>ТЕХНОАВИА-САХА ООО</t>
  </si>
  <si>
    <t>Счёт № УТ-5611 от 26.03.2025г. Плащ - дождевик</t>
  </si>
  <si>
    <t>Списание с расчетного счета 00БП-001079 от 28.03.2025 21:31:11</t>
  </si>
  <si>
    <t>01-2024/ТХ от 09.01.2024г. Спец. 3 Рукав полиэтиленовый ПВД д.230мм</t>
  </si>
  <si>
    <t>Списание с расчетного счета 00БП-006411 от 11.09.2025 23:41:09</t>
  </si>
  <si>
    <t>Счёт № КТ-2113 от 28.08.2025г. Запчасти МЗТ</t>
  </si>
  <si>
    <t>Списание с расчетного счета 00БП-006309 от 05.09.2025 18:19:33</t>
  </si>
  <si>
    <t>ТИНКЕР ГРУПП ООО</t>
  </si>
  <si>
    <t>Счёт № 00695 от 12.09.2025г. Фильтр воздушный Shacman</t>
  </si>
  <si>
    <t>Списание с расчетного счета 00БП-006733 от 16.09.2025 17:34:51</t>
  </si>
  <si>
    <t>ТРАК ООО</t>
  </si>
  <si>
    <t>Счёт-договор № УТ-436 от 22.09.2025г. Фильтры воздушные SHACMAN X5000</t>
  </si>
  <si>
    <t>Списание с расчетного счета 00БП-006873 от 23.09.2025 18:41:20</t>
  </si>
  <si>
    <t>УНОКСШОП ООО</t>
  </si>
  <si>
    <t>Счёт № 1717 от 02.06.2025г. Мясорубка МИМ-300</t>
  </si>
  <si>
    <t>Списание с расчетного счета 00БП-003457 от 06.06.2025 18:48:53</t>
  </si>
  <si>
    <t>УРАЛСЕРВИСЗАПЧАСТЬ ООО ТК</t>
  </si>
  <si>
    <t>Счёт-Договор № 00338ТК от 26.05.2025г. Привод заднего моста</t>
  </si>
  <si>
    <t>Списание с расчетного счета 00БП-003544 от 10.06.2025 19:31:35</t>
  </si>
  <si>
    <t>ФОРСУНКИПРО ООО</t>
  </si>
  <si>
    <t>69 от 16.06.2025г. Спец. 1 ТНВД</t>
  </si>
  <si>
    <t>Списание с расчетного счета 00БП-004453 от 04.07.2025 21:20:07</t>
  </si>
  <si>
    <t>ФУРА ООО</t>
  </si>
  <si>
    <t>Счёт № УТ-99 от 16.07.2025г. Пневморессора - 2 шт</t>
  </si>
  <si>
    <t>Списание с расчетного счета 00БП-004951 от 17.07.2025 22:01:21</t>
  </si>
  <si>
    <t>Хит Машинери ООО</t>
  </si>
  <si>
    <t>БС-13.12.21/2 от 14.12.2021г</t>
  </si>
  <si>
    <t>Списание с расчетного счета 00БП-000129 от 02.02.2022 12:27:30</t>
  </si>
  <si>
    <t>Хотой МУП</t>
  </si>
  <si>
    <t>04-00043 от 01.04.2025 (Айхал, вывоз ТКО)</t>
  </si>
  <si>
    <t>Корректировка долга 00БП-000097 от 30.09.2025 10:00:00</t>
  </si>
  <si>
    <t>04-00044 от 01.04.2025 (Эрел, вывоз ТКО)</t>
  </si>
  <si>
    <t>Корректировка долга 00БП-000098 от 30.09.2025 23:59:59</t>
  </si>
  <si>
    <t>51/05-ю/2025 от 06.05.2025г. (50737-20)</t>
  </si>
  <si>
    <t>Списание с расчетного счета 00БП-002985 от 22.05.2025 18:45:28</t>
  </si>
  <si>
    <t>Центрторгмагадан ООО</t>
  </si>
  <si>
    <t>Счёт № ЦМ-688 от 11.04.2025г. Гвозди</t>
  </si>
  <si>
    <t>Списание с расчетного счета 00БП-002338 от 05.05.2025 19:41:07</t>
  </si>
  <si>
    <t>ЦЛАТИ ПО ДФО ФГБУ.</t>
  </si>
  <si>
    <t>03-67/25 от 03.03.2025г.</t>
  </si>
  <si>
    <t>Списание с расчетного счета 00БП-000726 от 13.03.2025 18:56:14</t>
  </si>
  <si>
    <t>Заказ № 15905106 от 19.09.2025г. HANTEK 2D72 Портативный мини-осциллограф 70МГц-мультиметр/ Hantek -</t>
  </si>
  <si>
    <t>Списание с расчетного счета 00БП-006842 от 22.09.2025 19:07:55</t>
  </si>
  <si>
    <t>ШАКМАН-ЦЕНТР ООО</t>
  </si>
  <si>
    <t>Счёт № 2576/1 от 22.09.2025г. Болт D24, L120, (вилки основного амортизатора) SHAANXI, F3000 - 4 шт.</t>
  </si>
  <si>
    <t>Списание с расчетного счета 00БП-006859 от 23.09.2025 18:41:06</t>
  </si>
  <si>
    <t>ЭЛЕКТРОПОСТАВЩИК ООО</t>
  </si>
  <si>
    <t>Счёт № ЭП10072 от 04.08.2025г. Электродвигатель общепромышленный - 2 шт.</t>
  </si>
  <si>
    <t>Списание с расчетного счета 00БП-005436 от 05.08.2025 16:29:48</t>
  </si>
  <si>
    <t>Счёт № FECB-027184 от 25.11.2024г Договор № FE-P/22-063 от 19.12.22г. USD Двигатель</t>
  </si>
  <si>
    <t>Списание с расчетного счета 00БП-009059 от 02.12.2024 16:28:38</t>
  </si>
  <si>
    <t>№ БС-02.12.22/11 от 02.12.2022г., спец № 4 от 15.01.2024 ($ доллар) запчасти</t>
  </si>
  <si>
    <t>Списание с расчетного счета 00БП-005176 от 31.07.2024 23:59:59</t>
  </si>
  <si>
    <t>30.07.25</t>
  </si>
  <si>
    <t>19.03.25</t>
  </si>
  <si>
    <t>12.08.25</t>
  </si>
  <si>
    <t>15.04.25</t>
  </si>
  <si>
    <t>13.12.24</t>
  </si>
  <si>
    <t>23.09.25</t>
  </si>
  <si>
    <t>25.02.25</t>
  </si>
  <si>
    <t>30.01.25</t>
  </si>
  <si>
    <t>03.09.25</t>
  </si>
  <si>
    <t>20.08.25</t>
  </si>
  <si>
    <t>31.07.25</t>
  </si>
  <si>
    <t>03.12.24</t>
  </si>
  <si>
    <t>13.08.25</t>
  </si>
  <si>
    <t>11.09.25</t>
  </si>
  <si>
    <t>26.07.21</t>
  </si>
  <si>
    <t>10.06.25</t>
  </si>
  <si>
    <t>08.08.25</t>
  </si>
  <si>
    <t>02.09.25</t>
  </si>
  <si>
    <t>07.06.24</t>
  </si>
  <si>
    <t>25.04.25</t>
  </si>
  <si>
    <t>08.02.22</t>
  </si>
  <si>
    <t>05.06.24</t>
  </si>
  <si>
    <t>24.06.25</t>
  </si>
  <si>
    <t>26.03.25</t>
  </si>
  <si>
    <t>01.08.25</t>
  </si>
  <si>
    <t>18.08.25</t>
  </si>
  <si>
    <t>20.06.25</t>
  </si>
  <si>
    <t>15.09.25</t>
  </si>
  <si>
    <t>18.09.25</t>
  </si>
  <si>
    <t>11.07.25</t>
  </si>
  <si>
    <t>23.05.23</t>
  </si>
  <si>
    <t>09.04.24</t>
  </si>
  <si>
    <t>16.04.25</t>
  </si>
  <si>
    <t>07.05.25</t>
  </si>
  <si>
    <t>27.06.24</t>
  </si>
  <si>
    <t>05.07.24</t>
  </si>
  <si>
    <t>08.08.24</t>
  </si>
  <si>
    <t>20.08.24</t>
  </si>
  <si>
    <t>27.08.24</t>
  </si>
  <si>
    <t>16.01.25</t>
  </si>
  <si>
    <t>04.07.24</t>
  </si>
  <si>
    <t>30.04.25</t>
  </si>
  <si>
    <t>16.07.25</t>
  </si>
  <si>
    <t>21.07.25</t>
  </si>
  <si>
    <t>27.06.25</t>
  </si>
  <si>
    <t>18.12.24</t>
  </si>
  <si>
    <t>14.04.25</t>
  </si>
  <si>
    <t>02.07.25</t>
  </si>
  <si>
    <t>28.03.25</t>
  </si>
  <si>
    <t>06.06.25</t>
  </si>
  <si>
    <t>04.07.25</t>
  </si>
  <si>
    <t>17.07.25</t>
  </si>
  <si>
    <t>02.02.22</t>
  </si>
  <si>
    <t>05.08.25</t>
  </si>
  <si>
    <t>02.12.24</t>
  </si>
  <si>
    <t>31.07.24</t>
  </si>
  <si>
    <t>АВАНГАРД ТРЕЙД ООО</t>
  </si>
  <si>
    <t>Счёт № АТЦБ-40946 от 26.05.2025г. Выпрямитель СИМЗ</t>
  </si>
  <si>
    <t>Списание с расчетного счета 00БП-003227 от 28.05.2025 21:55:58</t>
  </si>
  <si>
    <t>АВЕНДЖЕР УРАЛ ООО</t>
  </si>
  <si>
    <t>Счёт № 170 от 03.06.2025г. Фаркоп</t>
  </si>
  <si>
    <t>Списание с расчетного счета 00БП-003411 от 05.06.2025 19:44:00</t>
  </si>
  <si>
    <t>Счёт № 9000-007937 от 05.05.2025г.</t>
  </si>
  <si>
    <t>Списание с расчетного счета 00БП-002731 от 13.05.2025 17:36:41</t>
  </si>
  <si>
    <t>АВИА-БИЗНЕС ООО</t>
  </si>
  <si>
    <t>Счёт № 42364 от 30.04.2025г. (ТЗР защита на Чанган)</t>
  </si>
  <si>
    <t>Списание с расчетного счета 00БП-002892 от 19.05.2025 18:19:36</t>
  </si>
  <si>
    <t>Счёт № 283 от 19.05.2025г. Запчасти для ДЭС</t>
  </si>
  <si>
    <t>Списание с расчетного счета 00БП-003301 от 30.05.2025 23:53:25</t>
  </si>
  <si>
    <t>Счёт № 325 от 17.06.2025г. Ремень поликлиновой. Ролик натяжителя</t>
  </si>
  <si>
    <t>Списание с расчетного счета 00БП-003973 от 19.06.2025 19:28:36</t>
  </si>
  <si>
    <t>РС-17-02-2023-1 от 20.02.2023г. Спец. 5</t>
  </si>
  <si>
    <t>Списание с расчетного счета 00БП-000197 от 05.02.2025 12:00:05</t>
  </si>
  <si>
    <t>РС-17-02-2023-1 от 20.02.2023г. Спец. 6 Автозапчасти</t>
  </si>
  <si>
    <t>Списание с расчетного счета 00БП-003556 от 10.06.2025 19:31:47</t>
  </si>
  <si>
    <t>Счёт № ЯА000007656 от 11.06.2025г. Запчасти для автомобилей</t>
  </si>
  <si>
    <t>Списание с расчетного счета 00БП-003834 от 16.06.2025 18:30:59</t>
  </si>
  <si>
    <t>Счёт № ЯА000007862 от 19.06.2025г. Болты ступицы - 60 шт.</t>
  </si>
  <si>
    <t>Списание с расчетного счета 00БП-004009 от 20.06.2025 19:02:32</t>
  </si>
  <si>
    <t>Счёт № 82954839 (1729594) от 21.06.2025г. Трубки топливные</t>
  </si>
  <si>
    <t>Списание с расчетного счета 00БП-004054 от 23.06.2025 18:09:32</t>
  </si>
  <si>
    <t>АДОН ООО</t>
  </si>
  <si>
    <t>01/04/25 от 01.04.2025г.</t>
  </si>
  <si>
    <t>Списание с расчетного счета 00БП-001999 от 22.04.2025 19:42:49</t>
  </si>
  <si>
    <t>05/03/25 от 10.03.2025 г. ТЗР ИП Гурьев П.П. Лес кругляк</t>
  </si>
  <si>
    <t>Списание с расчетного счета 00БП-001350 от 07.04.2025 19:17:46</t>
  </si>
  <si>
    <t>Списание с расчетного счета 00БП-001394 от 08.04.2025 23:49:40</t>
  </si>
  <si>
    <t>09/04/25 от 09.04.2025г. Перевозка груза</t>
  </si>
  <si>
    <t>Списание с расчетного счета 00БП-001682 от 11.04.2025 19:45:28</t>
  </si>
  <si>
    <t>Списание с расчетного счета 00БП-001992 от 22.04.2025 19:42:42</t>
  </si>
  <si>
    <t>Списание с расчетного счета 00БП-002040 от 24.04.2025 18:07:52</t>
  </si>
  <si>
    <t>Счёт № АК00008735 от 23.06.2025г. Рыба, краб. палочки</t>
  </si>
  <si>
    <t>Списание с расчетного счета 00БП-004066 от 23.06.2025 18:09:44</t>
  </si>
  <si>
    <t>АКПАРТ ООО</t>
  </si>
  <si>
    <t>Счёт № 711 от 14.04.2025г. Форсунки - 4 шт</t>
  </si>
  <si>
    <t>Списание с расчетного счета 00БП-001759 от 14.04.2025 19:30:04</t>
  </si>
  <si>
    <t>Аксенов Денис Валерьевич ИП</t>
  </si>
  <si>
    <t>Счёт № 00035 от 04.06.2025г. Реле напряжения - 20 шт.</t>
  </si>
  <si>
    <t>Списание с расчетного счета 00БП-003496 от 09.06.2025 17:55:45</t>
  </si>
  <si>
    <t>Амбарцумян Аркадий Аркадьевич ИП</t>
  </si>
  <si>
    <t>Авансовый отчет 00БП-000084 от 07.04.2025 11:52:21</t>
  </si>
  <si>
    <t>Авансовый отчет 00БП-000141 от 18.04.2025 16:47:06</t>
  </si>
  <si>
    <t>Авансовый отчет 00БП-000185 от 13.05.2025 11:54:18</t>
  </si>
  <si>
    <t>Антипин Юрий Иннокентьевич ИП</t>
  </si>
  <si>
    <t>Счёт № 278 от 12.03.2025г. Фильтр гидросистемы MFCRE100CD1</t>
  </si>
  <si>
    <t>Списание с расчетного счета 00БП-000694 от 13.03.2025 18:55:39</t>
  </si>
  <si>
    <t>Антоненко Екатерина Руслановна ИП</t>
  </si>
  <si>
    <t>Счёт № 4889 от 07.05.2025г. (ТЗР ИП Тульчинская Д.И. Лобовые стёкла)</t>
  </si>
  <si>
    <t>Списание с расчетного счета 00БП-002980 от 22.05.2025 18:45:23</t>
  </si>
  <si>
    <t>Счёт № 5238 от 15.05.2025г. (ТЗР ООО "СДИ" Переходники)</t>
  </si>
  <si>
    <t>Списание с расчетного счета 00БП-002822 от 15.05.2025 18:23:24</t>
  </si>
  <si>
    <t>Счёт № 1069 от 09.06.2025г. Запчасти для автомобилей Hilux</t>
  </si>
  <si>
    <t>Списание с расчетного счета 00БП-003543 от 10.06.2025 19:31:34</t>
  </si>
  <si>
    <t>Счёт № 1156 от 25.06.2025г. Запчасти для автомобилей Hilux</t>
  </si>
  <si>
    <t>Списание с расчетного счета 00БП-004303 от 30.06.2025 23:59:59</t>
  </si>
  <si>
    <t>Счёт № 867 от 13.05.2025г. Брызговики</t>
  </si>
  <si>
    <t>Списание с расчетного счета 00БП-002783 от 14.05.2025 17:25:59</t>
  </si>
  <si>
    <t>Счёт № 906 от 17.05.2025г. Редуктор моста</t>
  </si>
  <si>
    <t>Списание с расчетного счета 00БП-002910 от 19.05.2025 18:19:54</t>
  </si>
  <si>
    <t>АРЕАЛ ООО</t>
  </si>
  <si>
    <t>01-20/05 от 20.05.2025г. Запчасти Komatsu</t>
  </si>
  <si>
    <t>Списание с расчетного счета 00БП-004106 от 24.06.2025 23:59:59</t>
  </si>
  <si>
    <t>РС-08-12-2022-5 от 08.12.2022г. Спец. 9 Раздаточная коробка</t>
  </si>
  <si>
    <t>Списание с расчетного счета 00БП-004020 от 20.06.2025 19:02:43</t>
  </si>
  <si>
    <t>АТЛК АО</t>
  </si>
  <si>
    <t>Счёт № ЦБ-295 от 05.03.2024г.</t>
  </si>
  <si>
    <t>Списание с расчетного счета 00БП-000908 от 14.03.2024 17:41:36</t>
  </si>
  <si>
    <t>БИТ ООО</t>
  </si>
  <si>
    <t>ИТС-01910 от 10.02.2023 г.</t>
  </si>
  <si>
    <t>Списание с расчетного счета 00БП-001227 от 31.03.2023 23:59:59</t>
  </si>
  <si>
    <t>БТБ КАРГО СЕРВИС ООО</t>
  </si>
  <si>
    <t>Счёт № 452 от 06.03.2025г. ООО "Техсервис" Дог. БИ-03032025 от 03.03.2025 Спец. 1</t>
  </si>
  <si>
    <t>Списание с расчетного счета 00БП-000541 от 07.03.2025 17:21:08</t>
  </si>
  <si>
    <t>34-24 от 14.11.2024г. Большой-Тарын 74,3383га</t>
  </si>
  <si>
    <t>Списание с расчетного счета 00БП-000180 от 04.02.2025 12:00:03</t>
  </si>
  <si>
    <t>35-24 от 14.11.2024г. Хаптагай-Хая 33,6097га</t>
  </si>
  <si>
    <t>Списание с расчетного счета 00БП-000179 от 04.02.2025 12:00:02</t>
  </si>
  <si>
    <t>36-24 от 14.11.2024г. Дымный 2,1661га</t>
  </si>
  <si>
    <t>Списание с расчетного счета 00БП-000178 от 04.02.2025 12:00:01</t>
  </si>
  <si>
    <t>23042025/02 от 22.04.2025г. Спец. 1 Рефрижираторный контейнер</t>
  </si>
  <si>
    <t>Списание с расчетного счета 00БП-002271 от 29.04.2025 20:41:28</t>
  </si>
  <si>
    <t>Вибротехник ООО</t>
  </si>
  <si>
    <t>Счёт № 2809 от 15.05.2025г. Поддон. Сита</t>
  </si>
  <si>
    <t>Списание с расчетного счета 00БП-003498 от 09.06.2025 17:55:47</t>
  </si>
  <si>
    <t>Счёт № 3238 от 16.06.2025г. Сита</t>
  </si>
  <si>
    <t>Списание с расчетного счета 00БП-003945 от 18.06.2025 21:50:52</t>
  </si>
  <si>
    <t>Авансовый отчет 00БП-000039 от 11.03.2025 12:18:02</t>
  </si>
  <si>
    <t>Авансовый отчет 00БП-000043 от 13.03.2025 15:17:17</t>
  </si>
  <si>
    <t>Авансовый отчет 00БП-000057 от 19.03.2025 12:55:19</t>
  </si>
  <si>
    <t>Авансовый отчет 00БП-000085 от 07.04.2025 12:45:37</t>
  </si>
  <si>
    <t>Авансовый отчет 00БП-000097 от 07.04.2025 19:18:05</t>
  </si>
  <si>
    <t>Авансовый отчет 00БП-000131 от 15.04.2025 9:56:57</t>
  </si>
  <si>
    <t>Авансовый отчет 00БП-000156 от 23.04.2025 12:24:51</t>
  </si>
  <si>
    <t>Авансовый отчет 00БП-000163 от 24.04.2025 16:56:23</t>
  </si>
  <si>
    <t>Авансовый отчет 00БП-000167 от 28.04.2025 9:51:41</t>
  </si>
  <si>
    <t>Авансовый отчет 00БП-000174 от 05.05.2025 17:46:10</t>
  </si>
  <si>
    <t>Авансовый отчет 00БП-000176 от 06.05.2025 16:34:56</t>
  </si>
  <si>
    <t>Авансовый отчет 00БП-000183 от 12.05.2025 11:14:18</t>
  </si>
  <si>
    <t>Авансовый отчет 00БП-000199 от 27.05.2025 11:57:15</t>
  </si>
  <si>
    <t>Авансовый отчет 00БП-000216 от 19.06.2025 9:43:39</t>
  </si>
  <si>
    <t>Авансовый отчет 00БП-000229 от 25.06.2025 11:36:45</t>
  </si>
  <si>
    <t>Счёт № УТ-4576 от 11.06.2025г. Болты</t>
  </si>
  <si>
    <t>Списание с расчетного счета 00БП-003839 от 16.06.2025 18:31:04</t>
  </si>
  <si>
    <t>Счёт № 2504-468534-00235 от 26.04.2025г. Инструмент</t>
  </si>
  <si>
    <t>Списание с расчетного счета 00БП-002415 от 06.05.2025 20:10:08</t>
  </si>
  <si>
    <t>Счёт № 2505-42723-29384 от 15.05.2025г. Молоток отбойный, пика</t>
  </si>
  <si>
    <t>Списание с расчетного счета 00БП-003843 от 16.06.2025 18:31:08</t>
  </si>
  <si>
    <t>Счёт № 2506-414077-68122 от 17.06.2025г. Метизы</t>
  </si>
  <si>
    <t>Списание с расчетного счета 00БП-004017 от 20.06.2025 19:02:40</t>
  </si>
  <si>
    <t>Счёт № 2506-414079-78422 от 17.06.2025г. Стропы</t>
  </si>
  <si>
    <t>Списание с расчетного счета 00БП-004021 от 20.06.2025 19:02:44</t>
  </si>
  <si>
    <t>Счёт № 2506-425025-77097 от 19.06.2025г. Инструмент</t>
  </si>
  <si>
    <t>Списание с расчетного счета 00БП-004076 от 23.06.2025 18:09:54</t>
  </si>
  <si>
    <t>Счёт № 2506-492084-03811 от 26.06.2025г. Инструмент</t>
  </si>
  <si>
    <t>Списание с расчетного счета 00БП-004291 от 30.06.2025 23:59:59</t>
  </si>
  <si>
    <t>Списание с расчетного счета 00БП-003007 от 23.05.2025 20:52:17</t>
  </si>
  <si>
    <t>Списание с расчетного счета 00БП-003850 от 16.06.2025 18:31:15</t>
  </si>
  <si>
    <t>Списание с расчетного счета 00БП-004060 от 23.06.2025 18:09:38</t>
  </si>
  <si>
    <t>КЮ48847 от 02.06.2019г.</t>
  </si>
  <si>
    <t>Списание с расчетного счета 00БП-003354 от 03.06.2025 17:39:06</t>
  </si>
  <si>
    <t>Списание с расчетного счета 00БП-003010 от 23.05.2025 20:52:20</t>
  </si>
  <si>
    <t>Списание с расчетного счета 00БП-003849 от 16.06.2025 18:31:14</t>
  </si>
  <si>
    <t>Списание с расчетного счета 00БП-003674 от 11.06.2025 17:42:14</t>
  </si>
  <si>
    <t>КЮ49685 от 21.06.2021г</t>
  </si>
  <si>
    <t>Списание с расчетного счета 00БП-006495 от 13.09.2024 18:48:10</t>
  </si>
  <si>
    <t>Списание с расчетного счета 00БП-003009 от 23.05.2025 20:52:19</t>
  </si>
  <si>
    <t>Списание с расчетного счета 00БП-003848 от 16.06.2025 18:31:13</t>
  </si>
  <si>
    <t>Списание с расчетного счета 00БП-003672 от 11.06.2025 17:42:12</t>
  </si>
  <si>
    <t>Списание с расчетного счета 00БП-003836 от 16.06.2025 18:31:01</t>
  </si>
  <si>
    <t>Списание с расчетного счета 00БП-003006 от 23.05.2025 20:52:16</t>
  </si>
  <si>
    <t>Списание с расчетного счета 00БП-004012 от 20.06.2025 19:02:35</t>
  </si>
  <si>
    <t>Списание с расчетного счета 00БП-003285 от 30.05.2025 23:53:09</t>
  </si>
  <si>
    <t>Списание с расчетного счета 00БП-003900 от 17.06.2025 22:58:26</t>
  </si>
  <si>
    <t>Списание с расчетного счета 00БП-003016 от 23.05.2025 20:52:26</t>
  </si>
  <si>
    <t>Списание с расчетного счета 00БП-003409 от 05.06.2025 19:43:58</t>
  </si>
  <si>
    <t>Списание с расчетного счета 00БП-003008 от 23.05.2025 20:52:18</t>
  </si>
  <si>
    <t>Списание с расчетного счета 00БП-003673 от 11.06.2025 17:42:13</t>
  </si>
  <si>
    <t>Списание с расчетного счета 00БП-003012 от 23.05.2025 20:52:22</t>
  </si>
  <si>
    <t>Списание с расчетного счета 00БП-004011 от 20.06.2025 19:02:34</t>
  </si>
  <si>
    <t>КЮ55947 от 05.05.2021г</t>
  </si>
  <si>
    <t>Списание с расчетного счета 00БП-003376 от 04.06.2025 18:58:17</t>
  </si>
  <si>
    <t>Списание с расчетного счета 00БП-003014 от 23.05.2025 20:52:24</t>
  </si>
  <si>
    <t>Списание с расчетного счета 00БП-003410 от 05.06.2025 19:43:59</t>
  </si>
  <si>
    <t>Списание с расчетного счета 00БП-003013 от 23.05.2025 20:52:23</t>
  </si>
  <si>
    <t>Списание с расчетного счета 00БП-004059 от 23.06.2025 18:09:37</t>
  </si>
  <si>
    <t>Договор поставки №РС-16-12-2024-1 спецодежда Спецификация 1 от 16.12.2024</t>
  </si>
  <si>
    <t>Списание с расчетного счета 00БП-009396 от 27.12.2024 15:07:18</t>
  </si>
  <si>
    <t>Договор поставки №РС-16-12-2024-2 ПРОДУКТЫ Спецификация 1 от 16.12.2024</t>
  </si>
  <si>
    <t>Списание с расчетного счета 00БП-000053 от 15.01.2025 12:46:18</t>
  </si>
  <si>
    <t>РС-27-12-2023-1  от 27.12.2023г. Бакалея, колбаса</t>
  </si>
  <si>
    <t>Списание с расчетного счета 00БП-002737 от 15.05.2024 18:13:45</t>
  </si>
  <si>
    <t>Счёт № 6 от 08.04.2025г. Спецодежда. Обувь</t>
  </si>
  <si>
    <t>Списание с расчетного счета 00БП-001482 от 10.04.2025 20:24:24</t>
  </si>
  <si>
    <t>РС-26-12-2022-9/127з от 26.12.2022г. Спец. 26 Подшипники</t>
  </si>
  <si>
    <t>Списание с расчетного счета 00БП-003858 от 16.06.2025 18:31:23</t>
  </si>
  <si>
    <t>ГРУППА КОМПАНИЙ АПТВ ООО</t>
  </si>
  <si>
    <t>Счёт № АТ-1711 от 16.06.2025г. Ствол пожарный</t>
  </si>
  <si>
    <t>Списание с расчетного счета 00БП-003984 от 19.06.2025 19:28:47</t>
  </si>
  <si>
    <t>ГРУППА КОМПАНИЙ ЭКСПЕРТ ООО ПКП</t>
  </si>
  <si>
    <t>Счёт № 97 от 24.03.2025г. Зарядное устройство</t>
  </si>
  <si>
    <t>Списание с расчетного счета 00БП-001867 от 16.04.2025 19:34:03</t>
  </si>
  <si>
    <t>Счёт № СП-ЯКТ113 от 11.06.2025г. Кронштейны</t>
  </si>
  <si>
    <t>Списание с расчетного счета 00БП-003841 от 16.06.2025 18:31:06</t>
  </si>
  <si>
    <t>Счёт № СП-ЯКТ130 от 17.06.2025г. Подшипники газель</t>
  </si>
  <si>
    <t>Списание с расчетного счета 00БП-003934 от 18.06.2025 21:50:41</t>
  </si>
  <si>
    <t>Счёт № СП-ЯКТ157 от 25.06.2025г. Блок газель</t>
  </si>
  <si>
    <t>Списание с расчетного счета 00БП-004295 от 30.06.2025 23:59:59</t>
  </si>
  <si>
    <t>Счёт № СП-ЯКТ158 от 25.06.2025г. Кардан, трос, граната</t>
  </si>
  <si>
    <t>Списание с расчетного счета 00БП-004134 от 26.06.2025 21:32:22</t>
  </si>
  <si>
    <t>Счёт № СП-ЯКТ159 от 25.06.2025г. Кардан ГАЗ</t>
  </si>
  <si>
    <t>Списание с расчетного счета 00БП-004158 от 27.06.2025 17:35:51</t>
  </si>
  <si>
    <t>Счёт № СП-ЯКТ95 от 05.06.2025г. Подшипник ГАЗ 3302</t>
  </si>
  <si>
    <t>Списание с расчетного счета 00БП-003480 от 09.06.2025 17:55:29</t>
  </si>
  <si>
    <t>Дейнека Игорь Алексеевич ИП</t>
  </si>
  <si>
    <t>Счёт № Т000000518 от 06.05.2025г. Шланг тормозной</t>
  </si>
  <si>
    <t>Списание с расчетного счета 00БП-002437 от 07.05.2025 17:27:14</t>
  </si>
  <si>
    <t>Счёт № Т000000539 от 14.05.2025г. Кулаки поворотные</t>
  </si>
  <si>
    <t>Списание с расчетного счета 00БП-003266 от 29.05.2025 19:55:32</t>
  </si>
  <si>
    <t>Счёт № 25-00101108576 от 21.06.2025г. (ТЗР ООО "Титаниум" Пульт)</t>
  </si>
  <si>
    <t>Списание с расчетного счета 00БП-004052 от 23.06.2025 18:09:30</t>
  </si>
  <si>
    <t>Счёт № 25-0020067650 от 25.06.2025г. (ТЗР ООО "Тодеталь" Фильтры)</t>
  </si>
  <si>
    <t>Списание с расчетного счета 00БП-004128 от 26.06.2025 21:32:16</t>
  </si>
  <si>
    <t>Счёт № 25-00241212653 от 14.05.2025г. (ТЗР ООО "КПК-Партс" Клапан смазки)</t>
  </si>
  <si>
    <t>Списание с расчетного счета 00БП-002808 от 15.05.2025 18:23:10</t>
  </si>
  <si>
    <t>Счёт № 25-002412522455 от 16.06.2025г. (ТЗР ООО "КПК-Партс")</t>
  </si>
  <si>
    <t>Списание с расчетного счета 00БП-003929 от 18.06.2025 21:50:36</t>
  </si>
  <si>
    <t>Счёт № 25-00241273346 от 20.06.2025г. (ТЗР ООО "КПК-Партс")</t>
  </si>
  <si>
    <t>Списание с расчетного счета 00БП-004048 от 23.06.2025 18:09:26</t>
  </si>
  <si>
    <t>Счёт № 25-00291114978 от 10.06.2025г. (ТЗР ООО "ЗТО")</t>
  </si>
  <si>
    <t>Списание с расчетного счета 00БП-003749 от 11.06.2025 17:43:29</t>
  </si>
  <si>
    <t>Счёт № 25-00291119220 от 23.06.2025г. (ТЗР ООО "АСМ-Ресурс")</t>
  </si>
  <si>
    <t>Списание с расчетного счета 00БП-004095 от 24.06.2025 23:59:59</t>
  </si>
  <si>
    <t>Счёт № 25-00295036025 от 23.06.2025г. (ТЗР ООО "АСМ-Ресурс")</t>
  </si>
  <si>
    <t>Списание с расчетного счета 00БП-004089 от 24.06.2025 23:59:59</t>
  </si>
  <si>
    <t>Счёт № 25-00311077287 от 10.06.2025г. (ТЗР ООО ПКФ "Термех")</t>
  </si>
  <si>
    <t>Списание с расчетного счета 00БП-003569 от 11.06.2025 17:40:29</t>
  </si>
  <si>
    <t>Счёт № 25-00311078343 от 11.06.2025г. (ТЗР ООО "СК-Полимеры" Перчатки доводчика)</t>
  </si>
  <si>
    <t>Списание с расчетного счета 00БП-003579 от 11.06.2025 17:40:39</t>
  </si>
  <si>
    <t>Счёт № 25-00391053605 от 25.06.2025г. (ТЗР ООО "Оборудование АЗС" Насос)</t>
  </si>
  <si>
    <t>Списание с расчетного счета 00БП-004132 от 26.06.2025 21:32:20</t>
  </si>
  <si>
    <t>Счёт № 25-00490009419 от 10.06.2025г. (ТЗР ООО "СЦ Канмаш" Запчасти)</t>
  </si>
  <si>
    <t>Списание с расчетного счета 00БП-003752 от 11.06.2025 17:43:32</t>
  </si>
  <si>
    <t>Счёт № 25-00581044306 от 11.06.2025г. (ТЗР ООО "СПИ")</t>
  </si>
  <si>
    <t>Списание с расчетного счета 00БП-003905 от 17.06.2025 22:58:31</t>
  </si>
  <si>
    <t>Счёт № 25-00585012300 от 11.06.2025г. (ТЗР ООО "СПИ")</t>
  </si>
  <si>
    <t>Списание с расчетного счета 00БП-003825 от 16.06.2025 18:30:50</t>
  </si>
  <si>
    <t>Счёт № 25-00661254664 от 05.06.2025г. (ТЗР ООО "Русэкспорт")</t>
  </si>
  <si>
    <t>Списание с расчетного счета 00БП-003546 от 10.06.2025 19:31:37</t>
  </si>
  <si>
    <t>Счёт № 25-01191222935 от 29.05.2025г. (ТЗР ООО "Авангард Трейд" Выпрямитель)</t>
  </si>
  <si>
    <t>Списание с расчетного счета 00БП-003293 от 30.05.2025 23:53:17</t>
  </si>
  <si>
    <t>Счёт № 25-01191246155 от 11.06.2025г. (ТЗР ООО "ТПП" Трансформатор)</t>
  </si>
  <si>
    <t>Списание с расчетного счета 00БП-003833 от 16.06.2025 18:30:58</t>
  </si>
  <si>
    <t>Счёт № 25-01191264353 от 25.06.2025г. (ТЗР ООО "ТПП" Трансформатор)</t>
  </si>
  <si>
    <t>Списание с расчетного счета 00БП-004131 от 26.06.2025 21:32:19</t>
  </si>
  <si>
    <t>Счёт № 25-01211203186 от 24.06.2025г. (ТЗР ООО "Оригана" Фильтры)</t>
  </si>
  <si>
    <t>Списание с расчетного счета 00БП-004127 от 26.06.2025 21:32:15</t>
  </si>
  <si>
    <t>Счёт № 25-01751007950 от 10.06.2025г. (ТЗР ИП Аксёнов Д.В. Реле)</t>
  </si>
  <si>
    <t>Списание с расчетного счета 00БП-003832 от 16.06.2025 18:30:57</t>
  </si>
  <si>
    <t>Счёт № 25-01761093027 от 16.06.2025г. (ТЗР ООО "Энтузиаст-С")</t>
  </si>
  <si>
    <t>Списание с расчетного счета 00БП-003897 от 17.06.2025 22:58:23</t>
  </si>
  <si>
    <t>Счёт № 25-01801066940 от 09.06.2025г. (ТЗР ООО "Компания Дизель")</t>
  </si>
  <si>
    <t>Списание с расчетного счета 00БП-003530 от 10.06.2025 19:31:21</t>
  </si>
  <si>
    <t>Счёт № 25-01801070728 от 25.06.2025г. (ТЗР ООО "Автодеталь" Запчасти)</t>
  </si>
  <si>
    <t>Списание с расчетного счета 00БП-004133 от 26.06.2025 21:32:21</t>
  </si>
  <si>
    <t>Счёт № 25-02321084268 от 16.06.2025г. (ТЗР ООО ТД "Планета Безопасности")</t>
  </si>
  <si>
    <t>Списание с расчетного счета 00БП-003826 от 16.06.2025 18:30:51</t>
  </si>
  <si>
    <t>Счёт № 25-02441662642 от 25.06.2025г. (ТЗР ООО "Тракдрайв" Разъёмы)</t>
  </si>
  <si>
    <t>Списание с расчетного счета 00БП-004129 от 26.06.2025 21:32:17</t>
  </si>
  <si>
    <t>Счёт № 25-0260111689 от 10.06.2025г. (ТЗР ООО "РББ Холод" Компрессор)</t>
  </si>
  <si>
    <t>Списание с расчетного счета 00БП-003586 от 11.06.2025 17:40:46</t>
  </si>
  <si>
    <t>Счёт № 25-02871182795 от 20.06.2025г. (ТЗР ООО "Авто-Ком")</t>
  </si>
  <si>
    <t>Списание с расчетного счета 00БП-004049 от 23.06.2025 18:09:27</t>
  </si>
  <si>
    <t>Счёт № 25-12571455006 от 23.06.2025г. (ТЗР ООО "Доринг" Фильтры)</t>
  </si>
  <si>
    <t>Списание с расчетного счета 00БП-004091 от 24.06.2025 23:59:59</t>
  </si>
  <si>
    <t>ДИЛИЖАНС-27 ООО</t>
  </si>
  <si>
    <t>Счёт № 341 от 26.03.2025г. (ТЗР ООО "Сфера)</t>
  </si>
  <si>
    <t>Списание с расчетного счета 00БП-001091 от 28.03.2025 21:31:23</t>
  </si>
  <si>
    <t>Счёт № А-00162876 от 08.05.2025г. Водонагреватель</t>
  </si>
  <si>
    <t>Списание с расчетного счета 00БП-002785 от 14.05.2025 17:26:01</t>
  </si>
  <si>
    <t>Счёт № А-00225255 от 24.06.2025г. Мониторы</t>
  </si>
  <si>
    <t>Списание с расчетного счета 00БП-004100 от 24.06.2025 23:59:59</t>
  </si>
  <si>
    <t>Счёт № А-00228356 от 25.06.2025г. Конвекторы</t>
  </si>
  <si>
    <t>Списание с расчетного счета 00БП-004135 от 26.06.2025 21:32:23</t>
  </si>
  <si>
    <t>Счёт № 16111 от 17.06.2025г. Фильтры</t>
  </si>
  <si>
    <t>Списание с расчетного счета 00БП-003977 от 19.06.2025 19:28:40</t>
  </si>
  <si>
    <t>ЗАВОД ПИРС АО</t>
  </si>
  <si>
    <t>34/18-24 от 15.04.2024г. Спец. 2 Ролики конвейерные</t>
  </si>
  <si>
    <t>Списание с расчетного счета 00БП-003558 от 10.06.2025 19:31:49</t>
  </si>
  <si>
    <t>Запша Максим Васильевич ИП</t>
  </si>
  <si>
    <t>Счёт № 17 109 от 06.06.2025г. (ТЗР оборудование для видеонаблюдения)</t>
  </si>
  <si>
    <t>Списание с расчетного счета 00БП-003439 от 06.06.2025 18:48:35</t>
  </si>
  <si>
    <t>Счёт № 19 639 от 27.06.2025г. (ТЗР ООО "ТД Планета безопасности")</t>
  </si>
  <si>
    <t>Списание с расчетного счета 00БП-004150 от 27.06.2025 17:35:43</t>
  </si>
  <si>
    <t>Зарянская Галина Леонидовна ИП</t>
  </si>
  <si>
    <t>Авансовый отчет 00БП-000041 от 12.03.2025 12:19:09</t>
  </si>
  <si>
    <t>Авансовый отчет 00БП-000226 от 23.06.2025 11:38:39</t>
  </si>
  <si>
    <t>ЗТО ООО</t>
  </si>
  <si>
    <t>14/03-1п от 14.03.2025г. Спец. 2 МКТ Насосные модули, фильтры</t>
  </si>
  <si>
    <t>Списание с расчетного счета 00БП-001685 от 11.04.2025 19:45:31</t>
  </si>
  <si>
    <t>Списание с расчетного счета 00БП-003362 от 03.06.2025 17:39:14</t>
  </si>
  <si>
    <t>28.04.2025 от 28.04.2025г. Спец. 1 Редукторы</t>
  </si>
  <si>
    <t>Списание с расчетного счета 00БП-002989 от 22.05.2025 18:45:32</t>
  </si>
  <si>
    <t>ИНТЕРПОЛЕ АО</t>
  </si>
  <si>
    <t>Счёт № 253638 от 05.06.2025г. Рукав</t>
  </si>
  <si>
    <t>Списание с расчетного счета 00БП-003487 от 09.06.2025 17:55:36</t>
  </si>
  <si>
    <t>04/06-2025п от 04.06.2025г. Спец. 1 Трафареты - 216шт.</t>
  </si>
  <si>
    <t>Списание с расчетного счета 00БП-003510 от 09.06.2025 17:55:59</t>
  </si>
  <si>
    <t>Списание с расчетного счета 00БП-004070 от 23.06.2025 18:09:48</t>
  </si>
  <si>
    <t>РС-08-12-2022-15 от 08.12.2022г. Спец. 2 от 07.02.2025г.</t>
  </si>
  <si>
    <t>Списание с расчетного счета 00БП-002662 от 12.05.2025 19:56:26</t>
  </si>
  <si>
    <t>РС-08-12-2022-15 от 08.12.2022г. Спец. 3 Запчасти на промприборы</t>
  </si>
  <si>
    <t>Списание с расчетного счета 00БП-003506 от 09.06.2025 17:55:55</t>
  </si>
  <si>
    <t>Списание с расчетного счета 00БП-004064 от 23.06.2025 18:09:42</t>
  </si>
  <si>
    <t>Счёт № 329 от 16.06.2025г. Шкив ведущий</t>
  </si>
  <si>
    <t>Списание с расчетного счета 00БП-003982 от 19.06.2025 19:28:45</t>
  </si>
  <si>
    <t>Списание с расчетного счета 00БП-002224 от 28.04.2025 18:34:28</t>
  </si>
  <si>
    <t>Счёт № 3705 от 04.06.2025г. Фильтры, лампы  122450</t>
  </si>
  <si>
    <t>Списание с расчетного счета 00БП-003502 от 09.06.2025 17:55:51</t>
  </si>
  <si>
    <t>Счёт № 3850 от 09.06.2025г. Болты ступицы - 20 шт.</t>
  </si>
  <si>
    <t>Списание с расчетного счета 00БП-003835 от 16.06.2025 18:31:00</t>
  </si>
  <si>
    <t>Счёт № 3896 от 10.06.2025г. Запчасти для автомобилей   67200р</t>
  </si>
  <si>
    <t>Списание с расчетного счета 00БП-003852 от 16.06.2025 18:31:17</t>
  </si>
  <si>
    <t>Счёт № 4137 от 18.06.2025г. Запчасти для автомобилей</t>
  </si>
  <si>
    <t>Списание с расчетного счета 00БП-003981 от 19.06.2025 19:28:44</t>
  </si>
  <si>
    <t>Счёт № 4249 от 20.06.2025г. Штуцеры. Трубка топливная</t>
  </si>
  <si>
    <t>Списание с расчетного счета 00БП-004057 от 23.06.2025 18:09:35</t>
  </si>
  <si>
    <t>Счёт № 4282 от 23.06.2025г. Автошины, колёса</t>
  </si>
  <si>
    <t>Списание с расчетного счета 00БП-004250 от 27.06.2025 17:37:23</t>
  </si>
  <si>
    <t>Счёт № 4376 от 25.06.2025г. Крестовина рулевая - 4 шт.</t>
  </si>
  <si>
    <t>Списание с расчетного счета 00БП-004116 от 25.06.2025 20:39:17</t>
  </si>
  <si>
    <t>Счёт № 4377 от 25.06.2025г. Колёса - 4 шт.</t>
  </si>
  <si>
    <t>Списание с расчетного счета 00БП-004247 от 27.06.2025 17:37:20</t>
  </si>
  <si>
    <t>КИРЕЛИС ООО</t>
  </si>
  <si>
    <t>Счёт № 204270 от 25.06.2025г. Сальники - 12 шт</t>
  </si>
  <si>
    <t>Списание с расчетного счета 00БП-004286 от 30.06.2025 23:59:59</t>
  </si>
  <si>
    <t>Счёт № КИ-6260242 от 26.06.2025г. Сальники - 6 шт.</t>
  </si>
  <si>
    <t>Списание с расчетного счета 00БП-004289 от 30.06.2025 23:59:59</t>
  </si>
  <si>
    <t>Кневец Руслан Владимирович ИП</t>
  </si>
  <si>
    <t>Счёт № 756 от 27.05.2025г. Маяки светодтодные - 4 шт</t>
  </si>
  <si>
    <t>Списание с расчетного счета 00БП-003258 от 29.05.2025 19:55:24</t>
  </si>
  <si>
    <t>Счёт № 829 от 10.06.2025г. Запчасти</t>
  </si>
  <si>
    <t>Списание с расчетного счета 00БП-003899 от 17.06.2025 22:58:25</t>
  </si>
  <si>
    <t>Счёт № 893 от 25.06.2025г. Запчасти</t>
  </si>
  <si>
    <t>Списание с расчетного счета 00БП-004149 от 27.06.2025 17:35:42</t>
  </si>
  <si>
    <t>Списание с расчетного счета 00БП-004296 от 30.06.2025 23:59:59</t>
  </si>
  <si>
    <t>Колосов Сергей Сергеевич ИП</t>
  </si>
  <si>
    <t>Счёт № 87 от 11.06.2025г. Замки навесные</t>
  </si>
  <si>
    <t>Списание с расчетного счета 00БП-003842 от 16.06.2025 18:31:07</t>
  </si>
  <si>
    <t>Компания Дизель ООО</t>
  </si>
  <si>
    <t>Счёт-Оферта № 487 от 20.05.2025г. Запчасти к ДЭС</t>
  </si>
  <si>
    <t>Списание с расчетного счета 00БП-003228 от 28.05.2025 21:55:59</t>
  </si>
  <si>
    <t>1303-2023 от 13.03.2023 спец 5</t>
  </si>
  <si>
    <t>Списание с расчетного счета 00БП-003460 от 06.06.2025 18:48:56</t>
  </si>
  <si>
    <t>Счёт № 128 от 29.04.2025г. Клапан смазки</t>
  </si>
  <si>
    <t>Списание с расчетного счета 00БП-002753 от 13.05.2025 17:37:03</t>
  </si>
  <si>
    <t>Счёт № 154 от 16.06.2025г. Датчик температуры Epiroc - 1 шт.</t>
  </si>
  <si>
    <t>Списание с расчетного счета 00БП-004015 от 20.06.2025 19:02:38</t>
  </si>
  <si>
    <t>Краснов Михаил Александрович ИП</t>
  </si>
  <si>
    <t>Счёт -Договор № 276 от 20.06.2025г. Таблички для автотранспорта</t>
  </si>
  <si>
    <t>Списание с расчетного счета 00БП-004058 от 23.06.2025 18:09:36</t>
  </si>
  <si>
    <t>ЛЕКАР-СЕРВИС ООО</t>
  </si>
  <si>
    <t>Счёт № 6669 от 17.06.2025г. Электростартер</t>
  </si>
  <si>
    <t>Списание с расчетного счета 00БП-004010 от 20.06.2025 19:02:33</t>
  </si>
  <si>
    <t>М-60 ООО</t>
  </si>
  <si>
    <t>Счёт № 161 от 13.03.2025г. (ТЗР ООО "Иннопром" Долото"</t>
  </si>
  <si>
    <t>Списание с расчетного счета 00БП-000761 от 17.03.2025 17:48:08</t>
  </si>
  <si>
    <t>МАГАДАНСПЕЦСЕРВИС ООО</t>
  </si>
  <si>
    <t>Счёт № ГМ-1505 от 19.06.2025г. Ремень поликлиновой</t>
  </si>
  <si>
    <t>Списание с расчетного счета 00БП-003975 от 19.06.2025 19:28:38</t>
  </si>
  <si>
    <t>Счёт № ЦБ-1713 от 07.05.2025г. ОПУ</t>
  </si>
  <si>
    <t>Списание с расчетного счета 00БП-002937 от 20.05.2025 20:02:10</t>
  </si>
  <si>
    <t>Счёт № ЦБ-1998 от 26.05.2025г. Привод вентилятора</t>
  </si>
  <si>
    <t>Списание с расчетного счета 00БП-003212 от 28.05.2025 21:55:43</t>
  </si>
  <si>
    <t>Счёт № ЦБ-2111 от 29.05.2025г. Вал карданный</t>
  </si>
  <si>
    <t>Списание с расчетного счета 00БП-003357 от 03.06.2025 17:39:09</t>
  </si>
  <si>
    <t>Счёт № ЦБ-2142 от 02.06.2025г. Цилиндр поворота, гайки, стремянки</t>
  </si>
  <si>
    <t>Списание с расчетного счета 00БП-003418 от 05.06.2025 19:44:07</t>
  </si>
  <si>
    <t>Счёт № ЦБ-2176 от 02.06.2025г. Головка шприца</t>
  </si>
  <si>
    <t>Списание с расчетного счета 00БП-003378 от 04.06.2025 18:58:19</t>
  </si>
  <si>
    <t>Счёт № ЦБ-2251 от 05.06.2025г. Головки шприца</t>
  </si>
  <si>
    <t>Списание с расчетного счета 00БП-003459 от 06.06.2025 18:48:55</t>
  </si>
  <si>
    <t>Счёт № ЦБ-2391 от 16.06.2025г. Форсунка КАМАЗ - 10 шт.</t>
  </si>
  <si>
    <t>Списание с расчетного счета 00БП-003909 от 17.06.2025 22:58:35</t>
  </si>
  <si>
    <t>Счёт № ЦБ-2475 от 18.06.2025г. Запчасти для Автокрана</t>
  </si>
  <si>
    <t>Списание с расчетного счета 00БП-003980 от 19.06.2025 19:28:43</t>
  </si>
  <si>
    <t>Магадантранссервис ООО</t>
  </si>
  <si>
    <t>Счёт № 287 от 30.04.2025г. Сверхнормативное использование контейнеров</t>
  </si>
  <si>
    <t>Списание с расчетного счета 00БП-002313 от 05.05.2025 19:40:42</t>
  </si>
  <si>
    <t>Счёт № АК-345 от 04.04.2025г. Водонагреватель</t>
  </si>
  <si>
    <t>Списание с расчетного счета 00БП-001339 от 07.04.2025 19:17:35</t>
  </si>
  <si>
    <t>Счёт-оферта № А3-350 от 03.06.2025г. Герметик</t>
  </si>
  <si>
    <t>Списание с расчетного счета 00БП-003453 от 06.06.2025 18:48:49</t>
  </si>
  <si>
    <t>РС-09-12-2022-3 от 09.12.2022г. Спец. 9 Ситовая часть скруббер-бутар</t>
  </si>
  <si>
    <t>Списание с расчетного счета 00БП-003557 от 10.06.2025 19:31:48</t>
  </si>
  <si>
    <t>МИР ООО</t>
  </si>
  <si>
    <t>Счёт № 257163 от 14.05.2025г. Зонт вытяжной пристенный</t>
  </si>
  <si>
    <t>Списание с расчетного счета 00БП-002877 от 16.05.2025 17:29:37</t>
  </si>
  <si>
    <t>МИТОНЕК ООО</t>
  </si>
  <si>
    <t>0412-2021 от 30.12.2021г. Доп. соглашение № 3 от 10.03.2025г.</t>
  </si>
  <si>
    <t>Списание с расчетного счета 00БП-002266 от 29.04.2025 20:41:23</t>
  </si>
  <si>
    <t>Счёт № 80117 от 13.05.2024г.</t>
  </si>
  <si>
    <t>Списание с расчетного счета 00БП-002727 от 15.05.2024 18:13:35</t>
  </si>
  <si>
    <t>Счёт № FECB-007517 от 08.04.2025г. Договор № FE-P/22-063 от 19.12.22г. Расходники LiuGong</t>
  </si>
  <si>
    <t>Списание с расчетного счета 00БП-001829 от 15.04.2025 18:43:54</t>
  </si>
  <si>
    <t>Счёт № FECB-011250 от 13.05.2025г. Договор № FE-P/22-063 от 19.12.22г. Запчасти LiuGong 414 736,91</t>
  </si>
  <si>
    <t>Списание с расчетного счета 00БП-002792 от 14.05.2025 17:26:08</t>
  </si>
  <si>
    <t>Счёт № FECB-013238 от 29.05.2025г. Договор № FE-P/22-063 от 19.12.22г. Трубы</t>
  </si>
  <si>
    <t>Списание с расчетного счета 00БП-003264 от 29.05.2025 19:55:30</t>
  </si>
  <si>
    <t>Счёт № FECB-014009 от 04.06.2025г. Договор № FE-P/22-063 от 19.12.22г. Запчасти Komatsu  205 802,02</t>
  </si>
  <si>
    <t>Списание с расчетного счета 00БП-003854 от 16.06.2025 18:31:19</t>
  </si>
  <si>
    <t>МОСПРОМЗНАК ООО</t>
  </si>
  <si>
    <t>Счёт № 418 от 20.06.2025г. Таблички для автотранспорта</t>
  </si>
  <si>
    <t>Списание с расчетного счета 00БП-004094 от 24.06.2025 23:59:59</t>
  </si>
  <si>
    <t>МРП ООО</t>
  </si>
  <si>
    <t>138  (проект разв.работ по м/р фланги Х-Хая)</t>
  </si>
  <si>
    <t>Списание с расчетного счета 00БП-009151 от 05.12.2024 12:53:21</t>
  </si>
  <si>
    <t>71-04 от 14.04.2024г.</t>
  </si>
  <si>
    <t>Списание с расчетного счета 00БП-001891 от 16.04.2024 20:42:38</t>
  </si>
  <si>
    <t>Списание с расчетного счета 00БП-008163 от 01.11.2024 16:42:06</t>
  </si>
  <si>
    <t>Списание с расчетного счета 00БП-000513 от 05.03.2025 17:40:56</t>
  </si>
  <si>
    <t>Списание с расчетного счета 00БП-002370 от 05.05.2025 19:41:41</t>
  </si>
  <si>
    <t>Списание с расчетного счета 00БП-002371 от 05.05.2025 19:41:42</t>
  </si>
  <si>
    <t>Списание с расчетного счета 00БП-002199 от 28.04.2025 18:34:03</t>
  </si>
  <si>
    <t>Списание с расчетного счета 00БП-000512 от 05.03.2025 17:40:55</t>
  </si>
  <si>
    <t>Списание с расчетного счета 00БП-002374 от 05.05.2025 19:41:45</t>
  </si>
  <si>
    <t>Авансовый отчет 00БП-000203 от 29.05.2025 12:27:48</t>
  </si>
  <si>
    <t>Авансовый отчет 00БП-000212 от 05.06.2025 15:20:17</t>
  </si>
  <si>
    <t>Авансовый отчет 00БП-000213 от 06.06.2025 9:38:24</t>
  </si>
  <si>
    <t>Счёт № 117 от 05.06.2025г. Сушка. Гибкая труба</t>
  </si>
  <si>
    <t>Списание с расчетного счета 00БП-003481 от 09.06.2025 17:55:30</t>
  </si>
  <si>
    <t>Счёт № 63 от 17.04.2025г. Мебель, посуда, быт. техника</t>
  </si>
  <si>
    <t>Списание с расчетного счета 00БП-001995 от 22.04.2025 19:42:45</t>
  </si>
  <si>
    <t>Ножнинова Ирина Евгеньевна ИП</t>
  </si>
  <si>
    <t>Авансовый отчет 00БП-000180 от 30.04.2025 23:59:59</t>
  </si>
  <si>
    <t>НОРБЕЛ ООО</t>
  </si>
  <si>
    <t>Счёт № 0077313735 Ц от 19.06.2025г. Расходники к оргтехнике</t>
  </si>
  <si>
    <t>Списание с расчетного счета 00БП-004107 от 24.06.2025 23:59:59</t>
  </si>
  <si>
    <t>НОРГАУ РУССЛАНД ООО</t>
  </si>
  <si>
    <t>Счёт № НСЧ2512074 от 27.03.2025г. Инструмент</t>
  </si>
  <si>
    <t>Списание с расчетного счета 00БП-001172 от 01.04.2025 17:50:03</t>
  </si>
  <si>
    <t>Счёт № 146 от 03.06.2025г. Ниппели - 5 шт. Вал ВЭ - 1шт</t>
  </si>
  <si>
    <t>Списание с расчетного счета 00БП-003853 от 16.06.2025 18:31:18</t>
  </si>
  <si>
    <t>ОБОРУДОВАНИЕ АЗС ООО</t>
  </si>
  <si>
    <t>Счёт № 481 от 10.06.2025г. Насос Petroll Vega</t>
  </si>
  <si>
    <t>Списание с расчетного счета 00БП-003838 от 16.06.2025 18:31:03</t>
  </si>
  <si>
    <t>ОРИГАНА ООО</t>
  </si>
  <si>
    <t>Счёт № 111118 от 11.06.2025г. Фильтр воздушный - 2шт.</t>
  </si>
  <si>
    <t>Списание с расчетного счета 00БП-003904 от 17.06.2025 22:58:30</t>
  </si>
  <si>
    <t>Писарницкий Максим Александрович ИП</t>
  </si>
  <si>
    <t>БВ-11-03/25 от 28.03.2025г. Геологический аудит</t>
  </si>
  <si>
    <t>Списание с расчетного счета 00БП-001256 от 03.04.2025 19:18:50</t>
  </si>
  <si>
    <t>Списание с расчетного счета 00БП-003229 от 28.05.2025 21:56:00</t>
  </si>
  <si>
    <t>25-УТ0007501 от 03.06.2025г. Оборудование</t>
  </si>
  <si>
    <t>Списание с расчетного счета 00БП-003482 от 09.06.2025 17:55:31</t>
  </si>
  <si>
    <t>Политехника Дальний Восток ООО</t>
  </si>
  <si>
    <t>01-25/3 от 29.01.2025г. Спец. 2 Емкость, полог</t>
  </si>
  <si>
    <t>Списание с расчетного счета 00БП-001965 от 21.04.2025 21:57:33</t>
  </si>
  <si>
    <t>ПОЛИТЕХНИКА-СЕРВИС ООО</t>
  </si>
  <si>
    <t>Счёт № 1 от 31.03.2025г. Ремонт ПЭР-250Н</t>
  </si>
  <si>
    <t>Списание с расчетного счета 00БП-001174 от 01.04.2025 17:50:05</t>
  </si>
  <si>
    <t>Списание с расчетного счета 00БП-002272 от 29.04.2025 20:41:29</t>
  </si>
  <si>
    <t>Списание с расчетного счета 00БП-004102 от 24.06.2025 23:59:59</t>
  </si>
  <si>
    <t>Списание с расчетного счета 00БП-004105 от 24.06.2025 23:59:59</t>
  </si>
  <si>
    <t>ПР-04 24 от 01.04.2024г. Приложение № 13 от 30.04.2025г. ДТ Летнее</t>
  </si>
  <si>
    <t>Списание с расчетного счета 00БП-002970 от 21.05.2025 20:11:01</t>
  </si>
  <si>
    <t>Списание с расчетного счета 00БП-004072 от 23.06.2025 18:09:50</t>
  </si>
  <si>
    <t>Списание с расчетного счета 00БП-004073 от 23.06.2025 18:09:51</t>
  </si>
  <si>
    <t>Списание с расчетного счета 00БП-004074 от 23.06.2025 18:09:52</t>
  </si>
  <si>
    <t>Списание с расчетного счета 00БП-004075 от 23.06.2025 18:09:53</t>
  </si>
  <si>
    <t>Счёт № ЯКА06110029 от 11.06.2025г. (ТЗР ООО "Авенджер" Фаркопы)</t>
  </si>
  <si>
    <t>Списание с расчетного счета 00БП-003831 от 16.06.2025 18:30:56</t>
  </si>
  <si>
    <t>РИМ ООО</t>
  </si>
  <si>
    <t>Счёт № 1034 от 13.05.2025г. Таблички по ТБ</t>
  </si>
  <si>
    <t>Списание с расчетного счета 00БП-002902 от 19.05.2025 18:19:46</t>
  </si>
  <si>
    <t>РОКДРИЛ ООО</t>
  </si>
  <si>
    <t>Счёт № УТ-162 от 28.03.2025г. Коронки ретрак</t>
  </si>
  <si>
    <t>Списание с расчетного счета 00БП-001247 от 03.04.2025 19:18:41</t>
  </si>
  <si>
    <t>14/286-2025 от 30.05.2025г. (Нера-Талалах 19,5977га)</t>
  </si>
  <si>
    <t>Списание с расчетного счета 00БП-003550 от 10.06.2025 19:31:41</t>
  </si>
  <si>
    <t>РСМ ООО</t>
  </si>
  <si>
    <t>29-04-2025 от 29.04.2025г. Спец. 1 Насосы</t>
  </si>
  <si>
    <t>Списание с расчетного счета 00БП-002349 от 05.05.2025 19:41:18</t>
  </si>
  <si>
    <t>Списание с расчетного счета 00БП-003988 от 19.06.2025 19:28:51</t>
  </si>
  <si>
    <t>РУСЭКСПОРТ ООО</t>
  </si>
  <si>
    <t>Счёт № 12309 от 12.05.2025г. Тестомес, печь</t>
  </si>
  <si>
    <t>Списание с расчетного счета 00БП-002793 от 14.05.2025 17:26:09</t>
  </si>
  <si>
    <t>Саввинова Нария Николаевна ИП</t>
  </si>
  <si>
    <t>39 от 03.04.2025г. Матрасы</t>
  </si>
  <si>
    <t>Списание с расчетного счета 00БП-001347 от 07.04.2025 19:17:43</t>
  </si>
  <si>
    <t>Счёт № 61 от 15.05.2025г. Краска, колер</t>
  </si>
  <si>
    <t>Списание с расчетного счета 00БП-002876 от 16.05.2025 17:29:36</t>
  </si>
  <si>
    <t>№ БС-02.12.22/11 от 02.12.2022г., спец № 8, запчасти</t>
  </si>
  <si>
    <t>Списание с расчетного счета 00БП-004310 от 30.06.2025 23:59:59</t>
  </si>
  <si>
    <t>СЕВЕРПРОЕКТ ООО НПК</t>
  </si>
  <si>
    <t>27/0724-РС(Я)_ОВЭС от 10.04.2025г.</t>
  </si>
  <si>
    <t>Списание с расчетного счета 00БП-002757 от 13.05.2025 17:37:07</t>
  </si>
  <si>
    <t>Счёт № 1086 от 06.06.2025г. Лента ободная - 20 шт.</t>
  </si>
  <si>
    <t>Списание с расчетного счета 00БП-003505 от 09.06.2025 17:55:54</t>
  </si>
  <si>
    <t>МО-11-03-2024-1 от 11.03.2024г. Спец. 1 (РТИ)</t>
  </si>
  <si>
    <t>Списание с расчетного счета 00БП-001884 от 16.04.2024 20:42:31</t>
  </si>
  <si>
    <t>МО-11-03-2024-1 от 11.03.2024г. Спец. 2 (РТИ)</t>
  </si>
  <si>
    <t>Списание с расчетного счета 00БП-007678 от 17.10.2024 17:28:41</t>
  </si>
  <si>
    <t>МО-11-03-2024-1 от 11.03.2024г. Спец. 3 (РТИ)</t>
  </si>
  <si>
    <t>Списание с расчетного счета 00БП-001089 от 28.03.2025 21:31:21</t>
  </si>
  <si>
    <t>Списание с расчетного счета 00БП-001960 от 21.04.2025 21:57:28</t>
  </si>
  <si>
    <t>Списание с расчетного счета 00БП-004024 от 20.06.2025 19:02:47</t>
  </si>
  <si>
    <t>Счёт № 30164 от 11.06.2025г. Рукава</t>
  </si>
  <si>
    <t>Списание с расчетного счета 00БП-003753 от 11.06.2025 17:43:33</t>
  </si>
  <si>
    <t>Счёт № 1044 от 03.03.2025г. (ТЗР ООО НПЦ "СБТ" Запчасти Беркут)</t>
  </si>
  <si>
    <t>Списание с расчетного счета 00БП-000849 от 20.03.2025 18:57:17</t>
  </si>
  <si>
    <t>Счёт № 2618 от 28.04.2025г. ЭнергоКабельСбыт</t>
  </si>
  <si>
    <t>Списание с расчетного счета 00БП-002268 от 29.04.2025 20:41:25</t>
  </si>
  <si>
    <t>Счёт № 3689 от 16.06.2025г. (ТЗР ООО "СЦ Канмаш" Спец. 2)</t>
  </si>
  <si>
    <t>Списание с расчетного счета 00БП-003946 от 18.06.2025 21:50:53</t>
  </si>
  <si>
    <t>Счёт № 943 от 27.02.2025г. (ТЗР ООО "Яртурбо" Двигатели)</t>
  </si>
  <si>
    <t>Списание с расчетного счета 00БП-000854 от 20.03.2025 18:57:22</t>
  </si>
  <si>
    <t>СИБОЙЛ ООО</t>
  </si>
  <si>
    <t>Авансовый отчет 00БП-000096 от 31.03.2025 22:59:59</t>
  </si>
  <si>
    <t>СИБПРОЕКТ ООО</t>
  </si>
  <si>
    <t>03/03 от 12.03.2025г.</t>
  </si>
  <si>
    <t>Списание с расчетного счета 00БП-000793 от 18.03.2025 17:04:04</t>
  </si>
  <si>
    <t>Списание с расчетного счета 00БП-001959 от 21.04.2025 21:57:27</t>
  </si>
  <si>
    <t>Счёт № 22 от 03.05.2025г. Фильтры</t>
  </si>
  <si>
    <t>Списание с расчетного счета 00БП-002400 от 06.05.2025 20:09:53</t>
  </si>
  <si>
    <t>СК-КОНСАЛТИНГ ООО ЯРЦ</t>
  </si>
  <si>
    <t>8 от 28.04.2025г.</t>
  </si>
  <si>
    <t>Списание с расчетного счета 00БП-002235 от 28.04.2025 18:34:39</t>
  </si>
  <si>
    <t>Счёт № 5199 от 23.05.2025г. Запчасти</t>
  </si>
  <si>
    <t>Списание с расчетного счета 00БП-003064 от 26.05.2025 22:23:18</t>
  </si>
  <si>
    <t>Славянский продукт ООО</t>
  </si>
  <si>
    <t>Счёт № ЦБ-1473 от 24.06.2024г. Сахар</t>
  </si>
  <si>
    <t>Списание с расчетного счета 00БП-003884 от 25.06.2024 17:39:50</t>
  </si>
  <si>
    <t>Счёт № ЦБ-762 от 11.04.2024г. кисель, приправы, дрожжи</t>
  </si>
  <si>
    <t>Списание с расчетного счета 00БП-001780 от 15.04.2024 18:48:46</t>
  </si>
  <si>
    <t>СЛТК ООО.</t>
  </si>
  <si>
    <t>Счёт № НСБ27358 от 18.09.2024г.  ООО "Сибирские технологии" РТИ</t>
  </si>
  <si>
    <t>Списание с расчетного счета 00БП-006641 от 20.09.2024 18:25:28</t>
  </si>
  <si>
    <t>29 от 14.03.2025г.</t>
  </si>
  <si>
    <t>Списание с расчетного счета 00БП-000764 от 17.03.2025 17:48:11</t>
  </si>
  <si>
    <t>Счёт № ЯКТ06209 от 03.06.2025г. (ТЗР Диски)</t>
  </si>
  <si>
    <t>Списание с расчетного счета 00БП-003343 от 03.06.2025 17:38:55</t>
  </si>
  <si>
    <t>Счёт № ЯКТ06651 от 11.06.2025г. (ТЗР ООО "СервисМаш" Инструмент)</t>
  </si>
  <si>
    <t>Списание с расчетного счета 00БП-003845 от 16.06.2025 18:31:10</t>
  </si>
  <si>
    <t>Счёт № ЯКТ06873 от 19.06.2025г. (ТЗР ООО "ВсеИнструменты.ру" Инструмент)</t>
  </si>
  <si>
    <t>Списание с расчетного счета 00БП-004018 от 20.06.2025 19:02:41</t>
  </si>
  <si>
    <t>Счёт № ЯКТ06928 от 20.06.2025г. (ТЗР АО "ГПФК" Кардан)</t>
  </si>
  <si>
    <t>Списание с расчетного счета 00БП-004003 от 20.06.2025 19:02:26</t>
  </si>
  <si>
    <t>Счёт № ЯКТ06999 от 21.06.2025г. (ТЗР АО "ГПФК" Запчасти)</t>
  </si>
  <si>
    <t>Списание с расчетного счета 00БП-004061 от 23.06.2025 18:09:39</t>
  </si>
  <si>
    <t>Счёт № ЯКТ07175 от 25.06.2025г. (ТЗР ООО "ВсеИнструменты.ру)</t>
  </si>
  <si>
    <t>Списание с расчетного счета 00БП-004130 от 26.06.2025 21:32:18</t>
  </si>
  <si>
    <t>Суперпломба ООО</t>
  </si>
  <si>
    <t>Счёт № 433 от 17.06.2025г. Пломбы</t>
  </si>
  <si>
    <t>Списание с расчетного счета 00БП-003942 от 18.06.2025 21:50:49</t>
  </si>
  <si>
    <t>Таныков Эдуард Адамович ИП</t>
  </si>
  <si>
    <t>ВД-17-04-2025 от 17.04.2025г. Перевозка овощей</t>
  </si>
  <si>
    <t>Списание с расчетного счета 00БП-001897 от 17.04.2025 22:08:49</t>
  </si>
  <si>
    <t>Списание с расчетного счета 00БП-001913 от 18.04.2025 18:38:32</t>
  </si>
  <si>
    <t>Списание с расчетного счета 00БП-001958 от 21.04.2025 21:57:26</t>
  </si>
  <si>
    <t>Авансовый отчет 00БП-000022 от 28.02.2025 15:23:33</t>
  </si>
  <si>
    <t>ТАЧКА.РУ ООО</t>
  </si>
  <si>
    <t>Счёт № 554828 от 22.05.2025г. Защита алюминиевая</t>
  </si>
  <si>
    <t>Списание с расчетного счета 00БП-003059 от 26.05.2025 22:23:13</t>
  </si>
  <si>
    <t>МО-19-11-2024-1 от 19.11.2024г. Спец. 1 Запчасти к бур.станкам</t>
  </si>
  <si>
    <t>Списание с расчетного счета 00БП-000201 от 05.02.2025 12:00:09</t>
  </si>
  <si>
    <t>ТЕХСЕРВИС ООО 7733902355</t>
  </si>
  <si>
    <t>Счёт № 820044347248 от 29.05.2025г. Фильтры гидравлические - 12шт.</t>
  </si>
  <si>
    <t>Списание с расчетного счета 00БП-003289 от 30.05.2025 23:53:13</t>
  </si>
  <si>
    <t>Счёт № 820044348888 от 10.06.2025г. Фильтры</t>
  </si>
  <si>
    <t>Списание с расчетного счета 00БП-003851 от 16.06.2025 18:31:16</t>
  </si>
  <si>
    <t>ТСЗ-1020000232 от 04.10.2023г. Спецификация № 3956367 Запчвсти Shantui</t>
  </si>
  <si>
    <t>Списание с расчетного счета 00БП-001251 от 03.04.2025 19:18:45</t>
  </si>
  <si>
    <t>Счёт № КТ-1413 от 10.06.2025г. Трубка</t>
  </si>
  <si>
    <t>Списание с расчетного счета 00БП-003931 от 18.06.2025 21:50:38</t>
  </si>
  <si>
    <t>Счёт № 8 от 17.06.2025г. Пульты</t>
  </si>
  <si>
    <t>Списание с расчетного счета 00БП-003978 от 19.06.2025 19:28:41</t>
  </si>
  <si>
    <t>ТОДЕТАЛЬ ООО</t>
  </si>
  <si>
    <t>Счёт № 136778 от 20.06.2025г.  Фильтры топливные MITSUBISHI - 5 шт</t>
  </si>
  <si>
    <t>Списание с расчетного счета 00БП-004056 от 23.06.2025 18:09:34</t>
  </si>
  <si>
    <t>ТПП ООО</t>
  </si>
  <si>
    <t>Счёт № 71498 от 18.06.2025г. Трансформатор</t>
  </si>
  <si>
    <t>Списание с расчетного счета 00БП-004013 от 20.06.2025 19:02:36</t>
  </si>
  <si>
    <t>Счёт-договор № УТ-263 от 17.06.2025г. Сегмент BPW</t>
  </si>
  <si>
    <t>Списание с расчетного счета 00БП-003971 от 19.06.2025 19:28:34</t>
  </si>
  <si>
    <t>ТРАКДРАЙВ ООО</t>
  </si>
  <si>
    <t>Счёт № 82290 от 20.06.2025г. Разъёмы</t>
  </si>
  <si>
    <t>Списание с расчетного счета 00БП-004055 от 23.06.2025 18:09:33</t>
  </si>
  <si>
    <t>ТУЙМААДА-ГОЛД ООО</t>
  </si>
  <si>
    <t>Счёт № ЦБ-1181 от 25.06.2025г. Замок зажигания</t>
  </si>
  <si>
    <t>Списание с расчетного счета 00БП-004147 от 27.06.2025 17:35:40</t>
  </si>
  <si>
    <t>Тульчинская Дарья Игоревна ИП</t>
  </si>
  <si>
    <t>Счёт № 382 от 24.04.2025г. Лобовое стекло</t>
  </si>
  <si>
    <t>Списание с расчетного счета 00БП-002074 от 25.04.2025 18:59:25</t>
  </si>
  <si>
    <t>Счёт № 1646 от 26.05.2025г. Мясорубка МИМ-300</t>
  </si>
  <si>
    <t>Списание с расчетного счета 00БП-003222 от 28.05.2025 21:55:53</t>
  </si>
  <si>
    <t>УРАЛЗАПЧАСТЬЦЕНТР ООО</t>
  </si>
  <si>
    <t>Счёт № 144 от 13.05.2025г. Запчасти АТЗ Урал</t>
  </si>
  <si>
    <t>Списание с расчетного счета 00БП-002828 от 15.05.2025 18:23:30</t>
  </si>
  <si>
    <t>Федотов Руслан Еремеевич ИП</t>
  </si>
  <si>
    <t>Авансовый отчет 00БП-000056 от 19.03.2025 12:24:29</t>
  </si>
  <si>
    <t>основной от 19.05.2025</t>
  </si>
  <si>
    <t>Авансовый отчет 00БП-000188 от 22.05.2025 12:21:08</t>
  </si>
  <si>
    <t>Списание с расчетного счета 00БП-001193 от 01.04.2025 17:50:24</t>
  </si>
  <si>
    <t>Счёт № ЦМ-1420 от 23.06.2025г. Кабель РПШ</t>
  </si>
  <si>
    <t>Списание с расчетного счета 00БП-004096 от 24.06.2025 23:59:59</t>
  </si>
  <si>
    <t>003 от 17.03.2025г.</t>
  </si>
  <si>
    <t>Списание с расчетного счета 00БП-000762 от 17.03.2025 17:48:09</t>
  </si>
  <si>
    <t>004 от 18.03.2025г. Нера-Таллалах</t>
  </si>
  <si>
    <t>Списание с расчетного счета 00БП-000790 от 18.03.2025 17:04:01</t>
  </si>
  <si>
    <t>006 от 27.03.2025г.</t>
  </si>
  <si>
    <t>Списание с расчетного счета 00БП-001248 от 03.04.2025 19:18:42</t>
  </si>
  <si>
    <t>Списание с расчетного счета 00БП-002963 от 21.05.2025 20:10:54</t>
  </si>
  <si>
    <t>010 от 28.04.2025г.  уч.Обман</t>
  </si>
  <si>
    <t>Списание с расчетного счета 00БП-002333 от 05.05.2025 19:41:02</t>
  </si>
  <si>
    <t>Шалина Лидия Григорьевна</t>
  </si>
  <si>
    <t>Авансовый отчет 00БП-000175 от 05.05.2025 17:56:12</t>
  </si>
  <si>
    <t>Шароватова Галина Федоровна ИП</t>
  </si>
  <si>
    <t>Счёт № 1196 от 31.03.2025г. Штанга толкателя</t>
  </si>
  <si>
    <t>Списание с расчетного счета 00БП-001288 от 04.04.2025 19:33:37</t>
  </si>
  <si>
    <t>Шуман Наталия Сергеевна ИП</t>
  </si>
  <si>
    <t>НСЦБ-000102 от 16.06.2025г. Запчасти для а/м</t>
  </si>
  <si>
    <t>Списание с расчетного счета 00БП-003908 от 17.06.2025 22:58:34</t>
  </si>
  <si>
    <t>ЭКСПЕРТТЕХНИК.РУ ООО</t>
  </si>
  <si>
    <t>Счёт № 80 от 23.05.2025г. Выезд мобильной диагностической линии</t>
  </si>
  <si>
    <t>Списание с расчетного счета 00БП-003225 от 28.05.2025 21:55:56</t>
  </si>
  <si>
    <t>Списание с расчетного счета 00БП-004302 от 30.06.2025 23:59:59</t>
  </si>
  <si>
    <t>ЭЛЕКТРОРЕШЕНИЯ ООО</t>
  </si>
  <si>
    <t>Счёт № 2773235 от 25.06.2025г. Кнопка "Пуск-Стоп"</t>
  </si>
  <si>
    <t>Списание с расчетного счета 00БП-004294 от 30.06.2025 23:59:59</t>
  </si>
  <si>
    <t>ЭЛКОМ ООО</t>
  </si>
  <si>
    <t>Счёт № 053081 от 19.06.2025г. Шпонки</t>
  </si>
  <si>
    <t>Списание с расчетного счета 00БП-004050 от 23.06.2025 18:09:28</t>
  </si>
  <si>
    <t>Списание с расчетного счета 00БП-004087 от 24.06.2025 23:59:59</t>
  </si>
  <si>
    <t>Элтек НЭЦ ООО</t>
  </si>
  <si>
    <t>12С-230-Ц-НЭЦ-ЭПБ-ТУ-24 от 16.12.2024</t>
  </si>
  <si>
    <t>Списание с расчетного счета 00БП-009284 от 16.12.2024 15:20:53</t>
  </si>
  <si>
    <t>Энтузиаст-С ООО</t>
  </si>
  <si>
    <t>Счёт № ТКЛ004398 от 03.06.2025г. Набор съёмников</t>
  </si>
  <si>
    <t>Списание с расчетного счета 00БП-003485 от 09.06.2025 17:55:34</t>
  </si>
  <si>
    <t>ЯНДЕКС ООО</t>
  </si>
  <si>
    <t>Счёт № ЛС-4074970856-1 от 19.05.2025г.</t>
  </si>
  <si>
    <t>Списание с расчетного счета 00БП-002908 от 19.05.2025 18:19:52</t>
  </si>
  <si>
    <t>ГТК ООО</t>
  </si>
  <si>
    <t>160102 от 16.01.2025 г. EUR Бульдозеры KOMATSU D375A-8</t>
  </si>
  <si>
    <t>Списание с расчетного счета 00БП-000090 от 22.01.2025 17:16:53</t>
  </si>
  <si>
    <t>Списание с расчетного счета 00БП-003303 от 30.05.2025 23:53:27</t>
  </si>
  <si>
    <t>13.05.25</t>
  </si>
  <si>
    <t>30.05.25</t>
  </si>
  <si>
    <t>05.02.25</t>
  </si>
  <si>
    <t>22.04.25</t>
  </si>
  <si>
    <t>11.04.25</t>
  </si>
  <si>
    <t>18.04.25</t>
  </si>
  <si>
    <t>15.05.25</t>
  </si>
  <si>
    <t>14.05.25</t>
  </si>
  <si>
    <t>14.03.24</t>
  </si>
  <si>
    <t>31.03.23</t>
  </si>
  <si>
    <t>04.02.25</t>
  </si>
  <si>
    <t>29.04.25</t>
  </si>
  <si>
    <t>18.06.25</t>
  </si>
  <si>
    <t>23.04.25</t>
  </si>
  <si>
    <t>12.05.25</t>
  </si>
  <si>
    <t>27.05.25</t>
  </si>
  <si>
    <t>11.06.25</t>
  </si>
  <si>
    <t>13.09.24</t>
  </si>
  <si>
    <t>27.12.24</t>
  </si>
  <si>
    <t>15.01.25</t>
  </si>
  <si>
    <t>15.05.24</t>
  </si>
  <si>
    <t>10.04.25</t>
  </si>
  <si>
    <t>26.06.25</t>
  </si>
  <si>
    <t>29.05.25</t>
  </si>
  <si>
    <t>17.03.25</t>
  </si>
  <si>
    <t>16.05.25</t>
  </si>
  <si>
    <t>01.11.24</t>
  </si>
  <si>
    <t>05.03.25</t>
  </si>
  <si>
    <t>03.04.25</t>
  </si>
  <si>
    <t>21.04.25</t>
  </si>
  <si>
    <t>17.10.24</t>
  </si>
  <si>
    <t>20.03.25</t>
  </si>
  <si>
    <t>18.03.25</t>
  </si>
  <si>
    <t>25.06.24</t>
  </si>
  <si>
    <t>15.04.24</t>
  </si>
  <si>
    <t>20.09.24</t>
  </si>
  <si>
    <t>17.04.25</t>
  </si>
  <si>
    <t>16.12.24</t>
  </si>
  <si>
    <t>22.01.25</t>
  </si>
  <si>
    <t>счет № 2000-006994 от 08.06.2023</t>
  </si>
  <si>
    <t>Списание с расчетного счета 00БП-003158 от 16.06.2023 21:01:03</t>
  </si>
  <si>
    <t>16.06.23</t>
  </si>
  <si>
    <t>Счёт № СЧ-ЯСК400653 от 15.12.2024</t>
  </si>
  <si>
    <t>Списание с расчетного счета 00БП-009294 от 17.12.2024 14:30:13</t>
  </si>
  <si>
    <t>17.12.24</t>
  </si>
  <si>
    <t>170 от 07.11.2023г. Спец. 7  Модуль баня</t>
  </si>
  <si>
    <t>Списание с расчетного счета 00БП-000668 от 12.03.2025 18:04:16</t>
  </si>
  <si>
    <t>Списание с расчетного счета 00БП-000798 от 18.03.2025 17:04:09</t>
  </si>
  <si>
    <t>№ 170 от 07.11.2023г, спец. № 6 от 21.01.2025г.</t>
  </si>
  <si>
    <t>Списание с расчетного счета 00БП-000089 от 22.01.2025 17:16:52</t>
  </si>
  <si>
    <t>Списание с расчетного счета 00БП-000369 от 26.02.2025 11:21:37</t>
  </si>
  <si>
    <t>26.02.25</t>
  </si>
  <si>
    <t>Списание с расчетного счета 00БП-000709 от 13.03.2025 18:55:54</t>
  </si>
  <si>
    <t>Счёт № 2410 от 24.03.2025г.Сирена механическая ручная</t>
  </si>
  <si>
    <t>Списание с расчетного счета 00БП-000927 от 25.03.2025 17:52:12</t>
  </si>
  <si>
    <t>2/03/2025 от 07.03.2025г. CHANGAN HUNTER PLUS</t>
  </si>
  <si>
    <t>Списание с расчетного счета 00БП-000667 от 12.03.2025 18:04:15</t>
  </si>
  <si>
    <t>3/03/2025 от 07.03.2025г. CHANGAN HUNTER PLUS</t>
  </si>
  <si>
    <t>Списание с расчетного счета 00БП-000666 от 12.03.2025 18:04:14</t>
  </si>
  <si>
    <t>7875-ВО-10 (спец 7) от 14.12.2015 г.</t>
  </si>
  <si>
    <t>Списание с расчетного счета 00БП-009286 от 16.12.2024 15:20:55</t>
  </si>
  <si>
    <t>Счёт № П0027859 от 20.03.2025г. Рыба</t>
  </si>
  <si>
    <t>Списание с расчетного счета 00БП-000855 от 20.03.2025 18:57:23</t>
  </si>
  <si>
    <t>АМПЕР-ЭЛЕКТРО ООО</t>
  </si>
  <si>
    <t>2612-А-11989 от 11.03.2025г. Спец. № 35835-06  "Сайлык" ЯКНО</t>
  </si>
  <si>
    <t>Списание с расчетного счета 00БП-000664 от 12.03.2025 18:04:12</t>
  </si>
  <si>
    <t>2612-А-11989 от 11.03.2025г. Спец. № 37714-01 "Дражный" ЯКНО</t>
  </si>
  <si>
    <t>Списание с расчетного счета 00БП-000663 от 12.03.2025 18:04:11</t>
  </si>
  <si>
    <t>АНМАКС ООО</t>
  </si>
  <si>
    <t>007 от 17.02.2025г. Запчасти для а/м TOYOTA HILUX.</t>
  </si>
  <si>
    <t>Списание с расчетного счета 00БП-000853 от 20.03.2025 18:57:21</t>
  </si>
  <si>
    <t>АРМИГ ООО</t>
  </si>
  <si>
    <t>Счёт № 1874 от 24.03.2025г. Запчасти для плазморезов</t>
  </si>
  <si>
    <t>Списание с расчетного счета 00БП-000964 от 26.03.2025 19:28:49</t>
  </si>
  <si>
    <t>РС-08-12-2022-5 от 08.12.2022г. Спец. 8 Запчасти</t>
  </si>
  <si>
    <t>Списание с расчетного счета 00БП-000665 от 12.03.2025 18:04:13</t>
  </si>
  <si>
    <t>Списание с расчетного счета 00БП-000708 от 13.03.2025 18:55:53</t>
  </si>
  <si>
    <t>Винокурова Екатерина Александровна ИП</t>
  </si>
  <si>
    <t>Счёт № 2 от 03.10.2024г. чехлы на Форд</t>
  </si>
  <si>
    <t>Списание с расчетного счета 00БП-007178 от 07.10.2024 18:52:53</t>
  </si>
  <si>
    <t>07.10.24</t>
  </si>
  <si>
    <t>ГАК РУСЛАН ВИТАЛЬЕВИЧ ИП</t>
  </si>
  <si>
    <t>счет 1754 от 28.12.2024 доставка ООО "Сибирские технологии"</t>
  </si>
  <si>
    <t>Списание с расчетного счета 00БП-000004 от 09.01.2025 12:00:10</t>
  </si>
  <si>
    <t>09.01.25</t>
  </si>
  <si>
    <t>14 от 10.03.2024г. Счёт № 362 от 10.03.2025г. Нагнетатели смазки</t>
  </si>
  <si>
    <t>Списание с расчетного счета 00БП-000609 от 11.03.2025 17:05:31</t>
  </si>
  <si>
    <t>Списание с расчетного счета 00БП-009250 от 13.12.2024 12:00:04</t>
  </si>
  <si>
    <t>Счёт № 5 от 11.03.2025г. Спецодежда</t>
  </si>
  <si>
    <t>Списание с расчетного счета 00БП-000765 от 17.03.2025 17:48:12</t>
  </si>
  <si>
    <t>РС-26-12-2022-9/127з от 26.12.2022г. Спец. 17 Сита, задвижки, катки</t>
  </si>
  <si>
    <t>Списание с расчетного счета 00БП-000472 от 04.03.2025 16:22:11</t>
  </si>
  <si>
    <t>04.03.25</t>
  </si>
  <si>
    <t>РС-26-12-2022-9/127з от 26.12.2022г. Спец. 21 Фильтры</t>
  </si>
  <si>
    <t>Списание с расчетного счета 00БП-001101 от 28.03.2025 21:31:33</t>
  </si>
  <si>
    <t>Гурьев Петр Павлович ИП</t>
  </si>
  <si>
    <t>РС-06-03-2024-1 от 06.03.2024г. Спец. 2 от 21.02.2025г. Лес кругляк</t>
  </si>
  <si>
    <t>Списание с расчетного счета 00БП-000453 от 03.03.2025 16:49:31</t>
  </si>
  <si>
    <t>03.03.25</t>
  </si>
  <si>
    <t>Счёт № 25-00021115167 от 18.03.2025г. (ТЗР ООО "Гаро" Нагнетатели смазки)</t>
  </si>
  <si>
    <t>Списание с расчетного счета 00БП-000807 от 19.03.2025 15:53:53</t>
  </si>
  <si>
    <t>Счёт № 25-00291063356 от 27.03.2025г. (ТЗР ООО "ТЗО" Фильтры)</t>
  </si>
  <si>
    <t>Списание с расчетного счета 00БП-001083 от 28.03.2025 21:31:15</t>
  </si>
  <si>
    <t>Счёт № 25-00381001769 от 10.01.2025г.  ООО "КТФ"</t>
  </si>
  <si>
    <t>Списание с расчетного счета 00БП-000027 от 13.01.2025 16:00:11</t>
  </si>
  <si>
    <t>13.01.25</t>
  </si>
  <si>
    <t>Счёт № 25-00381095092 от 26.03.2025г. (ТЗР ООО "Мобиба" Палатка, печь)</t>
  </si>
  <si>
    <t>Списание с расчетного счета 00БП-000998 от 27.03.2025 20:55:03</t>
  </si>
  <si>
    <t>27.03.25</t>
  </si>
  <si>
    <t>Счёт № 25-00391027918 от 27.03.2025г. (ТЗР ООО "Армиг" Запчасти для плазморезов)</t>
  </si>
  <si>
    <t>Списание с расчетного счета 00БП-001078 от 28.03.2025 21:31:10</t>
  </si>
  <si>
    <t>Счёт № 25-00481012184 от 24.03.2025г.(ТЗР АО "ГПФК" Фильтры)</t>
  </si>
  <si>
    <t>Списание с расчетного счета 00БП-000923 от 25.03.2025 17:52:08</t>
  </si>
  <si>
    <t>Счёт № 25-12621047925 от 20.03.2025г. (ТЗР ООО "Термоальянс" Станция подачи топлива)</t>
  </si>
  <si>
    <t>Списание с расчетного счета 00БП-000871 от 21.03.2025 17:20:56</t>
  </si>
  <si>
    <t>Счёт № 25-50370002143 от 28.03.2025г.(ТЗР ООО "Зет-Техно" Автомойки)</t>
  </si>
  <si>
    <t>Списание с расчетного счета 00БП-001149 от 31.03.2025 23:59:59</t>
  </si>
  <si>
    <t>Счёт № А-00109891 от 27.03.2025г. Память USB Flash. Внешний SSD Samsung Т7</t>
  </si>
  <si>
    <t>Списание с расчетного счета 00БП-001086 от 28.03.2025 21:31:18</t>
  </si>
  <si>
    <t>Счёт А-00107889 от 26.03.2025г. Ноутбук, рюкзак, док-станция, мышь</t>
  </si>
  <si>
    <t>Списание с расчетного счета 00БП-000963 от 26.03.2025 19:28:48</t>
  </si>
  <si>
    <t>ДНС Ритейл ООО Филиал Центральный</t>
  </si>
  <si>
    <t>Счёт № Г-00124833 от 19.03.2025г. Оргтехника</t>
  </si>
  <si>
    <t>Списание с расчетного счета 00БП-000819 от 19.03.2025 15:54:05</t>
  </si>
  <si>
    <t>ЕВРОХОЛОД ООО</t>
  </si>
  <si>
    <t>ЕХ-15-25к от 27.02.2025г. Спец. 1 Воздухонагреватель Caros HGA-500</t>
  </si>
  <si>
    <t>Списание с расчетного счета 00БП-000471 от 04.03.2025 16:22:10</t>
  </si>
  <si>
    <t>Счет № 2252131367298346Д от 06.12.2024 (СервисБурСистема)</t>
  </si>
  <si>
    <t>Списание с расчетного счета 00БП-009183 от 06.12.2024 18:36:57</t>
  </si>
  <si>
    <t>06.12.24</t>
  </si>
  <si>
    <t>Счёт № 2252131369923511Д от 14.12.2024 (КПК-Партс)</t>
  </si>
  <si>
    <t>Списание с расчетного счета 00БП-009282 от 16.12.2024 15:20:51</t>
  </si>
  <si>
    <t>Списание с расчетного счета 00БП-000148 от 30.01.2025 12:00:06</t>
  </si>
  <si>
    <t>Счёт № 2252131380964434Д от 21.01.2025 (КПК-Партс)</t>
  </si>
  <si>
    <t>Списание с расчетного счета 00БП-000088 от 22.01.2025 17:16:51</t>
  </si>
  <si>
    <t>Счёт № 2253732615428865Д от 26.12.2024 (КПК-Партс)</t>
  </si>
  <si>
    <t>Списание с расчетного счета 00БП-009389 от 27.12.2024 15:07:11</t>
  </si>
  <si>
    <t>Счёт № 2253732616061094А от 21.01.2025 (КПК-Партс)</t>
  </si>
  <si>
    <t>Списание с расчетного счета 00БП-000087 от 22.01.2025 17:16:50</t>
  </si>
  <si>
    <t>Счёт № 229605946136003А от 06.12.2024 (СервисБурСистема)</t>
  </si>
  <si>
    <t>Списание с расчетного счета 00БП-009181 от 06.12.2024 18:36:55</t>
  </si>
  <si>
    <t>Счёту № 2253732615273780А от 14.12.2024 (КПК-Партс)</t>
  </si>
  <si>
    <t>Списание с расчетного счета 00БП-009276 от 16.12.2024 15:20:45</t>
  </si>
  <si>
    <t>25-112 от 10.03.2025г. Автомойки Посейдон</t>
  </si>
  <si>
    <t>Списание с расчетного счета 00БП-000610 от 11.03.2025 17:05:32</t>
  </si>
  <si>
    <t>Списание с расчетного счета 00БП-000897 от 24.03.2025 20:20:08</t>
  </si>
  <si>
    <t>24.03.25</t>
  </si>
  <si>
    <t>14/03-1п от 14.03.2025г. Элемент фильтрующий-сепаратор</t>
  </si>
  <si>
    <t>Списание с расчетного счета 00БП-000830 от 19.03.2025 15:54:16</t>
  </si>
  <si>
    <t>ИМПЕРИЯ ИНСТРУМЕНТА ГК ООО</t>
  </si>
  <si>
    <t>Счёт № S0250305723 от 21.03.2025г. Мотодрель Champion DR230-DR230</t>
  </si>
  <si>
    <t>Списание с расчетного счета 00БП-000887 от 24.03.2025 20:19:58</t>
  </si>
  <si>
    <t>11.02.2025 от 11.02.2025г. Спец. 1 (Долото - 82шт)</t>
  </si>
  <si>
    <t>Списание с расчетного счета 00БП-000873 от 21.03.2025 17:20:58</t>
  </si>
  <si>
    <t>Списание с расчетного счета 00БП-000324 от 19.02.2025 12:48:30</t>
  </si>
  <si>
    <t>19.02.25</t>
  </si>
  <si>
    <t>МО-12-01-2024-1 от 12.01.2024г. Спец. 12 Масло LUKOIL</t>
  </si>
  <si>
    <t>Списание с расчетного счета 00БП-001102 от 28.03.2025 21:31:34</t>
  </si>
  <si>
    <t>МО-12-01-2024-1 от 12.01.2024г. Спец. 15 АКБ</t>
  </si>
  <si>
    <t>Списание с расчетного счета 00БП-000860 от 20.03.2025 18:57:28</t>
  </si>
  <si>
    <t>КОПИРТЕХСЕРВИС ООО</t>
  </si>
  <si>
    <t>Счёт № КВ-440 от 17.03.2025г. Бумага А4</t>
  </si>
  <si>
    <t>Списание с расчетного счета 00БП-000787 от 18.03.2025 17:03:58</t>
  </si>
  <si>
    <t>КОРЧАГИН ПАВЕЛ АЛЕКСАНДРОВИЧ ИП</t>
  </si>
  <si>
    <t>Счет 12 от 07.12.2024</t>
  </si>
  <si>
    <t>Списание с расчетного счета 00БП-009216 от 11.12.2024 12:00:05</t>
  </si>
  <si>
    <t>11.12.24</t>
  </si>
  <si>
    <t>Кран-Мастер ООО</t>
  </si>
  <si>
    <t>Счёт № 1439 от 27.03.2025г. Канат</t>
  </si>
  <si>
    <t>Списание с расчетного счета 00БП-001088 от 28.03.2025 21:31:20</t>
  </si>
  <si>
    <t>Кривошапкин Евгений Александрович ИП</t>
  </si>
  <si>
    <t>37 от 21.03.2025г. Кадастровые работы уч. "Нера"</t>
  </si>
  <si>
    <t>Списание с расчетного счета 00БП-000956 от 26.03.2025 19:28:41</t>
  </si>
  <si>
    <t>Списание с расчетного счета 00БП-000957 от 26.03.2025 19:28:42</t>
  </si>
  <si>
    <t>Кудрявцев Геннадий Геннадьевич ИП</t>
  </si>
  <si>
    <t>Счёт № ИМ000000242 от 20.03.2025г. Строительный инструмент</t>
  </si>
  <si>
    <t>Списание с расчетного счета 00БП-001081 от 28.03.2025 21:31:13</t>
  </si>
  <si>
    <t>ЛИДЕРКЛЮЧ ООО</t>
  </si>
  <si>
    <t>Счёт № 128 от 27.03.2025г. Гайки стакана форсунки</t>
  </si>
  <si>
    <t>Списание с расчетного счета 00БП-001076 от 28.03.2025 21:31:08</t>
  </si>
  <si>
    <t>Счёт № ЦБ-871 от 21.03.2025г. Клемы АКБ СВИНЕЦ</t>
  </si>
  <si>
    <t>Списание с расчетного счета 00БП-000891 от 24.03.2025 20:20:02</t>
  </si>
  <si>
    <t>Списание с расчетного счета 00БП-000944 от 25.03.2025 17:52:29</t>
  </si>
  <si>
    <t>214/03 от 28.02.2025г.</t>
  </si>
  <si>
    <t>Списание с расчетного счета 00БП-000532 от 07.03.2025 17:20:59</t>
  </si>
  <si>
    <t>МЕРИДИАН ВОСТОК ООО</t>
  </si>
  <si>
    <t>Договор купли-продажи имущества от 24.01.2025г. ( емкости РГС-60 и комплектующие)</t>
  </si>
  <si>
    <t>Списание с расчетного счета 00БП-000119 от 27.01.2025 17:18:22</t>
  </si>
  <si>
    <t>27.01.25</t>
  </si>
  <si>
    <t>№ РС-09-12-2022-3 от 09.12.2022г. от 09.12.2022г. Спец 6 Промприбор</t>
  </si>
  <si>
    <t>Списание с расчетного счета 00БП-000238 от 11.02.2025 12:00:04</t>
  </si>
  <si>
    <t>11.02.25</t>
  </si>
  <si>
    <t>РС-09-12-2022-3 от 09.12.2022г. Спец. 7 з/ч на промприбор</t>
  </si>
  <si>
    <t>Списание с расчетного счета 00БП-000325 от 19.02.2025 12:48:31</t>
  </si>
  <si>
    <t>МОБИБА ООО</t>
  </si>
  <si>
    <t>Счёт № 453 от 21.03.2025г. Палатка Мобиба. Печь Согра-3</t>
  </si>
  <si>
    <t>Списание с расчетного счета 00БП-000893 от 24.03.2025 20:20:04</t>
  </si>
  <si>
    <t>Счёт № FECB-004892 от 18.03.2025г. Договор № FE-P/22-063 от 19.12.22г. Запчасти</t>
  </si>
  <si>
    <t>Списание с расчетного счета 00БП-000874 от 21.03.2025 17:20:59</t>
  </si>
  <si>
    <t>Счёт № FECB-005083 от 19.03.2025г. Договор FE-P/22-063 от 19.12.22г. Фильтры</t>
  </si>
  <si>
    <t>Списание с расчетного счета 00БП-000818 от 19.03.2025 15:54:04</t>
  </si>
  <si>
    <t>Счёт № FECB-005141 от 19.03.2025г. Договору № FE-P/22-063 от 19.12.22г. Переключатель</t>
  </si>
  <si>
    <t>Списание с расчетного счета 00БП-000888 от 24.03.2025 20:19:59</t>
  </si>
  <si>
    <t>Счёт № FECB-016244 от 30.07.2024г. Договор № FE-P/14-111 Термостаты</t>
  </si>
  <si>
    <t>Списание с расчетного счета 00БП-005196 от 01.08.2024 17:40:43</t>
  </si>
  <si>
    <t>01.08.24</t>
  </si>
  <si>
    <t>Счёт № FECB-016611 от 05.08.2024г. Договор № FE-P/14-111 Резиновое уплотнение</t>
  </si>
  <si>
    <t>Списание с расчетного счета 00БП-005317 от 08.08.2024 17:52:20</t>
  </si>
  <si>
    <t>Счёт № FECB-023040 от 04.10.2024г Договор № FE-P/22-063 от 19.12.22г.  (Подшипник скольжения, палец)</t>
  </si>
  <si>
    <t>Списание с расчетного счета 00БП-007253 от 09.10.2024 16:22:29</t>
  </si>
  <si>
    <t>09.10.24</t>
  </si>
  <si>
    <t>Монолит Аренда ООО</t>
  </si>
  <si>
    <t>54-ММ от 31.10.2022г</t>
  </si>
  <si>
    <t>Списание с расчетного счета 00БП-001140 от 31.03.2025 23:59:59</t>
  </si>
  <si>
    <t>МПС ООО</t>
  </si>
  <si>
    <t>Счёт № 3182 от 12.11.2024г. Адаптер для натяжения гусеницы</t>
  </si>
  <si>
    <t>Списание с расчетного счета 00БП-008469 от 13.11.2024 18:11:36</t>
  </si>
  <si>
    <t>13.11.24</t>
  </si>
  <si>
    <t>Списание с расчетного счета 00БП-000516 от 05.03.2025 17:40:59</t>
  </si>
  <si>
    <t>Списание с расчетного счета 00БП-009170 от 05.12.2024 12:53:44</t>
  </si>
  <si>
    <t>Списание с расчетного счета 00БП-000515 от 05.03.2025 17:40:58</t>
  </si>
  <si>
    <t>Списание с расчетного счета 00БП-000517 от 05.03.2025 17:41:00</t>
  </si>
  <si>
    <t>Списание с расчетного счета 00БП-009168 от 05.12.2024 12:53:42</t>
  </si>
  <si>
    <t>Списание с расчетного счета 00БП-000514 от 05.03.2025 17:40:57</t>
  </si>
  <si>
    <t>Списание с расчетного счета 00БП-009169 от 05.12.2024 12:53:43</t>
  </si>
  <si>
    <t>Счёт № УТ-4358 от 21.03.2025г. Инструмент</t>
  </si>
  <si>
    <t>Списание с расчетного счета 00БП-000889 от 24.03.2025 20:20:00</t>
  </si>
  <si>
    <t>Счёт № УТ-4416 от 22.03.2025г. Инструмент</t>
  </si>
  <si>
    <t>Списание с расчетного счета 00БП-001084 от 28.03.2025 21:31:16</t>
  </si>
  <si>
    <t>Списание с расчетного счета 00БП-000272 от 13.02.2025 12:00:02</t>
  </si>
  <si>
    <t>13.02.25</t>
  </si>
  <si>
    <t>Счёт № 88 от 25.03.2025г. Серьги, зажимы, изоляторы</t>
  </si>
  <si>
    <t>Списание с расчетного счета 00БП-000960 от 26.03.2025 19:28:45</t>
  </si>
  <si>
    <t>Списание с расчетного счета 00БП-000825 от 19.03.2025 15:54:11</t>
  </si>
  <si>
    <t>Списание с расчетного счета 00БП-000966 от 26.03.2025 19:28:51</t>
  </si>
  <si>
    <t>Спецификация 3 от 10.12.2024</t>
  </si>
  <si>
    <t>Списание с расчетного счета 00БП-000942 от 25.03.2025 17:52:27</t>
  </si>
  <si>
    <t>ПР-04 24 от 01.04.2024г. Приложение 7 от 12.12.2024г.</t>
  </si>
  <si>
    <t>Списание с расчетного счета 00БП-009399 от 27.12.2024 15:07:21</t>
  </si>
  <si>
    <t>Списание с расчетного счета 00БП-000499 от 05.03.2025 17:40:37</t>
  </si>
  <si>
    <t>Списание с расчетного счета 00БП-000500 от 05.03.2025 17:40:38</t>
  </si>
  <si>
    <t>Списание с расчетного счета 00БП-000501 от 05.03.2025 17:40:39</t>
  </si>
  <si>
    <t>Списание с расчетного счета 00БП-000502 от 05.03.2025 17:40:40</t>
  </si>
  <si>
    <t>Списание с расчетного счета 00БП-000503 от 05.03.2025 17:40:41</t>
  </si>
  <si>
    <t>Списание с расчетного счета 00БП-000504 от 05.03.2025 17:40:42</t>
  </si>
  <si>
    <t>Списание с расчетного счета 00БП-000505 от 05.03.2025 17:40:43</t>
  </si>
  <si>
    <t>Списание с расчетного счета 00БП-000522 от 06.03.2025 16:33:05</t>
  </si>
  <si>
    <t>06.03.25</t>
  </si>
  <si>
    <t>Списание с расчетного счета 00БП-000523 от 06.03.2025 16:33:06</t>
  </si>
  <si>
    <t>Списание с расчетного счета 00БП-000524 от 06.03.2025 16:33:07</t>
  </si>
  <si>
    <t>Списание с расчетного счета 00БП-000525 от 06.03.2025 16:33:08</t>
  </si>
  <si>
    <t>Списание с расчетного счета 00БП-000554 от 07.03.2025 17:21:21</t>
  </si>
  <si>
    <t>Списание с расчетного счета 00БП-000580 от 10.03.2025 19:18:11</t>
  </si>
  <si>
    <t>10.03.25</t>
  </si>
  <si>
    <t>Списание с расчетного счета 00БП-000581 от 10.03.2025 19:18:12</t>
  </si>
  <si>
    <t>Списание с расчетного счета 00БП-000582 от 10.03.2025 19:18:13</t>
  </si>
  <si>
    <t>Списание с расчетного счета 00БП-000583 от 10.03.2025 19:18:14</t>
  </si>
  <si>
    <t>Списание с расчетного счета 00БП-000584 от 10.03.2025 19:18:15</t>
  </si>
  <si>
    <t>Списание с расчетного счета 00БП-000611 от 11.03.2025 17:05:33</t>
  </si>
  <si>
    <t>Списание с расчетного счета 00БП-000612 от 11.03.2025 17:05:34</t>
  </si>
  <si>
    <t>Списание с расчетного счета 00БП-000768 от 17.03.2025 17:48:15</t>
  </si>
  <si>
    <t>Списание с расчетного счета 00БП-000769 от 17.03.2025 17:48:16</t>
  </si>
  <si>
    <t>Списание с расчетного счета 00БП-000770 от 17.03.2025 17:48:17</t>
  </si>
  <si>
    <t>Списание с расчетного счета 00БП-000796 от 18.03.2025 17:04:07</t>
  </si>
  <si>
    <t>Списание с расчетного счета 00БП-000797 от 18.03.2025 17:04:08</t>
  </si>
  <si>
    <t>Списание с расчетного счета 00БП-000827 от 19.03.2025 15:54:13</t>
  </si>
  <si>
    <t>Списание с расчетного счета 00БП-000828 от 19.03.2025 15:54:14</t>
  </si>
  <si>
    <t>Списание с расчетного счета 00БП-000829 от 19.03.2025 15:54:15</t>
  </si>
  <si>
    <t>Списание с расчетного счета 00БП-000857 от 20.03.2025 18:57:25</t>
  </si>
  <si>
    <t>Списание с расчетного счета 00БП-000858 от 20.03.2025 18:57:26</t>
  </si>
  <si>
    <t>Списание с расчетного счета 00БП-000859 от 20.03.2025 18:57:27</t>
  </si>
  <si>
    <t>Списание с расчетного счета 00БП-000899 от 24.03.2025 20:20:10</t>
  </si>
  <si>
    <t>Списание с расчетного счета 00БП-000900 от 24.03.2025 20:20:11</t>
  </si>
  <si>
    <t>Списание с расчетного счета 00БП-000901 от 24.03.2025 20:20:12</t>
  </si>
  <si>
    <t>Списание с расчетного счета 00БП-000902 от 24.03.2025 20:20:13</t>
  </si>
  <si>
    <t>Списание с расчетного счета 00БП-000939 от 25.03.2025 17:52:24</t>
  </si>
  <si>
    <t>Списание с расчетного счета 00БП-000940 от 25.03.2025 17:52:25</t>
  </si>
  <si>
    <t>Списание с расчетного счета 00БП-000941 от 25.03.2025 17:52:26</t>
  </si>
  <si>
    <t>Списание с расчетного счета 00БП-000943 от 25.03.2025 17:52:28</t>
  </si>
  <si>
    <t>Списание с расчетного счета 00БП-000969 от 26.03.2025 19:28:54</t>
  </si>
  <si>
    <t>Списание с расчетного счета 00БП-000970 от 26.03.2025 19:28:55</t>
  </si>
  <si>
    <t>Списание с расчетного счета 00БП-000971 от 26.03.2025 19:28:56</t>
  </si>
  <si>
    <t>Списание с расчетного счета 00БП-000972 от 26.03.2025 19:28:57</t>
  </si>
  <si>
    <t>Списание с расчетного счета 00БП-001094 от 28.03.2025 21:31:26</t>
  </si>
  <si>
    <t>Списание с расчетного счета 00БП-001095 от 28.03.2025 21:31:27</t>
  </si>
  <si>
    <t>Списание с расчетного счета 00БП-001096 от 28.03.2025 21:31:28</t>
  </si>
  <si>
    <t>Списание с расчетного счета 00БП-001097 от 28.03.2025 21:31:29</t>
  </si>
  <si>
    <t>Списание с расчетного счета 00БП-001098 от 28.03.2025 21:31:30</t>
  </si>
  <si>
    <t>Списание с расчетного счета 00БП-001099 от 28.03.2025 21:31:31</t>
  </si>
  <si>
    <t>Списание с расчетного счета 00БП-001100 от 28.03.2025 21:31:32</t>
  </si>
  <si>
    <t>Простор ООО 2540092730</t>
  </si>
  <si>
    <t>РС-10-02-2023-1 от 10.02.2023г. Спец. 3 Автошины</t>
  </si>
  <si>
    <t>Списание с расчетного счета 00БП-000558 от 07.03.2025 17:21:25</t>
  </si>
  <si>
    <t>Списание с расчетного счета 00БП-000559 от 07.03.2025 17:21:26</t>
  </si>
  <si>
    <t>Документ расчетов с контрагентом 00БП-000002 от 16.08.2024 20:35:50</t>
  </si>
  <si>
    <t>16.08.24</t>
  </si>
  <si>
    <t>РЕФКОНТЕЙНЕР ООО</t>
  </si>
  <si>
    <t>Счёт-договор № 16/07-3 от 16.07.2024г. Контроллер ML3</t>
  </si>
  <si>
    <t>Списание с расчетного счета 00БП-004733 от 16.07.2024 19:05:06</t>
  </si>
  <si>
    <t>16.07.24</t>
  </si>
  <si>
    <t>14/038-2025 от 21.01.2025г. 60000 Айхал 5,1102га  60 000</t>
  </si>
  <si>
    <t>Списание с расчетного счета 00БП-000216 от 06.02.2025 12:00:18</t>
  </si>
  <si>
    <t>06.02.25</t>
  </si>
  <si>
    <t>14/039-2025 от 21.01.2025г. Айхал 10,8753га 60000</t>
  </si>
  <si>
    <t>Списание с расчетного счета 00БП-000215 от 06.02.2025 12:00:17</t>
  </si>
  <si>
    <t>14/059-2025 от 27.02.2025г. (Тарын 73,2500га) 424 441,07</t>
  </si>
  <si>
    <t>Списание с расчетного счета 00БП-000421 от 28.02.2025 23:59:59</t>
  </si>
  <si>
    <t>14/075-2025 от 11.02.2025г. Айхал 2,1660га 139 679,48</t>
  </si>
  <si>
    <t>Списание с расчетного счета 00БП-000275 от 13.02.2025 12:00:07</t>
  </si>
  <si>
    <t>14/076-2025 от 11.02.2025г. Эрел 33,6097га  457 918,98</t>
  </si>
  <si>
    <t>Списание с расчетного счета 00БП-000276 от 13.02.2025 12:00:08</t>
  </si>
  <si>
    <t>14/150-2025 от 13.03.2025г. Обман 5,4584га</t>
  </si>
  <si>
    <t>Списание с расчетного счета 00БП-000763 от 17.03.2025 17:48:10</t>
  </si>
  <si>
    <t>14/163-2025 от 21.03.2025г. Айхал 4,8288га</t>
  </si>
  <si>
    <t>Списание с расчетного счета 00БП-000890 от 24.03.2025 20:20:01</t>
  </si>
  <si>
    <t>14/508-2024 от 01.11.2024г. Смородина 79,8315га</t>
  </si>
  <si>
    <t>Списание с расчетного счета 00БП-008295 от 05.11.2024 17:00:44</t>
  </si>
  <si>
    <t>05.11.24</t>
  </si>
  <si>
    <t>Списание с расчетного счета 00БП-000473 от 04.03.2025 16:22:12</t>
  </si>
  <si>
    <t>Счёт № ЦБ-64 от 27.03.2025г. Электроконвектор Loriot</t>
  </si>
  <si>
    <t>Списание с расчетного счета 00БП-001080 от 28.03.2025 21:31:12</t>
  </si>
  <si>
    <t>Счёт № 39244 от 21.03.2025г. Форсунки QUATTRO ELEMENTI QE110D</t>
  </si>
  <si>
    <t>Списание с расчетного счета 00БП-000886 от 24.03.2025 20:19:57</t>
  </si>
  <si>
    <t>МО-23-01-2024-1 от 23.01.2024г. Спец. 4 Запчасти для Белазов</t>
  </si>
  <si>
    <t>Списание с расчетного счета 00БП-000710 от 13.03.2025 18:55:55</t>
  </si>
  <si>
    <t>Счёт № 1220 от 07.03.2025г. (ТЗР ООО "Ависта Модуль Инжиниринг" Модули)</t>
  </si>
  <si>
    <t>Списание с расчетного счета 00БП-000737 от 14.03.2025 14:47:58</t>
  </si>
  <si>
    <t>14.03.25</t>
  </si>
  <si>
    <t>Счёт № 1381 от 13.03.2025г.(ТЗР ООО "Ависта Модуль Инжиниринг"  Модули)</t>
  </si>
  <si>
    <t>Списание с расчетного счета 00БП-000736 от 14.03.2025 14:47:57</t>
  </si>
  <si>
    <t>Счёт № 1435 от 14.03.2025г. (ТЗР ООО "Ависта Модуль Инжиниринг" Модули)</t>
  </si>
  <si>
    <t>Списание с расчетного счета 00БП-000767 от 17.03.2025 17:48:14</t>
  </si>
  <si>
    <t>Счёт № 1436 от 14.03.2025г. (ТЗР ООО "Ависта Модуль Инжиниринг" Модули)</t>
  </si>
  <si>
    <t>Списание с расчетного счета 00БП-000766 от 17.03.2025 17:48:13</t>
  </si>
  <si>
    <t>Счёт № 1702 от 21.03.2025г. (ТЗР ООО "Ависта Модуль Инжиниринг" Модули Спец. 6)</t>
  </si>
  <si>
    <t>Списание с расчетного счета 00БП-000968 от 26.03.2025 19:28:53</t>
  </si>
  <si>
    <t>Счёт № 1817 от 27.03.2025г. (ТЗР ООО "Ависта Модуль Инжиниринг" Модули Спец.7)</t>
  </si>
  <si>
    <t>Списание с расчетного счета 00БП-001152 от 31.03.2025 23:59:59</t>
  </si>
  <si>
    <t>Счёт № 559 от 06.02.2025г. Сварочный агрегат УЗСНГО Искра</t>
  </si>
  <si>
    <t>Списание с расчетного счета 00БП-000271 от 13.02.2025 12:00:01</t>
  </si>
  <si>
    <t>Счёт № 809 от 19.02.2025г. Перевозка модулей</t>
  </si>
  <si>
    <t>Списание с расчетного счета 00БП-000347 от 21.02.2025 15:36:25</t>
  </si>
  <si>
    <t>21.02.25</t>
  </si>
  <si>
    <t>Счёт № 882 от 22.02.2025г. (ООО "Ависта Модуль Инжиниринг" модули)</t>
  </si>
  <si>
    <t>Списание с расчетного счета 00БП-000368 от 26.02.2025 11:21:36</t>
  </si>
  <si>
    <t>Счёт № 884 от 22.02.2025г. (ООО "Ависта Модуль Инжиниринг" модули)</t>
  </si>
  <si>
    <t>Списание с расчетного счета 00БП-000367 от 26.02.2025 11:21:35</t>
  </si>
  <si>
    <t>СИЛТОН ООО</t>
  </si>
  <si>
    <t>Счёт № 7523 от 26.03.2025г. Камлок</t>
  </si>
  <si>
    <t>Списание с расчетного счета 00БП-001077 от 28.03.2025 21:31:09</t>
  </si>
  <si>
    <t>СИСТЕМА ООО</t>
  </si>
  <si>
    <t>Счёт № УТ-245 от 21.03.2025г.  Ключ Съёмник</t>
  </si>
  <si>
    <t>Списание с расчетного счета 00БП-001087 от 28.03.2025 21:31:19</t>
  </si>
  <si>
    <t>Счёт № НСБ6639 от 05.03.2025г. ООО "Сибирские технологии" РТИ</t>
  </si>
  <si>
    <t>Списание с расчетного счета 00БП-000521 от 06.03.2025 16:33:04</t>
  </si>
  <si>
    <t>СНАБСИСТЕМ ООО</t>
  </si>
  <si>
    <t>счет 391 от 13.12.2024  насос</t>
  </si>
  <si>
    <t>Списание с расчетного счета 00БП-009393 от 27.12.2024 15:07:15</t>
  </si>
  <si>
    <t>СПЕКТР ООО</t>
  </si>
  <si>
    <t>ОИ-75/25 от 11.03.2025г.</t>
  </si>
  <si>
    <t>Списание с расчетного счета 00БП-000697 от 13.03.2025 18:55:42</t>
  </si>
  <si>
    <t>Счёт № ЯКТ00018600 от 18.10.2024г. ООО "Евразия Майнинг" Запчасти</t>
  </si>
  <si>
    <t>Списание с расчетного счета 00БП-008802 от 19.11.2024 17:08:17</t>
  </si>
  <si>
    <t>19.11.24</t>
  </si>
  <si>
    <t>Счёт № ЯКТ01516 от 13.02.2025г. (Генератор для вертолёта)</t>
  </si>
  <si>
    <t>Списание с расчетного счета 00БП-000280 от 14.02.2025 15:11:11</t>
  </si>
  <si>
    <t>14.02.25</t>
  </si>
  <si>
    <t>Счёт № ЯКТ02948 от 14.03.2025г.  (ТЗР ООО "Глобал Фиш" Счёт № 5 Спецодежда)</t>
  </si>
  <si>
    <t>Списание с расчетного счета 00БП-000958 от 26.03.2025 19:28:43</t>
  </si>
  <si>
    <t>Счёт № ЯКТ03393 от 24.03.2025г.(ТЗР ООО "ДНС Ритейл" Оргтехника)</t>
  </si>
  <si>
    <t>Списание с расчетного счета 00БП-000926 от 25.03.2025 17:52:11</t>
  </si>
  <si>
    <t>Счёт № ЯКТ03655 от 28.03.2025г. (ТЗР ООО "Триза" Оборудование Сч. 407)</t>
  </si>
  <si>
    <t>Списание с расчетного счета 00БП-001146 от 31.03.2025 23:59:59</t>
  </si>
  <si>
    <t>МО-03-01-2024-1 от 03.01.2024г. Спец. 11 Коронки ковша - 30 шт.</t>
  </si>
  <si>
    <t>Списание с расчетного счета 00БП-000931 от 25.03.2025 17:52:16</t>
  </si>
  <si>
    <t>МО-03-01-2024-1 от 30.01.2024г. Спец. 9 Гусеницы, катки</t>
  </si>
  <si>
    <t>Списание с расчетного счета 00БП-000707 от 13.03.2025 18:55:52</t>
  </si>
  <si>
    <t>248 от 23.09.2024г. Пыльник шруса</t>
  </si>
  <si>
    <t>Списание с расчетного счета 00БП-006732 от 25.09.2024 19:26:59</t>
  </si>
  <si>
    <t>25.09.24</t>
  </si>
  <si>
    <t>ТЕНТОВЫЕ КОНСТРУКЦИИ ООО</t>
  </si>
  <si>
    <t>02-10-24 ТК/ПМ от 22.10.2024</t>
  </si>
  <si>
    <t>Списание с расчетного счета 00БП-000006 от 09.01.2025 12:00:12</t>
  </si>
  <si>
    <t>Списание с расчетного счета 00БП-000394 от 27.02.2025 16:47:04</t>
  </si>
  <si>
    <t>27.02.25</t>
  </si>
  <si>
    <t>1103-1/ТА от 11.03.2025г. Станция подачи-фильтрации топлива</t>
  </si>
  <si>
    <t>Списание с расчетного счета 00БП-000661 от 12.03.2025 18:04:09</t>
  </si>
  <si>
    <t>ТЕХНОБЕРИНГ ООО</t>
  </si>
  <si>
    <t>Счёт № 89072 от 26.03.2025г. Розетки, ниппели</t>
  </si>
  <si>
    <t>Списание с расчетного счета 00БП-001085 от 28.03.2025 21:31:17</t>
  </si>
  <si>
    <t>01-2024/ТХ от 09.01.2024г. Спец. 2 Рукав полиэтиленовый</t>
  </si>
  <si>
    <t>Списание с расчетного счета 00БП-000346 от 21.02.2025 15:36:24</t>
  </si>
  <si>
    <t>Счёт № 820044315047 от 09.09.2024г. Коронки, ножи</t>
  </si>
  <si>
    <t>Списание с расчетного счета 00БП-006380 от 12.09.2024 17:28:33</t>
  </si>
  <si>
    <t>12.09.24</t>
  </si>
  <si>
    <t>Счёт № 820044339233 от 23.03.2025г. Форсунки</t>
  </si>
  <si>
    <t>Списание с расчетного счета 00БП-001141 от 31.03.2025 23:59:59</t>
  </si>
  <si>
    <t>Торопов Алексей Станиславович ИП</t>
  </si>
  <si>
    <t>Счёт № 752 от 05.03.2025г. Ремонт Toyota HIGHLANDER</t>
  </si>
  <si>
    <t>Списание с расчетного счета 00БП-000645 от 12.03.2025 18:03:53</t>
  </si>
  <si>
    <t>ТРИЗА ООО</t>
  </si>
  <si>
    <t>25/03/25 от 25.03.2025г. Оборудование</t>
  </si>
  <si>
    <t>Списание с расчетного счета 00БП-000967 от 26.03.2025 19:28:52</t>
  </si>
  <si>
    <t>Списание с расчетного счета 00БП-005471 от 12.08.2024 18:37:49</t>
  </si>
  <si>
    <t>12.08.24</t>
  </si>
  <si>
    <t>ПТ/0110-УВК/2020-ПЗ от 01.10.2020 г.</t>
  </si>
  <si>
    <t>Списание с расчетного счета 00БП-000696 от 13.03.2025 18:55:41</t>
  </si>
  <si>
    <t>Списание с расчетного счета 00БП-000704 от 13.03.2025 18:55:49</t>
  </si>
  <si>
    <t>Федоров Александр Сергеевич ИП</t>
  </si>
  <si>
    <t>Счёт № ФА-227 от 20.03.2025г. Мотопомпа Skat</t>
  </si>
  <si>
    <t>Списание с расчетного счета 00БП-001082 от 28.03.2025 21:31:14</t>
  </si>
  <si>
    <t>32426 от 07.02.2024г.</t>
  </si>
  <si>
    <t>Списание с расчетного счета 00БП-001502 от 09.04.2024 19:39:54</t>
  </si>
  <si>
    <t>Списание с расчетного счета 00БП-007213 от 08.10.2024 20:35:01</t>
  </si>
  <si>
    <t>Энергия ООО перевозки 1402017687</t>
  </si>
  <si>
    <t>Счёт № 40225-8-3-1/666 от 04.02.2025г. (СЖС Восток Лимитет пробы за ТТ)</t>
  </si>
  <si>
    <t>Списание с расчетного счета 00БП-000211 от 06.02.2025 12:00:02</t>
  </si>
  <si>
    <t>РС-07-03-2025-1 от 07.03.2025г. Спец. 1</t>
  </si>
  <si>
    <t>Списание с расчетного счета 00БП-000771 от 17.03.2025 17:48:18</t>
  </si>
  <si>
    <t>ЭЦОТЭ ООО</t>
  </si>
  <si>
    <t>СОУТ/Э-003/24 от 22.07.2024г.</t>
  </si>
  <si>
    <t>Списание с расчетного счета 00БП-005351 от 09.08.2024 17:00:59</t>
  </si>
  <si>
    <t>09.08.24</t>
  </si>
  <si>
    <t>ЮЖУРАЛСНАБ ООО</t>
  </si>
  <si>
    <t>Счёт № 829 от 05.02.2025г. Патрубки</t>
  </si>
  <si>
    <t>Списание с расчетного счета 00БП-000577 от 10.03.2025 19:18:08</t>
  </si>
  <si>
    <t>ЮниКредит Лизинг ООО</t>
  </si>
  <si>
    <t>Соглашение № 35437L/D1 от 11.03.2025г. Выкуп</t>
  </si>
  <si>
    <t>Списание с расчетного счета 00БП-000603 от 11.03.2025 17:05:25</t>
  </si>
  <si>
    <t>Якутнедра (УФК по РС(Я))</t>
  </si>
  <si>
    <t>Списание с расчетного счета 00БП-008083 от 30.10.2024 17:15:46</t>
  </si>
  <si>
    <t>30.10.24</t>
  </si>
  <si>
    <t>Списание с расчетного счета 00БП-008085 от 30.10.2024 17:15:48</t>
  </si>
  <si>
    <t>Счёт № ЛС-4074970856-1 от 07.06.2024г.</t>
  </si>
  <si>
    <t>Списание с расчетного счета 00БП-003369 от 10.06.2024 23:59:59</t>
  </si>
  <si>
    <t>10.06.24</t>
  </si>
  <si>
    <t>М0-07-03-2024-1 от 07.03.2024г. Спец 8 запчасти буров</t>
  </si>
  <si>
    <t>Списание с расчетного счета 00БП-009377 от 26.12.2024 23:56:47</t>
  </si>
  <si>
    <t>26.12.24</t>
  </si>
  <si>
    <t>114з от 27.12.2024г. Спец.1 USD самосвалы Белаз (2шт.)</t>
  </si>
  <si>
    <t>Списание с расчетного счета 00БП-000098 от 23.01.2025 16:59:58</t>
  </si>
  <si>
    <t>23.01.25</t>
  </si>
  <si>
    <t>Списание с расчетного счета 00БП-000832 от 19.03.2025 15:54:18</t>
  </si>
  <si>
    <t>Списание с расчетного счета 00БП-001090 от 28.03.2025 21:31:22</t>
  </si>
  <si>
    <t>Счёт № МГ00000437 от 18.03.2025г. EUR Фильтры гидравлические</t>
  </si>
  <si>
    <t>Списание с расчетного счета 00БП-000848 от 20.03.2025 18:57:16</t>
  </si>
  <si>
    <t>Счёт № МГ00000438 от 18.03.2025г. EUR Фильтры гидравлические</t>
  </si>
  <si>
    <t>Списание с расчетного счета 00БП-000850 от 20.03.2025 18:57:18</t>
  </si>
  <si>
    <t>Договор №MM-PIOSK-2024 LiuGong от 27.12.2024</t>
  </si>
  <si>
    <t>Списание с расчетного счета 00БП-009398 от 27.12.2024 15:07:20</t>
  </si>
  <si>
    <t>Списание с расчетного счета 00БП-001104 от 28.03.2025 21:31:36</t>
  </si>
  <si>
    <t>01/3494-24 от 28.12.2024г. Импортные запчасти</t>
  </si>
  <si>
    <t>Списание с расчетного счета 00БП-000336 от 20.02.2025 15:53:33</t>
  </si>
  <si>
    <t>20.02.25</t>
  </si>
  <si>
    <t>88/272-2786644-2 от 07.02.2025г. Бульдозер SHANTUI SD22-254hp(ARCTIC)</t>
  </si>
  <si>
    <t>Списание с расчетного счета 00БП-000334 от 20.02.2025 15:53:31</t>
  </si>
  <si>
    <t>Списание с расчетного счета 00БП-000670 от 12.03.2025 18:04:18</t>
  </si>
  <si>
    <t>88/272-2860815-1 от 20.02.2025г. Бульдозер SHANTUI SD22-254hp(ARCTIC)</t>
  </si>
  <si>
    <t>Списание с расчетного счета 00БП-000557 от 07.03.2025 17:21:24</t>
  </si>
  <si>
    <t>Списание с расчетного счета 00БП-001103 от 28.03.2025 21:31:35</t>
  </si>
  <si>
    <t>ОА-06/2024 от 22.03.2024г.</t>
  </si>
  <si>
    <t>Списание с расчетного счета 00БП-001451 от 05.04.2024 17:41:34</t>
  </si>
  <si>
    <t>05.04.24</t>
  </si>
  <si>
    <t>Списание с расчетного счета 00БП-009327 от 23.12.2024 17:59:23</t>
  </si>
  <si>
    <t>23.12.24</t>
  </si>
  <si>
    <t>ВЕКПРОМ ТД ООО</t>
  </si>
  <si>
    <t>182ТД от 17.10.2024г. Спец. 1 Компрессор для бур. станка</t>
  </si>
  <si>
    <t>Списание с расчетного счета 00БП-008430 от 12.11.2024 17:19:30</t>
  </si>
  <si>
    <t>12.11.24</t>
  </si>
  <si>
    <t>182ТД от 17.10.2024г. Спец. 2 Фильтры</t>
  </si>
  <si>
    <t>Списание с расчетного счета 00БП-008425 от 12.11.2024 17:19:25</t>
  </si>
  <si>
    <t>ВОДОПЬЯНОВ АЛЕКСЕЙ ФЕДОРОВИЧ ИП</t>
  </si>
  <si>
    <t>Счёт № 9322170988 от 02.12.2024г.</t>
  </si>
  <si>
    <t>Списание с расчетного счета 00БП-009048 от 02.12.2024 16:28:27</t>
  </si>
  <si>
    <t>Счёт № 2412-246834-63770 от 25.12.2024 мотопомпа, фильтр</t>
  </si>
  <si>
    <t>Списание с расчетного счета 00БП-009392 от 27.12.2024 15:07:14</t>
  </si>
  <si>
    <t>Счёту № 2412-246751-34443 Компрессор Мастак от 25.12.2024</t>
  </si>
  <si>
    <t>Списание с расчетного счета 00БП-009403 от 28.12.2024 15:51:47</t>
  </si>
  <si>
    <t>28.12.24</t>
  </si>
  <si>
    <t>Списание с расчетного счета 00БП-008155 от 01.11.2024 16:41:58</t>
  </si>
  <si>
    <t>44-24/СЦ от 20.12.2024 г.</t>
  </si>
  <si>
    <t>Списание с расчетного счета 00БП-009336 от 24.12.2024 18:38:55</t>
  </si>
  <si>
    <t>24.12.24</t>
  </si>
  <si>
    <t>Счёт № 24-01371223245 от 18.10.2024г. ООО "УПК" Подшипники</t>
  </si>
  <si>
    <t>Списание с расчетного счета 00БП-007706 от 18.10.2024 19:57:49</t>
  </si>
  <si>
    <t>18.10.24</t>
  </si>
  <si>
    <t>ДНС Ритейл Филиал Дальневосточный ООО</t>
  </si>
  <si>
    <t>Счёт № А-00163452 от 14.05.2024г.</t>
  </si>
  <si>
    <t>Списание с расчетного счета 00БП-002698 от 14.05.2024 19:02:10</t>
  </si>
  <si>
    <t>14.05.24</t>
  </si>
  <si>
    <t>Счёт № ЦБ-5691 от 16.09.2024г. Крестовины</t>
  </si>
  <si>
    <t>Списание с расчетного счета 00БП-006563 от 16.09.2024 19:20:35</t>
  </si>
  <si>
    <t>16.09.24</t>
  </si>
  <si>
    <t>Списание с расчетного счета 00БП-009391 от 27.12.2024 15:07:13</t>
  </si>
  <si>
    <t>Счет 11 от 07.12.2024</t>
  </si>
  <si>
    <t>Списание с расчетного счета 00БП-009214 от 11.12.2024 12:00:03</t>
  </si>
  <si>
    <t>Счет 13 от 11.12.2024</t>
  </si>
  <si>
    <t>Списание с расчетного счета 00БП-009251 от 13.12.2024 12:00:05</t>
  </si>
  <si>
    <t>Счет 15 от 12.12.2024</t>
  </si>
  <si>
    <t>Списание с расчетного счета 00БП-009253 от 13.12.2024 12:00:07</t>
  </si>
  <si>
    <t>Счет 16 от 12.12.2024</t>
  </si>
  <si>
    <t>Списание с расчетного счета 00БП-009278 от 16.12.2024 15:20:47</t>
  </si>
  <si>
    <t>1303-2023 от 13.03.2023 счет 325</t>
  </si>
  <si>
    <t>Списание с расчетного счета 00БП-009008 от 29.11.2024 19:17:24</t>
  </si>
  <si>
    <t>29.11.24</t>
  </si>
  <si>
    <t>1303-2023 от 13.03.2023г. Спец. 6</t>
  </si>
  <si>
    <t>Списание с расчетного счета 00БП-009057 от 02.12.2024 16:28:36</t>
  </si>
  <si>
    <t>Списание с расчетного счета 00БП-008906 от 25.11.2024 17:26:04</t>
  </si>
  <si>
    <t>25.11.24</t>
  </si>
  <si>
    <t>26/08 от 26.08.2024г.</t>
  </si>
  <si>
    <t>Списание с расчетного счета 00БП-009001 от 29.11.2024 19:17:17</t>
  </si>
  <si>
    <t>Счёт № FECB-013317 от 01.07.2024г. Договор № FE-P/22-063 от 19.12.22г. Пружина, болт, гайка</t>
  </si>
  <si>
    <t>Счёт № FECB-013758 от 04.07.2024г. Договор № FE-P/22-063 от 19.12.22г.</t>
  </si>
  <si>
    <t>Счёт № FECB-016236 от 30.07.2024г. Договор № FE-P/22-063 от 19.12.22г.</t>
  </si>
  <si>
    <t>Счёт № FECB-016244 от 30.07.2024г. Договор № FE-P/22-063 от 19.12.22г. Термостаты</t>
  </si>
  <si>
    <t>Счёт № FECB-016611 от 05.08.2024г. Договор № FE-P/22-063 от 19.12.22г. Резиновое уплотнение</t>
  </si>
  <si>
    <t>Списание с расчетного счета 00БП-009390 от 27.12.2024 15:07:12</t>
  </si>
  <si>
    <t>Моторкон ООО</t>
  </si>
  <si>
    <t>Счёт № 1764 от 16.08.2024г. Подшипниковая камера</t>
  </si>
  <si>
    <t>Списание с расчетного счета 00БП-006566 от 16.09.2024 19:20:38</t>
  </si>
  <si>
    <t>Списание с расчетного счета 00БП-009166 от 05.12.2024 12:53:40</t>
  </si>
  <si>
    <t>Списание с расчетного счета 00БП-009167 от 05.12.2024 12:53:41</t>
  </si>
  <si>
    <t>Списание с расчетного счета 00БП-006249 от 10.09.2024 23:59:59</t>
  </si>
  <si>
    <t>10.09.24</t>
  </si>
  <si>
    <t>Списание с расчетного счета 00БП-006244 от 10.09.2024 23:59:59</t>
  </si>
  <si>
    <t>Списание с расчетного счета 00БП-009165 от 05.12.2024 12:53:39</t>
  </si>
  <si>
    <t>Списание с расчетного счета 00БП-006246 от 10.09.2024 23:59:59</t>
  </si>
  <si>
    <t>Списание с расчетного счета 00БП-007087 от 03.10.2024 18:33:46</t>
  </si>
  <si>
    <t>03.10.24</t>
  </si>
  <si>
    <t>16/04 от 12.04.2021г. Спец. 2 Инструмент для бур. станка</t>
  </si>
  <si>
    <t>Списание с расчетного счета 00БП-008429 от 12.11.2024 17:19:29</t>
  </si>
  <si>
    <t>16/04 от 12.04.2021г. Спец. 3 Инструмент для станка Беркут</t>
  </si>
  <si>
    <t>Списание с расчетного счета 00БП-009050 от 02.12.2024 16:28:29</t>
  </si>
  <si>
    <t>10634/2024/КИО от 01.03.2024г.</t>
  </si>
  <si>
    <t>Списание с расчетного счета 00БП-001137 от 26.03.2024 18:50:21</t>
  </si>
  <si>
    <t>26.03.24</t>
  </si>
  <si>
    <t>Списание с расчетного счета 00БП-006797 от 26.09.2024 21:12:43</t>
  </si>
  <si>
    <t>26.09.24</t>
  </si>
  <si>
    <t>Списание с расчетного счета 00БП-007574 от 15.10.2024 19:25:25</t>
  </si>
  <si>
    <t>Счёт № 71 от 02.08.2024г. Контроллер Hitachi</t>
  </si>
  <si>
    <t>Списание с расчетного счета 00БП-008853 от 21.11.2024 16:35:55</t>
  </si>
  <si>
    <t>21.11.24</t>
  </si>
  <si>
    <t>Спецификация 2 от 09.12.2024</t>
  </si>
  <si>
    <t>Списание с расчетного счета 00БП-009252 от 13.12.2024 12:00:06</t>
  </si>
  <si>
    <t>Списание с расчетного счета 00БП-009306 от 18.12.2024 13:07:15</t>
  </si>
  <si>
    <t>Списание с расчетного счета 00БП-004270 от 01.08.2023 17:47:37</t>
  </si>
  <si>
    <t>01.08.23</t>
  </si>
  <si>
    <t>РМ ГРУП ООО</t>
  </si>
  <si>
    <t>Счёт № РМГ00000590 от 11.11.2024г. Кресла, диван</t>
  </si>
  <si>
    <t>Списание с расчетного счета 00БП-009052 от 02.12.2024 16:28:31</t>
  </si>
  <si>
    <t>Списание с расчетного счета 00БП-009098 от 03.12.2024 16:43:27</t>
  </si>
  <si>
    <t>СБС ООО</t>
  </si>
  <si>
    <t>РС-05-11-2024-1 от 05.11.2024г. Спец. 1 (Коронки, трубы)</t>
  </si>
  <si>
    <t>Списание с расчетного счета 00БП-008854 от 21.11.2024 16:35:56</t>
  </si>
  <si>
    <t>Списание с расчетного счета 00БП-009055 от 02.12.2024 16:28:34</t>
  </si>
  <si>
    <t>МО-11-03-2024-1 от 11.03.2024г. Спец. 4 (фитинг)</t>
  </si>
  <si>
    <t>Списание с расчетного счета 00БП-009185 от 06.12.2024 18:36:59</t>
  </si>
  <si>
    <t>Спиров Юрий Вячеславович ИП</t>
  </si>
  <si>
    <t>Счёт № 29.10.2024/1 от 29.10.2024г. Душевая кабина</t>
  </si>
  <si>
    <t>Списание с расчетного счета 00БП-008157 от 01.11.2024 16:42:00</t>
  </si>
  <si>
    <t>Счёт № ЯКТ00018200 от 07.11.2024г. ООО "Евразия Майнинг" Запчасти</t>
  </si>
  <si>
    <t>Списание с расчетного счета 00БП-008933 от 27.11.2024 15:48:11</t>
  </si>
  <si>
    <t>27.11.24</t>
  </si>
  <si>
    <t>Счёт № ЯКТ00019400 от 04.12.2024 (Евразия Майнинг , запчасти)</t>
  </si>
  <si>
    <t>Списание с расчетного счета 00БП-009130 от 04.12.2024 15:24:44</t>
  </si>
  <si>
    <t>04.12.24</t>
  </si>
  <si>
    <t>ТЕХНОЛОГИЯ-СТ ООО</t>
  </si>
  <si>
    <t>Счёт № 29916 от 27.11.2024г. Мех.торц. уплотнение</t>
  </si>
  <si>
    <t>Списание с расчетного счета 00БП-009002 от 29.11.2024 19:17:18</t>
  </si>
  <si>
    <t>УПК ООО</t>
  </si>
  <si>
    <t>Счёт № СЧ-104590 от 15.10.2024г. подшипники</t>
  </si>
  <si>
    <t>Списание с расчетного счета 00БП-007672 от 17.10.2024 17:28:35</t>
  </si>
  <si>
    <t>Счёт № 3261515/200 от 26.11.2024г.</t>
  </si>
  <si>
    <t>Списание с расчетного счета 00БП-008989 от 28.11.2024 16:37:38</t>
  </si>
  <si>
    <t>28.11.24</t>
  </si>
  <si>
    <t>017 от 19.09.2024г.</t>
  </si>
  <si>
    <t>Списание с расчетного счета 00БП-007221 от 08.10.2024 20:35:09</t>
  </si>
  <si>
    <t>Списание с расчетного счета 00БП-009150 от 05.12.2024 12:53:20</t>
  </si>
  <si>
    <t>Яртурбо ООО</t>
  </si>
  <si>
    <t>Спецификация 1 от 12.12.2024</t>
  </si>
  <si>
    <t>Списание с расчетного счета 00БП-009330 от 23.12.2024 17:59:26</t>
  </si>
  <si>
    <t>Спецификация 2 от 12.12.2024</t>
  </si>
  <si>
    <t>Списание с расчетного счета 00БП-009328 от 23.12.2024 17:59:24</t>
  </si>
  <si>
    <t>РС-26-12-2022-9/127з от 26.12.2022г. Спец. 13 USD запчасти</t>
  </si>
  <si>
    <t>Списание с расчетного счета 00БП-005352 от 09.08.2024 17:01:00</t>
  </si>
  <si>
    <t>Счёт № МГ00001851 от 26.09.2024г. Фильтры</t>
  </si>
  <si>
    <t>Списание с расчетного счета 00БП-007069 от 03.10.2024 18:33:22</t>
  </si>
  <si>
    <t>Абдирахимов Мухаммадазиз Лухмонжонович ИП</t>
  </si>
  <si>
    <t>Счёт № 015 от 28.08.2024г. Овощи</t>
  </si>
  <si>
    <t>Списание с расчетного счета 00БП-005992 от 28.08.2024 18:11:48</t>
  </si>
  <si>
    <t>28.08.24</t>
  </si>
  <si>
    <t>Счёт № 016 от 20.09.2024г. Овощи</t>
  </si>
  <si>
    <t>Списание с расчетного счета 00БП-006668 от 23.09.2024 19:07:33</t>
  </si>
  <si>
    <t>23.09.24</t>
  </si>
  <si>
    <t>П0021447 от 04.03.2024</t>
  </si>
  <si>
    <t>Списание с расчетного счета 00БП-000670 от 05.03.2024 17:27:34</t>
  </si>
  <si>
    <t>05.03.24</t>
  </si>
  <si>
    <t>Счёт № П0042971 от 02.05.2024г.</t>
  </si>
  <si>
    <t>Списание с расчетного счета 00БП-002269 от 02.05.2024 23:59:59</t>
  </si>
  <si>
    <t>02.05.24</t>
  </si>
  <si>
    <t>Алексеева Айлина Афанасьевна ИП</t>
  </si>
  <si>
    <t>Счёт № РЗ-234/60 от 29.08.2024г. Диск тормозной</t>
  </si>
  <si>
    <t>Списание с расчетного счета 00БП-006060 от 30.08.2024 18:05:53</t>
  </si>
  <si>
    <t>Счёт № РЗ-426 от 26.09.2024г. Запчасти HILUX</t>
  </si>
  <si>
    <t>Списание с расчетного счета 00БП-006936 от 30.09.2024 23:59:59</t>
  </si>
  <si>
    <t>30.09.24</t>
  </si>
  <si>
    <t>Списание с расчетного счета 00БП-007903 от 22.12.2023 12:00:09</t>
  </si>
  <si>
    <t>22.12.23</t>
  </si>
  <si>
    <t>БНС ООО</t>
  </si>
  <si>
    <t>Счёт № 59 от 11.09.2024г.</t>
  </si>
  <si>
    <t>Списание с расчетного счета 00БП-006504 от 13.09.2024 18:48:19</t>
  </si>
  <si>
    <t>Бондарев Алексей Викторович ИП</t>
  </si>
  <si>
    <t>Счёт № 84 от 26.07.2024г. Кронштейны, сошки, ложки  СВО</t>
  </si>
  <si>
    <t>Списание с расчетного счета 00БП-005468 от 12.08.2024 18:37:46</t>
  </si>
  <si>
    <t>216-24 от 10.03.2024г.  Нера-Таллалах 191594</t>
  </si>
  <si>
    <t>Списание с расчетного счета 00БП-003133 от 30.05.2024 17:47:52</t>
  </si>
  <si>
    <t>30.05.24</t>
  </si>
  <si>
    <t>17-24 от 01.12.2023</t>
  </si>
  <si>
    <t>Списание с расчетного счета 00БП-000508 от 26.02.2024 14:37:26</t>
  </si>
  <si>
    <t>26.02.24</t>
  </si>
  <si>
    <t>20-УЦ/2024-СВ от 23.08.2024г. (64ч.)</t>
  </si>
  <si>
    <t>Списание с расчетного счета 00БП-006736 от 25.09.2024 19:27:03</t>
  </si>
  <si>
    <t>20-УЦ/2024-СВ от 23.08.2024г. (8ч.)</t>
  </si>
  <si>
    <t>Списание с расчетного счета 00БП-006735 от 25.09.2024 19:27:02</t>
  </si>
  <si>
    <t>Авансовый отчет 00БП-000284 от 27.09.2024 11:10:06</t>
  </si>
  <si>
    <t>27.09.24</t>
  </si>
  <si>
    <t>Счёт № УТ-9224 от 16.09.2024г. Насосы</t>
  </si>
  <si>
    <t>Списание с расчетного счета 00БП-006606 от 18.09.2024 17:45:53</t>
  </si>
  <si>
    <t>18.09.24</t>
  </si>
  <si>
    <t>Счёт № УТ-9570 от 23.09.2024г. Войлок</t>
  </si>
  <si>
    <t>Списание с расчетного счета 00БП-006694 от 24.09.2024 17:45:05</t>
  </si>
  <si>
    <t>24.09.24</t>
  </si>
  <si>
    <t>Счёт № УТ-9649 от 24.09.2024г. Стройматериалы</t>
  </si>
  <si>
    <t>Списание с расчетного счета 00БП-006737 от 25.09.2024 19:27:04</t>
  </si>
  <si>
    <t>счет № 2311-289581-74051 от 02.11.2023 обогреватели</t>
  </si>
  <si>
    <t>Списание с расчетного счета 00БП-007086 от 10.11.2023 16:36:34</t>
  </si>
  <si>
    <t>10.11.23</t>
  </si>
  <si>
    <t>Счёт № 2406-235755-36966 от 05.06.2024г. Бесщеточная дрель-шуруповерт</t>
  </si>
  <si>
    <t>Списание с расчетного счета 00БП-003320 от 06.06.2024 23:59:59</t>
  </si>
  <si>
    <t>Счёт № 2406-238194-09313 от 01.06.2024г. Дрель-шуруповёрт</t>
  </si>
  <si>
    <t>Списание с расчетного счета 00БП-003315 от 06.06.2024 23:59:59</t>
  </si>
  <si>
    <t>Счёт № 2406-286914-00700 от 02.06.2024г. Champion генераторы дизельные  DG3601Е  СВО</t>
  </si>
  <si>
    <t>Списание с расчетного счета 00БП-003193 от 03.06.2024 18:14:12</t>
  </si>
  <si>
    <t>03.06.24</t>
  </si>
  <si>
    <t>Счёт № 2406-293772-49374 от 26.06.2024г. Розетки</t>
  </si>
  <si>
    <t>Списание с расчетного счета 00БП-006688 от 24.09.2024 17:44:59</t>
  </si>
  <si>
    <t>Счёт № 2409-254466-85190 от 20.09.2024г. Инструмент для СВО</t>
  </si>
  <si>
    <t>Списание с расчетного счета 00БП-006697 от 24.09.2024 17:45:08</t>
  </si>
  <si>
    <t>Списание с расчетного счета 00БП-005226 от 02.08.2024 18:04:48</t>
  </si>
  <si>
    <t>02.08.24</t>
  </si>
  <si>
    <t>Списание с расчетного счета 00БП-006148 от 05.09.2024 20:11:18</t>
  </si>
  <si>
    <t>05.09.24</t>
  </si>
  <si>
    <t>КЮ48867 от 02.06.2019</t>
  </si>
  <si>
    <t>Списание с расчетного счета 00БП-006230 от 10.09.2024 17:35:39</t>
  </si>
  <si>
    <t>Списание с расчетного счета 00БП-002800 от 20.05.2024 19:51:34</t>
  </si>
  <si>
    <t>20.05.24</t>
  </si>
  <si>
    <t>Списание с расчетного счета 00БП-004808 от 18.07.2024 17:42:31</t>
  </si>
  <si>
    <t>18.07.24</t>
  </si>
  <si>
    <t>Списание с расчетного счета 00БП-005297 от 07.08.2024 17:40:26</t>
  </si>
  <si>
    <t>07.08.24</t>
  </si>
  <si>
    <t>Списание с расчетного счета 00БП-005873 от 27.08.2024 17:46:42</t>
  </si>
  <si>
    <t>Списание с расчетного счета 00БП-006497 от 13.09.2024 18:48:12</t>
  </si>
  <si>
    <t>Списание с расчетного счета 00БП-004820 от 19.07.2024 18:44:00</t>
  </si>
  <si>
    <t>19.07.24</t>
  </si>
  <si>
    <t>Списание с расчетного счета 00БП-005295 от 07.08.2024 17:40:24</t>
  </si>
  <si>
    <t>Списание с расчетного счета 00БП-004883 от 24.07.2024 18:44:52</t>
  </si>
  <si>
    <t>24.07.24</t>
  </si>
  <si>
    <t>Списание с расчетного счета 00БП-005141 от 30.07.2024 18:40:03</t>
  </si>
  <si>
    <t>30.07.24</t>
  </si>
  <si>
    <t>Списание с расчетного счета 00БП-005991 от 28.08.2024 18:11:47</t>
  </si>
  <si>
    <t>Списание с расчетного счета 00БП-006624 от 19.09.2024 18:14:25</t>
  </si>
  <si>
    <t>Списание с расчетного счета 00БП-005225 от 02.08.2024 18:04:47</t>
  </si>
  <si>
    <t>Списание с расчетного счета 00БП-006149 от 05.09.2024 20:11:19</t>
  </si>
  <si>
    <t>Списание с расчетного счета 00БП-004412 от 11.07.2024 17:53:01</t>
  </si>
  <si>
    <t>11.07.24</t>
  </si>
  <si>
    <t>Списание с расчетного счета 00БП-005762 от 20.08.2024 18:37:34</t>
  </si>
  <si>
    <t>Списание с расчетного счета 00БП-006127 от 04.09.2024 19:56:09</t>
  </si>
  <si>
    <t>04.09.24</t>
  </si>
  <si>
    <t>Списание с расчетного счета 00БП-005872 от 27.08.2024 17:46:41</t>
  </si>
  <si>
    <t>Списание с расчетного счета 00БП-004824 от 19.07.2024 18:44:04</t>
  </si>
  <si>
    <t>Списание с расчетного счета 00БП-006500 от 13.09.2024 18:48:15</t>
  </si>
  <si>
    <t>Списание с расчетного счета 00БП-005687 от 15.08.2024 20:47:52</t>
  </si>
  <si>
    <t>Списание с расчетного счета 00БП-006499 от 13.09.2024 18:48:14</t>
  </si>
  <si>
    <t>Списание с расчетного счета 00БП-005855 от 27.08.2024 17:46:24</t>
  </si>
  <si>
    <t>КЮ55951 от 05.05.2021г.</t>
  </si>
  <si>
    <t>Списание с расчетного счета 00БП-003249 от 05.06.2024 18:43:42</t>
  </si>
  <si>
    <t>Списание с расчетного счета 00БП-005761 от 20.08.2024 18:37:33</t>
  </si>
  <si>
    <t>КЮ55954 от 05.05.2021г.</t>
  </si>
  <si>
    <t>Списание с расчетного счета 00БП-004727 от 16.07.2024 19:05:00</t>
  </si>
  <si>
    <t>Списание с расчетного счета 00БП-005224 от 02.08.2024 18:04:46</t>
  </si>
  <si>
    <t>Списание с расчетного счета 00БП-006329 от 12.09.2024 17:27:42</t>
  </si>
  <si>
    <t>Списание с расчетного счета 00БП-005688 от 15.08.2024 20:47:53</t>
  </si>
  <si>
    <t>Списание с расчетного счета 00БП-006792 от 26.09.2024 21:12:38</t>
  </si>
  <si>
    <t>Геолинвестпроект ООО.</t>
  </si>
  <si>
    <t>№ 3-ТЭО-23 от 07.08.2023г</t>
  </si>
  <si>
    <t>Списание с расчетного счета 00БП-000616 от 01.03.2024 17:23:23</t>
  </si>
  <si>
    <t>01.03.24</t>
  </si>
  <si>
    <t>ГОУДРОН ООО</t>
  </si>
  <si>
    <t>Счёт № 156 от 20.09.2024г. БПЛА  (СВО)</t>
  </si>
  <si>
    <t>Списание с расчетного счета 00БП-006702 от 24.09.2024 17:45:13</t>
  </si>
  <si>
    <t>РС-26-12-2022-9/127з от 26.12.22г, спец № 7 задвижки, сито, сетки</t>
  </si>
  <si>
    <t>Списание с расчетного счета 00БП-002321 от 03.05.2024 19:41:04</t>
  </si>
  <si>
    <t>03.05.24</t>
  </si>
  <si>
    <t>Списание с расчетного счета 00БП-005346 от 09.08.2024 17:00:54</t>
  </si>
  <si>
    <t>Счёт № МГ00001847 от 26.09.2024г. Вентиляторы</t>
  </si>
  <si>
    <t>Списание с расчетного счета 00БП-006866 от 27.09.2024 20:02:38</t>
  </si>
  <si>
    <t>ДВ ТЭК ООО</t>
  </si>
  <si>
    <t>Счёт № 5295 от 30.09.2024г. ООО "Камдео" Запчасти</t>
  </si>
  <si>
    <t>Списание с расчетного счета 00БП-006934 от 30.09.2024 23:59:59</t>
  </si>
  <si>
    <t>Корректировка поступления 00БП-000018 от 20.06.2024 18:44:44</t>
  </si>
  <si>
    <t>20.06.24</t>
  </si>
  <si>
    <t>МО-22-01-2024-2 от 22.01.2024г. Спец. 2 (Запчасти)</t>
  </si>
  <si>
    <t>Списание с расчетного счета 00БП-004832 от 19.07.2024 18:44:12</t>
  </si>
  <si>
    <t>Счёт № А-00151921 от 02.05.2024г.</t>
  </si>
  <si>
    <t>Списание с расчетного счета 00БП-002312 от 03.05.2024 19:40:55</t>
  </si>
  <si>
    <t>Счёт № УТ-75819 от 20.09.2024г. Утеплитель</t>
  </si>
  <si>
    <t>Списание с расчетного счета 00БП-006665 от 23.09.2024 19:07:30</t>
  </si>
  <si>
    <t>ДСТ-РЕСУРС ООО</t>
  </si>
  <si>
    <t>№ РС-08-12-2022-12 от 08.12.2022г, спец № 1 от 10.02.2023</t>
  </si>
  <si>
    <t>Списание с расчетного счета 00БП-005476 от 13.09.2023 21:56:45</t>
  </si>
  <si>
    <t>13.09.23</t>
  </si>
  <si>
    <t>Журавлева Любовь Дмитриевна ИП</t>
  </si>
  <si>
    <t>Авансовый отчет 00БП-000025 от 06.03.2024 17:14:54</t>
  </si>
  <si>
    <t>06.03.24</t>
  </si>
  <si>
    <t>Счёт № 23 259 от 10.07.2024г.</t>
  </si>
  <si>
    <t>Списание с расчетного счета 00БП-004414 от 11.07.2024 17:53:03</t>
  </si>
  <si>
    <t>Авансовый отчет 00БП-000286 от 30.09.2024 16:59:05</t>
  </si>
  <si>
    <t>МО-12-01-2024-1 от 12.01.2024г. Спец. № 1 (запчасти на промприбор)</t>
  </si>
  <si>
    <t>Списание с расчетного счета 00БП-004187 от 02.07.2024 18:09:51</t>
  </si>
  <si>
    <t>02.07.24</t>
  </si>
  <si>
    <t>Счёт № 274 от 05.08.2024г. Втулки, пружины, болты, гайки, ремкомплект</t>
  </si>
  <si>
    <t>Списание с расчетного счета 00БП-005678 от 14.08.2024 19:23:08</t>
  </si>
  <si>
    <t>14.08.24</t>
  </si>
  <si>
    <t>Счёт № 318 от 10.09.2024г. Радиаторы, стартеры, ремкомплект</t>
  </si>
  <si>
    <t>Списание с расчетного счета 00БП-006567 от 16.09.2024 19:20:39</t>
  </si>
  <si>
    <t>Керимов Захид Абдулгусейн оглы ИП</t>
  </si>
  <si>
    <t>Договор № БС-18.06.21 от 18.06.2021 г.</t>
  </si>
  <si>
    <t>Списание с расчетного счета 00БП-003596 от 24.06.2021 19:11:18</t>
  </si>
  <si>
    <t>24.06.21</t>
  </si>
  <si>
    <t>Счёт № 0116348522 от 23.07.2024г.</t>
  </si>
  <si>
    <t>Списание с расчетного счета 00БП-005142 от 30.07.2024 18:40:04</t>
  </si>
  <si>
    <t>Счёт № 1485 от 05.09.2024г.</t>
  </si>
  <si>
    <t>Списание с расчетного счета 00БП-006188 от 06.09.2024 17:41:08</t>
  </si>
  <si>
    <t>ГМ-1021 от 10.06.2022г</t>
  </si>
  <si>
    <t>Списание с расчетного счета 00БП-003971 от 13.07.2022 17:26:09</t>
  </si>
  <si>
    <t>13.07.22</t>
  </si>
  <si>
    <t>ГМ-964 от 03.06.2022г</t>
  </si>
  <si>
    <t>Списание с расчетного счета 00БП-003969 от 13.07.2022 17:26:07</t>
  </si>
  <si>
    <t>счет № ГМ-273 от 03.03.2023г. ремень</t>
  </si>
  <si>
    <t>Списание с расчетного счета 00БП-000615 от 03.03.2023 23:59:59</t>
  </si>
  <si>
    <t>03.03.23</t>
  </si>
  <si>
    <t>Счёт № ГМ-395 от 24.03.2023г. генератор</t>
  </si>
  <si>
    <t>Списание с расчетного счета 00БП-001134 от 28.03.2023 19:09:59</t>
  </si>
  <si>
    <t>28.03.23</t>
  </si>
  <si>
    <t>Счёт № ЦБ-3717 от 04.09.2024г. К-т гильза поршень</t>
  </si>
  <si>
    <t>Списание с расчетного счета 00БП-006941 от 30.09.2024 23:59:59</t>
  </si>
  <si>
    <t>Счёт № ГЛ-4508 от 08.07.2024г. Концевик</t>
  </si>
  <si>
    <t>Списание с расчетного счета 00БП-004349 от 09.07.2024 18:56:44</t>
  </si>
  <si>
    <t>09.07.24</t>
  </si>
  <si>
    <t>МАСЛОПОТОК ООО</t>
  </si>
  <si>
    <t>Счёт № 16 от 09.02.2024</t>
  </si>
  <si>
    <t>Списание с расчетного счета 00БП-000297 от 09.02.2024 11:07:06</t>
  </si>
  <si>
    <t>09.02.24</t>
  </si>
  <si>
    <t>Счёт № 92 от 17.09.2024г.</t>
  </si>
  <si>
    <t>Списание с расчетного счета 00БП-006605 от 18.09.2024 17:45:52</t>
  </si>
  <si>
    <t>Списание с расчетного счета 00БП-006042 от 29.08.2024 19:07:06</t>
  </si>
  <si>
    <t>29.08.24</t>
  </si>
  <si>
    <t>Списание с расчетного счета 00БП-006608 от 18.09.2024 17:45:55</t>
  </si>
  <si>
    <t>Михайлов Максим Николаевич ИП</t>
  </si>
  <si>
    <t>178 от 17.06.2024г. перевозка Иннопром</t>
  </si>
  <si>
    <t>Списание с расчетного счета 00БП-004911 от 25.07.2024 16:44:22</t>
  </si>
  <si>
    <t>25.07.24</t>
  </si>
  <si>
    <t>Списание с расчетного счета 00БП-006932 от 30.09.2024 23:59:59</t>
  </si>
  <si>
    <t>Списание с расчетного счета 00БП-003210 от 03.06.2024 19:19:42</t>
  </si>
  <si>
    <t>Списание с расчетного счета 00БП-004274 от 04.07.2024 18:48:02</t>
  </si>
  <si>
    <t>Списание с расчетного счета 00БП-003211 от 03.06.2024 19:19:43</t>
  </si>
  <si>
    <t>Списание с расчетного счета 00БП-006245 от 10.09.2024 23:59:59</t>
  </si>
  <si>
    <t>Списание с расчетного счета 00БП-004281 от 04.07.2024 18:48:09</t>
  </si>
  <si>
    <t>Списание с расчетного счета 00БП-004278 от 04.07.2024 18:48:06</t>
  </si>
  <si>
    <t>Списание с расчетного счета 00БП-004277 от 04.07.2024 18:48:05</t>
  </si>
  <si>
    <t>Поступление (акт, накладная, УПД) 00БП-001200 от 31.08.2024 23:59:59</t>
  </si>
  <si>
    <t>31.08.24</t>
  </si>
  <si>
    <t>Списание с расчетного счета 00БП-006248 от 10.09.2024 23:59:59</t>
  </si>
  <si>
    <t>Авансовый отчет 00БП-000186 от 20.06.2024 15:24:21</t>
  </si>
  <si>
    <t>Авансовый отчет 00БП-000272 от 12.09.2024 16:53:22</t>
  </si>
  <si>
    <t>Полещук Денис Константинович ИП</t>
  </si>
  <si>
    <t>Счёт № 292311681 от 20.09.2024г. Автономный отопитель</t>
  </si>
  <si>
    <t>Списание с расчетного счета 00БП-006691 от 24.09.2024 17:45:02</t>
  </si>
  <si>
    <t>Право ТЭК ООО</t>
  </si>
  <si>
    <t>Счёт № 196 от 24.06.2024г.</t>
  </si>
  <si>
    <t>Списание с расчетного счета 00БП-004065 от 28.06.2024 19:03:24</t>
  </si>
  <si>
    <t>Списание с расчетного счета 00БП-006645 от 20.09.2024 18:25:32</t>
  </si>
  <si>
    <t>ПР-04/24 от 01.04.2024г. Приложение № 6 от 18.09.2024г. Дт зимнее</t>
  </si>
  <si>
    <t>Списание с расчетного счета 00БП-006705 от 24.09.2024 17:45:16</t>
  </si>
  <si>
    <t>ПРОМСТРОЙМАШ ООО ТД</t>
  </si>
  <si>
    <t>Счёт № П-521 от 25.09.2024г. Гидромотор</t>
  </si>
  <si>
    <t>Списание с расчетного счета 00БП-006918 от 27.09.2024 20:03:30</t>
  </si>
  <si>
    <t>ПРОФИТЛАЙФ ООО</t>
  </si>
  <si>
    <t>Счёт № 309 от 03.09.2024г. Форма для СВО</t>
  </si>
  <si>
    <t>Списание с расчетного счета 00БП-006695 от 24.09.2024 17:45:06</t>
  </si>
  <si>
    <t>14/398-2024 от 20.09.2024г. Нера-Таллалах 47,8986га</t>
  </si>
  <si>
    <t>Списание с расчетного счета 00БП-006660 от 20.09.2024 18:25:52</t>
  </si>
  <si>
    <t>РС-22-02-2024 от 22.02.2024г. Спец. 8 (Футеровка шлюзов)</t>
  </si>
  <si>
    <t>Списание с расчетного счета 00БП-002382 от 07.05.2024 18:28:16</t>
  </si>
  <si>
    <t>07.05.24</t>
  </si>
  <si>
    <t>Списание с расчетного счета 00БП-002788 от 17.05.2024 19:52:31</t>
  </si>
  <si>
    <t>17.05.24</t>
  </si>
  <si>
    <t>РС-22-02-2024 от 22.02.2024г. Спец. 9 (Футеровка бункера)</t>
  </si>
  <si>
    <t>Списание с расчетного счета 00БП-002383 от 07.05.2024 18:28:17</t>
  </si>
  <si>
    <t>Списание с расчетного счета 00БП-002789 от 17.05.2024 19:52:32</t>
  </si>
  <si>
    <t>РС-22-02-2024 от 22.02.2024г. Спец.10 (Дно ШМН2)</t>
  </si>
  <si>
    <t>Списание с расчетного счета 00БП-002381 от 07.05.2024 18:28:15</t>
  </si>
  <si>
    <t>Списание с расчетного счета 00БП-002787 от 17.05.2024 19:52:30</t>
  </si>
  <si>
    <t>Счёт № 14 от 14.03.2024г. перевозка</t>
  </si>
  <si>
    <t>Списание с расчетного счета 00БП-002646 от 13.05.2024 19:05:16</t>
  </si>
  <si>
    <t>13.05.24</t>
  </si>
  <si>
    <t>МО-11-01-2024-1 от 12.01.2024г. Спец. 2</t>
  </si>
  <si>
    <t>Списание с расчетного счета 00БП-001989 от 22.04.2024 19:03:56</t>
  </si>
  <si>
    <t>22.04.24</t>
  </si>
  <si>
    <t>Счёт № ЦБ-1079 от 08.04.2024г.</t>
  </si>
  <si>
    <t>Списание с расчетного счета 00БП-002027 от 23.04.2024 18:58:01</t>
  </si>
  <si>
    <t>23.04.24</t>
  </si>
  <si>
    <t>№ 61-2022 от 28.02.2022 г.</t>
  </si>
  <si>
    <t>Списание с расчетного счета 00БП-006371 от 20.10.2023 19:16:58</t>
  </si>
  <si>
    <t>20.10.23</t>
  </si>
  <si>
    <t>Списание с расчетного счета 00БП-006212 от 09.09.2024 17:46:15</t>
  </si>
  <si>
    <t>09.09.24</t>
  </si>
  <si>
    <t>ОИ-289/24 от 26.07.2024г.</t>
  </si>
  <si>
    <t>Списание с расчетного счета 00БП-005195 от 01.08.2024 17:40:42</t>
  </si>
  <si>
    <t>СПЕЦШИНА ООО ТД</t>
  </si>
  <si>
    <t>Счёт № 1502 от 24.09.2024г. Шины</t>
  </si>
  <si>
    <t>Списание с расчетного счета 00БП-006795 от 26.09.2024 21:12:41</t>
  </si>
  <si>
    <t>Счёт № ЯКТ00016102 от 25.09.2024г. ООО "ВсеИнструменты.ру" Розетки</t>
  </si>
  <si>
    <t>Списание с расчетного счета 00БП-006790 от 26.09.2024 21:12:36</t>
  </si>
  <si>
    <t>Счёт № ЯКТ00016194 от 26.09.2024г. ООО ТД "Спецшина" Шины</t>
  </si>
  <si>
    <t>Списание с расчетного счета 00БП-006864 от 27.09.2024 20:02:36</t>
  </si>
  <si>
    <t>Счёт № СФРХ_01488 от 17.07.2024г. Фильтры</t>
  </si>
  <si>
    <t>Списание с расчетного счета 00БП-004809 от 18.07.2024 17:42:32</t>
  </si>
  <si>
    <t>ТАХОГРАФ 14 РЕГИОН ООО</t>
  </si>
  <si>
    <t>Б-370/24 от 31.07.2024г.</t>
  </si>
  <si>
    <t>Списание с расчетного счета 00БП-005627 от 13.08.2024 20:01:41</t>
  </si>
  <si>
    <t>13.08.24</t>
  </si>
  <si>
    <t>Т/А-233/24 от 31.07.2024г.</t>
  </si>
  <si>
    <t>Списание с расчетного счета 00БП-005626 от 13.08.2024 20:01:40</t>
  </si>
  <si>
    <t>Б/Н от 01.11.2023г. Доп. соглашение № 1</t>
  </si>
  <si>
    <t>Списание с расчетного счета 00БП-000864 от 13.03.2024 23:59:59</t>
  </si>
  <si>
    <t>13.03.24</t>
  </si>
  <si>
    <t>счет № 222 от 21.09.2023</t>
  </si>
  <si>
    <t>Списание с расчетного счета 00БП-007736 от 07.12.2023 12:00:12</t>
  </si>
  <si>
    <t>07.12.23</t>
  </si>
  <si>
    <t>Счёт № 268 от 29.11.2023</t>
  </si>
  <si>
    <t>Списание с расчетного счета 00БП-000118 от 22.01.2024 12:00:04</t>
  </si>
  <si>
    <t>22.01.24</t>
  </si>
  <si>
    <t>ТРАНСФЕР ТД ООО</t>
  </si>
  <si>
    <t>№102/2020 от 26.01.2021 г.</t>
  </si>
  <si>
    <t>Списание с расчетного счета 00БП-004513 от 28.07.2021 19:49:24</t>
  </si>
  <si>
    <t>28.07.21</t>
  </si>
  <si>
    <t>ТЭК ЕВРАЗИЯ ООО</t>
  </si>
  <si>
    <t>Счёт № 1312 от 26.06.2024г.</t>
  </si>
  <si>
    <t>Списание с расчетного счета 00БП-004176 от 02.07.2024 18:09:40</t>
  </si>
  <si>
    <t>Списание с расчетного счета 00БП-005467 от 12.08.2024 18:37:45</t>
  </si>
  <si>
    <t>Авансовый отчет 00БП-000027 от 07.03.2024 17:38:37</t>
  </si>
  <si>
    <t>07.03.24</t>
  </si>
  <si>
    <t>Списание с расчетного счета 00БП-001542 от 10.04.2024 19:30:33</t>
  </si>
  <si>
    <t>Счёт № 3261515/199 от 07.06.2024г.</t>
  </si>
  <si>
    <t>Списание с расчетного счета 00БП-003343 от 07.06.2024 20:17:40</t>
  </si>
  <si>
    <t>2710 ИЛЦ-02-24 от 24.04.2024г.</t>
  </si>
  <si>
    <t>Списание с расчетного счета 00БП-002617 от 08.05.2024 18:51:26</t>
  </si>
  <si>
    <t>08.05.24</t>
  </si>
  <si>
    <t>ЭЮ-0701/2024 от 01.01.2024</t>
  </si>
  <si>
    <t>Списание с расчетного счета 00БП-000281 от 07.02.2024 12:00:11</t>
  </si>
  <si>
    <t>07.02.24</t>
  </si>
  <si>
    <t>03-160/24 от 26.09.2024 г.</t>
  </si>
  <si>
    <t>Списание с расчетного счета 00БП-002747 от 15.05.2024 18:13:58</t>
  </si>
  <si>
    <t>015 от 22.08.2024г.</t>
  </si>
  <si>
    <t>Списание с расчетного счета 00БП-005820 от 26.08.2024 19:29:25</t>
  </si>
  <si>
    <t>26.08.24</t>
  </si>
  <si>
    <t>Авансовый отчет 00БП-000282 от 25.09.2024 11:31:29</t>
  </si>
  <si>
    <t>ШИРЯЕВА ОЛЬГА ВИКТОРОВНА ИП</t>
  </si>
  <si>
    <t>180/24 от 28.03.2024г. перевозки доставка</t>
  </si>
  <si>
    <t>Списание с расчетного счета 00БП-001361 от 02.04.2024 17:31:31</t>
  </si>
  <si>
    <t>02.04.24</t>
  </si>
  <si>
    <t>10-23-ВМ, приложение №1 от 28.11.2023г. Спец. 2</t>
  </si>
  <si>
    <t>Списание с расчетного счета 00БП-001916 от 17.04.2024 20:48:16</t>
  </si>
  <si>
    <t>№ 18-22-ВМ от 28.11.2022г., спец №1 от 28.11.2022</t>
  </si>
  <si>
    <t>Корректировка поступления 00БП-000004 от 01.06.2023 0:00:00</t>
  </si>
  <si>
    <t>01.06.23</t>
  </si>
  <si>
    <t>ЮНИПАРТС ООО</t>
  </si>
  <si>
    <t>Счёт № 17567 от 27.09.2024г. Реле</t>
  </si>
  <si>
    <t>Списание с расчетного счета 00БП-006862 от 27.09.2024 20:02:34</t>
  </si>
  <si>
    <t>КЛВ-6/23 от 13.09.2023</t>
  </si>
  <si>
    <t>Списание с расчетного счета 00БП-005563 от 20.09.2023 17:53:24</t>
  </si>
  <si>
    <t>20.09.23</t>
  </si>
  <si>
    <t>МИ-07-03-2024-1 от 07.03.2024г. Спец 3 Двигатель  CNY</t>
  </si>
  <si>
    <t>Списание с расчетного счета 00БП-005766 от 20.08.2024 18:37:38</t>
  </si>
  <si>
    <t>Списание с расчетного счета 00БП-005770 от 20.08.2024 18:37:42</t>
  </si>
  <si>
    <t>РС-26-12-2022-9/127з от 26.12.22г, спец № 8 (Фильтры)  ЕВРО</t>
  </si>
  <si>
    <t>Списание с расчетного счета 00БП-000264 от 06.02.2024 12:00:05</t>
  </si>
  <si>
    <t>06.02.24</t>
  </si>
  <si>
    <t>ДЕСУА ООО</t>
  </si>
  <si>
    <t>ПТ/1604-УВК/2024 от 16.04.2024г.</t>
  </si>
  <si>
    <t>Списание с расчетного счета 00БП-001939 от 18.04.2024 20:17:23</t>
  </si>
  <si>
    <t>18.04.24</t>
  </si>
  <si>
    <t>ЕВРАЗИЯ МАЙНИНГ ООО</t>
  </si>
  <si>
    <t>МО-12-01-2024-1 от 16.01.2024, Спец.1 (З/ч импорт)</t>
  </si>
  <si>
    <t>Списание с расчетного счета 00БП-000406 от 16.02.2024 16:04:46</t>
  </si>
  <si>
    <t>16.02.24</t>
  </si>
  <si>
    <t>ТСЗ-100000232-0147 от 04.10.2023г. Спец. № 3623532 от 26.01.2024г. USD</t>
  </si>
  <si>
    <t>Списание с расчетного счета 00БП-000228 от 01.02.2024 9:57:34</t>
  </si>
  <si>
    <t>01.02.24</t>
  </si>
  <si>
    <t>76Магадан ООО</t>
  </si>
  <si>
    <t>счет №УТ-3709 от 08.08.2023</t>
  </si>
  <si>
    <t>Списание с расчетного счета 00БП-004417 от 10.08.2023 18:11:46</t>
  </si>
  <si>
    <t>10.08.23</t>
  </si>
  <si>
    <t>Счёт № 009 от 27.06.2024г.</t>
  </si>
  <si>
    <t>Списание с расчетного счета 00БП-004070 от 28.06.2024 19:03:29</t>
  </si>
  <si>
    <t>АВЕКС ООО</t>
  </si>
  <si>
    <t>Счёт № 678 от 31.05.2024г.</t>
  </si>
  <si>
    <t>Списание с расчетного счета 00БП-003319 от 06.06.2024 23:59:59</t>
  </si>
  <si>
    <t>АВИА-ПАРТНЕР ООО 7705164748</t>
  </si>
  <si>
    <t>Счёт № 4892 от 22.04.2024г. перевозки</t>
  </si>
  <si>
    <t>Списание с расчетного счета 00БП-002029 от 23.04.2024 18:58:03</t>
  </si>
  <si>
    <t>АЛ СЕРВИС ООО</t>
  </si>
  <si>
    <t>Счёт № 25854 от 25.04.2024г. страховка</t>
  </si>
  <si>
    <t>Списание с расчетного счета 00БП-002082 от 26.04.2024 18:26:01</t>
  </si>
  <si>
    <t>26.04.24</t>
  </si>
  <si>
    <t>Авансовый отчет 00БП-000038 от 19.03.2024 10:31:48</t>
  </si>
  <si>
    <t>19.03.24</t>
  </si>
  <si>
    <t>Аргылов Алексей Юрьевич ИП</t>
  </si>
  <si>
    <t>Авансовый отчет 00БП-000181 от 17.06.2024 12:13:36</t>
  </si>
  <si>
    <t>17.06.24</t>
  </si>
  <si>
    <t>Счёт № 3748 от 13.06.2024г.</t>
  </si>
  <si>
    <t>Списание с расчетного счета 00БП-003818 от 21.06.2024 19:45:24</t>
  </si>
  <si>
    <t>21.06.24</t>
  </si>
  <si>
    <t>Ахмедова Елена Владимировна ИП</t>
  </si>
  <si>
    <t>10-145-Ц-АЕВ-ИЗМ-24 от 28.06.2024г.</t>
  </si>
  <si>
    <t>Списание с расчетного счета 00БП-004067 от 28.06.2024 19:03:26</t>
  </si>
  <si>
    <t>Бельчук Александр Викторович ИП</t>
  </si>
  <si>
    <t>Васелюк Надежда Владимировна ИП</t>
  </si>
  <si>
    <t>46-2024 от 10.06.2024г.</t>
  </si>
  <si>
    <t>Списание с расчетного счета 00БП-003756 от 19.06.2024 17:29:36</t>
  </si>
  <si>
    <t>19.06.24</t>
  </si>
  <si>
    <t>Вилинская Ольга Владимировна ИП</t>
  </si>
  <si>
    <t>Счёт № 120424-2935-7-1/583 от 12.04.2024г. перевозки</t>
  </si>
  <si>
    <t>Списание с расчетного счета 00БП-001699 от 12.04.2024 19:18:27</t>
  </si>
  <si>
    <t>12.04.24</t>
  </si>
  <si>
    <t>Счёт № 220424-2935-12-1/583 от 22.04.2024г. перевозки</t>
  </si>
  <si>
    <t>Списание с расчетного счета 00БП-001988 от 22.04.2024 19:03:55</t>
  </si>
  <si>
    <t>Счёт № 220524-2935-1-1/583 от 22.05.2024г. перевозки</t>
  </si>
  <si>
    <t>Списание с расчетного счета 00БП-002843 от 22.05.2024 18:43:40</t>
  </si>
  <si>
    <t>22.05.24</t>
  </si>
  <si>
    <t>Авансовый отчет 00БП-000021 от 05.03.2024 15:58:49</t>
  </si>
  <si>
    <t>Авансовый отчет 00БП-000155 от 23.05.2024 11:45:39</t>
  </si>
  <si>
    <t>23.05.24</t>
  </si>
  <si>
    <t>Авансовый отчет 00БП-000163 от 03.06.2024 10:49:06</t>
  </si>
  <si>
    <t>Авансовый отчет 00БП-000164 от 04.06.2024 9:25:14</t>
  </si>
  <si>
    <t>04.06.24</t>
  </si>
  <si>
    <t>Авансовый отчет 00БП-000176 от 13.06.2024 9:43:43</t>
  </si>
  <si>
    <t>Счёт № 6869690044 от 07.05.2024г.</t>
  </si>
  <si>
    <t>Списание с расчетного счета 00БП-003057 от 28.05.2024 18:55:34</t>
  </si>
  <si>
    <t>28.05.24</t>
  </si>
  <si>
    <t>Восток-Сервис-Амур ООО</t>
  </si>
  <si>
    <t>Счёт № ХО2659 от 27.03.2024г.</t>
  </si>
  <si>
    <t>Списание с расчетного счета 00БП-001253 от 28.03.2024 17:35:53</t>
  </si>
  <si>
    <t>28.03.24</t>
  </si>
  <si>
    <t>Счёт № УТ-3940 от 06.05.2024г.</t>
  </si>
  <si>
    <t>Списание с расчетного счета 00БП-002694 от 14.05.2024 19:02:06</t>
  </si>
  <si>
    <t>Счёт № 2406-229050-13561 от 14.06.2024г. Ресанта Стабилизаторы напряжения</t>
  </si>
  <si>
    <t>Списание с расчетного счета 00БП-003754 от 19.06.2024 17:29:34</t>
  </si>
  <si>
    <t>Счёт № 2406-298242-50698 от 18.06.2024г.  плунжерный шприц</t>
  </si>
  <si>
    <t>Списание с расчетного счета 00БП-003856 от 24.06.2024 17:54:41</t>
  </si>
  <si>
    <t>ВЫСОТА ООО</t>
  </si>
  <si>
    <t>Счёт № УТ-70 от 08.05.2024г.</t>
  </si>
  <si>
    <t>Списание с расчетного счета 00БП-002487 от 08.05.2024 18:49:12</t>
  </si>
  <si>
    <t>Списание с расчетного счета 00БП-003251 от 05.06.2024 18:43:44</t>
  </si>
  <si>
    <t>Списание с расчетного счета 00БП-003842 от 27.07.2020 18:29:17</t>
  </si>
  <si>
    <t>27.07.20</t>
  </si>
  <si>
    <t>Списание с расчетного счета 00БП-003676 от 14.06.2024 20:14:09</t>
  </si>
  <si>
    <t>14.06.24</t>
  </si>
  <si>
    <t>КЮ49518 от 17.06.2019г.</t>
  </si>
  <si>
    <t>Списание с расчетного счета 00БП-003250 от 05.06.2024 18:43:43</t>
  </si>
  <si>
    <t>Списание с расчетного счета 00БП-003179 от 03.06.2024 18:13:58</t>
  </si>
  <si>
    <t>Списание с расчетного счета 00БП-003919 от 26.06.2024 19:23:28</t>
  </si>
  <si>
    <t>26.06.24</t>
  </si>
  <si>
    <t>Списание с расчетного счета 00БП-003254 от 05.06.2024 18:43:47</t>
  </si>
  <si>
    <t>Списание с расчетного счета 00БП-003874 от 25.06.2024 17:39:40</t>
  </si>
  <si>
    <t>Списание с расчетного счета 00БП-003253 от 05.06.2024 18:43:46</t>
  </si>
  <si>
    <t>Списание с расчетного счета 00БП-003700 от 17.06.2024 20:28:32</t>
  </si>
  <si>
    <t>Списание с расчетного счета 00БП-003875 от 25.06.2024 17:39:41</t>
  </si>
  <si>
    <t>Списание с расчетного счета 00БП-003255 от 05.06.2024 18:43:48</t>
  </si>
  <si>
    <t>Списание с расчетного счета 00БП-003256 от 05.06.2024 18:43:49</t>
  </si>
  <si>
    <t>Списание с расчетного счета 00БП-002799 от 20.05.2024 19:51:33</t>
  </si>
  <si>
    <t>Списание с расчетного счета 00БП-003182 от 03.06.2024 18:14:01</t>
  </si>
  <si>
    <t>Списание с расчетного счета 00БП-003180 от 03.06.2024 18:13:59</t>
  </si>
  <si>
    <t>Списание с расчетного счета 00БП-003181 от 03.06.2024 18:14:00</t>
  </si>
  <si>
    <t>КЮ55945 от 05.05.2021г.</t>
  </si>
  <si>
    <t>Списание с расчетного счета 00БП-003177 от 03.06.2024 18:13:56</t>
  </si>
  <si>
    <t>Списание с расчетного счета 00БП-003178 от 03.06.2024 18:13:57</t>
  </si>
  <si>
    <t>Списание с расчетного счета 00БП-001956 от 19.04.2024 20:35:28</t>
  </si>
  <si>
    <t>Списание с расчетного счета 00БП-003850 от 24.06.2024 17:54:35</t>
  </si>
  <si>
    <t>Списание с расчетного счета 00БП-004062 от 28.06.2024 19:03:21</t>
  </si>
  <si>
    <t>Списание с расчетного счета 00БП-003252 от 05.06.2024 18:43:45</t>
  </si>
  <si>
    <t>Списание с расчетного счета 00БП-003876 от 25.06.2024 17:39:42</t>
  </si>
  <si>
    <t>ГЕОМАЙН ООО</t>
  </si>
  <si>
    <t>Счёт № 87 от 04.06.2024г.</t>
  </si>
  <si>
    <t>Списание с расчетного счета 00БП-003314 от 06.06.2024 23:59:59</t>
  </si>
  <si>
    <t>Списание с расчетного счета 00БП-001994 от 22.04.2024 19:04:01</t>
  </si>
  <si>
    <t>ГК ТРАСТ ХОЛОД ООО</t>
  </si>
  <si>
    <t>УТ-2245 от 21.06.2024г. Зонт вентиляционный, посуда</t>
  </si>
  <si>
    <t>Списание с расчетного счета 00БП-003823 от 21.06.2024 19:45:29</t>
  </si>
  <si>
    <t>ИЕА 01.12.2020 от 01.12.2020г</t>
  </si>
  <si>
    <t>Списание с расчетного счета 00БП-007616 от 15.12.2020 14:53:03</t>
  </si>
  <si>
    <t>15.12.20</t>
  </si>
  <si>
    <t>РС-04-12-2023-1 от 04.12.2023г. Спецодежда логотип</t>
  </si>
  <si>
    <t>Списание с расчетного счета 00БП-000190 от 30.01.2024 12:00:03</t>
  </si>
  <si>
    <t>30.01.24</t>
  </si>
  <si>
    <t>РС-05-03-2024-2 от 05.03.2024г. Спец. 1 (мясо)</t>
  </si>
  <si>
    <t>Списание с расчетного счета 00БП-000760 от 11.03.2024 17:53:28</t>
  </si>
  <si>
    <t>11.03.24</t>
  </si>
  <si>
    <t>РС-19-01-2024-1 от 19.01.2024, Спец. 3 (Быт. химия)</t>
  </si>
  <si>
    <t>Списание с расчетного счета 00БП-002730 от 15.05.2024 18:13:38</t>
  </si>
  <si>
    <t>Счёт № 8 от 14.03.2024г. перевозка продуктов (бакалея, колбасы)</t>
  </si>
  <si>
    <t>Списание с расчетного счета 00БП-000981 от 18.03.2024 18:19:10</t>
  </si>
  <si>
    <t>18.03.24</t>
  </si>
  <si>
    <t>Горон Татьяна Владимировна ИП</t>
  </si>
  <si>
    <t>договор № 17 от 12.03.2021г</t>
  </si>
  <si>
    <t>Авансовый отчет 00БП-000148 от 20.05.2024 12:28:10</t>
  </si>
  <si>
    <t>Счёт № 87 от 31.05.2024г.</t>
  </si>
  <si>
    <t>Списание с расчетного счета 00БП-003195 от 03.06.2024 18:14:14</t>
  </si>
  <si>
    <t>ГринПроджект ООО</t>
  </si>
  <si>
    <t>РС-06-06-2024-1 от 13.06.2024г. Спец. 1</t>
  </si>
  <si>
    <t>Списание с расчетного счета 00БП-003859 от 24.06.2024 17:54:44</t>
  </si>
  <si>
    <t>Списание с расчетного счета 00БП-003864 от 24.06.2024 17:54:49</t>
  </si>
  <si>
    <t>Счёт № 85 от 03.06.2024г. мясо, кондитерка</t>
  </si>
  <si>
    <t>Списание с расчетного счета 00БП-003649 от 13.06.2024 19:28:21</t>
  </si>
  <si>
    <t>Гузнов Юрий Александрович ИП</t>
  </si>
  <si>
    <t>УТ-348 от 06.05.2024г.</t>
  </si>
  <si>
    <t>Списание с расчетного счета 00БП-002729 от 15.05.2024 18:13:37</t>
  </si>
  <si>
    <t>Счёт № 1851 от 17.04.2024г.  перевозки</t>
  </si>
  <si>
    <t>Списание с расчетного счета 00БП-002028 от 23.04.2024 18:58:02</t>
  </si>
  <si>
    <t>Счёт № 2440 от 20.05.2024г.  перевозки</t>
  </si>
  <si>
    <t>Списание с расчетного счета 00БП-002828 от 21.05.2024 19:24:41</t>
  </si>
  <si>
    <t>21.05.24</t>
  </si>
  <si>
    <t>Счёт № 3167 от 18.06.2024г. Камдео Запчасти ТТН № 2401710А от 17.06.2024г.</t>
  </si>
  <si>
    <t>Списание с расчетного счета 00БП-003742 от 19.06.2024 17:29:22</t>
  </si>
  <si>
    <t>Счёт № 3331 от 25.06.2024г.</t>
  </si>
  <si>
    <t>Списание с расчетного счета 00БП-003916 от 26.06.2024 19:23:25</t>
  </si>
  <si>
    <t>Списание с расчетного счета 00БП-002996 от 09.06.2023 21:23:56</t>
  </si>
  <si>
    <t>09.06.23</t>
  </si>
  <si>
    <t>Списание с расчетного счета 00БП-003636 от 11.07.2023 17:48:56</t>
  </si>
  <si>
    <t>11.07.23</t>
  </si>
  <si>
    <t>Корректировка поступления 00БП-000013 от 15.08.2023 11:54:38</t>
  </si>
  <si>
    <t>15.08.23</t>
  </si>
  <si>
    <t>Списание с расчетного счета 00БП-005591 от 21.09.2023 17:19:10</t>
  </si>
  <si>
    <t>21.09.23</t>
  </si>
  <si>
    <t>Списание с расчетного счета 00БП-005762 от 27.09.2023 18:16:25</t>
  </si>
  <si>
    <t>27.09.23</t>
  </si>
  <si>
    <t>Счёт № 24-00551038604 от 15.03.2024г. = 28 579,00</t>
  </si>
  <si>
    <t>Списание с расчетного счета 00БП-000975 от 18.03.2024 18:19:04</t>
  </si>
  <si>
    <t>Корректировка поступления 00БП-000016 от 20.06.2024 18:44:42</t>
  </si>
  <si>
    <t>Корректировка поступления 00БП-000017 от 20.06.2024 18:44:43</t>
  </si>
  <si>
    <t>Счёт № 24-00661533278 от 18.06.2024г.</t>
  </si>
  <si>
    <t>Списание с расчетного счета 00БП-003817 от 21.06.2024 19:45:23</t>
  </si>
  <si>
    <t>Счёт № 24-01191264246 от 05.06.2024г.</t>
  </si>
  <si>
    <t>Списание с расчетного счета 00БП-003310 от 06.06.2024 23:59:59</t>
  </si>
  <si>
    <t>Счёт № 24-01211337948 от 26.06.2024г.</t>
  </si>
  <si>
    <t>Списание с расчетного счета 00БП-003980 от 27.06.2024 23:59:59</t>
  </si>
  <si>
    <t>Счёт № 24-01391224225/1 от 05.06.2024г.</t>
  </si>
  <si>
    <t>Списание с расчетного счета 00БП-003699 от 17.06.2024 20:28:31</t>
  </si>
  <si>
    <t>Счёт № 24-01741040104 от 27.06.2024г.</t>
  </si>
  <si>
    <t>Списание с расчетного счета 00БП-004059 от 28.06.2024 19:03:18</t>
  </si>
  <si>
    <t>Счёт № 24-03671013609 от 30.05.2024г...</t>
  </si>
  <si>
    <t>Списание с расчетного счета 00БП-003174 от 03.06.2024 18:13:53</t>
  </si>
  <si>
    <t>Счёт № 24-10531264581 от 16.06.2024г.</t>
  </si>
  <si>
    <t>Списание с расчетного счета 00БП-003706 от 17.06.2024 20:28:38</t>
  </si>
  <si>
    <t>Счёт № 24-50370000712 от 17.05.2024г.</t>
  </si>
  <si>
    <t>Списание с расчетного счета 00БП-002802 от 20.05.2024 19:51:36</t>
  </si>
  <si>
    <t>Счёт № 24-50370001170 от 05.06.2024г.</t>
  </si>
  <si>
    <t>Списание с расчетного счета 00БП-003317 от 06.06.2024 23:59:59</t>
  </si>
  <si>
    <t>Счёт № 24-50370001170/1 от 25.06.2024г.</t>
  </si>
  <si>
    <t>Списание с расчетного счета 00БП-003913 от 26.06.2024 19:23:22</t>
  </si>
  <si>
    <t>МО-22-01-2024-2 от 22.01.2024 г. спец.1 двигатели, транспортные расходы</t>
  </si>
  <si>
    <t>Списание с расчетного счета 00БП-002000 от 22.04.2024 19:04:07</t>
  </si>
  <si>
    <t>Списание с расчетного счета 00БП-003829 от 21.06.2024 19:45:35</t>
  </si>
  <si>
    <t>Счёт № А-00192512 от 04.06.2024г.</t>
  </si>
  <si>
    <t>Списание с расчетного счета 00БП-003237 от 04.06.2024 23:59:47</t>
  </si>
  <si>
    <t>24-274 от 07.05.2024г.</t>
  </si>
  <si>
    <t>Списание с расчетного счета 00БП-002735 от 15.05.2024 18:13:43</t>
  </si>
  <si>
    <t>Списание с расчетного счета 00БП-003199 от 03.06.2024 18:14:18</t>
  </si>
  <si>
    <t>ИМПУЛЬС НПО ООО</t>
  </si>
  <si>
    <t>ИВ/91848Ю от 12.10.2017г</t>
  </si>
  <si>
    <t>Списание с расчетного счета 00БП-004063 от 28.06.2024 19:03:22</t>
  </si>
  <si>
    <t>Списание с расчетного счета 00БП-002323 от 03.05.2024 19:41:06</t>
  </si>
  <si>
    <t>Списание с расчетного счета 00БП-002380 от 07.05.2024 18:28:14</t>
  </si>
  <si>
    <t>1 от 11.04.2024г. Приложение 1 сервисное обслуж</t>
  </si>
  <si>
    <t>Списание с расчетного счета 00БП-003270 от 05.06.2024 18:44:03</t>
  </si>
  <si>
    <t>Списание с расчетного счета 00БП-003322 от 06.06.2024 23:59:59</t>
  </si>
  <si>
    <t>МО-07-11-2023-1 спец 4 от 07.11.2023 модуль</t>
  </si>
  <si>
    <t>Списание с расчетного счета 00БП-007191 от 16.11.2023 18:12:35</t>
  </si>
  <si>
    <t>16.11.23</t>
  </si>
  <si>
    <t>Счёт № 189 от 21.06.2024г. 195-50-41120 Палец</t>
  </si>
  <si>
    <t>Списание с расчетного счета 00БП-003854 от 24.06.2024 17:54:39</t>
  </si>
  <si>
    <t>РС-08-12-2022-15 от 08.12.2022г. Спец. 2</t>
  </si>
  <si>
    <t>Списание с расчетного счета 00БП-003342 от 07.06.2024 20:17:39</t>
  </si>
  <si>
    <t>МО-12-01-2024-1 от 12.01.2024, Спец. 1 (Масла и жидкости)</t>
  </si>
  <si>
    <t>Списание с расчетного счета 00БП-001423 от 04.04.2024 18:11:08</t>
  </si>
  <si>
    <t>04.04.24</t>
  </si>
  <si>
    <t>Счёт № ЦБ-2104 от 18.04.2024г. автозапчасти</t>
  </si>
  <si>
    <t>Списание с расчетного счета 00БП-002038 от 24.04.2024 18:50:24</t>
  </si>
  <si>
    <t>24.04.24</t>
  </si>
  <si>
    <t>КОМПАНИЯ ТАРРА ООО</t>
  </si>
  <si>
    <t>Счёт № 6444 от 16.05.2024г.</t>
  </si>
  <si>
    <t>Списание с расчетного счета 00БП-002827 от 21.05.2024 19:24:40</t>
  </si>
  <si>
    <t>Костин Дмитрий Валерьевич ИП</t>
  </si>
  <si>
    <t>Счёт № УТ-88 от 18.06.2024г. Масло MOTUL 800</t>
  </si>
  <si>
    <t>Списание с расчетного счета 00БП-003810 от 21.06.2024 19:45:16</t>
  </si>
  <si>
    <t>1303-2023 от 13.03.2023 спец 4</t>
  </si>
  <si>
    <t>Списание с расчетного счета 00БП-000189 от 30.01.2024 12:00:02</t>
  </si>
  <si>
    <t>Лукьянов Владимир Владимирович ИП</t>
  </si>
  <si>
    <t>Счёт № 1121 от 07.04.2024г. ремонт а/м</t>
  </si>
  <si>
    <t>Списание с расчетного счета 00БП-001481 от 08.04.2024 19:44:48</t>
  </si>
  <si>
    <t>08.04.24</t>
  </si>
  <si>
    <t>счет № 1811 от 11.10.2023 ремонт а/м</t>
  </si>
  <si>
    <t>Списание с расчетного счета 00БП-007750 от 08.12.2023 15:55:12</t>
  </si>
  <si>
    <t>08.12.23</t>
  </si>
  <si>
    <t>МО-17-11-2023-1 от 18.12.2023</t>
  </si>
  <si>
    <t>Списание с расчетного счета 00БП-007990 от 28.12.2023 15:20:51</t>
  </si>
  <si>
    <t>Списание с расчетного счета 00БП-001999 от 22.04.2024 19:04:06</t>
  </si>
  <si>
    <t>Списание с расчетного счета 00БП-002875 от 24.05.2024 18:28:07</t>
  </si>
  <si>
    <t>24.05.24</t>
  </si>
  <si>
    <t>Списание с расчетного счета 00БП-003272 от 05.06.2024 18:44:05</t>
  </si>
  <si>
    <t>Списание с расчетного счета 00БП-003866 от 24.06.2024 17:54:51</t>
  </si>
  <si>
    <t>Счёт № ГЛ-2029 от 10.04.2024г.</t>
  </si>
  <si>
    <t>Списание с расчетного счета 00БП-001564 от 11.04.2024 14:53:27</t>
  </si>
  <si>
    <t>11.04.24</t>
  </si>
  <si>
    <t>Счёт № ГЛ-2034 от 10.04.2024г.</t>
  </si>
  <si>
    <t>Списание с расчетного счета 00БП-001563 от 11.04.2024 14:53:26</t>
  </si>
  <si>
    <t>Маслов Илья Юрьевич ИП</t>
  </si>
  <si>
    <t>20240315 от 15.03.2024г.</t>
  </si>
  <si>
    <t>Списание с расчетного счета 00БП-001052 от 21.03.2024 18:37:46</t>
  </si>
  <si>
    <t>21.03.24</t>
  </si>
  <si>
    <t>Списание с расчетного счета 00БП-003321 от 06.06.2024 23:59:59</t>
  </si>
  <si>
    <t>МАШЗАВОД ТРУД АО</t>
  </si>
  <si>
    <t>31/01-20 от 13.01.2020г. Спец. 2</t>
  </si>
  <si>
    <t>Списание с расчетного счета 00БП-003787 от 20.06.2024 17:26:12</t>
  </si>
  <si>
    <t>МГК ООО</t>
  </si>
  <si>
    <t>Авансовый отчет 00БП-000026 от 29.02.2024 0:00:00</t>
  </si>
  <si>
    <t>29.02.24</t>
  </si>
  <si>
    <t>Списание с расчетного счета 00БП-002796 от 06.06.2023 23:59:59</t>
  </si>
  <si>
    <t>06.06.23</t>
  </si>
  <si>
    <t>Счет № FECB-004968 от 29.03.2024 г. ШЛАНГИ Договор №FE-P/22-063 от 19.12.22г.</t>
  </si>
  <si>
    <t>Списание с расчетного счета 00БП-001525 от 09.04.2024 19:40:17</t>
  </si>
  <si>
    <t>Счет № FECB-008487 от 07.05.2024 г. Договор №FE-P/22-063 от 19.12.22г.</t>
  </si>
  <si>
    <t>Списание с расчетного счета 00БП-002475 от 08.05.2024 18:49:00</t>
  </si>
  <si>
    <t>Счет № FECB-008673 от 13.05.2024 г. Договор №FE-P/22-063 от 19.12.22г.Запчасти Komatsu  (D-375)</t>
  </si>
  <si>
    <t>Списание с расчетного счета 00БП-002758 от 16.05.2024 18:25:54</t>
  </si>
  <si>
    <t>16.05.24</t>
  </si>
  <si>
    <t>Счёт № FECB-013082 от 26.06.2024г.ПАЛЕЦ Договор № FE-P/22-063 от 19.12.22г. (Палец)</t>
  </si>
  <si>
    <t>Списание с расчетного счета 00БП-003945 от 27.06.2024 23:59:59</t>
  </si>
  <si>
    <t>Списание с расчетного счета 00БП-002277 от 02.05.2024 23:59:59</t>
  </si>
  <si>
    <t>Списание с расчетного счета 00БП-002275 от 02.05.2024 23:59:59</t>
  </si>
  <si>
    <t>Списание с расчетного счета 00БП-003213 от 03.06.2024 19:19:45</t>
  </si>
  <si>
    <t>Списание с расчетного счета 00БП-007526 от 02.12.2022 12:00:08</t>
  </si>
  <si>
    <t>02.12.22</t>
  </si>
  <si>
    <t>Списание с расчетного счета 00БП-002278 от 02.05.2024 23:59:59</t>
  </si>
  <si>
    <t>Списание с расчетного счета 00БП-002282 от 02.05.2024 23:59:59</t>
  </si>
  <si>
    <t>Списание с расчетного счета 00БП-003215 от 03.06.2024 19:19:47</t>
  </si>
  <si>
    <t>НАФТА ООО</t>
  </si>
  <si>
    <t>4-2024 от 09.11.23г,  спец 4</t>
  </si>
  <si>
    <t>Списание с расчетного счета 00БП-001399 от 03.04.2024 17:55:06</t>
  </si>
  <si>
    <t>03.04.24</t>
  </si>
  <si>
    <t>Списание с расчетного счета 00БП-003197 от 03.06.2024 18:14:16</t>
  </si>
  <si>
    <t>Списание с расчетного счета 00БП-003198 от 03.06.2024 18:14:17</t>
  </si>
  <si>
    <t>Списание с расчетного счета 00БП-003225 от 04.06.2024 23:59:33</t>
  </si>
  <si>
    <t>Списание с расчетного счета 00БП-003268 от 05.06.2024 18:44:01</t>
  </si>
  <si>
    <t>Списание с расчетного счета 00БП-003269 от 05.06.2024 18:44:02</t>
  </si>
  <si>
    <t>Списание с расчетного счета 00БП-003324 от 06.06.2024 23:59:59</t>
  </si>
  <si>
    <t>Списание с расчетного счета 00БП-003376 от 10.06.2024 23:59:59</t>
  </si>
  <si>
    <t>Списание с расчетного счета 00БП-003377 от 10.06.2024 23:59:59</t>
  </si>
  <si>
    <t>Списание с расчетного счета 00БП-003379 от 10.06.2024 23:59:59</t>
  </si>
  <si>
    <t>Списание с расчетного счета 00БП-003709 от 17.06.2024 20:28:41</t>
  </si>
  <si>
    <t>Списание с расчетного счета 00БП-003710 от 17.06.2024 20:28:42</t>
  </si>
  <si>
    <t>Списание с расчетного счета 00БП-003711 от 17.06.2024 20:28:43</t>
  </si>
  <si>
    <t>Списание с расчетного счета 00БП-003712 от 17.06.2024 20:28:44</t>
  </si>
  <si>
    <t>Списание с расчетного счета 00БП-003763 от 19.06.2024 17:29:43</t>
  </si>
  <si>
    <t>Списание с расчетного счета 00БП-003793 от 20.06.2024 17:26:18</t>
  </si>
  <si>
    <t>Списание с расчетного счета 00БП-003828 от 21.06.2024 19:45:34</t>
  </si>
  <si>
    <t>Списание с расчетного счета 00БП-003860 от 24.06.2024 17:54:45</t>
  </si>
  <si>
    <t>Списание с расчетного счета 00БП-003861 от 24.06.2024 17:54:46</t>
  </si>
  <si>
    <t>Списание с расчетного счета 00БП-003862 от 24.06.2024 17:54:47</t>
  </si>
  <si>
    <t>Списание с расчетного счета 00БП-003863 от 24.06.2024 17:54:48</t>
  </si>
  <si>
    <t>Николаенко Светлана Валерьевна ИП</t>
  </si>
  <si>
    <t>Без договора</t>
  </si>
  <si>
    <t>Авансовый отчет 00БП-000067 от 22.04.2024 14:40:56</t>
  </si>
  <si>
    <t>Авансовый отчет 00БП-000165 от 04.06.2024 10:33:55</t>
  </si>
  <si>
    <t>Авансовый отчет 00БП-000166 от 05.06.2024 9:32:17</t>
  </si>
  <si>
    <t>НТС ООО</t>
  </si>
  <si>
    <t>Счёт № НН-00378 от 17.06.2024г.</t>
  </si>
  <si>
    <t>Списание с расчетного счета 00БП-003819 от 21.06.2024 19:45:25</t>
  </si>
  <si>
    <t>Счёт № НН-00402 от 24.06.2024г.</t>
  </si>
  <si>
    <t>Списание с расчетного счета 00БП-003927 от 26.06.2024 19:23:36</t>
  </si>
  <si>
    <t>НУДО УЦ РЕГИОН-ОБРАЗОВАНИЕ</t>
  </si>
  <si>
    <t>Счёт № 514 от 25.06.2024г.</t>
  </si>
  <si>
    <t>Списание с расчетного счета 00БП-004060 от 28.06.2024 19:03:19</t>
  </si>
  <si>
    <t>№ РС-08-04-2022-1 от 08.04.2022</t>
  </si>
  <si>
    <t>Списание с расчетного счета 00БП-002972 от 10.06.2022 20:59:25</t>
  </si>
  <si>
    <t>10.06.22</t>
  </si>
  <si>
    <t>ПКФ ПСК ООО</t>
  </si>
  <si>
    <t>УТ- 402 от 06.05.2024г.</t>
  </si>
  <si>
    <t>Списание с расчетного счета 00БП-002734 от 15.05.2024 18:13:42</t>
  </si>
  <si>
    <t>Счёт № 52 от 03.06.2024г.  Запчасти Komatsu для HD365</t>
  </si>
  <si>
    <t>Списание с расчетного счета 00БП-003275 от 05.06.2024 18:44:08</t>
  </si>
  <si>
    <t>Счёт № 001225 от 23.04.2024г.</t>
  </si>
  <si>
    <t>Списание с расчетного счета 00БП-002080 от 26.04.2024 18:25:59</t>
  </si>
  <si>
    <t>ПР-04/24 от 01.04.2024г. Сч.24042601, приложение 3</t>
  </si>
  <si>
    <t>Списание с расчетного счета 00БП-003330 от 06.06.2024 23:59:59</t>
  </si>
  <si>
    <t>Счёт № ЯКА03280012 от 28.03.2024г. перевозки</t>
  </si>
  <si>
    <t>Списание с расчетного счета 00БП-001954 от 19.04.2024 20:35:26</t>
  </si>
  <si>
    <t>РЕГИОНСТРОЙКОМПЛЕКТ ООО</t>
  </si>
  <si>
    <t>РС-10-12-2022-3 от 09.02.2023г. Спец. 12</t>
  </si>
  <si>
    <t>Списание с расчетного счета 00БП-003813 от 21.06.2024 19:45:19</t>
  </si>
  <si>
    <t>РС-10-12-2022-3 от 09.02.2023г. Спец. 9</t>
  </si>
  <si>
    <t>Списание с расчетного счета 00БП-003826 от 21.06.2024 19:45:32</t>
  </si>
  <si>
    <t>Счёт № 16949 от 17.06.2024г.  КГ-ХЛ 3*4+1*2,5</t>
  </si>
  <si>
    <t>Списание с расчетного счета 00БП-003747 от 19.06.2024 17:29:27</t>
  </si>
  <si>
    <t>РЕЙЛ КОНТИНЕНТ ЕНИСЕЙ ТК ООО</t>
  </si>
  <si>
    <t>Счёт № 6953 от 28.05.2024г. Сборка, упаковка и автоэкспедирование груза</t>
  </si>
  <si>
    <t>Списание с расчетного счета 00БП-003340 от 07.06.2024 20:17:37</t>
  </si>
  <si>
    <t>РЕКА 21 ООО</t>
  </si>
  <si>
    <t>Счёт № 322 от 31.05.2024г.</t>
  </si>
  <si>
    <t>Списание с расчетного счета 00БП-003312 от 06.06.2024 23:59:59</t>
  </si>
  <si>
    <t>РЕСУРСМЕТАЛЛ ООО</t>
  </si>
  <si>
    <t>Счёт № 35 от 19.03.2024г.</t>
  </si>
  <si>
    <t>Списание с расчетного счета 00БП-001129 от 26.03.2024 18:50:13</t>
  </si>
  <si>
    <t>РИКА АО</t>
  </si>
  <si>
    <t>счет № 113986F от 23.11.2022</t>
  </si>
  <si>
    <t>Списание с расчетного счета 00БП-007157 от 24.11.2022 12:50:37</t>
  </si>
  <si>
    <t>РОЛЬФ МОТОРС Филиал ВОЛГОГРАДСКИЙ ООО</t>
  </si>
  <si>
    <t>ФМВ/П-0017270 от 18.04.2024г.</t>
  </si>
  <si>
    <t>Списание с расчетного счета 00БП-001973 от 19.04.2024 20:35:45</t>
  </si>
  <si>
    <t>РЯБУХА ВЛАДИМИР АЛЕКСАНДРОВИЧ ИП</t>
  </si>
  <si>
    <t>Счёт № 37 от 14.05.2024г. Подшипник</t>
  </si>
  <si>
    <t>Списание с расчетного счета 00БП-002752 от 16.05.2024 18:25:48</t>
  </si>
  <si>
    <t>Счёт № 80 от 26.06.2024г. (Палец)</t>
  </si>
  <si>
    <t>Списание с расчетного счета 00БП-003946 от 27.06.2024 23:59:59</t>
  </si>
  <si>
    <t>САХАГЕОИНФОРМ ГУП</t>
  </si>
  <si>
    <t>Счёт № 367 от 19.06.2024г.</t>
  </si>
  <si>
    <t>Списание с расчетного счета 00БП-003816 от 21.06.2024 19:45:22</t>
  </si>
  <si>
    <t>02-06 от 14.06.2024г.</t>
  </si>
  <si>
    <t>Списание с расчетного счета 00БП-003680 от 14.06.2024 20:14:13</t>
  </si>
  <si>
    <t>18 от 08.05.2024г.</t>
  </si>
  <si>
    <t>Списание с расчетного счета 00БП-002633 от 13.05.2024 19:05:03</t>
  </si>
  <si>
    <t>Счёт № 6742 от 24.06.2024г.</t>
  </si>
  <si>
    <t>Списание с расчетного счета 00БП-003871 от 25.06.2024 17:39:37</t>
  </si>
  <si>
    <t>Счёт № ЦБ-1301 от 05.06.2024г. бакалея, кондитерка</t>
  </si>
  <si>
    <t>Списание с расчетного счета 00БП-003267 от 05.06.2024 18:44:00</t>
  </si>
  <si>
    <t>Счёт № ЦБ-795 от 13.04.2024г. Яйцо, изюм</t>
  </si>
  <si>
    <t>Списание с расчетного счета 00БП-001909 от 17.04.2024 20:48:09</t>
  </si>
  <si>
    <t>Счёт № СПР00003857 от 26.03.0320г. страхование и перевозки</t>
  </si>
  <si>
    <t>Списание с расчетного счета 00БП-001166 от 27.03.2024 23:59:59</t>
  </si>
  <si>
    <t>27.03.24</t>
  </si>
  <si>
    <t>Соболев Дмитрий Иванович ИП</t>
  </si>
  <si>
    <t>Авансовый отчет 00БП-000175 от 10.06.2024 11:04:29</t>
  </si>
  <si>
    <t>Соловьева Айталина Александровна ИП</t>
  </si>
  <si>
    <t>Счёт № 2 от 03.04.2024г. Цельностеклянная угловая перегородка</t>
  </si>
  <si>
    <t>Списание с расчетного счета 00БП-001510 от 09.04.2024 19:40:02</t>
  </si>
  <si>
    <t>Счёт № 3 от 03.04.2024г. Цельностеклянная угловая перегородка</t>
  </si>
  <si>
    <t>Списание с расчетного счета 00БП-001511 от 09.04.2024 19:40:03</t>
  </si>
  <si>
    <t>Списание с расчетного счета 00БП-002139 от 27.04.2024 18:41:27</t>
  </si>
  <si>
    <t>27.04.24</t>
  </si>
  <si>
    <t>Счёт № ЯКТ000010010 от 27.06.2024г.</t>
  </si>
  <si>
    <t>Списание с расчетного счета 00БП-004066 от 28.06.2024 19:03:25</t>
  </si>
  <si>
    <t>Счёт № ЯКТ00008031 от 06.06.2024г.</t>
  </si>
  <si>
    <t>Списание с расчетного счета 00БП-003339 от 07.06.2024 20:17:36</t>
  </si>
  <si>
    <t>Счёт № ЯКТ00008243 от 07.06.2024г.</t>
  </si>
  <si>
    <t>Списание с расчетного счета 00БП-003366 от 10.06.2024 23:59:59</t>
  </si>
  <si>
    <t>Счёт № ЯКТ00008594 от 13.06.2024г.</t>
  </si>
  <si>
    <t>Списание с расчетного счета 00БП-003675 от 14.06.2024 20:14:08</t>
  </si>
  <si>
    <t>Счёт № ЯКТ00009338 от 20.06.2024г.</t>
  </si>
  <si>
    <t>Списание с расчетного счета 00БП-003807 от 21.06.2024 19:45:13</t>
  </si>
  <si>
    <t>Счёт № ЯКТ00009647 от 25.06.2024г.</t>
  </si>
  <si>
    <t>Списание с расчетного счета 00БП-003912 от 26.06.2024 19:23:21</t>
  </si>
  <si>
    <t>Счёт № ЯКТ00009718 от 25.06.2024г. ТЗР - станция зарядная углекислотная (для огнетушителей) (ИП Гузн</t>
  </si>
  <si>
    <t>Списание с расчетного счета 00БП-003925 от 26.06.2024 19:23:34</t>
  </si>
  <si>
    <t>Счёт № ЯКТ00009820 от 26.06.2024г.</t>
  </si>
  <si>
    <t>Списание с расчетного счета 00БП-004054 от 28.06.2024 19:03:13</t>
  </si>
  <si>
    <t>Счёт № ЯКУ00009735 от 25.06.2024г.</t>
  </si>
  <si>
    <t>Списание с расчетного счета 00БП-003914 от 26.06.2024 19:23:23</t>
  </si>
  <si>
    <t>СТОКИНГ ООО</t>
  </si>
  <si>
    <t>Счёт № ST137733 от 17.06.2024г.</t>
  </si>
  <si>
    <t>Списание с расчетного счета 00БП-003749 от 19.06.2024 17:29:29</t>
  </si>
  <si>
    <t>Счёт № ST138083 от 24.06.2024г.</t>
  </si>
  <si>
    <t>Списание с расчетного счета 00БП-004073 от 28.06.2024 19:03:32</t>
  </si>
  <si>
    <t>Счёт № СФРХ_01299 от 21.06.2024г.  Генератор и ремкомплекты</t>
  </si>
  <si>
    <t>Списание с расчетного счета 00БП-003858 от 24.06.2024 17:54:43</t>
  </si>
  <si>
    <t>119 от 23.05.2024г. Пыльники шруса, шрус</t>
  </si>
  <si>
    <t>Списание с расчетного счета 00БП-002907 от 27.05.2024 18:19:22</t>
  </si>
  <si>
    <t>Счёт № 8 от 13.06.2024г. фильтры</t>
  </si>
  <si>
    <t>Списание с расчетного счета 00БП-003745 от 19.06.2024 17:29:25</t>
  </si>
  <si>
    <t>Техпортавтосервис ООО</t>
  </si>
  <si>
    <t>Счёт № 250692 от 17.05.2024г.</t>
  </si>
  <si>
    <t>Списание с расчетного счета 00БП-002806 от 20.05.2024 19:51:40</t>
  </si>
  <si>
    <t>Счёт № 820044303198 от 08.06.2024г.</t>
  </si>
  <si>
    <t>Списание с расчетного счета 00БП-003364 от 10.06.2024 23:59:59</t>
  </si>
  <si>
    <t>ТСЗ-100000232-0147 от 04.10.2023 г. Спец. № 3626940 от 31.01.2024г.</t>
  </si>
  <si>
    <t>Списание с расчетного счета 00БП-001694 от 12.04.2024 19:18:22</t>
  </si>
  <si>
    <t>ТСЗ-100000232-0147 от 04.10.2023г. Спец. 3693983 от 23.04.2024г.</t>
  </si>
  <si>
    <t>Списание с расчетного счета 00БП-002084 от 26.04.2024 18:26:03</t>
  </si>
  <si>
    <t>ТС МАСТЕР ООО</t>
  </si>
  <si>
    <t>Счёт № СбТМ-947 от 18.06.2024г.</t>
  </si>
  <si>
    <t>Списание с расчетного счета 00БП-003811 от 21.06.2024 19:45:17</t>
  </si>
  <si>
    <t>УРАЛТРАНСМАШ ООО</t>
  </si>
  <si>
    <t>Б/Н от 13.05.2024г. Счёт № 577 от 14.05.2024г.  перевозки</t>
  </si>
  <si>
    <t>Списание с расчетного счета 00БП-002728 от 15.05.2024 18:13:36</t>
  </si>
  <si>
    <t>Списание с расчетного счета 00БП-003058 от 28.05.2024 18:55:35</t>
  </si>
  <si>
    <t>Счёт № ЦБ-4389 от 20.06.2024г.</t>
  </si>
  <si>
    <t>Списание с расчетного счета 00БП-003784 от 20.06.2024 17:26:09</t>
  </si>
  <si>
    <t>основной от 12.03.2024</t>
  </si>
  <si>
    <t>Счёт № ЦМ-1059 от 16.05.2024г.</t>
  </si>
  <si>
    <t>Списание с расчетного счета 00БП-002782 от 17.05.2024 19:52:25</t>
  </si>
  <si>
    <t>03-43/24 от 13.02.2024г.</t>
  </si>
  <si>
    <t>счет № ЦСБ18220 от 08.09.2023г,</t>
  </si>
  <si>
    <t>Списание с расчетного счета 00БП-005827 от 28.09.2023 20:05:46</t>
  </si>
  <si>
    <t>28.09.23</t>
  </si>
  <si>
    <t>ЧЕРНЫШЕВСКИЙ РЫБОВОДНЫЙ ЗАВОД ГУП</t>
  </si>
  <si>
    <t>10-2024 от 30.05.2024г.</t>
  </si>
  <si>
    <t>Списание с расчетного счета 00БП-003200 от 03.06.2024 18:14:19</t>
  </si>
  <si>
    <t>Шабакаева Анастасия Вячеславовна ИП</t>
  </si>
  <si>
    <t>Счёт № 1301668270 от 21.06.2024г. полировка кузова</t>
  </si>
  <si>
    <t>Списание с расчетного счета 00БП-003879 от 25.06.2024 17:39:45</t>
  </si>
  <si>
    <t>Авансовый отчет 00БП-000161 от 29.05.2024 10:56:15</t>
  </si>
  <si>
    <t>29.05.24</t>
  </si>
  <si>
    <t>ШИНАСТРОЙСНАБ ООО</t>
  </si>
  <si>
    <t>Счёт-договор № 276 от 29.05.2024г.</t>
  </si>
  <si>
    <t>Списание с расчетного счета 00БП-003183 от 03.06.2024 18:14:02</t>
  </si>
  <si>
    <t>12С-267-Ц-НЭЦ-ЭПБ-ТУ-23 от 22.11.2023</t>
  </si>
  <si>
    <t>Списание с расчетного счета 00БП-007277 от 22.11.2023 15:47:00</t>
  </si>
  <si>
    <t>ЯКУТУГОЛЬ АО ХК</t>
  </si>
  <si>
    <t>№ Д 25-2024 от 23.01.2024</t>
  </si>
  <si>
    <t>Списание с расчетного счета 00БП-000417 от 19.02.2024 16:12:24</t>
  </si>
  <si>
    <t>19.02.24</t>
  </si>
  <si>
    <t>№ FE-P/22-063 от 19.12.2022г, счет USD $</t>
  </si>
  <si>
    <t>Списание с расчетного счета 00БП-006364 от 19.10.2023 17:19:30</t>
  </si>
  <si>
    <t>Списание с расчетного счета 00БП-000912 от 14.03.2024 17:41:40</t>
  </si>
  <si>
    <t>Списание с расчетного счета 00БП-004072 от 28.06.2024 19:03:31</t>
  </si>
  <si>
    <t>№ БС-02.12.22/11 от 02.12.2022г., спец № 5 от 02.12.2022 ($ доллар)</t>
  </si>
  <si>
    <t>Списание с расчетного счета 00БП-004075 от 28.06.2024 19:03:34</t>
  </si>
  <si>
    <t>2022/08-24 от 24.08.2022г. Спец. 5 USD</t>
  </si>
  <si>
    <t>Списание с расчетного счета 00БП-001011 от 19.03.2024 18:12:20</t>
  </si>
  <si>
    <t>№ 170 от 07.11.2023г, спец. № 1 от 07.11.2023</t>
  </si>
  <si>
    <t>Списание с расчетного счета 00БП-007190 от 16.11.2023 18:12:34</t>
  </si>
  <si>
    <t>Списание с расчетного счета 00БП-000467 от 22.02.2024 15:49:18</t>
  </si>
  <si>
    <t>22.02.24</t>
  </si>
  <si>
    <t>№ 170 от 07.11.2023г, спец. № 2 от 07.11.2023</t>
  </si>
  <si>
    <t>Списание с расчетного счета 00БП-007189 от 16.11.2023 18:12:33</t>
  </si>
  <si>
    <t>Списание с расчетного счета 00БП-000470 от 22.02.2024 15:49:21</t>
  </si>
  <si>
    <t>№ 170 от 07.11.2023г, спец. № 3 от 07.11.2023</t>
  </si>
  <si>
    <t>Списание с расчетного счета 00БП-007188 от 16.11.2023 18:12:32</t>
  </si>
  <si>
    <t>Списание с расчетного счета 00БП-000468 от 22.02.2024 15:49:19</t>
  </si>
  <si>
    <t>№ 170 от 07.11.2023г, спец. № 4 от 07.11.2023</t>
  </si>
  <si>
    <t>Списание с расчетного счета 00БП-007263 от 21.11.2023 15:55:25</t>
  </si>
  <si>
    <t>21.11.23</t>
  </si>
  <si>
    <t>Списание с расчетного счета 00БП-000469 от 22.02.2024 15:49:20</t>
  </si>
  <si>
    <t>№ 170 от 07.11.2023г, спец. № 5 от 07.11.2023</t>
  </si>
  <si>
    <t>Списание с расчетного счета 00БП-007185 от 16.11.2023 18:12:29</t>
  </si>
  <si>
    <t>Списание с расчетного счета 00БП-000462 от 22.02.2024 15:49:13</t>
  </si>
  <si>
    <t>№ 2023-05/12-1г от 11.12.2023</t>
  </si>
  <si>
    <t>Списание с расчетного счета 00БП-007766 от 11.12.2023 16:35:04</t>
  </si>
  <si>
    <t>11.12.23</t>
  </si>
  <si>
    <t>АДВАНСТЕХНО ООО</t>
  </si>
  <si>
    <t>МО-25-01-2024-1 от 25.01.2024г. Спец. 1 (Запчасти ЭКГ)</t>
  </si>
  <si>
    <t>Списание с расчетного счета 00БП-001039 от 20.03.2024 18:33:59</t>
  </si>
  <si>
    <t>20.03.24</t>
  </si>
  <si>
    <t>Азимут Производственная компания ООО</t>
  </si>
  <si>
    <t>Д-2468-12-Р от 22.12.2023</t>
  </si>
  <si>
    <t>Списание с расчетного счета 00БП-007988 от 28.12.2023 15:20:49</t>
  </si>
  <si>
    <t>Списание с расчетного счета 00БП-007689 от 04.12.2023 18:08:53</t>
  </si>
  <si>
    <t>04.12.23</t>
  </si>
  <si>
    <t>Счёт № ФИ-195 от 27.02.2024</t>
  </si>
  <si>
    <t>Списание с расчетного счета 00БП-000577 от 29.02.2024 23:59:59</t>
  </si>
  <si>
    <t>МО-07-03-2024-1 от 07.03.2024г.</t>
  </si>
  <si>
    <t>Списание с расчетного счета 00БП-000996 от 19.03.2024 18:12:05</t>
  </si>
  <si>
    <t>АРКТИКТРАНС ООО</t>
  </si>
  <si>
    <t>ВДВ-15.02.2024 от 15.02.2024  перевозки</t>
  </si>
  <si>
    <t>Списание с расчетного счета 00БП-000471 от 22.02.2024 15:49:22</t>
  </si>
  <si>
    <t>Списание с расчетного счета 00БП-000937 от 15.03.2024 20:34:29</t>
  </si>
  <si>
    <t>15.03.24</t>
  </si>
  <si>
    <t>РС-08-12-2022-5 от 08.12.22г. Спец. №5</t>
  </si>
  <si>
    <t>Списание с расчетного счета 00БП-000389 от 15.02.2024 17:30:55</t>
  </si>
  <si>
    <t>15.02.24</t>
  </si>
  <si>
    <t>РС-08-12-2022-5 от 08.12.22г. Спец. №7</t>
  </si>
  <si>
    <t>Списание с расчетного счета 00БП-001031 от 20.03.2024 18:33:51</t>
  </si>
  <si>
    <t>ВИЛКОН ООО</t>
  </si>
  <si>
    <t>1 от 13.03.2024г.</t>
  </si>
  <si>
    <t>Списание с расчетного счета 00БП-001026 от 20.03.2024 18:33:46</t>
  </si>
  <si>
    <t>Списание с расчетного счета 00БП-001121 от 25.03.2024 17:31:18</t>
  </si>
  <si>
    <t>25.03.24</t>
  </si>
  <si>
    <t>Воропаев Александр Петрович ИП</t>
  </si>
  <si>
    <t>07 от 22.02.2024  перевозки</t>
  </si>
  <si>
    <t>Списание с расчетного счета 00БП-000520 от 27.02.2024 16:35:16</t>
  </si>
  <si>
    <t>27.02.24</t>
  </si>
  <si>
    <t>Списание с расчетного счета 00БП-000549 от 28.02.2024 23:59:59</t>
  </si>
  <si>
    <t>28.02.24</t>
  </si>
  <si>
    <t>Счёт № 2403-255095-58987 от 12.03.2024г.</t>
  </si>
  <si>
    <t>Списание с расчетного счета 00БП-000848 от 13.03.2024 23:59:59</t>
  </si>
  <si>
    <t>Списание с расчетного счета 00БП-007511 от 24.11.2023 17:56:41</t>
  </si>
  <si>
    <t>24.11.23</t>
  </si>
  <si>
    <t>Геоскан ООО</t>
  </si>
  <si>
    <t>24-058 от 19.02.2024</t>
  </si>
  <si>
    <t>Списание с расчетного счета 00БП-000509 от 26.02.2024 14:37:27</t>
  </si>
  <si>
    <t>ГИДРОМАТИКА ООО</t>
  </si>
  <si>
    <t>МО-15-12-2023-1 от 15.12.2023 г.  Спец 1</t>
  </si>
  <si>
    <t>Списание с расчетного счета 00БП-000011 от 09.01.2024 12:00:12</t>
  </si>
  <si>
    <t>09.01.24</t>
  </si>
  <si>
    <t>Списание с расчетного счета 00БП-000718 от 07.03.2024 17:38:03</t>
  </si>
  <si>
    <t>МО-15-12-2023-1 от 15.12.2023 г.  Спец 2</t>
  </si>
  <si>
    <t>Списание с расчетного счета 00БП-000103 от 19.01.2024 12:00:03</t>
  </si>
  <si>
    <t>19.01.24</t>
  </si>
  <si>
    <t>Списание с расчетного счета 00БП-000713 от 07.03.2024 17:37:58</t>
  </si>
  <si>
    <t>МО-15-12-2023-1 от 15.12.2023 г.  Спец 3</t>
  </si>
  <si>
    <t>Списание с расчетного счета 00БП-000102 от 19.01.2024 12:00:02</t>
  </si>
  <si>
    <t>Списание с расчетного счета 00БП-000712 от 07.03.2024 17:37:57</t>
  </si>
  <si>
    <t>УТ-1167 от 25.03.2024г.</t>
  </si>
  <si>
    <t>Списание с расчетного счета 00БП-001133 от 26.03.2024 18:50:17</t>
  </si>
  <si>
    <t>РС-06-03-2024-2 от 06.03.2024г. Спец. 1 (продукты)</t>
  </si>
  <si>
    <t>Списание с расчетного счета 00БП-000982 от 18.03.2024 18:19:11</t>
  </si>
  <si>
    <t>РС-19-01-2024-1 от 19.01.2024, Спец. 1 (Посуда и кух. оборудование)</t>
  </si>
  <si>
    <t>Списание с расчетного счета 00БП-000402 от 16.02.2024 16:04:42</t>
  </si>
  <si>
    <t>РС-19-01-2024-1 от 19.01.2024, Спец. 2 (Матрасы и одеяла)</t>
  </si>
  <si>
    <t>Списание с расчетного счета 00БП-000404 от 16.02.2024 16:04:44</t>
  </si>
  <si>
    <t>Списание с расчетного счета 00БП-000401 от 16.02.2024 16:04:41</t>
  </si>
  <si>
    <t>Списание с расчетного счета 00БП-000176 от 29.01.2024 12:00:05</t>
  </si>
  <si>
    <t>29.01.24</t>
  </si>
  <si>
    <t>Счёт № 7 от 14.03.2024г. перевозка мяса, субпродуктов</t>
  </si>
  <si>
    <t>Списание с расчетного счета 00БП-000980 от 18.03.2024 18:19:09</t>
  </si>
  <si>
    <t>Списание с расчетного счета 00БП-001255 от 28.03.2024 17:35:55</t>
  </si>
  <si>
    <t>РС-26-12-2022-9/127з от 26.12.22г, спец № 10 масла, смазки</t>
  </si>
  <si>
    <t>Списание с расчетного счета 00БП-000227 от 01.02.2024 9:57:33</t>
  </si>
  <si>
    <t>Списание с расчетного счета 00БП-008006 от 29.12.2023 12:00:12</t>
  </si>
  <si>
    <t>29.12.23</t>
  </si>
  <si>
    <t>ГРЕЙФЕР ООО ПО</t>
  </si>
  <si>
    <t>РС-13-02-2024-2 от 13.02.2024г. Спец. 1</t>
  </si>
  <si>
    <t>Списание с расчетного счета 00БП-001259 от 28.03.2024 17:35:59</t>
  </si>
  <si>
    <t>РC-06-03-2024-1 от 06.03.2024г.</t>
  </si>
  <si>
    <t>Списание с расчетного счета 00БП-001091 от 22.03.2024 20:02:46</t>
  </si>
  <si>
    <t>22.03.24</t>
  </si>
  <si>
    <t>Счёт № 1308 от 25.03.2024г.</t>
  </si>
  <si>
    <t>Списание с расчетного счета 00БП-001194 от 27.03.2024 23:59:59</t>
  </si>
  <si>
    <t>Списание с расчетного счета 00БП-001306 от 06.04.2023 19:01:57</t>
  </si>
  <si>
    <t>Списание с расчетного счета 00БП-001663 от 14.04.2023 20:37:05</t>
  </si>
  <si>
    <t>14.04.23</t>
  </si>
  <si>
    <t>Списание с расчетного счета 00БП-002380 от 16.05.2023 20:19:17</t>
  </si>
  <si>
    <t>16.05.23</t>
  </si>
  <si>
    <t>Списание с расчетного счета 00БП-002523 от 25.05.2023 19:25:33</t>
  </si>
  <si>
    <t>25.05.23</t>
  </si>
  <si>
    <t>МО-22-01-2024-2 от 22.01.2024, Спец. 1 (Двигатели)</t>
  </si>
  <si>
    <t>Списание с расчетного счета 00БП-000405 от 16.02.2024 16:04:45</t>
  </si>
  <si>
    <t>Списание с расчетного счета 00БП-001305 от 29.03.2024 18:50:40</t>
  </si>
  <si>
    <t>29.03.24</t>
  </si>
  <si>
    <t>Счёт № А-00104939 от 27.03.2024г.</t>
  </si>
  <si>
    <t>Списание с расчетного счета 00БП-001250 от 28.03.2024 17:35:50</t>
  </si>
  <si>
    <t>Счёт № 2252131284922682Д от 26.12.2023</t>
  </si>
  <si>
    <t>Корректировка долга 00БП-000008 от 26.02.2024 14:37:38</t>
  </si>
  <si>
    <t>Счёт № 2252628784309699Д от 14.02.2024</t>
  </si>
  <si>
    <t>Счёт № 2253732605669328А от 13.12.2023</t>
  </si>
  <si>
    <t>Счёт № 2253732605958441А от 21.12.2023г.</t>
  </si>
  <si>
    <t>Счёт №2254016057382023А от 26.12.2023</t>
  </si>
  <si>
    <t>Счёту №2253732606332838А от 11.01.2024г</t>
  </si>
  <si>
    <t>Списание с расчетного счета 00БП-001249 от 28.03.2024 17:35:49</t>
  </si>
  <si>
    <t>МО-12-01-2024-1 от 12.01.2024г. Спец. 2 (метизы)</t>
  </si>
  <si>
    <t>Списание с расчетного счета 00БП-000263 от 06.02.2024 12:00:04</t>
  </si>
  <si>
    <t>МО-12-01-2024-1 от 12.01.2024г. Спец. 4 (Металл)</t>
  </si>
  <si>
    <t>Списание с расчетного счета 00БП-001001 от 19.03.2024 18:12:10</t>
  </si>
  <si>
    <t>Списание с расчетного счета 00БП-000272 от 06.02.2024 12:00:13</t>
  </si>
  <si>
    <t>МО-12-01-2024-1 от 12.01.2024г. Спец. № 3 (футеровка)</t>
  </si>
  <si>
    <t>Списание с расчетного счета 00БП-000265 от 06.02.2024 12:00:06</t>
  </si>
  <si>
    <t>МО-07-11-2023-1 спец 1 от 07.11.2023 модуль</t>
  </si>
  <si>
    <t>Списание с расчетного счета 00БП-006992 от 08.11.2023 17:30:28</t>
  </si>
  <si>
    <t>08.11.23</t>
  </si>
  <si>
    <t>Списание с расчетного счета 00БП-000865 от 13.03.2024 23:59:59</t>
  </si>
  <si>
    <t>МО-07-11-2023-1 спец 3 от 07.11.2023 двигатель, модуль</t>
  </si>
  <si>
    <t>Списание с расчетного счета 00БП-007088 от 10.11.2023 16:36:36</t>
  </si>
  <si>
    <t>Списание с расчетного счета 00БП-000201 от 31.01.2024 23:59:59</t>
  </si>
  <si>
    <t>31.01.24</t>
  </si>
  <si>
    <t>МО-07-11-2023-1 спец 5 от 07.11.2023 двигатель</t>
  </si>
  <si>
    <t>Списание с расчетного счета 00БП-007262 от 21.11.2023 15:55:24</t>
  </si>
  <si>
    <t>Списание с расчетного счета 00БП-000852 от 13.03.2024 23:59:59</t>
  </si>
  <si>
    <t>КОЛЫМАТРАНС ООО</t>
  </si>
  <si>
    <t>ВД-12-03-2025 от 12.03.2025г.</t>
  </si>
  <si>
    <t>Списание с расчетного счета 00БП-001035 от 20.03.2024 18:33:55</t>
  </si>
  <si>
    <t>Списание с расчетного счета 00БП-001306 от 29.03.2024 18:50:41</t>
  </si>
  <si>
    <t>Списание с расчетного счета 00БП-001307 от 29.03.2024 18:50:42</t>
  </si>
  <si>
    <t>КОМПАНИЯ АВТОСОФТ ООО</t>
  </si>
  <si>
    <t>163/20240220 от 20.03.2024г.</t>
  </si>
  <si>
    <t>Списание с расчетного счета 00БП-001117 от 25.03.2024 17:31:14</t>
  </si>
  <si>
    <t>Счёт № 2493880724 от 12.03.2024г.</t>
  </si>
  <si>
    <t>Списание с расчетного счета 00БП-000925 от 15.03.2024 20:34:17</t>
  </si>
  <si>
    <t>КРЕДИНФОРМ ЦЕНТР ООО</t>
  </si>
  <si>
    <t>К_22В7С2С29113</t>
  </si>
  <si>
    <t>Списание с расчетного счета 00БП-001131 от 26.03.2024 18:50:15</t>
  </si>
  <si>
    <t>МО-30-11-2023-1 от 30.11.2023 г.</t>
  </si>
  <si>
    <t>Списание с расчетного счета 00БП-007764 от 11.12.2023 16:35:02</t>
  </si>
  <si>
    <t>ЛЕСТОРГ ООО</t>
  </si>
  <si>
    <t>РС-20-03-2023-1 от 20.03.2023г. Спец. 2</t>
  </si>
  <si>
    <t>Списание с расчетного счета 00БП-001257 от 28.03.2024 17:35:57</t>
  </si>
  <si>
    <t>Списание с расчетного счета 00БП-001146 от 26.03.2024 18:50:30</t>
  </si>
  <si>
    <t>№ РC-09-12-2022-3 от 09.12.2022г.</t>
  </si>
  <si>
    <t>Списание с расчетного счета 00БП-000010 от 09.01.2024 12:00:11</t>
  </si>
  <si>
    <t>Списание с расчетного счета 00БП-000350 от 13.02.2024 16:34:48</t>
  </si>
  <si>
    <t>Списание с расчетного счета 00БП-000352 от 13.02.2024 16:34:50</t>
  </si>
  <si>
    <t>Списание с расчетного счета 00БП-000695 от 06.03.2024 17:39:37</t>
  </si>
  <si>
    <t>Списание с расчетного счета 00БП-007532 от 27.11.2023 15:36:44</t>
  </si>
  <si>
    <t>27.11.23</t>
  </si>
  <si>
    <t>Списание с расчетного счета 00БП-000351 от 13.02.2024 16:34:49</t>
  </si>
  <si>
    <t>Списание с расчетного счета 00БП-000697 от 06.03.2024 17:39:39</t>
  </si>
  <si>
    <t>Списание с расчетного счета 00БП-000696 от 06.03.2024 17:39:38</t>
  </si>
  <si>
    <t>Списание с расчетного счета 00БП-000112 от 19.01.2024 12:00:16</t>
  </si>
  <si>
    <t>Списание с расчетного счета 00БП-000349 от 13.02.2024 16:34:47</t>
  </si>
  <si>
    <t>Списание с расчетного счета 00БП-000694 от 06.03.2024 17:39:36</t>
  </si>
  <si>
    <t>Списание с расчетного счета 00БП-000698 от 06.03.2024 17:39:40</t>
  </si>
  <si>
    <t>Чернушенко Вадим Сергеевич</t>
  </si>
  <si>
    <t>Списание с расчетного счета 00БП-006849 от 03.11.2023 17:15:23</t>
  </si>
  <si>
    <t>4-2024 от 09.11.23г,  спец 1</t>
  </si>
  <si>
    <t>Корректировка поступления 00БП-000006 от 31.03.2024 10:00:00</t>
  </si>
  <si>
    <t>31.03.24</t>
  </si>
  <si>
    <t>4-2024 от 09.11.23г,  спец 2</t>
  </si>
  <si>
    <t>Списание с расчетного счета 00БП-000027 от 10.01.2024 12:00:15</t>
  </si>
  <si>
    <t>10.01.24</t>
  </si>
  <si>
    <t>Списание с расчетного счета 00БП-000580 от 29.02.2024 23:59:59</t>
  </si>
  <si>
    <t>Списание с расчетного счета 00БП-000592 от 29.02.2024 23:59:59</t>
  </si>
  <si>
    <t>Списание с расчетного счета 00БП-000594 от 29.02.2024 23:59:59</t>
  </si>
  <si>
    <t>Списание с расчетного счета 00БП-000595 от 29.02.2024 23:59:59</t>
  </si>
  <si>
    <t>Списание с расчетного счета 00БП-000596 от 29.02.2024 23:59:59</t>
  </si>
  <si>
    <t>Списание с расчетного счета 00БП-000611 от 01.03.2024 17:23:18</t>
  </si>
  <si>
    <t>Списание с расчетного счета 00БП-000612 от 01.03.2024 17:23:19</t>
  </si>
  <si>
    <t>Списание с расчетного счета 00БП-000613 от 01.03.2024 17:23:20</t>
  </si>
  <si>
    <t>Списание с расчетного счета 00БП-000636 от 04.03.2024 16:09:37</t>
  </si>
  <si>
    <t>04.03.24</t>
  </si>
  <si>
    <t>Списание с расчетного счета 00БП-000637 от 04.03.2024 16:09:38</t>
  </si>
  <si>
    <t>Списание с расчетного счета 00БП-000638 от 04.03.2024 16:09:39</t>
  </si>
  <si>
    <t>Списание с расчетного счета 00БП-000639 от 04.03.2024 16:09:40</t>
  </si>
  <si>
    <t>Списание с расчетного счета 00БП-000640 от 04.03.2024 16:09:41</t>
  </si>
  <si>
    <t>Списание с расчетного счета 00БП-000641 от 04.03.2024 16:09:42</t>
  </si>
  <si>
    <t>Списание с расчетного счета 00БП-000642 от 04.03.2024 16:09:43</t>
  </si>
  <si>
    <t>Списание с расчетного счета 00БП-000643 от 04.03.2024 16:09:44</t>
  </si>
  <si>
    <t>Списание с расчетного счета 00БП-000644 от 04.03.2024 16:09:45</t>
  </si>
  <si>
    <t>Списание с расчетного счета 00БП-000645 от 04.03.2024 16:09:46</t>
  </si>
  <si>
    <t>Списание с расчетного счета 00БП-000646 от 04.03.2024 16:09:47</t>
  </si>
  <si>
    <t>Списание с расчетного счета 00БП-000647 от 04.03.2024 16:09:48</t>
  </si>
  <si>
    <t>Списание с расчетного счета 00БП-000648 от 04.03.2024 16:09:49</t>
  </si>
  <si>
    <t>Списание с расчетного счета 00БП-000649 от 04.03.2024 16:09:50</t>
  </si>
  <si>
    <t>Списание с расчетного счета 00БП-000650 от 04.03.2024 16:09:51</t>
  </si>
  <si>
    <t>Списание с расчетного счета 00БП-000672 от 05.03.2024 17:27:36</t>
  </si>
  <si>
    <t>Списание с расчетного счета 00БП-000673 от 05.03.2024 17:27:37</t>
  </si>
  <si>
    <t>Списание с расчетного счета 00БП-000714 от 07.03.2024 17:37:59</t>
  </si>
  <si>
    <t>Списание с расчетного счета 00БП-000715 от 07.03.2024 17:38:00</t>
  </si>
  <si>
    <t>Списание с расчетного счета 00БП-000716 от 07.03.2024 17:38:01</t>
  </si>
  <si>
    <t>Списание с расчетного счета 00БП-000717 от 07.03.2024 17:38:02</t>
  </si>
  <si>
    <t>Списание с расчетного счета 00БП-000755 от 11.03.2024 17:53:23</t>
  </si>
  <si>
    <t>Списание с расчетного счета 00БП-000756 от 11.03.2024 17:53:24</t>
  </si>
  <si>
    <t>Списание с расчетного счета 00БП-000757 от 11.03.2024 17:53:25</t>
  </si>
  <si>
    <t>Списание с расчетного счета 00БП-000758 от 11.03.2024 17:53:26</t>
  </si>
  <si>
    <t>Списание с расчетного счета 00БП-000759 от 11.03.2024 17:53:27</t>
  </si>
  <si>
    <t>Списание с расчетного счета 00БП-000849 от 13.03.2024 23:59:59</t>
  </si>
  <si>
    <t>Списание с расчетного счета 00БП-000850 от 13.03.2024 23:59:59</t>
  </si>
  <si>
    <t>Списание с расчетного счета 00БП-000851 от 13.03.2024 23:59:59</t>
  </si>
  <si>
    <t>Списание с расчетного счета 00БП-000853 от 13.03.2024 23:59:59</t>
  </si>
  <si>
    <t>Списание с расчетного счета 00БП-000854 от 13.03.2024 23:59:59</t>
  </si>
  <si>
    <t>Списание с расчетного счета 00БП-000855 от 13.03.2024 23:59:59</t>
  </si>
  <si>
    <t>Списание с расчетного счета 00БП-000856 от 13.03.2024 23:59:59</t>
  </si>
  <si>
    <t>Списание с расчетного счета 00БП-000857 от 13.03.2024 23:59:59</t>
  </si>
  <si>
    <t>Списание с расчетного счета 00БП-000858 от 13.03.2024 23:59:59</t>
  </si>
  <si>
    <t>Списание с расчетного счета 00БП-000859 от 13.03.2024 23:59:59</t>
  </si>
  <si>
    <t>Списание с расчетного счета 00БП-000860 от 13.03.2024 23:59:59</t>
  </si>
  <si>
    <t>Списание с расчетного счета 00БП-000861 от 13.03.2024 23:59:59</t>
  </si>
  <si>
    <t>Списание с расчетного счета 00БП-000862 от 13.03.2024 23:59:59</t>
  </si>
  <si>
    <t>Списание с расчетного счета 00БП-000863 от 13.03.2024 23:59:59</t>
  </si>
  <si>
    <t>Списание с расчетного счета 00БП-000934 от 15.03.2024 20:34:26</t>
  </si>
  <si>
    <t>Списание с расчетного счета 00БП-000935 от 15.03.2024 20:34:27</t>
  </si>
  <si>
    <t>Списание с расчетного счета 00БП-000976 от 18.03.2024 18:19:05</t>
  </si>
  <si>
    <t>Списание с расчетного счета 00БП-000977 от 18.03.2024 18:19:06</t>
  </si>
  <si>
    <t>Списание с расчетного счета 00БП-000978 от 18.03.2024 18:19:07</t>
  </si>
  <si>
    <t>Списание с расчетного счета 00БП-001002 от 19.03.2024 18:12:11</t>
  </si>
  <si>
    <t>Списание с расчетного счета 00БП-001003 от 19.03.2024 18:12:12</t>
  </si>
  <si>
    <t>Списание с расчетного счета 00БП-001004 от 19.03.2024 18:12:13</t>
  </si>
  <si>
    <t>Списание с расчетного счета 00БП-001005 от 19.03.2024 18:12:14</t>
  </si>
  <si>
    <t>Списание с расчетного счета 00БП-001006 от 19.03.2024 18:12:15</t>
  </si>
  <si>
    <t>Списание с расчетного счета 00БП-001036 от 20.03.2024 18:33:56</t>
  </si>
  <si>
    <t>Списание с расчетного счета 00БП-001085 от 22.03.2024 20:02:40</t>
  </si>
  <si>
    <t>Списание с расчетного счета 00БП-001086 от 22.03.2024 20:02:41</t>
  </si>
  <si>
    <t>Списание с расчетного счета 00БП-001138 от 26.03.2024 18:50:22</t>
  </si>
  <si>
    <t>Списание с расчетного счета 00БП-001139 от 26.03.2024 18:50:23</t>
  </si>
  <si>
    <t>Списание с расчетного счета 00БП-001140 от 26.03.2024 18:50:24</t>
  </si>
  <si>
    <t>Списание с расчетного счета 00БП-001141 от 26.03.2024 18:50:25</t>
  </si>
  <si>
    <t>Списание с расчетного счета 00БП-001142 от 26.03.2024 18:50:26</t>
  </si>
  <si>
    <t>Списание с расчетного счета 00БП-001143 от 26.03.2024 18:50:27</t>
  </si>
  <si>
    <t>Списание с расчетного счета 00БП-001144 от 26.03.2024 18:50:28</t>
  </si>
  <si>
    <t>Списание с расчетного счета 00БП-001145 от 26.03.2024 18:50:29</t>
  </si>
  <si>
    <t>Списание с расчетного счета 00БП-001263 от 28.03.2024 17:36:03</t>
  </si>
  <si>
    <t>НМ КОМПАНИ ООО</t>
  </si>
  <si>
    <t>МО-22-01-2024-1 от 20.02.2024г. Спец. 1</t>
  </si>
  <si>
    <t>Списание с расчетного счета 00БП-000522 от 27.02.2024 16:35:18</t>
  </si>
  <si>
    <t>100130068 от 13.02.2024г.</t>
  </si>
  <si>
    <t>Списание с расчетного счета 00БП-000931 от 15.03.2024 20:34:23</t>
  </si>
  <si>
    <t>ОНЛАЙН ЭКОЛОГИЯ ООО</t>
  </si>
  <si>
    <t>1534-20849-2023 от 05.02.2024</t>
  </si>
  <si>
    <t>Списание с расчетного счета 00БП-000519 от 27.02.2024 16:35:15</t>
  </si>
  <si>
    <t>1987-22819-2024 от 27.02.2024</t>
  </si>
  <si>
    <t>Списание с расчетного счета 00БП-000686 от 06.03.2024 17:39:23</t>
  </si>
  <si>
    <t>Пасифик Трактор ООО</t>
  </si>
  <si>
    <t>счет № 387 от 15.08.2023</t>
  </si>
  <si>
    <t>Списание с расчетного счета 00БП-006355 от 18.10.2023 17:44:57</t>
  </si>
  <si>
    <t>18.10.23</t>
  </si>
  <si>
    <t>Пискарев А.Ю. ИП</t>
  </si>
  <si>
    <t>ЛМ/0413 от 29.11.2023</t>
  </si>
  <si>
    <t>Списание с расчетного счета 00БП-007724 от 06.12.2023 9:18:11</t>
  </si>
  <si>
    <t>06.12.23</t>
  </si>
  <si>
    <t>РС-05-03-2024-1 от 05.03.2024г. Спец. 1 (Хоз.товары)</t>
  </si>
  <si>
    <t>Списание с расчетного счета 00БП-001032 от 20.03.2024 18:33:52</t>
  </si>
  <si>
    <t>РС-05-03-2024-1 от 05.03.2024г. Спец. 2 (Хоз.товары, оборудование)</t>
  </si>
  <si>
    <t>Списание с расчетного счета 00БП-001029 от 20.03.2024 18:33:49</t>
  </si>
  <si>
    <t>РС-05-03-2024-1 от 05.03.2024г. Спец. 3  стройматериалы</t>
  </si>
  <si>
    <t>Списание с расчетного счета 00БП-000933 от 15.03.2024 20:34:25</t>
  </si>
  <si>
    <t>ПЛАЗ ООО</t>
  </si>
  <si>
    <t>24П-038 от 19.02.2024</t>
  </si>
  <si>
    <t>Списание с расчетного счета 00БП-000507 от 26.02.2024 14:37:25</t>
  </si>
  <si>
    <t>Договор аренды имущества № 1-ДВ/23 от 20.12.2022г</t>
  </si>
  <si>
    <t>Списание с расчетного счета 00БП-007989 от 28.12.2023 15:20:50</t>
  </si>
  <si>
    <t>Потехина Светлана Алексеевна ИП</t>
  </si>
  <si>
    <t>Счёт № 21 от 13.03.2024г.</t>
  </si>
  <si>
    <t>Списание с расчетного счета 00БП-000907 от 14.03.2024 17:41:35</t>
  </si>
  <si>
    <t>Списание с расчетного счета 00БП-007512 от 24.11.2023 17:56:42</t>
  </si>
  <si>
    <t>Списание с расчетного счета 00БП-000119 от 22.01.2024 12:00:05</t>
  </si>
  <si>
    <t>ПРОМАЛЬЯНС НПО АО</t>
  </si>
  <si>
    <t>РС-21-02-2024-2 от 21.02.2024 Спец. 9 (Инструмент)</t>
  </si>
  <si>
    <t>Списание с расчетного счета 00БП-000521 от 27.02.2024 16:35:17</t>
  </si>
  <si>
    <t>РЕ-СТАЙЛИНГ ООО</t>
  </si>
  <si>
    <t>Счёт № 21 от 21.03.2024г.</t>
  </si>
  <si>
    <t>Списание с расчетного счета 00БП-001079 от 22.03.2024 20:02:34</t>
  </si>
  <si>
    <t>Списание с расчетного счета 00БП-001033 от 20.03.2024 18:33:53</t>
  </si>
  <si>
    <t>РС-10-12-2022-3 от 09.02.2023г. Спец. № 10</t>
  </si>
  <si>
    <t>Списание с расчетного счета 00БП-001134 от 26.03.2024 18:50:18</t>
  </si>
  <si>
    <t>РС-10-12-2022-3 от 09.02.2023г. Спец. № 11</t>
  </si>
  <si>
    <t>Списание с расчетного счета 00БП-001136 от 26.03.2024 18:50:20</t>
  </si>
  <si>
    <t>14/105-2024 от 06.03.2024г.  170000  Ольчан-Вольник</t>
  </si>
  <si>
    <t>Списание с расчетного счета 00БП-000779 от 11.03.2024 17:53:49</t>
  </si>
  <si>
    <t>14/106-2024 от 06.03.2024г.  110000  Ольчан-Покорный</t>
  </si>
  <si>
    <t>Списание с расчетного счета 00БП-000775 от 11.03.2024 17:53:45</t>
  </si>
  <si>
    <t>14/107-2024 от 06.03.2024г.   140000  Хаптагай-Хая</t>
  </si>
  <si>
    <t>Списание с расчетного счета 00БП-000777 от 11.03.2024 17:53:47</t>
  </si>
  <si>
    <t>14/108-2024 от 06.03.2024г.   110000  Дымный</t>
  </si>
  <si>
    <t>Списание с расчетного счета 00БП-000776 от 11.03.2024 17:53:46</t>
  </si>
  <si>
    <t>14/109-2024 от 06.03.2024г.   581462,28  Б.Тарын</t>
  </si>
  <si>
    <t>Списание с расчетного счета 00БП-000780 от 11.03.2024 17:53:50</t>
  </si>
  <si>
    <t>14/110-2024 от 06.03.2024г.   140758,25 Бедовый</t>
  </si>
  <si>
    <t>Списание с расчетного счета 00БП-000778 от 11.03.2024 17:53:48</t>
  </si>
  <si>
    <t>14/161-2023 от 21.06.2023   235896.31</t>
  </si>
  <si>
    <t>Списание с расчетного счета 00БП-003624 от 10.07.2023 17:58:07</t>
  </si>
  <si>
    <t>10.07.23</t>
  </si>
  <si>
    <t>РС-22-02-2024 от 22.02.2024г. Спец. 1 (Масла)</t>
  </si>
  <si>
    <t>Списание с расчетного счета 00БП-000999 от 19.03.2024 18:12:08</t>
  </si>
  <si>
    <t>СДМ ООО</t>
  </si>
  <si>
    <t>МО-12-02-2024-1 от 16.02.2024г. Спец. 1 (Запчасти на МЗТ)</t>
  </si>
  <si>
    <t>Списание с расчетного счета 00БП-000427 от 20.02.2024 15:13:57</t>
  </si>
  <si>
    <t>20.02.24</t>
  </si>
  <si>
    <t>МО-11-01-2024-1 от 12.01.2024г. Спец. 1</t>
  </si>
  <si>
    <t>Списание с расчетного счета 00БП-000220 от 01.02.2024 9:57:26</t>
  </si>
  <si>
    <t>Списание с расчетного счета 00БП-000222 от 01.02.2024 9:57:28</t>
  </si>
  <si>
    <t>МО-23-01-2024-1 от 23.01.2024 Спец. 2</t>
  </si>
  <si>
    <t>Списание с расчетного счета 00БП-000242 от 02.02.2024 16:34:34</t>
  </si>
  <si>
    <t>02.02.24</t>
  </si>
  <si>
    <t>Списание с расчетного счета 00БП-000243 от 02.02.2024 16:34:35</t>
  </si>
  <si>
    <t>МО-23-01-2024-1 от 23.01.2024 Спец. 3</t>
  </si>
  <si>
    <t>Списание с расчетного счета 00БП-000275 от 07.02.2024 12:00:01</t>
  </si>
  <si>
    <t>Списание с расчетного счета 00БП-000997 от 19.03.2024 18:12:06</t>
  </si>
  <si>
    <t>Счёт № 590 от 06.02.2024</t>
  </si>
  <si>
    <t>Списание с расчетного счета 00БП-000267 от 06.02.2024 12:00:08</t>
  </si>
  <si>
    <t>Счёт № 591 от 06.02.2024</t>
  </si>
  <si>
    <t>Списание с расчетного счета 00БП-000266 от 06.02.2024 12:00:07</t>
  </si>
  <si>
    <t>Счёт № 592 от 06.02.2024</t>
  </si>
  <si>
    <t>Списание с расчетного счета 00БП-000268 от 06.02.2024 12:00:09</t>
  </si>
  <si>
    <t>Счёт № 607 от 06.02.2024</t>
  </si>
  <si>
    <t>Списание с расчетного счета 00БП-000270 от 06.02.2024 12:00:11</t>
  </si>
  <si>
    <t>Счёт № 804 от 14.02.2024</t>
  </si>
  <si>
    <t>Списание с расчетного счета 00БП-000545 от 28.02.2024 23:59:59</t>
  </si>
  <si>
    <t>Счёт № 806 от 14.02.2024</t>
  </si>
  <si>
    <t>Списание с расчетного счета 00БП-000547 от 28.02.2024 23:59:59</t>
  </si>
  <si>
    <t>Счёт № 813 от 14.02.2024г.</t>
  </si>
  <si>
    <t>Списание с расчетного счета 00БП-001080 от 22.03.2024 20:02:35</t>
  </si>
  <si>
    <t>Счёт № 815 от 10.02.2024г.</t>
  </si>
  <si>
    <t>Списание с расчетного счета 00БП-001077 от 22.03.2024 20:02:32</t>
  </si>
  <si>
    <t>СНТ ООО</t>
  </si>
  <si>
    <t>Счёт-договор № 112 от 22.03.2024г.</t>
  </si>
  <si>
    <t>Списание с расчетного счета 00БП-001078 от 22.03.2024 20:02:33</t>
  </si>
  <si>
    <t>СП БИЗНЕС КАР ООО</t>
  </si>
  <si>
    <t>DEN2400427 от 07.03.2024г.</t>
  </si>
  <si>
    <t>Списание с расчетного счета 00БП-000983 от 18.03.2024 18:19:12</t>
  </si>
  <si>
    <t>Счёт № ЯКТ00001671 от 08.02.2024</t>
  </si>
  <si>
    <t>Списание с расчетного счета 00БП-000298 от 09.02.2024 11:07:07</t>
  </si>
  <si>
    <t>Счёт № ЯКТ00003631 от 15.03.2024г.</t>
  </si>
  <si>
    <t>Списание с расчетного счета 00БП-000979 от 18.03.2024 18:19:08</t>
  </si>
  <si>
    <t>Счёт № ЯКТ00003697 от 18.03.2024г.</t>
  </si>
  <si>
    <t>Списание с расчетного счета 00БП-001038 от 20.03.2024 18:33:58</t>
  </si>
  <si>
    <t>Счёт № ЯКТ00003709 от 18.03.2024г.</t>
  </si>
  <si>
    <t>Списание с расчетного счета 00БП-001037 от 20.03.2024 18:33:57</t>
  </si>
  <si>
    <t>Счёт № ЯКТ00003812 от 19.03.2024г.</t>
  </si>
  <si>
    <t>Списание с расчетного счета 00БП-001088 от 22.03.2024 20:02:43</t>
  </si>
  <si>
    <t>Счёт № ЯКТ00003881 от 20.03.2024г.</t>
  </si>
  <si>
    <t>Списание с расчетного счета 00БП-001076 от 22.03.2024 20:02:31</t>
  </si>
  <si>
    <t>Счёт № ЯКТ00004178 от 26.03.2024г.</t>
  </si>
  <si>
    <t>Списание с расчетного счета 00БП-001162 от 27.03.2024 23:59:59</t>
  </si>
  <si>
    <t>СТРОЙЭНЕРГОКАБЕЛЬ ООО</t>
  </si>
  <si>
    <t>РС-13-02-2024-1 от 13.02.2024г. Спец. 1</t>
  </si>
  <si>
    <t>Списание с расчетного счета 00БП-001034 от 20.03.2024 18:33:54</t>
  </si>
  <si>
    <t>БВ 02/24 от 12.02.2024 Спец.1</t>
  </si>
  <si>
    <t>Списание с расчетного счета 00БП-000390 от 15.02.2024 17:30:56</t>
  </si>
  <si>
    <t>ТЕХНОСПАС Группа компаний ООО</t>
  </si>
  <si>
    <t>А-087/22 от 21.12.2021 г.</t>
  </si>
  <si>
    <t>Списание с расчетного счета 00БП-007739 от 07.12.2023 12:00:15</t>
  </si>
  <si>
    <t>Списание с расчетного счета 00БП-007946 от 25.12.2023 12:25:33</t>
  </si>
  <si>
    <t>25.12.23</t>
  </si>
  <si>
    <t>Списание с расчетного счета 00БП-000262 от 06.02.2024 12:00:03</t>
  </si>
  <si>
    <t>Списание с расчетного счета 00БП-001254 от 28.03.2024 17:35:54</t>
  </si>
  <si>
    <t>Списание с расчетного счета 00БП-001248 от 28.03.2024 17:35:48</t>
  </si>
  <si>
    <t>ТО/2303-УВК/AS350/Б от 23.03.2016г.</t>
  </si>
  <si>
    <t>Списание с расчетного счета 00БП-001256 от 28.03.2024 17:35:56</t>
  </si>
  <si>
    <t>ФОРУС ООО НПФ</t>
  </si>
  <si>
    <t>Счёт № ФРЗ-0435809 от 28.03.2024г.</t>
  </si>
  <si>
    <t>Списание с расчетного счета 00БП-001301 от 29.03.2024 18:50:36</t>
  </si>
  <si>
    <t>Счёт № 3261515/197 от 15.03.2024г.</t>
  </si>
  <si>
    <t>Списание с расчетного счета 00БП-000929 от 15.03.2024 20:34:21</t>
  </si>
  <si>
    <t>Шуман Олег Владимирович ИП</t>
  </si>
  <si>
    <t>Счёт № ЦБ-100 от 28.03.2024г.</t>
  </si>
  <si>
    <t>Списание с расчетного счета 00БП-001302 от 29.03.2024 18:50:37</t>
  </si>
  <si>
    <t>Списание с расчетного счета 00БП-006279 от 13.10.2023 19:10:42</t>
  </si>
  <si>
    <t>13.10.23</t>
  </si>
  <si>
    <t>Списание с расчетного счета 00БП-006280 от 13.10.2023 19:10:43</t>
  </si>
  <si>
    <t>№ ЛС-4074970856-1,</t>
  </si>
  <si>
    <t>Списание с расчетного счета 00БП-003208 от 20.06.2023 17:48:36</t>
  </si>
  <si>
    <t>20.06.23</t>
  </si>
  <si>
    <t>Списание с расчетного счета 00БП-007604 от 28.11.2023 16:19:15</t>
  </si>
  <si>
    <t>28.11.23</t>
  </si>
  <si>
    <t>АРГУС ООО</t>
  </si>
  <si>
    <t>МО-05-12-2023-1 от 05.12.2023г eur (у.е.)</t>
  </si>
  <si>
    <t>Списание с расчетного счета 00БП-000142 от 25.01.2024 12:06:01</t>
  </si>
  <si>
    <t>25.01.24</t>
  </si>
  <si>
    <t>136з от 15.11.2023  самосвалы</t>
  </si>
  <si>
    <t>Списание с расчетного счета 00БП-007617 от 29.11.2023 16:50:56</t>
  </si>
  <si>
    <t>29.11.23</t>
  </si>
  <si>
    <t>Списание с расчетного счета 00БП-000651 от 04.03.2024 16:09:52</t>
  </si>
  <si>
    <t>28з от 25.03.2024г. Спец. №1 USD  самосвал</t>
  </si>
  <si>
    <t>Списание с расчетного счета 00БП-001154 от 26.03.2024 18:50:41</t>
  </si>
  <si>
    <t>Списание с расчетного счета 00БП-001264 от 28.03.2024 17:36:04</t>
  </si>
  <si>
    <t>Списание с расчетного счета 00БП-000174 от 29.01.2024 12:00:03</t>
  </si>
  <si>
    <t>Списание с расчетного счета 00БП-000175 от 29.01.2024 12:00:04</t>
  </si>
  <si>
    <t>88/272-2566673-1 от 30.11.2023</t>
  </si>
  <si>
    <t>Списание с расчетного счета 00БП-007710 от 05.12.2023 15:42:55</t>
  </si>
  <si>
    <t>05.12.23</t>
  </si>
  <si>
    <t>Списание с расчетного счета 00БП-000749 от 07.03.2024 17:38:32</t>
  </si>
  <si>
    <t>88/272-2567333-1 от 30.11.2023</t>
  </si>
  <si>
    <t>Списание с расчетного счета 00БП-007713 от 05.12.2023 15:42:58</t>
  </si>
  <si>
    <t>Списание с расчетного счета 00БП-000750 от 07.03.2024 17:38:33</t>
  </si>
  <si>
    <t>88/272-2567336-1 от 30.11.2023</t>
  </si>
  <si>
    <t>Списание с расчетного счета 00БП-007712 от 05.12.2023 15:42:57</t>
  </si>
  <si>
    <t>Списание с расчетного счета 00БП-000721 от 07.03.2024 17:38:06</t>
  </si>
  <si>
    <t>2022/08-24 от 24.08.2022г. Спец. 6 USD</t>
  </si>
  <si>
    <t>Списание с расчетного счета 00БП-001090 от 22.03.2024 20:02:45</t>
  </si>
  <si>
    <t>БВ 01/24 от 29.01.2024 Спец. 1</t>
  </si>
  <si>
    <t>Списание с расчетного счета 00БП-000202 от 31.01.2024 23:59:59</t>
  </si>
  <si>
    <t>Списание с расчетного счета 00БП-001040 от 20.03.2024 18:34:00</t>
  </si>
  <si>
    <t>№ 2023-01/12-1 от 01.12.2023</t>
  </si>
  <si>
    <t>Списание с расчетного счета 00БП-007725 от 06.12.2023 9:18:12</t>
  </si>
  <si>
    <t>№ ОА-06/2023 от 25.04.2023</t>
  </si>
  <si>
    <t>Списание с расчетного счета 00БП-005688 от 26.09.2023 22:54:06</t>
  </si>
  <si>
    <t>11/АТЗ от 01.11.2013от 01.11.2013</t>
  </si>
  <si>
    <t>Списание с расчетного счета 00БП-001089 от 02.04.2020 20:27:51</t>
  </si>
  <si>
    <t>02.04.20</t>
  </si>
  <si>
    <t>№ ИТС-01910 от 08.02.2023г</t>
  </si>
  <si>
    <t>ИТС-01910 от 03.02.2021</t>
  </si>
  <si>
    <t>Списание с расчетного счета 00БП-001170 от 31.03.2022 23:59:59</t>
  </si>
  <si>
    <t>31.03.22</t>
  </si>
  <si>
    <t>счет № 421 от 28.07.2023</t>
  </si>
  <si>
    <t>Списание с расчетного счета 00БП-004246 от 31.07.2023 23:59:59</t>
  </si>
  <si>
    <t>31.07.23</t>
  </si>
  <si>
    <t>№ 6869689846 от 04.12.2023г,</t>
  </si>
  <si>
    <t>Списание с расчетного счета 00БП-007760 от 11.12.2023 16:34:58</t>
  </si>
  <si>
    <t>№ 2311-253094-35339 от 29.11.2023   СВО ???</t>
  </si>
  <si>
    <t>Списание с расчетного счета 00БП-007762 от 11.12.2023 16:35:00</t>
  </si>
  <si>
    <t>62 от 07.12.2023</t>
  </si>
  <si>
    <t>Списание с расчетного счета 00БП-007843 от 14.12.2023 13:56:02</t>
  </si>
  <si>
    <t>14.12.23</t>
  </si>
  <si>
    <t>Списание с расчетного счета 00БП-008007 от 29.12.2023 12:00:13</t>
  </si>
  <si>
    <t>счет № 1286 от 20.11.2023</t>
  </si>
  <si>
    <t>Списание с расчетного счета 00БП-007932 от 25.12.2023 12:25:22</t>
  </si>
  <si>
    <t>счёт № 23-02801641605</t>
  </si>
  <si>
    <t>Списание с расчетного счета 00БП-007842 от 14.12.2023 13:56:01</t>
  </si>
  <si>
    <t>ДИНАМИКА 76 ООО</t>
  </si>
  <si>
    <t>№ РС-08-12-2022-11 от 08.12.2022г, по спец №1</t>
  </si>
  <si>
    <t>Списание с расчетного счета 00БП-003121 от 14.06.2023 17:18:34</t>
  </si>
  <si>
    <t>14.06.23</t>
  </si>
  <si>
    <t>Счёту № Г-00550611 от 28.11.2023</t>
  </si>
  <si>
    <t>Списание с расчетного счета 00БП-007707 от 05.12.2023 15:42:52</t>
  </si>
  <si>
    <t>ЖЕЛДОРЭКСПЕДИЦИЯ-В ООО</t>
  </si>
  <si>
    <t>счёт № 2252104773579204Д от 30.11.2023</t>
  </si>
  <si>
    <t>Списание с расчетного счета 00БП-007683 от 04.12.2023 18:08:47</t>
  </si>
  <si>
    <t>Счёт № 2252131280590868Д от 06.12.2023</t>
  </si>
  <si>
    <t>Списание с расчетного счета 00БП-007738 от 07.12.2023 12:00:14</t>
  </si>
  <si>
    <t>Счёт № 2279291947889704Д от 17.11.2023</t>
  </si>
  <si>
    <t>Списание с расчетного счета 00БП-007596 от 28.11.2023 16:19:07</t>
  </si>
  <si>
    <t>№ 23-809 от 29.11.2023</t>
  </si>
  <si>
    <t>Списание с расчетного счета 00БП-007687 от 04.12.2023 18:08:51</t>
  </si>
  <si>
    <t>11/12-1п от 11.12.2023</t>
  </si>
  <si>
    <t>Списание с расчетного счета 00БП-007887 от 20.12.2023 12:00:11</t>
  </si>
  <si>
    <t>20.12.23</t>
  </si>
  <si>
    <t>Списание с расчетного счета 00БП-007737 от 07.12.2023 12:00:13</t>
  </si>
  <si>
    <t>№ СПИ 15.12.23 от 15.12.2023</t>
  </si>
  <si>
    <t>Списание с расчетного счета 00БП-007886 от 20.12.2023 12:00:10</t>
  </si>
  <si>
    <t>СПИ 27.11.2023г. от 12.12.2023</t>
  </si>
  <si>
    <t>Списание с расчетного счета 00БП-007815 от 12.12.2023 9:16:43</t>
  </si>
  <si>
    <t>12.12.23</t>
  </si>
  <si>
    <t>Списание с расчетного счета 00БП-007862 от 18.12.2023 18:29:09</t>
  </si>
  <si>
    <t>18.12.23</t>
  </si>
  <si>
    <t>МО-07-11-2023-1 от 07.11.2023</t>
  </si>
  <si>
    <t>счет № 446 от 08.11.2023</t>
  </si>
  <si>
    <t>№РС-11-03-21-1 от 11.03.2022г (электроды)</t>
  </si>
  <si>
    <t>Списание с расчетного счета 00БП-000794 от 15.03.2022 16:02:11</t>
  </si>
  <si>
    <t>15.03.22</t>
  </si>
  <si>
    <t>Счёт № 2158 от 14.04.2022г.</t>
  </si>
  <si>
    <t>Списание с расчетного счета 00БП-001819 от 22.04.2022 18:56:49</t>
  </si>
  <si>
    <t>22.04.22</t>
  </si>
  <si>
    <t>Счёт № 4564 от 22.08.2023  Металлорукава, крестовины, датчики.</t>
  </si>
  <si>
    <t>Списание с расчетного счета 00БП-004774 от 23.08.2023 20:06:36</t>
  </si>
  <si>
    <t>23.08.23</t>
  </si>
  <si>
    <t>Списание с расчетного счета 00БП-007258 от 21.11.2023 15:55:20</t>
  </si>
  <si>
    <t>счет № 6435 от 16.09.2021г</t>
  </si>
  <si>
    <t>Списание с расчетного счета 00БП-002566 от 05.06.2020 21:52:50</t>
  </si>
  <si>
    <t>05.06.20</t>
  </si>
  <si>
    <t>Списание с расчетного счета 00БП-005118 от 07.09.2020 20:55:12</t>
  </si>
  <si>
    <t>07.09.20</t>
  </si>
  <si>
    <t>Списание с расчетного счета 00БП-005564 от 21.09.2020 18:52:34</t>
  </si>
  <si>
    <t>21.09.20</t>
  </si>
  <si>
    <t>1303-2023 от 13.03.2023</t>
  </si>
  <si>
    <t>Списание с расчетного счета 00БП-007568 от 27.11.2023 15:37:22</t>
  </si>
  <si>
    <t>Списание с расчетного счета 00БП-007684 от 04.12.2023 18:08:48</t>
  </si>
  <si>
    <t>Списание с расчетного счета 00БП-007985 от 28.12.2023 15:20:46</t>
  </si>
  <si>
    <t>Списание с расчетного счета 00БП-007763 от 11.12.2023 16:35:01</t>
  </si>
  <si>
    <t>Списание с расчетного счета 00БП-007954 от 25.12.2023 12:25:41</t>
  </si>
  <si>
    <t>№ FE-P/22-063 от 19.12.2022г счет RUB</t>
  </si>
  <si>
    <t>Списание с расчетного счета 00БП-005853 от 29.09.2023 18:30:54</t>
  </si>
  <si>
    <t>29.09.23</t>
  </si>
  <si>
    <t>Списание с расчетного счета 00БП-006289 от 13.10.2023 19:10:56</t>
  </si>
  <si>
    <t>Списание с расчетного счета 00БП-006351 от 18.10.2023 17:44:53</t>
  </si>
  <si>
    <t>Списание с расчетного счета 00БП-006433 от 24.10.2023 19:41:36</t>
  </si>
  <si>
    <t>24.10.23</t>
  </si>
  <si>
    <t>№ FE-P/22-063 от 19.12.2022г, счет USD</t>
  </si>
  <si>
    <t>Корректировка поступления 00БП-000022 от 31.12.2023 10:00:00</t>
  </si>
  <si>
    <t>31.12.23</t>
  </si>
  <si>
    <t>Корректировка поступления 00БП-000023 от 31.12.2023 10:00:00</t>
  </si>
  <si>
    <t>Списание с расчетного счета 00БП-005880 от 02.10.2023 16:50:10</t>
  </si>
  <si>
    <t>02.10.23</t>
  </si>
  <si>
    <t>Списание с расчетного счета 00БП-007524 от 27.11.2023 15:36:36</t>
  </si>
  <si>
    <t>Списание с расчетного счета 00БП-007527 от 27.11.2023 15:36:39</t>
  </si>
  <si>
    <t>Списание с расчетного счета 00БП-005891 от 02.10.2023 16:50:21</t>
  </si>
  <si>
    <t>Списание с расчетного счета 00БП-006847 от 03.11.2023 17:15:21</t>
  </si>
  <si>
    <t>Списание с расчетного счета 00БП-007529 от 27.11.2023 15:36:41</t>
  </si>
  <si>
    <t>Списание с расчетного счета 00БП-001370 от 11.04.2023 19:30:13</t>
  </si>
  <si>
    <t>11.04.23</t>
  </si>
  <si>
    <t>Списание с расчетного счета 00БП-005882 от 02.10.2023 16:50:12</t>
  </si>
  <si>
    <t>Списание с расчетного счета 00БП-007526 от 27.11.2023 15:36:38</t>
  </si>
  <si>
    <t>Списание с расчетного счета 00БП-006848 от 03.11.2023 17:15:22</t>
  </si>
  <si>
    <t>Списание с расчетного счета 00БП-007530 от 27.11.2023 15:36:42</t>
  </si>
  <si>
    <t>НА ВОЛНЕ ООО</t>
  </si>
  <si>
    <t>№ 89/23/А/М</t>
  </si>
  <si>
    <t>Списание с расчетного счета 00БП-007706 от 05.12.2023 15:42:51</t>
  </si>
  <si>
    <t>Списание с расчетного счета 00БП-007767 от 11.12.2023 16:35:05</t>
  </si>
  <si>
    <t>Списание с расчетного счета 00БП-007768 от 11.12.2023 16:35:06</t>
  </si>
  <si>
    <t>Списание с расчетного счета 00БП-007769 от 11.12.2023 16:35:07</t>
  </si>
  <si>
    <t>Списание с расчетного счета 00БП-007770 от 11.12.2023 16:35:08</t>
  </si>
  <si>
    <t>1-П-2023 от 30.08.2023</t>
  </si>
  <si>
    <t>Списание с расчетного счета 00БП-007814 от 12.12.2023 9:16:42</t>
  </si>
  <si>
    <t>ПЗС ООО</t>
  </si>
  <si>
    <t>№ 99 от 04.07.2023</t>
  </si>
  <si>
    <t>Списание с расчетного счета 00БП-007082 от 10.11.2023 16:36:30</t>
  </si>
  <si>
    <t>№ 10152/2023/КИО от 01.03.2023г</t>
  </si>
  <si>
    <t>Списание с расчетного счета 00БП-001219 от 31.03.2023 13:59:59</t>
  </si>
  <si>
    <t>№ РС-10-12-2022-3 от 05.12.2023</t>
  </si>
  <si>
    <t>Списание с расчетного счета 00БП-007708 от 05.12.2023 15:42:53</t>
  </si>
  <si>
    <t>№ БС-04.05.22 от 04.08.2023</t>
  </si>
  <si>
    <t>Списание с расчетного счета 00БП-004344 от 04.08.2023 18:42:25</t>
  </si>
  <si>
    <t>04.08.23</t>
  </si>
  <si>
    <t>Технология ООО</t>
  </si>
  <si>
    <t>№ 006-2023 от 11.12.2023</t>
  </si>
  <si>
    <t>Списание с расчетного счета 00БП-007978 от 27.12.2023 12:00:11</t>
  </si>
  <si>
    <t>27.12.23</t>
  </si>
  <si>
    <t>ТПК СИБИРЬ-21 ООО</t>
  </si>
  <si>
    <t>34/11 от 10.11.2023</t>
  </si>
  <si>
    <t>Списание с расчетного счета 00БП-007514 от 24.11.2023 17:56:44</t>
  </si>
  <si>
    <t>Списание с расчетного счета 00БП-007813 от 12.12.2023 9:16:41</t>
  </si>
  <si>
    <t>Федоров Александр Александрович ИП</t>
  </si>
  <si>
    <t>82 от 27.11.2023</t>
  </si>
  <si>
    <t>Списание с расчетного счета 00БП-007723 от 06.12.2023 9:18:10</t>
  </si>
  <si>
    <t>Списание с расчетного счета 00БП-007605 от 28.11.2023 16:19:16</t>
  </si>
  <si>
    <t>ГОРНЫЕ ИНСТРУМЕНТЫ ООО</t>
  </si>
  <si>
    <t>№ БС-02.12.22/3 от 02.12.2022г. СNY</t>
  </si>
  <si>
    <t>Списание с расчетного счета 00БП-005211 от 08.09.2023 18:48:05</t>
  </si>
  <si>
    <t>08.09.23</t>
  </si>
  <si>
    <t>Списание с расчетного счета 00БП-007170 от 15.11.2023 17:34:07</t>
  </si>
  <si>
    <t>15.11.23</t>
  </si>
  <si>
    <t>Списание с расчетного счета 00БП-007955 от 25.12.2023 12:25:42</t>
  </si>
  <si>
    <t>FE-P16-033 от 19.12.2016 (ДОЛЛАР)</t>
  </si>
  <si>
    <t>Корректировка долга 00БП-000110 от 05.08.2022 11:00:00</t>
  </si>
  <si>
    <t>05.08.22</t>
  </si>
  <si>
    <t>FE-P16-033 от 19.12.2016 (ЕВРО)</t>
  </si>
  <si>
    <t>Списание с расчетного счета 00БП-005855 от 29.09.2023 18:30:56</t>
  </si>
  <si>
    <t>Списание с расчетного счета 00БП-005856 от 29.09.2023 18:30:57</t>
  </si>
  <si>
    <t>Списание с расчетного счета 00БП-005863 от 30.09.2023 23:59:59</t>
  </si>
  <si>
    <t>30.09.23</t>
  </si>
  <si>
    <t>Списание с расчетного счета 00БП-005864 от 30.09.2023 23:59:59</t>
  </si>
  <si>
    <t>Списание с расчетного счета 00БП-008008 от 29.12.2023 12:00:14</t>
  </si>
  <si>
    <t>№ FE-P/22-063 от 19.12.22г USD спец 1</t>
  </si>
  <si>
    <t>Гайнуллов Ренат Рифкатович ИП</t>
  </si>
  <si>
    <t>ОРАНЖ БИЗНЕС СЕРВИСЕЗ ООО</t>
  </si>
  <si>
    <t>ПОМБУР ООО</t>
  </si>
  <si>
    <t>ТРК КС-ЗАПЧАСТЬ ООО</t>
  </si>
  <si>
    <t>ЦВТ ООО</t>
  </si>
  <si>
    <t xml:space="preserve"> РС-16-02-2026-1 от 16.02.2026г. Спец. 2. Запчасти для автомобилей.</t>
  </si>
  <si>
    <t>Счёт № 134356 от 04.03.2026г. Счётчик бензина и ДТ Petroll OGM 25 - 2 шт</t>
  </si>
  <si>
    <t>10-45-Ц-АЕВ-ИЗМ-26 Электроизмерения</t>
  </si>
  <si>
    <t>34-25 от 05.12.2025г. "Ольчан - Смородина" 1,7352 га</t>
  </si>
  <si>
    <t>35-25 от 05.12.2025г. "Большой Тарын" 47,1901 га</t>
  </si>
  <si>
    <t>36-25 от 05.12.2025г "Бедовый" 3,3616 га</t>
  </si>
  <si>
    <t>39-25 от 05.12.2025г. "Ольчан Талынья" 3,1253 га</t>
  </si>
  <si>
    <t>Счёт № УТ-1444 от 05.03.2026г. Ареометры АНТ-1 для нефтепродуктов - 3 шт.</t>
  </si>
  <si>
    <t>Счёт № 2603-407354-80951 от 09.03.2026г.  Инструмент.</t>
  </si>
  <si>
    <t>Счёт № 2603-458276-71623 от 03.03.2026г.  Светодиодные светильники. Аккумуляторы</t>
  </si>
  <si>
    <t>Счёт № 202603024 от 02.03.2026г. Гидравлический ключ Ф89 - 1 шт.</t>
  </si>
  <si>
    <t>РС-13-02-2024-2 от 13.02.2024г. Спец. 1 Энергокабельная продукция</t>
  </si>
  <si>
    <t>РС-25-02-2026-1 от 25.02.2026г. Спец. 2. Обогреватели, терморегуляторы, термостаты</t>
  </si>
  <si>
    <t>РС-25-02-2026-1 от 25.02.2026г. Спец. 3. Энергокабельная продукция.</t>
  </si>
  <si>
    <t>Счёт № 26-00111002820 от 11.03.2026г. (ООО "ИСТК").</t>
  </si>
  <si>
    <t>Счёт № 26-01301027108 от 06.03.2026г. (ТЗР ИП Гайнуллов Р.Р.)</t>
  </si>
  <si>
    <t>Счёт № 26-01691018143 от 10.03.2026г. (ТЗР ООО "ИСТК")</t>
  </si>
  <si>
    <t>Счёт № 26-02601035743 от 06.03.2026г. (ТЗР ООО "ИСТК" Спец. 2)</t>
  </si>
  <si>
    <t>Счёт № 26-04031035770 от 12.03.2026г. (ТЗР ООО "ИСТК").</t>
  </si>
  <si>
    <t>Счёт № 26-04181000840 от 10.03.2026г. (ООО "ИСТК")</t>
  </si>
  <si>
    <t>Счет № 26-50370002233 от 02.03.2026г. ТЗР ООО "ЗЕТ-Техно"</t>
  </si>
  <si>
    <t>Счёту № 26-04291000899 от 10.03.2026г. (ТЗР ООО "ИСТК" Спец. 2)</t>
  </si>
  <si>
    <t>17/02-1П от 17.02.2026г. Спец. 1  Насос Танкер-Д Л.330. Двигатель Lifan 170F  D20.</t>
  </si>
  <si>
    <t>ИН 11476/СДСТ-2025 от 29.05.2025г. Спец. 2. Запчасти Komatsu</t>
  </si>
  <si>
    <t>МО-12-01-2024-1 от 12.01.2024г. Спец. 21  Двигатели.</t>
  </si>
  <si>
    <t>МО-12-01-2024-1 ОТ 12.01.2024Г. Спец. 22 Запчасти для а/м УАЗ.</t>
  </si>
  <si>
    <t>Счёт № 26931258379 от 11.03.2026г.</t>
  </si>
  <si>
    <t>Счёт № FECB-004738 от 10.03.2026г. Договор № FE-S/23-S0301 от 01.04.2023г. Ремонт двигателя Komatsu</t>
  </si>
  <si>
    <t>Счёт № FECB-004746 от 10.03.2026г. Договор FE-P/22-063 от 19.12.22г. Запчасти Komatsu.</t>
  </si>
  <si>
    <t>Счёт № FECB-004770 от 10.03.2026г. Договор FE-P/22-063 от 19.12.22г. Запчасти Komatsu.</t>
  </si>
  <si>
    <t>Счёт № FECB-026282 от 01.10.2025г. Договор № FE-P/22-063 от 19.12.22г. Запчасти Komatsu.</t>
  </si>
  <si>
    <t>Счёт № FECB-026419 от 02.10.2025г. Договор № FE-P/22-063 от 19.12.22г. Запчасти Komatsu</t>
  </si>
  <si>
    <t>Счёт № FECB-026720 от 07.10.2025г. Договор № FE-P/22-063 от 19.12.22г. Запчасти Komatsu.</t>
  </si>
  <si>
    <t>Счёт № FECB-027197 от 10.10.2025г. Договор FE-P/22-063 от 19.12.22г. Запчасти Komatsu</t>
  </si>
  <si>
    <t>Счёт № FECB-027289 от 13.10.2025г. Договор FE-P/22-063 от 19.12.22г. Запчасти Komatsu.</t>
  </si>
  <si>
    <t>Счёт № FECB-027727 от 16.10.2025г. Договор № FE-P/22-063 от 19.12.22г. 6261-71-5460  Трубка - 1 шт</t>
  </si>
  <si>
    <t>Счёт № FECB-027788 от 17.10.2025г. Договор  № FE-P/22-063 от 19.12.22г.6261-71-5122  Трубка - 2 шт.</t>
  </si>
  <si>
    <t>Счёт № FECB-027829 от 17.10.2025г. Договор № FE-P/22-063 от 19.12.22г. Запчасти Komatsu.</t>
  </si>
  <si>
    <t>Счёт № FECB-027960 от 20.10.2025г. Договор № FE-P/22-063 от 19.12.22г. Запчасти Komatsu.</t>
  </si>
  <si>
    <t>22312IR001441 от 31.12.2023</t>
  </si>
  <si>
    <t>01-26/2  от 11.02.2026г. Спец. 1 Емкости, пологи и транспортные расходы</t>
  </si>
  <si>
    <t>Счёт № 84 от 05.03.2026г. Демпфер TDSA4 резьба МН APL 23/8 Reg - 1 шт.</t>
  </si>
  <si>
    <t>РС-10-02-2023-1 от 10.02.2023г. Спец. 4 Автошины.</t>
  </si>
  <si>
    <t>Договор №2619049 от 03.12.2016 г.</t>
  </si>
  <si>
    <t>14/093-2026 от 19.02.2026г. (Хаптагай-Хая 76,9171 га)</t>
  </si>
  <si>
    <t>14072-2026 от 05.02.2026г. 187190-33 Талынья 60,0070 га.</t>
  </si>
  <si>
    <t>РС-08-12-2022-13 от 08.12.2026г. Спец. 3. Запчасти МЗТ.</t>
  </si>
  <si>
    <t>Счёт № 313 от 05.02.2026г. (ТЗР  ООО "Альфа")</t>
  </si>
  <si>
    <t>Счёт № 730 от 03.03.2026г. (ТЗР ООО СЦ "Канмаш")</t>
  </si>
  <si>
    <t>Счёт № 800 от 06.03.2026г. (ТЗР ООО СЦ "Канмаш")</t>
  </si>
  <si>
    <t>Счёт № 812 от 08.03.2026г. (ТЗР ООО СЦ "Канмаш")</t>
  </si>
  <si>
    <t>Счёт № 816 от 08.03.2026г. (ТЗР ООО СЦ "Канмаш")</t>
  </si>
  <si>
    <t>Счёт № 819 от 07.03.2026г. (ТЗР ООО НПФ "Механика")</t>
  </si>
  <si>
    <t>26/03-46 от 27.01.2026г.  Спец. 2. Запчасти Komatsu</t>
  </si>
  <si>
    <t>Счёт № ЯКТ02435 от 02.03.2026г. (ТЗР ООО "ВсеИнструменты.ру" Инструмент).</t>
  </si>
  <si>
    <t>МО-03-01-2024-1 от 03.01.2024г. Спец. 17  от 27.02.2026г. Запчасти МЗТ, Shantui</t>
  </si>
  <si>
    <t>Счёт № 162 от 05.03.2026г. Ремкомплект уплотнений S1069310 - 2 шт.</t>
  </si>
  <si>
    <t>чёт № ЦБ - 468 от 05.03.2026г. Бамперы Газель-Бизнес, Газель Соболь.</t>
  </si>
  <si>
    <t>20/26 от 10.03.2026г. Право использования программ для ЭВМ.</t>
  </si>
  <si>
    <t>РС-07-03-2025-1 от 07.03.2025г. Спец. 3. Энергокабельная продукция.</t>
  </si>
  <si>
    <t>Списание с расчетного счета 00БП-000659 от 10.03.2026 18:20:36</t>
  </si>
  <si>
    <t>Списание с расчетного счета 00БП-000623 от 05.03.2026 16:11:43</t>
  </si>
  <si>
    <t>Списание с расчетного счета 00БП-000775 от 12.03.2026 17:24:31</t>
  </si>
  <si>
    <t>Списание с расчетного счета 00БП-000695 от 11.03.2026 17:49:51</t>
  </si>
  <si>
    <t>Списание с расчетного счета 00БП-000699 от 11.03.2026 17:49:55</t>
  </si>
  <si>
    <t>Списание с расчетного счета 00БП-000693 от 11.03.2026 17:49:49</t>
  </si>
  <si>
    <t>Списание с расчетного счета 00БП-000694 от 11.03.2026 17:49:50</t>
  </si>
  <si>
    <t>Списание с расчетного счета 00БП-000662 от 10.03.2026 18:20:39</t>
  </si>
  <si>
    <t>Списание с расчетного счета 00БП-000651 от 10.03.2026 18:20:28</t>
  </si>
  <si>
    <t>Списание с расчетного счета 00БП-000665 от 10.03.2026 18:20:42</t>
  </si>
  <si>
    <t>Списание с расчетного счета 00БП-000607 от 04.03.2026 19:04:48</t>
  </si>
  <si>
    <t>Списание с расчетного счета 00БП-000608 от 04.03.2026 19:04:49</t>
  </si>
  <si>
    <t>Списание с расчетного счета 00БП-000708 от 11.03.2026 17:50:04</t>
  </si>
  <si>
    <t>Списание с расчетного счета 00БП-000641 от 06.03.2026 18:53:50</t>
  </si>
  <si>
    <t>Списание с расчетного счета 00БП-000573 от 03.03.2026 17:44:25</t>
  </si>
  <si>
    <t>Списание с расчетного счета 00БП-000610 от 04.03.2026 19:04:51</t>
  </si>
  <si>
    <t>Списание с расчетного счета 00БП-000748 от 12.03.2026 17:24:04</t>
  </si>
  <si>
    <t>Списание с расчетного счета 00БП-000655 от 10.03.2026 18:20:32</t>
  </si>
  <si>
    <t>Списание с расчетного счета 00БП-000687 от 11.03.2026 17:49:43</t>
  </si>
  <si>
    <t>Списание с расчетного счета 00БП-000657 от 10.03.2026 18:20:34</t>
  </si>
  <si>
    <t>Списание с расчетного счета 00БП-000757 от 12.03.2026 17:24:13</t>
  </si>
  <si>
    <t>Списание с расчетного счета 00БП-000685 от 11.03.2026 17:49:41</t>
  </si>
  <si>
    <t>Списание с расчетного счета 00БП-000576 от 03.03.2026 17:44:28</t>
  </si>
  <si>
    <t>Списание с расчетного счета 00БП-000686 от 11.03.2026 17:49:42</t>
  </si>
  <si>
    <t>Списание с расчетного счета 00БП-000696 от 11.03.2026 17:49:52</t>
  </si>
  <si>
    <t>Списание с расчетного счета 00БП-000591 от 03.03.2026 17:44:43</t>
  </si>
  <si>
    <t>Списание с расчетного счета 00БП-000705 от 11.03.2026 17:50:01</t>
  </si>
  <si>
    <t>Списание с расчетного счета 00БП-000558 от 02.03.2026 18:40:23</t>
  </si>
  <si>
    <t>Списание с расчетного счета 00БП-000660 от 10.03.2026 18:20:37</t>
  </si>
  <si>
    <t>Списание с расчетного счета 00БП-000593 от 03.03.2026 17:44:45</t>
  </si>
  <si>
    <t>Списание с расчетного счета 00БП-000779 от 12.03.2026 17:24:35</t>
  </si>
  <si>
    <t>Списание с расчетного счета 00БП-000630 от 05.03.2026 16:11:50</t>
  </si>
  <si>
    <t>Списание с расчетного счета 00БП-000580 от 03.03.2026 17:44:32</t>
  </si>
  <si>
    <t>Списание с расчетного счета 00БП-000590 от 03.03.2026 17:44:42</t>
  </si>
  <si>
    <t>Списание с расчетного счета 00БП-000579 от 03.03.2026 17:44:31</t>
  </si>
  <si>
    <t>Списание с расчетного счета 00БП-000588 от 03.03.2026 17:44:40</t>
  </si>
  <si>
    <t>Списание с расчетного счета 00БП-000574 от 03.03.2026 17:44:26</t>
  </si>
  <si>
    <t>Списание с расчетного счета 00БП-000582 от 03.03.2026 17:44:34</t>
  </si>
  <si>
    <t>Списание с расчетного счета 00БП-000581 от 03.03.2026 17:44:33</t>
  </si>
  <si>
    <t>Списание с расчетного счета 00БП-000592 от 03.03.2026 17:44:44</t>
  </si>
  <si>
    <t>Списание с расчетного счета 00БП-000666 от 10.03.2026 18:20:43</t>
  </si>
  <si>
    <t>Списание с расчетного счета 00БП-000706 от 11.03.2026 17:50:02</t>
  </si>
  <si>
    <t>Списание с расчетного счета 00БП-000701 от 11.03.2026 17:49:57</t>
  </si>
  <si>
    <t>Списание с расчетного счета 00БП-007372 от 08.10.2025 18:26:40</t>
  </si>
  <si>
    <t>Списание с расчетного счета 00БП-007311 от 06.10.2025 18:16:21</t>
  </si>
  <si>
    <t>Списание с расчетного счета 00БП-007369 от 08.10.2025 18:26:37</t>
  </si>
  <si>
    <t>Списание с расчетного счета 00БП-007715 от 15.10.2025 22:57:11</t>
  </si>
  <si>
    <t>Списание с расчетного счета 00БП-007711 от 15.10.2025 22:57:07</t>
  </si>
  <si>
    <t>Списание с расчетного счета 00БП-007746 от 17.10.2025 19:36:03</t>
  </si>
  <si>
    <t>Списание с расчетного счета 00БП-007747 от 17.10.2025 19:36:04</t>
  </si>
  <si>
    <t>Списание с расчетного счета 00БП-007825 от 21.10.2025 17:30:36</t>
  </si>
  <si>
    <t>Списание с расчетного счета 00БП-000572 от 03.03.2026 17:44:24</t>
  </si>
  <si>
    <t>Списание с расчетного счета 00БП-000703 от 11.03.2026 17:49:59</t>
  </si>
  <si>
    <t>Списание с расчетного счета 00БП-000628 от 05.03.2026 16:11:48</t>
  </si>
  <si>
    <t>Списание с расчетного счета 00БП-000642 от 06.03.2026 18:53:51</t>
  </si>
  <si>
    <t>Списание с расчетного счета 00БП-000709 от 11.03.2026 17:50:05</t>
  </si>
  <si>
    <t>Списание с расчетного счета 00БП-000656 от 10.03.2026 18:20:33</t>
  </si>
  <si>
    <t>Списание с расчетного счета 00БП-000587 от 03.03.2026 17:44:39</t>
  </si>
  <si>
    <t>Списание с расчетного счета 00БП-000653 от 10.03.2026 18:20:30</t>
  </si>
  <si>
    <t>Списание с расчетного счета 00БП-000658 от 10.03.2026 18:20:35</t>
  </si>
  <si>
    <t>Списание с расчетного счета 00БП-000557 от 02.03.2026 18:40:22</t>
  </si>
  <si>
    <t>Списание с расчетного счета 00БП-000698 от 11.03.2026 17:49:54</t>
  </si>
  <si>
    <t>Списание с расчетного счета 00БП-000663 от 10.03.2026 18:20:40</t>
  </si>
  <si>
    <t>Списание с расчетного счета 00БП-000556 от 02.03.2026 18:40:21</t>
  </si>
  <si>
    <t>Списание с расчетного счета 00БП-000609 от 04.03.2026 19:04:50</t>
  </si>
  <si>
    <t>Списание с расчетного счета 00БП-000664 от 10.03.2026 18:20:41</t>
  </si>
  <si>
    <t>Списание с расчетного счета 00БП-000783 от 12.03.2026 17:24:39</t>
  </si>
  <si>
    <t>Списание с расчетного счета 00БП-000782 от 12.03.2026 17:24:38</t>
  </si>
  <si>
    <t>Списание с расчетного счета 00БП-000784 от 12.03.2026 17:24:40</t>
  </si>
  <si>
    <t>Списание с расчетного счета 00БП-000589 от 03.03.2026 17:44:41</t>
  </si>
  <si>
    <t>Списание с расчетного счета 00БП-000575 от 03.03.2026 17:44:27</t>
  </si>
  <si>
    <t>Списание с расчетного счета 00БП-000780 от 12.03.2026 17:24:36</t>
  </si>
  <si>
    <t>Списание с расчетного счета 00БП-000627 от 05.03.2026 16:11:47</t>
  </si>
  <si>
    <t>Списание с расчетного счета 00БП-000652 от 10.03.2026 18:20:29</t>
  </si>
  <si>
    <t>Списание с расчетного счета 00БП-000654 от 10.03.2026 18:20:31</t>
  </si>
  <si>
    <t>Списание с расчетного счета 00БП-000778 от 12.03.2026 17:24:34</t>
  </si>
  <si>
    <t>Списание с расчетного счета 00БП-000707 от 11.03.2026 17:50:03</t>
  </si>
  <si>
    <t>Списание с расчетного счета 00БП-000583 от 03.03.2026 17:44:35</t>
  </si>
  <si>
    <t>Списание с расчетного счета 00БП-000643 от 06.03.2026 18:53:52</t>
  </si>
  <si>
    <t>Списание с расчетного счета 00БП-000550 от 02.03.2026 18:40:15</t>
  </si>
  <si>
    <t>11.03.26</t>
  </si>
  <si>
    <t>10.03.26</t>
  </si>
  <si>
    <t>05.03.26</t>
  </si>
  <si>
    <t>12.03.26</t>
  </si>
  <si>
    <t>04.03.26</t>
  </si>
  <si>
    <t>06.03.26</t>
  </si>
  <si>
    <t>03.03.26</t>
  </si>
  <si>
    <t>02.03.26</t>
  </si>
  <si>
    <t>Контрагент</t>
  </si>
  <si>
    <t>Документ</t>
  </si>
  <si>
    <t>Субконто</t>
  </si>
  <si>
    <t>Названия строк</t>
  </si>
  <si>
    <t>Общий итог</t>
  </si>
  <si>
    <t>Названия столбцов</t>
  </si>
  <si>
    <t>Сумма по полю Сумма остаток Дт</t>
  </si>
  <si>
    <t>Год</t>
  </si>
  <si>
    <t>(Все)</t>
  </si>
  <si>
    <t>(несколько элементов)</t>
  </si>
  <si>
    <t>АЛЬФАМОБИЛЬ ООО</t>
  </si>
  <si>
    <t>Морсвязьспутник ФГУП</t>
  </si>
  <si>
    <t>15418-ХБР-24-АМ-Л от 23.04.2024г.</t>
  </si>
  <si>
    <t>Счёт № 26-00091034381 от 12.03.2026г. (ООО ПО "Грейфер" Спец.1)</t>
  </si>
  <si>
    <t>Счёт № 26-04291001443 от 12.03.2026г. (ТЗР ООО "ИСТК")</t>
  </si>
  <si>
    <t>Счёт № 26-12571195446 от 11.03.2026г. (ТЗР ООО "Анкас")</t>
  </si>
  <si>
    <t>П/263/24 от 25.12.2024г. Спец. 1 Дизельная электростанция  - 1 шт</t>
  </si>
  <si>
    <t>N 03020706 от 14.10.14г</t>
  </si>
  <si>
    <t>ПР-04 24 от 01.04.2024г. Прил. № 27 от 01.12.2025г. ДТ ЕВРО зимнее, межсезонное Е</t>
  </si>
  <si>
    <t>21-2026 от 08.12.2025г. Уголь</t>
  </si>
  <si>
    <t>Списание с расчетного счета 00БП-000804 от 13.03.2026 17:54:12</t>
  </si>
  <si>
    <t>Списание с расчетного счета 00БП-000789 от 13.03.2026 17:53:57</t>
  </si>
  <si>
    <t>Списание с расчетного счета 00БП-000790 от 13.03.2026 17:53:58</t>
  </si>
  <si>
    <t>Списание с расчетного счета 00БП-000788 от 13.03.2026 17:53:56</t>
  </si>
  <si>
    <t>Списание с расчетного счета 00БП-000803 от 13.03.2026 17:54:11</t>
  </si>
  <si>
    <t>Списание с расчетного счета 00БП-000797 от 13.03.2026 17:54:05</t>
  </si>
  <si>
    <t>Списание с расчетного счета 00БП-000799 от 13.03.2026 17:54:07</t>
  </si>
  <si>
    <t>Списание с расчетного счета 00БП-000795 от 13.03.2026 17:54:03</t>
  </si>
  <si>
    <t>Списание с расчетного счета 00БП-000796 от 13.03.2026 17:54:04</t>
  </si>
  <si>
    <t>Списание с расчетного счета 00БП-000802 от 13.03.2026 17:54:10</t>
  </si>
  <si>
    <t>Списание с расчетного счета 00БП-000800 от 13.03.2026 17:54:08</t>
  </si>
  <si>
    <t>13.03.26</t>
  </si>
  <si>
    <t>запасные части. Деньги перечислены, товара нет</t>
  </si>
  <si>
    <t>ждем возврата денег</t>
  </si>
  <si>
    <t>лицензия. поставка будет в 2026 (Бардадым)</t>
  </si>
  <si>
    <t xml:space="preserve">недостача </t>
  </si>
  <si>
    <t>срок отгрузки 20.02.2026</t>
  </si>
  <si>
    <t>срок поставки 05.03.2026</t>
  </si>
  <si>
    <t>аванс закидываем 70% на год. В течение года могут консультировать</t>
  </si>
  <si>
    <t xml:space="preserve">Срок по договору </t>
  </si>
  <si>
    <t>предоплата 50% просрочка</t>
  </si>
  <si>
    <t>предоплата 50% сдача проектной документации в электронном виде заказчику</t>
  </si>
  <si>
    <t>предоплата 50%</t>
  </si>
  <si>
    <t>Геологический отдел</t>
  </si>
  <si>
    <t>просрочка</t>
  </si>
  <si>
    <t>товар не поставлен</t>
  </si>
  <si>
    <t>23.02.26 в новосибирске</t>
  </si>
  <si>
    <t>остаток от оплаты услуг</t>
  </si>
  <si>
    <t>работы не приняты вторую часть работ оплатили</t>
  </si>
  <si>
    <t>Экологический отдел</t>
  </si>
  <si>
    <t>документы есть, не занесены в бухгалтерии. Документы в диадок</t>
  </si>
  <si>
    <t xml:space="preserve">недостача. Товар оплачен на 2 390 812,00 р., товар пришел 2 091 312,00 р			</t>
  </si>
  <si>
    <t>1. Динамика Дебиторской задолженности по периодам</t>
  </si>
  <si>
    <t>2. Детализация по контрагентам периода свыше 181 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</si>
</sst>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8" formatCode="_-* #,##0\ _р_._-;\-* #,##0\ _р_._-;_-* &quot;- &quot;_р_._-;_-@_-"/>
    <numFmt numFmtId="169" formatCode="_-* #,##0.00\ _р_._-;\-* #,##0.00\ _р_._-;_-* \-??\ _р_._-;_-@_-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3F2F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name val="Arial Cyr"/>
      <family val="2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D6E5C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9" fontId="4" fillId="0" borderId="0" applyFill="0" applyBorder="0" applyAlignment="0" applyProtection="0"/>
    <xf numFmtId="168" fontId="4" fillId="0" borderId="0" applyFill="0" applyBorder="0" applyAlignment="0" applyProtection="0"/>
    <xf numFmtId="169" fontId="4" fillId="0" borderId="0" applyFill="0" applyBorder="0" applyAlignment="0" applyProtection="0"/>
  </cellStyleXfs>
  <cellXfs count="35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14" fontId="0" fillId="4" borderId="2" xfId="0" applyNumberFormat="1" applyFill="1" applyBorder="1"/>
    <xf numFmtId="164" fontId="0" fillId="4" borderId="2" xfId="1" applyNumberFormat="1" applyFont="1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64" fontId="0" fillId="0" borderId="2" xfId="1" applyNumberFormat="1" applyFont="1" applyBorder="1"/>
    <xf numFmtId="0" fontId="0" fillId="0" borderId="3" xfId="0" applyBorder="1"/>
    <xf numFmtId="14" fontId="0" fillId="0" borderId="0" xfId="0" applyNumberFormat="1"/>
    <xf numFmtId="0" fontId="0" fillId="0" borderId="0" xfId="0" applyNumberFormat="1"/>
    <xf numFmtId="0" fontId="2" fillId="2" borderId="4" xfId="0" applyFont="1" applyFill="1" applyBorder="1" applyAlignment="1">
      <alignment horizontal="left" vertical="top" wrapText="1"/>
    </xf>
    <xf numFmtId="164" fontId="2" fillId="2" borderId="4" xfId="1" applyNumberFormat="1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14" fontId="2" fillId="3" borderId="4" xfId="0" applyNumberFormat="1" applyFont="1" applyFill="1" applyBorder="1" applyAlignment="1">
      <alignment horizontal="left" vertical="top" wrapText="1"/>
    </xf>
    <xf numFmtId="3" fontId="2" fillId="2" borderId="4" xfId="1" applyNumberFormat="1" applyFont="1" applyFill="1" applyBorder="1" applyAlignment="1">
      <alignment horizontal="left" vertical="top" wrapText="1"/>
    </xf>
    <xf numFmtId="3" fontId="0" fillId="4" borderId="2" xfId="1" applyNumberFormat="1" applyFont="1" applyFill="1" applyBorder="1"/>
    <xf numFmtId="3" fontId="0" fillId="0" borderId="2" xfId="1" applyNumberFormat="1" applyFont="1" applyBorder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2" xfId="0" applyNumberFormat="1" applyFill="1" applyBorder="1"/>
    <xf numFmtId="0" fontId="0" fillId="0" borderId="0" xfId="0" applyBorder="1"/>
    <xf numFmtId="3" fontId="0" fillId="0" borderId="0" xfId="0" applyNumberFormat="1" applyBorder="1"/>
    <xf numFmtId="14" fontId="0" fillId="0" borderId="0" xfId="0" applyNumberFormat="1" applyBorder="1"/>
    <xf numFmtId="0" fontId="0" fillId="0" borderId="0" xfId="0" applyNumberFormat="1" applyBorder="1"/>
    <xf numFmtId="0" fontId="0" fillId="4" borderId="5" xfId="0" applyNumberFormat="1" applyFill="1" applyBorder="1"/>
    <xf numFmtId="0" fontId="4" fillId="0" borderId="6" xfId="2" applyBorder="1" applyAlignment="1">
      <alignment wrapText="1"/>
    </xf>
    <xf numFmtId="0" fontId="5" fillId="0" borderId="0" xfId="2" applyFont="1"/>
    <xf numFmtId="0" fontId="0" fillId="4" borderId="0" xfId="0" applyFill="1" applyBorder="1"/>
    <xf numFmtId="0" fontId="4" fillId="0" borderId="0" xfId="2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</cellXfs>
  <cellStyles count="6">
    <cellStyle name="Обычный" xfId="0" builtinId="0"/>
    <cellStyle name="Обычный 2" xfId="2" xr:uid="{D25F6856-6BAF-49F9-AC59-194A3A93A385}"/>
    <cellStyle name="Финансовый" xfId="1" builtinId="3"/>
    <cellStyle name="Финансовый [0] 2" xfId="4" xr:uid="{437FEF2C-8A05-4FFC-94BB-E747FAFB6402}"/>
    <cellStyle name="Финансовый 2" xfId="3" xr:uid="{560F2248-C0A4-45DE-A680-55E95E557213}"/>
    <cellStyle name="Финансовый 3" xfId="5" xr:uid="{01E4ADBA-9E9C-4DE1-889B-38A6471B953A}"/>
  </cellStyles>
  <dxfs count="8"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3F2F"/>
        <name val="Arial"/>
        <family val="2"/>
        <charset val="204"/>
        <scheme val="none"/>
      </font>
      <numFmt numFmtId="19" formatCode="dd/mm/yyyy"/>
      <fill>
        <patternFill patternType="solid">
          <fgColor indexed="64"/>
          <bgColor rgb="FFD6E5CB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numFmt numFmtId="19" formatCode="dd/mm/yyyy"/>
    </dxf>
    <dxf>
      <numFmt numFmtId="0" formatCode="General"/>
    </dxf>
    <dxf>
      <numFmt numFmtId="19" formatCode="dd/mm/yyyy"/>
    </dxf>
    <dxf>
      <border outline="0">
        <bottom style="thin">
          <color rgb="FFA0A0A0"/>
        </bottom>
      </border>
    </dxf>
    <dxf>
      <border outline="0">
        <top style="thin">
          <color rgb="FFA0A0A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isk-12" refreshedDate="46098.767225000003" createdVersion="6" refreshedVersion="6" minRefreshableVersion="3" recordCount="4509" xr:uid="{26B3AEA1-5F46-4AB2-88F8-7F74B70D7ADC}">
  <cacheSource type="worksheet">
    <worksheetSource name="Таблица1"/>
  </cacheSource>
  <cacheFields count="17">
    <cacheField name="Счет" numFmtId="0">
      <sharedItems/>
    </cacheField>
    <cacheField name="Контрагент" numFmtId="0">
      <sharedItems count="487">
        <s v="АВЕРС - ЭЛЕКТРОННЫЕ ДОКУМЕНТЫ ООО"/>
        <s v="АВИА - ЭКСПРЕСС ООО"/>
        <s v="АВИАПАРТНЕР ООО"/>
        <s v="АВИСТА МОДУЛЬ ИНЖИНИРИНГ ООО"/>
        <s v="Автоград ООО"/>
        <s v="АВТОДЕТАЛЬ ООО 7604274208"/>
        <s v="АВТОДИЛЕР ООО РЦ"/>
        <s v="Автомастер ООО"/>
        <s v="АВТОМАТИКА ТД ООО"/>
        <s v="АВТОПИТЕР ООО"/>
        <s v="АЗОТ КАО"/>
        <s v="АЙТИ СЕРВИС МЕНЕДЖМЕНТ ООО"/>
        <s v="Акиба ООО"/>
        <s v="АЛЬФА ООО"/>
        <s v="АЛЬФА-МОТОРС ООО"/>
        <s v="Антипин Иван Алексеевич ИП"/>
        <s v="АСМ-РЕСУРС ООО"/>
        <s v="АУДИТОНЛАЙН ООО"/>
        <s v="АФ ЭККАУНТ-ПРОФ ООО"/>
        <s v="АЭРОПОРТ ЯКУТСК АО"/>
        <s v="Бакалова Марина Владимировна ИП"/>
        <s v="Береснева Аксана Викторовна ИП"/>
        <s v="Варламов Петр Константинович ИП"/>
        <s v="ВГСЧ ФГУП"/>
        <s v="ВЕНТИНФОРМ ООО"/>
        <s v="Вертикаль ООО"/>
        <s v="ВЕСТЕРОС ООО"/>
        <s v="ВИНАТ ООО"/>
        <s v="ВостокТехТорг АО"/>
        <s v="ВСЕИНСТРУМЕНТЫ.РУ ООО"/>
        <s v="ГАЗПРОМ КОСМИЧЕСКИЕ СИСТЕМЫ АО"/>
        <s v="ГАРО ООО"/>
        <s v="ГЕОЭКОЦЕНТР ООО"/>
        <s v="ГИД-СЕРВИС ООО"/>
        <s v="ГИДРОСНАБ ТД НМЗ ООО"/>
        <s v="ГКП ООО"/>
        <s v="ГЛОБАЛ ФИШ ООО"/>
        <s v="Государственное бюджетное учреждение РС (Я) &quot;Дирекция биологических ресурсов и особо охраняемых прир"/>
        <s v="ГПФК АО"/>
        <s v="ГСИ-Хабаровск ООО"/>
        <s v="ДЕЛОВЫЕ ЛИНИИ ООО"/>
        <s v="Динамика 76 ТД ООО"/>
        <s v="ДНС Ритейл ООО Филиал Восточносибирский"/>
        <s v="Доринг ООО"/>
        <s v="ЖЕЛДОРЭКСПЕДИЦИЯ ООО"/>
        <s v="Жуков Юрий Викторович ИП"/>
        <s v="ЗАВОД-РЕДУКТОР ООО"/>
        <s v="Зет-Техно ООО"/>
        <s v="ИННОПРОМ ООО"/>
        <s v="ИНСВАРКОМ ООО"/>
        <s v="Инстройтехком ООО"/>
        <s v="ИНТЕРНЕТ РЕШЕНИЯ ООО"/>
        <s v="ИНЭКА - КОНСАЛТИНГ ООО"/>
        <s v="Канмаш Сервисный Центр ООО"/>
        <s v="КАРАГИ ООО ТД"/>
        <s v="Карпенко Алексей Сергеевич ИП"/>
        <s v="КИТ: Транспортная компания ООО"/>
        <s v="Козлов Егор Александрович ИП"/>
        <s v="Команда МКС ООО"/>
        <s v="КОМПАНИЯ СПЕЦПРИЦЕП ООО"/>
        <s v="КОНТУР ПФ СКБ АО"/>
        <s v="Корнилова Екатерина Алексеевна ИП"/>
        <s v="КОРОТКОВ АНДРЕЙ АНДРЕЕВИЧ ИП"/>
        <s v="КПК-ПАРТС ООО"/>
        <s v="КРАСЦВЕТМЕТ ОАО"/>
        <s v="КТФ ООО"/>
        <s v="ЛВ-ГРУПП ООО"/>
        <s v="ЛЕНРЕАКТИВ АО"/>
        <s v="Ли Чжаньлинь ИП"/>
        <s v="Литвиненко Владимир Игоревич ИП"/>
        <s v="Лофинг Роман Русланович ИП"/>
        <s v="Магадантехснаб ООО"/>
        <s v="МАГАДАНЭНЕРГО ПАО"/>
        <s v="МАГРЭ ООО"/>
        <s v="МЕДИАКАПИТАЛ ООО"/>
        <s v="МЕРА ООО СТЛ"/>
        <s v="Механика НПФ ООО"/>
        <s v="Мобильные видеорешения АО"/>
        <s v="МОДЕРН МАШИНЕРИ ФАР ИСТ ООО"/>
        <s v="МТС ПАО"/>
        <s v="НЕДРА-XXI ООО НАУЧНО-ИНФОРМАЦИОННЫЙ ИЗДАТЕЛЬСКИЙ ЦЕНТР"/>
        <s v="НИТРО СИБИРЬ ГОЛД ООО"/>
        <s v="НПП ЭТС ООО"/>
        <s v="НПЦ СБТ ООО"/>
        <s v="Оптимум ООО"/>
        <s v="Партсбукинг Рус ООО"/>
        <s v="Певников Денис Александрович ИП"/>
        <s v="Петрова Инна Евгеньевна ИП"/>
        <s v="ПКФ ПРОМТЕХСНАБ ООО"/>
        <s v="ПО ТРУБНОЕ РЕШЕНИЕ-ХАБАРОВСК ООО"/>
        <s v="ПОИСК ООО"/>
        <s v="Правовой Эксперт ООО"/>
        <s v="Приоритет ООО"/>
        <s v="ПРОЕКТНО-ТЕХНОЛОГИЧЕСКОЕ БЮРО ООО"/>
        <s v="ПРОММАШ ООО"/>
        <s v="ПРОМРАДИАТОР-НК ООО"/>
        <s v="ПРОМРЕСУРС ООО"/>
        <s v="ПРОМЭКС ООО ПГ"/>
        <s v="ПЭК ООО"/>
        <s v="РАРИТЭК АВТО ГРУПП ООО"/>
        <s v="РЕГ.РУ ООО"/>
        <s v="РМЗ ООО"/>
        <s v="РОСЛЕСИНФОРГ ФГБУ."/>
        <s v="РСР ЯФЦ ОАО"/>
        <s v="РУСЭЛКОМ ООО"/>
        <s v="РФС ООО"/>
        <s v="Сакура ООО"/>
        <s v="Сандрос Инна Витальевна ИП"/>
        <s v="Сателлит Телеком ООО"/>
        <s v="СЕВЕРНЫЕ СТРЕЛЫ ООО"/>
        <s v="Северо-Восток СПЕЦТОРГ ООО"/>
        <s v="СЕРВИС МАШ ООО"/>
        <s v="СЕРВИС-РЕЕСТР АО"/>
        <s v="СИБИРСКИЕ ТЕХНОЛОГИИ ООО"/>
        <s v="Сибирь Промышленные инвестиции ООО"/>
        <s v="СИБИРЬТРАНС ООО"/>
        <s v="СК-ПОЛИМЕРЫ ООО"/>
        <s v="СКС ООО"/>
        <s v="Смольников Алексей Владимирович ИП"/>
        <s v="СНАБЖЕНИЕ-ВОСТОК ООО"/>
        <s v="Снабпоставка ООО"/>
        <s v="СТАНДАРТЭКО ООО"/>
        <s v="СТЕИЛ ООО ТК  7751514620"/>
        <s v="СТЕИЛ ТК  ООО  7729654396"/>
        <s v="СТЕИЛ-ЯКУТСК ТК ООО  1435276408"/>
        <s v="СФЕРА ООО 9724162588"/>
        <s v="ТЕРМОАЛЬЯНС ООО"/>
        <s v="ТЕХМО РУСЛАНД ООО"/>
        <s v="ТЕХНОСФЕРА ООО"/>
        <s v="ТЕХНОХИМ ООО"/>
        <s v="ТЕХСЕРВИС-ЯКУТИЯ АО"/>
        <s v="Тимченко Денис Владиславович ИП"/>
        <s v="ТИТАН ТЕХНИКА ТД ООО"/>
        <s v="ТИТАНИУМ ООО"/>
        <s v="Торговый дом Электрощит ООО"/>
        <s v="ТСС-Н ООО"/>
        <s v="УВР ООО"/>
        <s v="УРАЛЬСКАЯ ВЕРТОЛЕТНАЯ КОМПАНИЯ ООО"/>
        <s v="УФК по г. Москве (ФГКУ РОСГЕОЛЭКСПЕРТИЗА , л/с 04731F92250)"/>
        <s v="УФК по Республике Саха (Якутия) (Администрация МО Момский район ) л/сч 04163252070"/>
        <s v="УФК по Республике Саха (Якутия) (МИНИСТЕРСТВО ПО РАЗВИТИЮ АРКТИКИ И ДЕЛАМ НАРОДОВ СЕВЕРА РЕСПУБЛИКИ"/>
        <s v="Феоктистов Максим Владимирович ИП"/>
        <s v="Финконсалт ООО"/>
        <s v="ФИТНЕС ДОМ ООО"/>
        <s v="Фролов Алексей Владимирович ИП"/>
        <s v="ФЭО ФГУП"/>
        <s v="ХОЛДИНГ МАШИНЕРИ"/>
        <s v="ХЭДХАНТЕР ООО"/>
        <s v="ЦЕЗАРЬ САТЕЛЛИТ АО"/>
        <s v="ЦЕНТР ГИГИЕНЫ И ЭПИДЕМИОЛОГИИ В РЕСПУБЛИКЕ САХА (ЯКУТИЯ) ФБУЗ"/>
        <s v="Центр правовой экологии ООО"/>
        <s v="ЦИФРОВЫЕ ТЕХНОЛОГИИ ООО"/>
        <s v="ЦСБ Контроль ООО"/>
        <s v="ЦЭП И О ООО"/>
        <s v="ЧИП И ДИП АО"/>
        <s v="Шарапов Андрей Александрович ИП"/>
        <s v="Шумилов Олег Анатольевич ИП"/>
        <s v="ЭКСПЕРТ ООО"/>
        <s v="ЭнергоКабельСбыт ТД ООО"/>
        <s v="ЭНЕРГОТЕРМ-СИСТЕМА ООО"/>
        <s v="ЭСМИКОМ И К ООО"/>
        <s v="Юношева Татьяна Анатольевна"/>
        <s v="ЯКУТЛЕСРЕСУРС ГАУ РС(Я)"/>
        <s v="ЯКУТСКИЙ ЦСМ ФБУ"/>
        <s v="ЯНДЕКС 360 ДЛЯ БИЗНЕСА ООО"/>
        <s v="Ярлыков Сергей Михайлович ИП"/>
        <s v="АВРОРА ООО."/>
        <s v="АЛТАЙ МЕХАНИКА ООО"/>
        <s v="Протех ООО"/>
        <s v="РЕАЛИСТ-ЛИЗИНГ ООО"/>
        <s v="СтройИмпортТехника ООО"/>
        <s v="АЛЬКОМ ТК ООО"/>
        <s v="АНКАС ООО"/>
        <s v="Вербицкий Олег Васильевич ИП"/>
        <s v="ВОРОНЕЖСКИЙ ЭЛЕКТРОМЕХАНИЧЕСКИЙ ЗАВОД АО"/>
        <s v="ИРЗМК ООО"/>
        <s v="МИПАРТС ООО"/>
        <s v="НИРО-ТРЕЙД ООО"/>
        <s v="ОБЪЕДИНЕННАЯ ЭНЕРГИЯ ООО КОМПАНИЯ"/>
        <s v="САХА-ТРЕЙД ООО"/>
        <s v="ТРЭКОЛ ООО НПФ"/>
        <s v="ХИМПРОМ ООО"/>
        <s v="ГЕОТЕХНОГЕН-ПРОЕКТ ООО"/>
        <s v="ЕДАМЕНКО АЛЕКСЕЙ НИКОЛАЕВИЧ ИП"/>
        <s v="Красовская Кристина Игоревна ИП"/>
        <s v="СЖС Восток Лимитед АО (КПП 384943001)"/>
        <s v="Абдирахимов Мухаммадазим Лухмонжонович ИП"/>
        <s v="АВТО-КОМ ООО"/>
        <s v="АВТОДЕТАЛЬ ООО ИНН 1435329233"/>
        <s v="АДС-АВТО ООО"/>
        <s v="АЗИАМОТОРС ООО"/>
        <s v="Алексеев Афанасий Павлович ИП"/>
        <s v="Антонов Максим Сергеевич ИП"/>
        <s v="Арбатский Виктор Борисович ИП"/>
        <s v="Бадаева Саргылана Васильевна ИП"/>
        <s v="БЕЛА ООО"/>
        <s v="Винокурова Ирина Бояновна ИП"/>
        <s v="ГАЗСПАССЕРВИС ООО"/>
        <s v="Галиев Сергей Кенесович ИП"/>
        <s v="ГИДРОИМПУЛЬС ООО"/>
        <s v="ГЛАВРЫБВОД УФК по Республике Саха (Якутия) (Якутский филиал ФГБУ &quot;Главрыбвод&quot; л/с 20166Н21040)"/>
        <s v="ГЛОБАЛТЕЛ АО"/>
        <s v="Григорьева Ирина Борисовна ИП"/>
        <s v="Девятко Артур Владимирович ИП"/>
        <s v="До Мира Владимировна ИП"/>
        <s v="ДОРОГИ АРКТИКИ КП РС(Я)"/>
        <s v="Егоров Роман Геннадьевич ИП"/>
        <s v="ЗОДЧИЙ ООО"/>
        <s v="ИВЦ АЛЬТА ООО"/>
        <s v="Игнатьев Сергей Витальевич ИП"/>
        <s v="ИГТ ООО"/>
        <s v="ИППОНСПОРТ ООО"/>
        <s v="ИТОМАК ЗАО"/>
        <s v="КАМДЕО ООО"/>
        <s v="КОНТИНЕНТ ЗОЛОТО ООО"/>
        <s v="КонтрактСервис ООО"/>
        <s v="Корнилов Виталий Игоревич ИП"/>
        <s v="Кукин Егор Алексеевич ИП"/>
        <s v="МЕТАЛЛЭНЕРГОХОЛДИНГ ООО ГК"/>
        <s v="Метир СПб ООО"/>
        <s v="Мецкан Ярослав Васильевич ИП"/>
        <s v="Молоткова Нелли Александровна ИП"/>
        <s v="НЗ-ПАРТС ООО"/>
        <s v="Новоселова Людмила Владиславовна ИП"/>
        <s v="ПЛАНЕТА БЕЗОПАСНОСТИ ТОРГОВЫЙ ДОМ ООО"/>
        <s v="ПЛАСТЕКС ООО"/>
        <s v="ПРОФСВАРКА ООО"/>
        <s v="Рефтранзит ООО"/>
        <s v="РОЛЬФ АО филиал СИТИ"/>
        <s v="РУСАРСЕНАЛ-СПБ ООО"/>
        <s v="РУСТЕХНИКА ООО ТОРГОВО-СЕРВИСНАЯ КОМПАНИЯ"/>
        <s v="СВАРКАМОЛЛ ООО"/>
        <s v="Свинцицкий Семен Владимирович ИП"/>
        <s v="СДИ ООО"/>
        <s v="Северовостокуголь ООО"/>
        <s v="Сидоров Николай Александрович ИП"/>
        <s v="Тарасов Владимир Андреевич ИП"/>
        <s v="Тахватулин Артем Кимальевич ИП"/>
        <s v="ТЕКТОНА-ТАЙЛ ООО"/>
        <s v="ТЕХНОАВИА-САХА ООО"/>
        <s v="ТИНКЕР ГРУПП ООО"/>
        <s v="ТРАК ООО"/>
        <s v="УНОКСШОП ООО"/>
        <s v="УРАЛСЕРВИСЗАПЧАСТЬ ООО ТК"/>
        <s v="ФОРСУНКИПРО ООО"/>
        <s v="ФУРА ООО"/>
        <s v="Хит Машинери ООО"/>
        <s v="Хотой МУП"/>
        <s v="Центрторгмагадан ООО"/>
        <s v="ЦЛАТИ ПО ДФО ФГБУ."/>
        <s v="ШАКМАН-ЦЕНТР ООО"/>
        <s v="ЭЛЕКТРОПОСТАВЩИК ООО"/>
        <s v="АВАНГАРД ТРЕЙД ООО"/>
        <s v="АВЕНДЖЕР УРАЛ ООО"/>
        <s v="АВИА-БИЗНЕС ООО"/>
        <s v="АДОН ООО"/>
        <s v="АКПАРТ ООО"/>
        <s v="Аксенов Денис Валерьевич ИП"/>
        <s v="Амбарцумян Аркадий Аркадьевич ИП"/>
        <s v="Антипин Юрий Иннокентьевич ИП"/>
        <s v="Антоненко Екатерина Руслановна ИП"/>
        <s v="АРЕАЛ ООО"/>
        <s v="АТЛК АО"/>
        <s v="БИТ ООО"/>
        <s v="БТБ КАРГО СЕРВИС ООО"/>
        <s v="Вибротехник ООО"/>
        <s v="ГРУППА КОМПАНИЙ АПТВ ООО"/>
        <s v="ГРУППА КОМПАНИЙ ЭКСПЕРТ ООО ПКП"/>
        <s v="Дейнека Игорь Алексеевич ИП"/>
        <s v="ДИЛИЖАНС-27 ООО"/>
        <s v="ЗАВОД ПИРС АО"/>
        <s v="Запша Максим Васильевич ИП"/>
        <s v="Зарянская Галина Леонидовна ИП"/>
        <s v="ЗТО ООО"/>
        <s v="ИНТЕРПОЛЕ АО"/>
        <s v="КИРЕЛИС ООО"/>
        <s v="Кневец Руслан Владимирович ИП"/>
        <s v="Колосов Сергей Сергеевич ИП"/>
        <s v="Компания Дизель ООО"/>
        <s v="Краснов Михаил Александрович ИП"/>
        <s v="ЛЕКАР-СЕРВИС ООО"/>
        <s v="М-60 ООО"/>
        <s v="МАГАДАНСПЕЦСЕРВИС ООО"/>
        <s v="Магадантранссервис ООО"/>
        <s v="МИР ООО"/>
        <s v="МИТОНЕК ООО"/>
        <s v="МОСПРОМЗНАК ООО"/>
        <s v="МРП ООО"/>
        <s v="Ножнинова Ирина Евгеньевна ИП"/>
        <s v="НОРБЕЛ ООО"/>
        <s v="НОРГАУ РУССЛАНД ООО"/>
        <s v="ОБОРУДОВАНИЕ АЗС ООО"/>
        <s v="ОРИГАНА ООО"/>
        <s v="Писарницкий Максим Александрович ИП"/>
        <s v="Политехника Дальний Восток ООО"/>
        <s v="ПОЛИТЕХНИКА-СЕРВИС ООО"/>
        <s v="РИМ ООО"/>
        <s v="РОКДРИЛ ООО"/>
        <s v="РСМ ООО"/>
        <s v="РУСЭКСПОРТ ООО"/>
        <s v="Саввинова Нария Николаевна ИП"/>
        <s v="СЕВЕРПРОЕКТ ООО НПК"/>
        <s v="СИБОЙЛ ООО"/>
        <s v="СИБПРОЕКТ ООО"/>
        <s v="СК-КОНСАЛТИНГ ООО ЯРЦ"/>
        <s v="Славянский продукт ООО"/>
        <s v="СЛТК ООО."/>
        <s v="Суперпломба ООО"/>
        <s v="Таныков Эдуард Адамович ИП"/>
        <s v="ТАЧКА.РУ ООО"/>
        <s v="ТЕХСЕРВИС ООО 7733902355"/>
        <s v="ТОДЕТАЛЬ ООО"/>
        <s v="ТПП ООО"/>
        <s v="ТРАКДРАЙВ ООО"/>
        <s v="ТУЙМААДА-ГОЛД ООО"/>
        <s v="Тульчинская Дарья Игоревна ИП"/>
        <s v="УРАЛЗАПЧАСТЬЦЕНТР ООО"/>
        <s v="Федотов Руслан Еремеевич ИП"/>
        <s v="Шалина Лидия Григорьевна"/>
        <s v="Шароватова Галина Федоровна ИП"/>
        <s v="Шуман Наталия Сергеевна ИП"/>
        <s v="ЭКСПЕРТТЕХНИК.РУ ООО"/>
        <s v="ЭЛЕКТРОРЕШЕНИЯ ООО"/>
        <s v="ЭЛКОМ ООО"/>
        <s v="Элтек НЭЦ ООО"/>
        <s v="Энтузиаст-С ООО"/>
        <s v="ЯНДЕКС ООО"/>
        <s v="ГТК ООО"/>
        <s v="АМПЕР-ЭЛЕКТРО ООО"/>
        <s v="АНМАКС ООО"/>
        <s v="АРМИГ ООО"/>
        <s v="Винокурова Екатерина Александровна ИП"/>
        <s v="ГАК РУСЛАН ВИТАЛЬЕВИЧ ИП"/>
        <s v="Гурьев Петр Павлович ИП"/>
        <s v="ДНС Ритейл ООО Филиал Центральный"/>
        <s v="ЕВРОХОЛОД ООО"/>
        <s v="ИМПЕРИЯ ИНСТРУМЕНТА ГК ООО"/>
        <s v="КОПИРТЕХСЕРВИС ООО"/>
        <s v="КОРЧАГИН ПАВЕЛ АЛЕКСАНДРОВИЧ ИП"/>
        <s v="Кран-Мастер ООО"/>
        <s v="Кривошапкин Евгений Александрович ИП"/>
        <s v="Кудрявцев Геннадий Геннадьевич ИП"/>
        <s v="ЛИДЕРКЛЮЧ ООО"/>
        <s v="МЕРИДИАН ВОСТОК ООО"/>
        <s v="МОБИБА ООО"/>
        <s v="Монолит Аренда ООО"/>
        <s v="МПС ООО"/>
        <s v="Простор ООО 2540092730"/>
        <s v="РЕФКОНТЕЙНЕР ООО"/>
        <s v="СИЛТОН ООО"/>
        <s v="СИСТЕМА ООО"/>
        <s v="СНАБСИСТЕМ ООО"/>
        <s v="СПЕКТР ООО"/>
        <s v="ТЕНТОВЫЕ КОНСТРУКЦИИ ООО"/>
        <s v="ТЕХНОБЕРИНГ ООО"/>
        <s v="Торопов Алексей Станиславович ИП"/>
        <s v="ТРИЗА ООО"/>
        <s v="Федоров Александр Сергеевич ИП"/>
        <s v="Энергия ООО перевозки 1402017687"/>
        <s v="ЭЦОТЭ ООО"/>
        <s v="ЮЖУРАЛСНАБ ООО"/>
        <s v="ЮниКредит Лизинг ООО"/>
        <s v="Якутнедра (УФК по РС(Я))"/>
        <s v="ВЕКПРОМ ТД ООО"/>
        <s v="ВОДОПЬЯНОВ АЛЕКСЕЙ ФЕДОРОВИЧ ИП"/>
        <s v="ДНС Ритейл Филиал Дальневосточный ООО"/>
        <s v="Моторкон ООО"/>
        <s v="РМ ГРУП ООО"/>
        <s v="СБС ООО"/>
        <s v="Спиров Юрий Вячеславович ИП"/>
        <s v="ТЕХНОЛОГИЯ-СТ ООО"/>
        <s v="УПК ООО"/>
        <s v="Яртурбо ООО"/>
        <s v="Абдирахимов Мухаммадазиз Лухмонжонович ИП"/>
        <s v="Алексеева Айлина Афанасьевна ИП"/>
        <s v="БНС ООО"/>
        <s v="Бондарев Алексей Викторович ИП"/>
        <s v="Геолинвестпроект ООО."/>
        <s v="ГОУДРОН ООО"/>
        <s v="ДВ ТЭК ООО"/>
        <s v="ДСТ-РЕСУРС ООО"/>
        <s v="Журавлева Любовь Дмитриевна ИП"/>
        <s v="Керимов Захид Абдулгусейн оглы ИП"/>
        <s v="МАСЛОПОТОК ООО"/>
        <s v="Михайлов Максим Николаевич ИП"/>
        <s v="Полещук Денис Константинович ИП"/>
        <s v="Право ТЭК ООО"/>
        <s v="ПРОМСТРОЙМАШ ООО ТД"/>
        <s v="ПРОФИТЛАЙФ ООО"/>
        <s v="СПЕЦШИНА ООО ТД"/>
        <s v="ТАХОГРАФ 14 РЕГИОН ООО"/>
        <s v="ТРАНСФЕР ТД ООО"/>
        <s v="ТЭК ЕВРАЗИЯ ООО"/>
        <s v="ШИРЯЕВА ОЛЬГА ВИКТОРОВНА ИП"/>
        <s v="ЮНИПАРТС ООО"/>
        <s v="ДЕСУА ООО"/>
        <s v="ЕВРАЗИЯ МАЙНИНГ ООО"/>
        <s v="76Магадан ООО"/>
        <s v="АВЕКС ООО"/>
        <s v="АВИА-ПАРТНЕР ООО 7705164748"/>
        <s v="АЛ СЕРВИС ООО"/>
        <s v="Аргылов Алексей Юрьевич ИП"/>
        <s v="Ахмедова Елена Владимировна ИП"/>
        <s v="Бельчук Александр Викторович ИП"/>
        <s v="Васелюк Надежда Владимировна ИП"/>
        <s v="Вилинская Ольга Владимировна ИП"/>
        <s v="Восток-Сервис-Амур ООО"/>
        <s v="ВЫСОТА ООО"/>
        <s v="ГЕОМАЙН ООО"/>
        <s v="ГК ТРАСТ ХОЛОД ООО"/>
        <s v="Горон Татьяна Владимировна ИП"/>
        <s v="ГринПроджект ООО"/>
        <s v="Гузнов Юрий Александрович ИП"/>
        <s v="ИМПУЛЬС НПО ООО"/>
        <s v="КОМПАНИЯ ТАРРА ООО"/>
        <s v="Костин Дмитрий Валерьевич ИП"/>
        <s v="Лукьянов Владимир Владимирович ИП"/>
        <s v="Маслов Илья Юрьевич ИП"/>
        <s v="МАШЗАВОД ТРУД АО"/>
        <s v="МГК ООО"/>
        <s v="НАФТА ООО"/>
        <s v="Николаенко Светлана Валерьевна ИП"/>
        <s v="НТС ООО"/>
        <s v="НУДО УЦ РЕГИОН-ОБРАЗОВАНИЕ"/>
        <s v="ПКФ ПСК ООО"/>
        <s v="РЕГИОНСТРОЙКОМПЛЕКТ ООО"/>
        <s v="РЕЙЛ КОНТИНЕНТ ЕНИСЕЙ ТК ООО"/>
        <s v="РЕКА 21 ООО"/>
        <s v="РЕСУРСМЕТАЛЛ ООО"/>
        <s v="РИКА АО"/>
        <s v="РОЛЬФ МОТОРС Филиал ВОЛГОГРАДСКИЙ ООО"/>
        <s v="РЯБУХА ВЛАДИМИР АЛЕКСАНДРОВИЧ ИП"/>
        <s v="САХАГЕОИНФОРМ ГУП"/>
        <s v="Соболев Дмитрий Иванович ИП"/>
        <s v="Соловьева Айталина Александровна ИП"/>
        <s v="СТОКИНГ ООО"/>
        <s v="Техпортавтосервис ООО"/>
        <s v="ТС МАСТЕР ООО"/>
        <s v="УРАЛТРАНСМАШ ООО"/>
        <s v="ЧЕРНЫШЕВСКИЙ РЫБОВОДНЫЙ ЗАВОД ГУП"/>
        <s v="Шабакаева Анастасия Вячеславовна ИП"/>
        <s v="ШИНАСТРОЙСНАБ ООО"/>
        <s v="ЯКУТУГОЛЬ АО ХК"/>
        <s v="АДВАНСТЕХНО ООО"/>
        <s v="Азимут Производственная компания ООО"/>
        <s v="АРКТИКТРАНС ООО"/>
        <s v="ВИЛКОН ООО"/>
        <s v="Воропаев Александр Петрович ИП"/>
        <s v="Геоскан ООО"/>
        <s v="ГИДРОМАТИКА ООО"/>
        <s v="ГРЕЙФЕР ООО ПО"/>
        <s v="КОЛЫМАТРАНС ООО"/>
        <s v="КОМПАНИЯ АВТОСОФТ ООО"/>
        <s v="КРЕДИНФОРМ ЦЕНТР ООО"/>
        <s v="ЛЕСТОРГ ООО"/>
        <s v="НМ КОМПАНИ ООО"/>
        <s v="ОНЛАЙН ЭКОЛОГИЯ ООО"/>
        <s v="Пасифик Трактор ООО"/>
        <s v="Пискарев А.Ю. ИП"/>
        <s v="ПЛАЗ ООО"/>
        <s v="Потехина Светлана Алексеевна ИП"/>
        <s v="ПРОМАЛЬЯНС НПО АО"/>
        <s v="РЕ-СТАЙЛИНГ ООО"/>
        <s v="СДМ ООО"/>
        <s v="СНТ ООО"/>
        <s v="СП БИЗНЕС КАР ООО"/>
        <s v="СТРОЙЭНЕРГОКАБЕЛЬ ООО"/>
        <s v="ТЕХНОСПАС Группа компаний ООО"/>
        <s v="ФОРУС ООО НПФ"/>
        <s v="Шуман Олег Владимирович ИП"/>
        <s v="АРГУС ООО"/>
        <s v="ДИНАМИКА 76 ООО"/>
        <s v="ЖЕЛДОРЭКСПЕДИЦИЯ-В ООО"/>
        <s v="НА ВОЛНЕ ООО"/>
        <s v="ПЗС ООО"/>
        <s v="Технология ООО"/>
        <s v="ТПК СИБИРЬ-21 ООО"/>
        <s v="Федоров Александр Александрович ИП"/>
        <s v="ГОРНЫЕ ИНСТРУМЕНТЫ ООО"/>
        <s v="АЛЬФАМОБИЛЬ ООО"/>
        <s v="Гайнуллов Ренат Рифкатович ИП"/>
        <s v="Морсвязьспутник ФГУП"/>
        <s v="ОРАНЖ БИЗНЕС СЕРВИСЕЗ ООО"/>
        <s v="ПОМБУР ООО"/>
        <s v="ТРК КС-ЗАПЧАСТЬ ООО"/>
        <s v="ЦВТ ООО"/>
        <s v="Ресурс-Легион АО ООО" u="1"/>
      </sharedItems>
    </cacheField>
    <cacheField name="Документ" numFmtId="0">
      <sharedItems count="1440">
        <s v="Счёт № 9000-009814 от 23.10.2025г."/>
        <s v="Счет №ЯСК-0401689 от 18.01.2026  Геоэкоцентр"/>
        <s v="Договор купли-продажи ВС № 02 от 01.12.2025"/>
        <s v="№ 170 от 07.11.2023г, спец. № 8 от 25.12.2025г."/>
        <s v="№ 170 от 07.11.2023г, спец. № 9 от 25.12.2025г."/>
        <s v="2025-30/09-2 от 30.09.2025г. Седельный тягач SITRAK C7H - 2 ед."/>
        <s v="Счёт-Договор № АА000000130 от 24.02.2026г. Диагностика автомобилей Седельный тягач - 2 ед."/>
        <s v="Счёт-Договор № АА000000863 от 03.102025г. Фильтры, масло, влагоотделители, подогреватели ПЖД"/>
        <s v="№ РС-17-02-2023-1 от 20.02.2023г. Спец. 12 Запчасти для автомобилей"/>
        <s v="РС-17-02-2023-1 от 20.02.2023г. Спец. 10 от 15.01.2026  Автозапчасти"/>
        <s v="РС-17-02-2023-1 от 20.02.2023г. Спец. 11 от 10.02.2026 г. Двигатели УАЗ."/>
        <s v="РС-17-02-2023-1 от 20.02.2023г. Спец. 8 Автозапчасти"/>
        <s v="Счёт № ЯА000000571 от 13.10.2025г. Кабина УРАЛ."/>
        <s v="№ РС-08-12-2022-3 от 08.12.2022г. спец № 1 от 08.12.2022"/>
        <s v="Дог. № 77 от 21 ноября 2025г.Спецификация №1,№2"/>
        <s v="Счёт № 9001 от 19.11.2025г. ПЭВ2-300/460-У2 Преобразователь электропривода вращателя"/>
        <s v="Счёт № 83349880(1729594) от 07.07.2025г. Ремень вентиляторный - 20 шт."/>
        <s v="7875-ВО-10 от 14.12.2015 г."/>
        <s v="Счёт № 22940/ЛК от 05.03.2025г."/>
        <s v="Счёт № АК00021166 от 04.08.2025г. Сосиски, мясо, печень"/>
        <s v="Счёт № АК00021169 от 04.08.2025г. Конфеты, кофе, приправы"/>
        <s v="РС-15-12-2025-1  спец 2 от 13.01.2026 г. Двигатели (9шт)"/>
        <s v="Счет № 2025121604 от 16.12.2025 спец 1"/>
        <s v="РС-16-02-2026-1 от 16.02.2026г. Спец. 1. Запчасти для автомобилей."/>
        <s v="Счёт № 34 от 18.12.2025г. Перевозка угля"/>
        <s v=" РС-08-12-2022-5 от 08.12.2022г. Спец. 10 от 20.02.2026г. Запчасти МЗТ"/>
        <s v="№ 20251110-01 от 10.11.2025г. Управленческое консультирование Заказчика."/>
        <s v="ОА-07/2025 от 28.03.2025г."/>
        <s v="Паркинг 585/2021 от 22.12.2020 г."/>
        <s v="01/09 от 15.09.2025г."/>
        <s v="02/07 от 10.07.2025г."/>
        <s v="02/09 от 15.09.2025г."/>
        <s v="11/08 от 25.08.2025г."/>
        <s v="12/08 от 25.08.2025г."/>
        <s v="Счёт № 739 от 19.06.2025г."/>
        <s v="38-25 от 05.12.2025г. Нера Талалах 2,3804 га"/>
        <s v="10-ГСО/2026-СВ от 05.12.2025г."/>
        <s v="18-24 от 01.12.2023 г."/>
        <s v="Счёт № 2158 от 19.08.2025г. Детали вентиляции"/>
        <s v="дог № 25/20 от 02.03.2020"/>
        <s v="19012026/02 от 19.01.2026г. Спец.1 от 19.01.2026 Рефрижераторный контейнер"/>
        <s v="19012026/02 от 19.01.2026г. Спец.2 от 19.01.2026 сухогр. контейнер"/>
        <s v="Счёт № 1629 от 10.04.2024г."/>
        <s v="Счёт № УТ-10378 от 24.11.2025г. Насос консольный К 80-65-160 (К 45/30) 7,5х3000 - 1 шт."/>
        <s v="Счёт № 2505-436846-71943 от 27.05.2025г. Инструмент. Инвентарь"/>
        <s v="Счёт № 2602-496112-75213 от 24.02.2026г. Энергокабельная продукция"/>
        <s v="КЮ48847 от 01.06.2019г"/>
        <s v="КЮ49360 от 14.06.2019г."/>
        <s v="КЮ50102 от 03.07.2019 г."/>
        <s v="КЮ55939 от 05.05.2021г"/>
        <s v="КЮ55941 от 05.05.2021г"/>
        <s v="КЮ55944 от 05.05.2021г"/>
        <s v="КЮ55952 от 05.05.2021"/>
        <s v="4 от 28.01.2026"/>
        <s v="01-09/25 от 09.09.2025г. (Хапта)"/>
        <s v="01-10/25 от 10.10.2025г. (Ольчан-Талынья)"/>
        <s v="02-09/25 от 09.09.2025г. (Обман)"/>
        <s v="02-10/25 от 10.10.2025г. (Ольчан-Смородина)"/>
        <s v="04-09/25 от 09.09.2025г. (Большой Тарын)"/>
        <s v="ГСЗ-06/24 от 29.02.2024г.  перевозки"/>
        <s v="046/25 от 27.05.2025г. Спец. 1. Выпресовщик пальца опорного катка гусеницы блока тележки бульдозера"/>
        <s v="046/25 от 27.05.2025г. Спец. 2. Выпресовщик пальцев гусеничных цепей"/>
        <s v="046/25 от 27.05.2025г. Спец. 3. Приспособление для выпрессовки и запрессовки втулок"/>
        <s v="046/25 от 27.05.2025г. Спец. 4. Приспособление для выпрессовки и запрессовки втулок рукояти погрузчи"/>
        <s v="Счёт № 915052-СК от 19.05.2025г. Комплект гидравлического съёмника"/>
        <s v="№ РС-19-12-2025-1 от 19.12.2025г. Спецификация 1 продукты питания"/>
        <s v="№ РС-19-12-2025-2 от 19.12.2025г. Спецификация 1 спецодежда"/>
        <s v="РС-05-02-2026-1 от 05.02.2026г. Спец. 2 Канцелярские товары"/>
        <s v="РС-05-02-2026-1 от 05.02.2026г. Спец.1 Хозяйственные товары"/>
        <s v="Счёт № 3 от 26.01.2026г. нанесение логотипа"/>
        <s v="Счёт № 4 от 02.02.2026г.  перевозка"/>
        <s v="Счёт № 6 от 17.02.2026г. ТЗР Продукты (РС-19-12-2025-1)"/>
        <s v="Счёт № 7 от 17.02.2026г. ТЗР Спецодежда (РС-18-09-2025-1)"/>
        <s v="основной"/>
        <s v=" РС-26-12-2022-9/127з от 26.12.2022г. Спец. 30 от 11.02.2026г. Электроды.  "/>
        <s v="РС-26-12-2022-9/127з от 26.12.2022г. Спец. 19 масла и смазки"/>
        <s v="РС-26-12-2022-9/127з от 26.12.2022г. Спец. 31 Металл"/>
        <s v="РС-26-12-2022-9/127з от 26.12.2022г. Спец. 32 Подшипники"/>
        <s v="РС-26-12-2022-9/127з от 26.12.2022г. Спец. № 12  запчасти"/>
        <s v="спецификация 28 от 02.12.2025г.  масла, смазки"/>
        <s v="Счёт № МГ00000292 от 21.02.2025г. Трубы"/>
        <s v="Счёт № МГ00001620 от 30.09.2025г.  Термостат, охладитель воды 201737 К-19 - 2 шт."/>
        <s v="50-25/СЦ от 10.11.2025г. Поверка и ремонт приемников Topcon"/>
        <s v="Счёт № 24-01391224225 от 05.06.2024г. Фильтры для КМУ"/>
        <s v="Счёт № 25-00241037196 от 05.02.2026г.  Холдинг Машинери"/>
        <s v="Счёт № 25-00241545915  от 26.12.2025г.  ООО &quot;КПК-Партс&quot;"/>
        <s v="Счёт № 25-00371128245 от 18.11.2025г. (ТЗР ООО &quot;Мипартс&quot; Сч. № УТ-2388)"/>
        <s v="Счёт № 25-00551032021 от 26.11.2025г. (ТЗР ООО &quot;Приоритет&quot; з/ч Komatsu)"/>
        <s v="Счёт № 25-01071081467 от 29.10.2025г. (ТЗР ООО &quot;Ниро-Трейд&quot; Сч. 79)"/>
        <s v="Счёт № 25-01191314459 от 28.07.2025г. (ТЗР ООО &quot;ГК ОИП&quot; Отбойные бензиновые молотки) 59 903,00р"/>
        <s v="Счёт № 25-01691067692 от 04.07.2025г. (ТЗР ООО &quot;ИСТК&quot; Запчасти) 2414-1634"/>
        <s v="Счёт № 25-01691069050 от 16.07.2025г. (ТЗР ООО &quot;ИСТК&quot; Запчасти)"/>
        <s v="Счёт № 25-01761192047 от 18.11.2025г. (ТЗР ООО Компания &quot;Объединённая энергия&quot; Блоки управления)"/>
        <s v="Счёт № 25-01801117156 от 08.10.2025г.  (ТЗР ООО &quot;Автодеталь&quot; Сч. 12283 )"/>
        <s v="Счёт № 25-01801121072 от 08.10.2025г. (ТЗР ООО &quot;МИК&quot; Сч. 1815 )"/>
        <s v="Счёт № 25-02442036228 от 02.10.2025г. (ТЗР ООО &quot;Вентинформ&quot;)=113 416,00руб"/>
        <s v="Счёт № 25-02445136895 от 03.10.2025г. (ТЗР ООО &quot;Вентинформ&quot;)"/>
        <s v="счёт № 25-02445180456 от 23.12.2025г.  ООО &quot;Аврора&quot;"/>
        <s v="Счет № 25-02445180462 от 23.12.2025г. ООО &quot;Аврора&quot;"/>
        <s v="Счёт № 25-02551147261 от 21.07.2025г. (ТЗР ООО ИТЦ &quot;Кран&quot; Счёт 919) 4151,00руб"/>
        <s v="Счёт № 25-02551237533 от 28.10.2025г. (ТЗР ООО &quot;ТехмоРусланд&quot;  Радиатор компрес. для Everdigm ECD5)"/>
        <s v="Счёт № 25-02871282645 от 18.09.2025г. (ТЗР ООО &quot;Автоком&quot; Счёт № 294) оплачено 6411р"/>
        <s v="Счёт № 25-06151001836 от 08.10.2025г. (Пробы)"/>
        <s v="Счёт № 25-06801000167 от 03.02.2025г. УВР"/>
        <s v="Счёт № 25-12571905084 от 22.10.2025г. (ТЗР ООО &quot;Анкас&quot; Сч. 119350)"/>
        <s v="Счёт № 25-50190432138 от 23.12.2025г. от 23.12.2025г."/>
        <s v="Счёт № 25-6155002837 от 08.10.2025г. (Отправка документов)"/>
        <s v="Счёт № 26-00311011514 от 04.02.2026г.  ТД Динамика"/>
        <s v="Счёт № 26-00661052160 от 19.02.2026г. (ТЗР ООО &quot;Проммаш&quot;)"/>
        <s v="Счёт № 26-12571093603 от 06.02.2026 ООО Снабпоставка"/>
        <s v="Счёт № 26-12571137071 от 24.02.2026г. (ТЗР ООО &quot;Доринг&quot;)"/>
        <s v="Счёт № 26-12621018686 от 12.02.2026г. ТЗР ООО &quot;Термоальянс&quot;"/>
        <s v="Счёт № 26-12791002282 от 26.01.2026г.  (ТЗР ООО &quot;Техавтоцентр&quot;  )"/>
        <s v="Счёт № 26-12791004243 от 03.02.2026  Техавтоцентр"/>
        <s v="счёту № 26-00241000327 от 08.01.2026 ООО &quot;КПК -Партс&quot;"/>
        <s v="счёту № 26-00580013648 от 14.01.2026  ООО &quot;Аврора&quot;"/>
        <s v="РС-15-12-2025-2 от 15.12.2025г. Спец. 1 Запчасти для СЗМ"/>
        <s v="Счёт № А-00062063 от 21.02.2026г. Сушилка для белья, гладильная доска, телевизор."/>
        <s v="БС-01.02.23/1 от 01.02.2023г. Спец. № 2 Фильтры"/>
        <s v="Счёт № 22279566817644482Д от 21.10.2025г. (ТЗР АО &quot;Воронежский ЭМЗ&quot; Дог. ВЭ п 1/20-08, Спец. 1)"/>
        <s v="жю0000000068 от 09.02.2026г. Станция РЭБ"/>
        <s v="РС-02-02-2026-1 от 02.02.2026г. Спец. 1 от 02.02.2026г. Редукторы"/>
        <s v="26-79 от 25.02.2026г. Запасные части к автомойкам. Счёт № 765"/>
        <s v="№ 26.02.2021 от 26.02.2021г. (з/ч на пр/пр)"/>
        <s v="Дог. № 17.12.2025 Счет № 83 от 17.12.2025 Долото шарошечное (160шт.)"/>
        <s v="Счёт № 6900 от 12.02.2026г. Инвектор сварочный"/>
        <s v="ИН 11476/СДСТ-2025 от 29.05.2025г. Запчасти Komatsu"/>
        <s v="Счёт № 0211754693-0010 от 13.08.2025г. Водонепроницаемая лента. Саморезы"/>
        <s v="Счёт № 0211754693-0062 от 09.11.2025г. Умывальник ЗКИ."/>
        <s v="Счёт № 0211754693-0064 от 10.11.2025г. Керамогранит."/>
        <s v="ЛО-822/06-25 от 16.06.2025г."/>
        <s v="ЛО-852/01-26 от 21.01.2026г."/>
        <s v="ЭК-853/01-26 от 21.01.2026г."/>
        <s v=" РС-08-12-2022-15 от 08.12.2022г. Спец. 4 Запчасти на промприборы"/>
        <s v="125 от 13.10.2025г. Спец. 1 Конвейреры для промприборов"/>
        <s v="МО-12-01-2024-1 от 12.01.2024г. Спец. 20  масло"/>
        <s v="Счёт № 1 от 07.10.2025г. Детали для душевой кабины"/>
        <s v="Счёт № 0119737130 от 15.08.2025г. Транспортные услуги"/>
        <s v="01/06-2024 от 01.06.2024г."/>
        <s v="счёт № 921 от 22.09.2023"/>
        <s v="Счёт № 956 от 14.10.2025г. Азот газообразный."/>
        <s v="105Р от 20.11.2025г. Полуприцеп SPECPRICEP 9942K2 (99422К)"/>
        <s v="договор основной"/>
        <s v="Счёт № Р-837 от 27.08.2025г. Кафель керамогранит"/>
        <s v="Счёт № 601 от 19.04.2024г."/>
        <s v="1303-2023 от 13.03.2023 счет 300"/>
        <s v="1005/25 от 04.04.2025"/>
        <s v="1327/23 от 20.03.2023"/>
        <s v="МО-30-11-2023-1 от 30.11.2023 г.  спец 2"/>
        <s v="17_02_LLX700H_6722 от 19.02.2026г. Автомобиль Lexus LX700H"/>
        <s v="Счёт № 31032 от 04.08.2025г. Аммиак"/>
        <s v="Счёт № 081025-001 от 08.10.2025г. Портативный гараж &quot;Наташа&quot;  (автомобиль ГАЗ Вепрь) - 1 шт."/>
        <s v="Счёт № ВИ00006846 от 16.10.2024г. Водонагреватель, двери, вентиляторы, стройматериалы."/>
        <s v="Счёт № ВИ00007092 от 25.10.2024г. Трап, полотенцесушитель, зеркало, крючок, душевая стойка"/>
        <s v="б/н от 30.11.2025г."/>
        <s v="Счёт № 2096 от 29.05.2025г. Запчасти для а/м"/>
        <s v="Счёт № ЦБ-1843 от 19.05.2025г. Запчасти на а/м Урал"/>
        <s v="Счёт № ЦБ-2037 от 27.05.2025г. Термостат двигателя"/>
        <s v="Счёт № ЦБ-2450 от 17.07.2025г. Запчасти"/>
        <s v="Счёт № ЦБ-5037 от 22.10.2025г. Коробка КАМАЗ отбора мощности КПП МП05 z=20 МП05-4202010 - 1 шт"/>
        <s v="Счёт-оферта № ГЛ-2749 от 02.06.2025г. Герметик"/>
        <s v="Счёт-оферта № СВ-224 от 16.05.2025г. Кабель"/>
        <s v="215/03 от 28.02.2025г."/>
        <s v="26/08 от 26.08.2024г. Спец.№ 3"/>
        <s v="28/06 от 26.08.2024г. Спец. 2"/>
        <s v="РС-09-12-2022-3 от 09.12.2022г. Спец. 10 от 21.10.2025г. Отвалообразователь ОЗП"/>
        <s v="РС-09-12-2022-3 от 09.12.2022г. Спец. 11 от 21.10.2025г. Скруббер-бутара СБ-2,1."/>
        <s v="РС-09-12-2022-3 от 09.12.2022г. Спец. 12 от 17.11.2025г. Загрузочный бункер под конвейерную загрузку"/>
        <s v="РС-09-12-2022-3 от 09.12.2022г. Спец. 13 от 21.10.2025г. Скруббер-бутара СБ-2,1."/>
        <s v="РС-09-12-2022-3 от 09.12.2022г. Спец. 14 запчасти"/>
        <s v="РС-09-12-2022-3 от 09.12.2022г. Спец. 15 запчасти"/>
        <s v="Счёт № 93761 от 26.05.2025г."/>
        <s v="Договор № DW90A-18/12/25 от 01.12.2025 г. самосвалы RUB"/>
        <s v="Договор № FE-P/14-111  (2024-2025гг)"/>
        <s v="Договор № FE-P/22-063 от 19.12.2022г (2024-2025 гг)"/>
        <s v="Счет № FECB-001052 от 26.01.2026 г. Договор №FE-P/22-063 от 19.12.22г."/>
        <s v="Счёт № FECB-001140 от 27.01.2026г. Договор № FE-P/22-063 от 19.12.22г. Запчасти Komatsu"/>
        <s v="Счет № FECB-001488 от 02.02.2026 г. Договор №FE-P/22-063 от 19.12.22г."/>
        <s v="Счет № FECB-001501 от 02.02.2026 г. Договор №FE-P/22-063 от 19.12.22г."/>
        <s v="Счёт № FECB-032064от от 10.12.2025 г. Договор №FE-P/22-063 от 19.12.22г."/>
        <s v="Счёт № FECB-032065  от 10.12.2025 г. Договор №FE-P/22-063 от 19.12.22г."/>
        <s v="Счёт № FECB-032613 от 19.12.2022г. Договор №FE-S/21-025 от 18.10.2021г."/>
        <s v="Бардадым Никита Александрович"/>
        <s v="Бочкарев Константин Геннадьевич"/>
        <s v="Каздобин Андрей Витальевич"/>
        <s v="Колос Юрий Борисович"/>
        <s v="Лахманов Александр Игоревич"/>
        <s v="Пивоварова Светлана Евгеньевна"/>
        <s v="Пожарная сигнализация"/>
        <s v="Пряхина Татьяна Ивановна"/>
        <s v="Телематика 1"/>
        <s v="Телематика 2"/>
        <s v="Телематика 3"/>
        <s v="Федянин Сергей Алексеевич"/>
        <s v="Шеина Ольга Федоровна"/>
        <s v="91/25/С от 05.09.2025г. Участие (онлайн) в совещании"/>
        <s v="26-10-ВМ/2025 от 26.10.2025"/>
        <s v="Б/Н от 07.02.2026г. Спец. 1 Детонатор промежуточный &quot;Сибирит-ПД&quot; 80."/>
        <s v="16/01-2026 от 16.01.2026  спец 1"/>
        <s v="01/01 от 21.01.2026г. Буровая установка &quot;Беркут&quot; с комплектом оборудования"/>
        <s v="07/02 от 09.02.2026г. Буровая установка &quot;Беркут&quot; с комплектом оборудования"/>
        <s v="Счёт № 291 от 21.10.2025г. Запчасти Беркут"/>
        <s v="РС-14-01-2026-1 от 14.01.2026  Спец 1"/>
        <s v="РС-14-01-2026-1 от 14.01.2026  Спец 2 запчасти"/>
        <s v="Счёт № 26510 от 01.10.2025г. TECHNOPOWER РВД 0276200651 - 2 шт."/>
        <s v="Счёт № 79 от 07.11.2025г. Фильтр, масло, демонтаж защиты"/>
        <s v="Счёт № УТ-15821 от 23.09.2025г. Строительные материалы."/>
        <s v="РС-05-03-2024-1 от 05.03.2024г. Спец. 4 Хоз.товары, бытовая химия"/>
        <s v="998/01/26 от 20.01.2026  спец 1"/>
        <s v="Договор аренды недвижимого имущества № БВ-2/2025 от 20.12.24г"/>
        <s v="11235/2025/КИО от 01.03.2025 г."/>
        <s v="№ МО-10-01-2023-1 от 10.01.2024г. Спец. 1 Запчасти"/>
        <s v="МО-24-08-2023-1 от 24.08.2023г. Спец. 2 Запчасти Komatsu"/>
        <s v="МО-24-08-2023-1 от 24.08.2023г. Спец. 2 от 15/01/26"/>
        <s v="Счёт № 100 от 15.10.2025г. Трубка 0978405 Hitachi - 1 шт."/>
        <s v="Счёт № 386762478 от 13.10.2023 шланг"/>
        <s v="Счёт № 70 от 10.06.2025г. Запчасти Hitachi (подшипники, уплотнения, кольца)"/>
        <s v="Счёт № 96 от 06.10.2025г. Гидроцилиндр 707-00-0G510 Komatsu - 1 шт.  Гидроцилиндр 707-00-0G520"/>
        <s v="4-10.25 от 21.10.2025г. Разработка технического проекта разработки месторождения"/>
        <s v="046-26 от 30.01.2026г. Насосы для промприборов"/>
        <s v="Спецификация 5 от 12.01.2026 аналоги радиатора"/>
        <s v="ПР-04 24 от 01.04.2024г. Приложение № 26 от 13.10.2025г. ДТ Арктика"/>
        <s v="12С-177-Ц-ПЭ-ТД-ГТС-25 от 02.12.2025"/>
        <s v="№ 12С-91-Ц-ПЭ-ТД-ГТС-25 от 06.06.2025г. Определение размера вреда от ГТС"/>
        <s v="Счёт № МВП05160658 от 15.05.2025г. (ТЗР ООО &quot;РФС&quot; Оборудование для спортзала)"/>
        <s v="Счёт № МВП05160660 от 16.05.2025г. (ТЗР ООО РФС&quot; Оборудование для спортзала)"/>
        <s v="Счёт № МДА07240016 от 24.07.2024г. ООО Промрадиатор-НК запчасти"/>
        <s v="Счёт № ЯКА04040011 от 04.04.2025г. (ТЗР ООО &quot;Кран Мастер&quot;)"/>
        <s v="Счёт № ЯКА06100019 от 10.06.2025г. (ТЗР запчасти для автомобилей)"/>
        <s v="57/2025 от 24.11.2025 полуприцеп-тяжеловоз"/>
        <s v="Счёт № 169612221 от 14.10.2024г."/>
        <s v="БМ-04-2026 от 20.01.2026 Реблоки"/>
        <s v="14/044-2026 от 26.01.2026     406382,33 Б.Тарын 136,0132га"/>
        <s v="97/2014-15 от 30.09.2014 (ведение реестра, абон.)"/>
        <s v="Счёт № ЭМУТ-36746 от 23.05.2025г. УПП Русэлком"/>
        <s v="РФС-28-2025 от 21.03.2025г. Спец. 1 Оборудование для спортзала"/>
        <s v="БС-02.12.22/11 от 02.12.2022г. Спец. 7 Автошины"/>
        <s v="Счёт № ЦБ-366 от 17.08.2025г. Радиатор панельный  Royal Thermo Compact C21-500-600 - 2 шт"/>
        <s v="Основной договор (с поставщиком)"/>
        <s v="счет № 172670 от 01.11.2022г"/>
        <s v=" МО-28-01-2026-1 от 28.01.2026г. Спец. 1. Запчасти Komatsu (РВД) "/>
        <s v="МО-23-01-2024-1 от 23.01.2024г. Спец. 7  Запасные части"/>
        <s v="МО-23-01-2024-1 от 23.01.2024г. Спец. 8  Запасные части"/>
        <s v="МО-23-01-2024-1 от 23.01.2024г. Спец. 9 Гидромеханическая передача (ремонт)"/>
        <s v="Счёт № 1744 от 17.09.2025г. Запчасти на БелАЗ (Металлорукава, подшипники)."/>
        <s v="счет № 0000-0006867 от 21.11.2022г"/>
        <s v=" МО-11-03-2024-1 от 11.03.2024г. Спецификация 7 фитинги"/>
        <s v="РС-09-12-2022-7 от 09.12.2022г. Спец. 2 Рукава"/>
        <s v="Счёт № 2987 от 19.05.2025г. (ТЗР ЗАО &quot;Итомак&quot; Сита)"/>
        <s v="Счёт № 355 от 09.02.2026г. (ТЗР ООО &quot;Автодеталь&quot; запчасти)"/>
        <s v="Счёт № 424 от 12.02.2026г. ТЗР ООО СЦ &quot;Канмаш&quot; Промприборы"/>
        <s v="Счёт № 439 от 12.02.2026г. ТЗР ООО СЦ &quot;Канмаш&quot; Промприборы"/>
        <s v="Счёт № 496 от 17.02.2026г. ТЗР Промприборы ООО СЦ &quot;Канмаш&quot;"/>
        <s v="Счёт № 548 от 19.02.2026г. .(ТЗР з/ч на промприборы ООО СЦ &quot;Канмаш&quot;)"/>
        <s v="Счёт № 6055 от 01.09.2025г. (ТЗР ООО &quot;Ленреактив&quot; Аммиак)."/>
        <s v="Счёт № 7386 от 10.11.2025г. (ТЗР ООО НПФ &quot;Трэкол&quot; Вездеход)"/>
        <s v="Счёт № 7590 от 19.11.2025г.(ТЗР ООО &quot;ИРЗМК&quot; Трафареты)"/>
        <s v="счет № 7934 от 10.12.2025г"/>
        <s v="РС-09-12-2022-09 от 09.12.2022г. Спец. 3 Ленты конвейерные"/>
        <s v="26/03-46 от 27.01.2026 спец 1"/>
        <s v="Счёт № ЦС00664433 от 24.09.2025г. Баллон пропановый с вентилем (Новый) (50л) Пустой - 2 шт."/>
        <s v="Счёт № ЦС00664447 от 24.09.2025г. Катод (CS 101-141) IVB0606 - 130 шт"/>
        <s v="сч № ЦБ-958 от 23.06.2023"/>
        <s v="Счет М-26/01/27-7 от 27.01.2026  генератор"/>
        <s v="01 от 12.01.2026г. (Хаптагай-Хая)"/>
        <s v="Счёт № ЯК-02250 от 18.08.2025г. (ТЗР ООО &quot;Профессионал&quot; Направляющая)"/>
        <s v="счет № ЯКТ00003162 от 03.07.2023"/>
        <s v="счет № ЯКТ00007407 от 16.09.2023"/>
        <s v="Счёт № ЯКТ00008323 от 10.06.2024г."/>
        <s v="счет № ЯКТ00009516 от 25.10.2023 медикаменты для работника ?"/>
        <s v="Счёт № ЯКТ01160 от 04.02.2026г. (ТЗР ООО &quot;ТД Динамика76 &quot;)"/>
        <s v="Счёт № ЯКТ01180 от 04.02.2026г. (ТЗР ООО &quot;ВсеИнструменты.ру&quot;)"/>
        <s v="Счёт № ЯКТ01220 от 05.02.2026г. (ТЗР ООО &quot;ТД Динамика 76&quot;)"/>
        <s v="Счёт № ЯКТ01221 от 05.02.2026г. (ТЗР ООО &quot;ТД Динамика 76&quot;)"/>
        <s v="Счёт № ЯКТ01366 от 09.02.2026г. (ТЗР ООО &quot;ТД Динамика 76&quot;)"/>
        <s v="Счёт № ЯКТ01621 от 13.02.2026г. (ТЗР ООО &quot;ТД Динамика76&quot;)"/>
        <s v="Счёт № ЯКТ02004 от 20.02.2026г.(ТЗР ООО &quot;Автодеталь&quot; Спец. 11)"/>
        <s v="Счёт № ЯКТ05070 от 06.05.2025г. (ТЗР ООО ТД &quot;Волга Моторс&quot;)оплл 32495 (док=4105, переплата =28390р)"/>
        <s v="Счёт № ЯКТ09408 от 18.08.2025г. (ТЗР ООО &quot;Профессионал&quot;)"/>
        <s v="Счёт № ЯКТ09821 от 28.08.2025г. (ТЗР ООО &quot;ВсеИнструменты.ру&quot; Конусы)"/>
        <s v="счет № ЯК-00005095 от 03.04.2023г"/>
        <s v="счет № ЯК-00007904 от 03.10.2023"/>
        <s v="МО-03-01-2024-1 от 03.01.2024г. Спец. 13 Запчасти Komatsu (Ходовая РС-800)"/>
        <s v="МО-03-01-2024-1 от 03.01.2024г. Спец. 15 Гуслента, направляющее колесо"/>
        <s v="МО-03-01-2024-1 от 03.01.2024г. Спец. 16 Запчасти Komatsu ( гуслента, катки , ленивец)"/>
        <s v="1501-1/ТА от 15.01.2026 Станция подачи-фильтрации топлива"/>
        <s v="2022/08-24 от 24.08.2022г. Спец. 6  Радиатор компрессора для Everdigm ECD50"/>
        <s v="2022/08-24 от 24.08.2022г. Счет № 6 от 19.03.2024 г."/>
        <s v="МО-19-11-2024-1 от 28.11.2025г. Спец. 2"/>
        <s v="счет № 100"/>
        <s v="10/09-2025 от 23.09.2025г. Ремонт гидравлических насосов Hitachi."/>
        <s v="01-2024/ТХ от 09.01.2024г. Спец. 4 Рукав полиэтиленовый"/>
        <s v="Счёт № КТ-2333 от 24.09.2025г. Запчасти SHANTUI"/>
        <s v="Счёт № КТ-2361 от 29.09.2025г. Запчасти МЗТ"/>
        <s v="Счёт № КТ-59 от 16.01.2026г. Коронка, фиксатор+шайба"/>
        <s v="Счёт № КТ-735 от 27.03.2025г. Фильтры"/>
        <s v="Счёт № 16204 от 18.11.2025г. (ТЗР ООО &quot;Сибирские технологии&quot; Спец. 7)"/>
        <s v="РС-16-01-2026-2 от 16.01.2026  спец 1 запчасти"/>
        <s v="РС-16-01-2026-2 от 16.01.2026  спец 2 запчасти"/>
        <s v="РС-25-12-2025-1 от 25.12.2025  спец 1"/>
        <s v="РС-21-01-2026-2 от 21.01.2026  спец 1"/>
        <s v="Счёт № И000000071 от 25.02.2026г. ВС-250/0,7 Базовый блок. ВС-250/0,7 Секция вышки туры."/>
        <s v="01-26 от 12.01.2026 Устройство УПЭ-1,5/Х"/>
        <s v="2003-УВК/ТО/2019 от 20.03.2019г."/>
        <s v="Основной договор"/>
        <s v="24/19 от 01.06.2024г. Аренда земельного участка"/>
        <s v="ПЗ-1-03/25 от 01.04.2025г. Аренда земельного участка"/>
        <s v="Договор № 76-ЭЭ от 16.10.2025"/>
        <s v="Счёт № 04/02 от 04.04.2025г. Сухие пайки"/>
        <s v="Ю/011777 от 17.03.2025г."/>
        <s v="ФДН-43 от 21.03.2025г. Оборудование для спортзала"/>
        <s v="Счёт № ИП25-000773 от 24.03.2025г. Рукава, Резак, пуско-зарядное устройство, диз.пушк"/>
        <s v="108418 от 07.02.2024г. Экология"/>
        <s v="109553 от 09.02.2024г. экология"/>
        <s v="РС-16-01-2026-1 от 16.01.2026  спец 1"/>
        <s v="Счёт № 3261515/203 от 04.02.2026г."/>
        <s v="2413 ИЛЦ-02-23 от 12.04.2023 г."/>
        <s v="3185ИЛЦ-02-25 от 22.04.2025г. (453990-82)"/>
        <s v="ЭЮ-0509/2026 от 27.02.2026г."/>
        <s v="Счёт № 122895 от 11.03.2025г."/>
        <s v="Счёт № ЦСБ26965 от 14.08.2025г."/>
        <s v="011 от 28.05.2025г."/>
        <s v="012 от 29.05.2025г."/>
        <s v="014 от 20.06.2025г."/>
        <s v="015 от 21.06.2025г."/>
        <s v="15094215 от 10.06.2025г. Реле для компрессора - 2 шт"/>
        <s v="Счёт № 7491876450 от 23.07.2025г. Заправка кондиционера Land Rover"/>
        <s v="Счёт № УТ-67 от 25.03.2025г. 255/55 R 19 YOKOHAMMA G015 (автошины) - 4 шт."/>
        <s v="1-26-ВМ от 24.11.2025г. Спец. 1 ВМ"/>
        <s v="РС-07-03-2025-1 от 07.03.2025г. Спец. 2. Кабель КГ-ХЛ 3х120+1х35."/>
        <s v="Договор  № РКД-1  от 14.01.2025"/>
        <s v="Счёт № 1825 от 08.10.2025г. Доп. комплектация к седельным тягачам"/>
        <s v="КЛВ-1/22 от 16.05.2022г."/>
        <s v="ЯКТ-01222 от 14.04.2025г."/>
        <s v="Счёт № ЛС-4074970856-1 от 19.05.2025"/>
        <s v="БН от 23.07.2025г."/>
        <s v="Счёт № AU90506194 от 04.07.2025г. Датчик скорости - 2 шт."/>
        <s v="№ БС-12.12.22 от 12.12.2022г  CNY"/>
        <s v="Счёт № 12 от 03.04.2024г. Фильтр масляный USD"/>
        <s v="РС-26-12-2022-9/127з от 26.12.2022г. Спец. 20 Фильтры EUR"/>
        <s v="РС-26-12-2022-9/127з от 26.12.2022г. Спец. 22 Запчасти USD"/>
        <s v="РС-26-12-2022-9/127з от 26.12.2022г. Спец. 29 Запчасти USD"/>
        <s v="Счёт № МГ00001648 от 07.10.2025г. Ремень привода вентилятора двигателя - 2 шт. USD"/>
        <s v="Счёт № МГ00002106/01 от 24 ноября 2025г.(Карьерные самосвалы)"/>
        <s v="CLG9125F-21/11/25 от 21.11.2025г. Счёт № FECB-030886 от 21.11.2025г. Экскаватор LiuGong 9125F s/n"/>
        <s v="Спецификация № FECB-026228. Договор FE-P/22-063 от 19.12.22г. Запчасти Komatsu USD"/>
        <s v="Счёт № FECB-004787 от 17.03.2025г. Договор № FE-P/22-063 от 19.12.22г. USD Гусленты, сегменты, ленив"/>
        <s v="Счёт № FECB-017590 от 09.07.2025г. Договор FE-P/22-063 от 19.12.22г. Двигатель в сборе. USD"/>
        <s v="Счёт № FECB-017605 от 09.07.2025г. Договор № FE-P/22-063 от 19.12.22г. Модуль D375A6. USD  Скидка ="/>
        <s v="Счёт № FECB-017606 от 09.07.2025г. Договор № FE-P/22-063 от 19.12.22г. Двигатель D375A5D USD"/>
        <s v="Счёт № FECB-026222 от 30.09.2025г. Договор № FE-P/22-063 от 19.12.22г. Двигатель в сборе."/>
        <s v="Счёт № FECB-026225 от 30.09.2025г. Договор № FE-P/22-063 от 19.12.22г. Двигатель в сборе. Скидка="/>
        <s v="Договор ХАБ-251202-1 Спецификация №1 от 02.12.2025"/>
        <s v="1010-1 от 02.02.2026  EUR"/>
        <s v="№ БС-02.12.22/11 от 02.12.2022г., спец № 10 , CNY, шины, автокамеры"/>
        <s v="№ 88/272-3032648-1 от 17.11.2025г. Бульдозер."/>
        <s v="№ 88/272-3036951-1 от 17.11.2025г. Бульдозер"/>
        <s v="№ 88/272-3037123-1 от 17.11.2025г. Автогрейдер."/>
        <s v="БВ 01/24 от 29.01.2024 Спец. 3"/>
        <s v="Счёт № ЯА000000447 от 20.01.2026г. рессора"/>
        <s v="Счёт № ЯА000012283 от 03.10.2025г. Автомобильные запчасти"/>
        <s v="МО-07-03-2024-1 от 07.03.2024г. Спец. 19 запчасти"/>
        <s v="Счёт № 119350 от 23.10.2025г. Трансформатор розжига FIDA Compact 12/35-33 - 1 шт."/>
        <s v="№ 09-12-2025 от 09.12.2025г Перевозка Снегоболотохода ТРЭКОЛ"/>
        <s v=" ВЭ п 1/20-08 от 20.08.2025г. Спец. 1 Эл. двиг: кран"/>
        <s v="КЮ55956 от 05.05.2021г."/>
        <s v="47-25/П от 17.11.2025г. (рюкзак,антена)"/>
        <s v="Счёт № 25-01211307514 от 19.09.2025г. (ТЗР ООО &quot;Тинкер Групп&quot; Фильтр воздушный Shacman WP10)"/>
        <s v="Счёт № 0211754693-0060 от 08.11.2025г. Стройматериалы для душевых."/>
        <s v="04/06-2025п от 04.06.2025г. Спец. 3. Трафарет ГИТ-62 09Г2С. - 54 шт."/>
        <s v="Счёт № УТ-2388 от 05.11.2025г. Шестерня редуктора привода. - 1 шт"/>
        <s v="Счёт № 79 от 30.06.2025г. Емкость полипропиленовая - 1 шт."/>
        <s v="JP-20-071 от 10.08.2020г. Спец. 3 Блок управления привода вращателя &quot;БУВ1.00.00.00) - 2 шт."/>
        <s v="Счёт № 92 от 23.09.2025г. Крышка 195-03-65990 Komatsu - 5 шт"/>
        <s v="НП-01-05/25 СПЕЦИФИКАЦИЯ 1 от 05.05.2025"/>
        <s v="Счёт № ЯКТ11221 от 29.09.2025г. (ТЗР ООО &quot;Сервис Маш&quot; Запчасти)"/>
        <s v="Счёт № КТ-1117 от 28.08.2025г. Запчасти МЗТ"/>
        <s v="Счёт № КТ-2345 от 25.09.2025г. Замок зажигания D2500-00000 - 1 шт"/>
        <s v="Счёт № КТ-2390 от 30.09.2025г. Каток поддерживающий  (SD16/D65) - 4 шт."/>
        <s v="Счёт № КТ-2412 от 03.10.2025г. Запчасти МЗТ"/>
        <s v="9/53-2025 от 28.08.2025г. Снегоболотоход"/>
        <s v="Счёт № 1246 от 29.09.2025г. Противогололёдный реагент &quot;STOP ICE&quot; 25 кг - 200 кг."/>
        <s v="Счёт № 3261515/202 от 25.03.2025г."/>
        <s v="101-09/2024 от 20.09.2024 г. проект на геол.изучение м/р р.Тегергачи с притоками"/>
        <s v="73-08/2025 от 14.08.2025г. Геол. отчёт с подсчётом запасов на м/е Хаптагай-Хая"/>
        <s v="16-06-2025 от 16.06.2025г. Перевозка овощей Якутск-Усть-Нера"/>
        <s v="МО-12-01-2024-1 от 12.01.2024г. Спец. 13 Запчасти"/>
        <s v="Счёт № 2567 от 25.04.2025г. Датчики, форсунки"/>
        <s v="Счёт № 865 от 26.02.2025г. Антифриз и масло"/>
        <s v="№ 02/09/25-1-КК от 02.09.2025г. Сертификация &quot;Эрри-тест&quot;"/>
        <s v="14/488-2025 от 26.10.2025г. Талынья 10,5345га"/>
        <s v="Счету №923 от 19.05.2025  Передача БЗ - 1 шт"/>
        <s v="SA-1327-NR-MIN-IK-23 от 04.07.2023"/>
        <s v="Счёт № 434471 от 26.12.2025г."/>
        <s v="Счёт № 62018624 от 24.10.2025г. Проведение анализа проб"/>
        <s v="ЭЮ-0509/2025 от 10.03.2025г."/>
        <s v="Счёт № П04 от 24.09.2025г. Овощи"/>
        <s v="Счёт № 9000-008684 от 12.07.2025г."/>
        <s v="Счёт № 237 от 22.04.2025г. Фильтры"/>
        <s v="Счёт № 294 от 05.06.2025г. Запчасти ДЭС"/>
        <s v="Счёт № ЯА000010225 от 18.08.2025г. Запчасти, фильтры, ролики, ремни"/>
        <s v="Счёт № МТ-1163 от 11.09.2025г. Стекло лобовое Toyota Higlander"/>
        <s v=" Счёт № У9762965/1 от 12.09.2025г. Фильтры топливные Shacman SHAANXI"/>
        <s v="Счёт № 4 от 17.03.2025г."/>
        <s v="Счёт № 5 от 17.03.2025г."/>
        <s v="Счёт № 6 от 17.03.2025г."/>
        <s v="Счёт № 7 от 17.03.2025г."/>
        <s v="7875-В0-10 от 14.12.2015г. Доп. соглашение № 28 от 20.08.2025г."/>
        <s v="Счёт № 1440 от 12.08.2025г. Шаровые опопры"/>
        <s v="Счёт № 961 от 24.05.2025г. Фаркоп"/>
        <s v="Счёт № 48 от 15.04.2025г. (Фильтр, сепаратор)"/>
        <s v="Счёт № БЛ-25843 от 29.09.2025г. Пленка полиэтиленовая  200 мкр (шир 1,5м) ГОСТ - 150 м."/>
        <s v="Счёт № 248423 от 17.09.2025г. Тенты  Тарпаулин 180 г/м2"/>
        <s v="1-19 от 16.11.2018г."/>
        <s v="5-ГСО/2025-СВ от 29.11.2024 г. Обман"/>
        <s v="5-ГСО/2025-СВ от 29.11.2024 г. Хаптагай-Хая, Дымный, Бедовый"/>
        <s v=" Счёт № 2509-467802-05702 от 23.09.2025г.  Ковёр резиновый. Щетинистое покрытие. Уголки."/>
        <s v="Счёт № 2509-474666-48993 от 02.09.2025г.  DEPUR Тефлоновая смазка 210 мл"/>
        <s v="КЮ49273 от 21.06.2021г."/>
        <s v="КЮ49609 от 01.06.2022"/>
        <s v="КЮ55933 от 05.05.2021г"/>
        <s v="КЮ55935 от 05.05.2021г"/>
        <s v="КЮ55937 от 05.05.2021г."/>
        <s v="КЮ55942 от 05.05.2021г"/>
        <s v="КЮ55943 от 05.05.2021г"/>
        <s v="КЮ55946 от 05.05.2021г"/>
        <s v="КЮ55948 от 05.05.2021г"/>
        <s v="КЮ55954 от 05.05.2021г"/>
        <s v="КЮ55955 от 05.05.2021г."/>
        <s v="ППЛРН-18-24 от 19.11.2024г."/>
        <s v="Счёт № ОБ-2220 от 12.08.2025г. Краска в/д для внутр. работ Top/atex 2 10л. - 6 шт."/>
        <s v="Счёт № 416 от 08.09.2025г. Гидронасосы"/>
        <s v="Счёт № 2700-000088 от 22.05.2025г."/>
        <s v="РС-18-09-2025-1 от 18.09.2025г. Спец. 1 Спецодежда"/>
        <s v="Счёт № МГ00001577 от 22.09.2025г.  Сталь круглая ГОСТ 2590-2006 -0,5 т."/>
        <s v="Счёт № ЦБ-2276 от 22.09.2025г. Стеллаж Trend высокий (03 орех 1м)"/>
        <s v="Счёт № СП-ЯКТ207 от 09.07.2025г. Запчасти Соболь"/>
        <s v="Счёт № СП-ЯКТ59 от 20.05.2025г. Тяга Газель"/>
        <s v="Счёт № 25-000021379836 от 26.09.2025г. (ТЗР ООО &quot;НЗ-ПАРТС&quot; Насосы шестерённые)"/>
        <s v="Счёт № 25-00211304066 от 09.09.2025г. (ТЗР ООО &quot;Русарсенал-СПБ&quot;)"/>
        <s v="Счёт № 25-00221190447 от 08.08.2025г. (ТЗР ООО &quot;Автопитер&quot;)"/>
        <s v="Счёт № 25-00341052092 от 24.09.2025г. (ТЗР ООО &quot;Шакман-Центр&quot; Болт D24)"/>
        <s v="Счёт № 25-00551027007 от 29.09.2025г. (ТЗР ООО &quot;Приоритет&quot; )"/>
        <s v="Счёт № 25-00551027226 от 24.09.2025г. (ТЗР ООО &quot;Приоритет&quot; Запчасти Komatsu)"/>
        <s v="Счёт № 25-00551027261 от 24.09.2025г. (ТЗР ООО &quot;Приоритет&quot; Запчасти Komatsu)"/>
        <s v="Счёт № 25-00555011573 от 24.09.2025г. (ТЗР ООО &quot;Приоритет&quot; Запчасти Komatsu)."/>
        <s v="Счёт № 25-00661398752 от 10.09.2025г. (ТЗР ООО &quot;Сервис Маш&quot; Счёт № 1677)"/>
        <s v="Счёт № 25-00661408752 от 22.09.2025г. (ТЗР ООО &quot;ИППОНСПОРТ&quot; Счёт № 137)"/>
        <s v="Счёт № 25-01391179362 от 27.09.2025г. (ТЗР ООО &quot;Гидроимпульс&quot; Гидронасосы)"/>
        <s v="Счёт № 25-01801107131 от 05.09.2025г. (ТЗР ООО &quot;Автодеталь&quot; Счёт № 10225, Спец. 8)"/>
        <s v="Счёт № 25-01941048404 от 05.09.2025г. (ТЗР ООО &quot;СДИ&quot; Буровой инструмент)"/>
        <s v="Счёт № 25-02321132301/1 от 10.09.2025г. (ТЗР ИП Молоткова Н.А. Валики)"/>
        <s v="Счёт № 25-02801339305 от 17.09.2025г. (ТЗР ООО &quot;Сваркамолл&quot; Плата 10067683 (CUT100(L221) - 2 шт)"/>
        <s v="Счёт № 25-50190252661 от 25.08.2025г. (ТЗР ООО &quot;ФОРСУНКИПРО&quot; Дог. 69)"/>
        <s v="Счёт № А-00289421 от 08.08.2025г. Внешний HDD"/>
        <s v="Счёт № УТ-59886 от 22.09.2025г. Стройматериалы"/>
        <s v="Счёт № УТ-60223 от 23.09.2025г. Профиль направляющий, перегородочный ПН-2 - 4 шт."/>
        <s v="Счёт № УТ-61799 от 29.09.2025г. Пистолет для монтажной пены - 2 шт."/>
        <s v="Счёту № УТ-60185 от 23.09.2025г. Мастика гидроизоляционная КНАУФ Флэхендихт 5 кг Арт 137742 - 9 шт."/>
        <s v="20/2025-ТО789 от 23.07.2025г. ТО автотранспорта"/>
        <s v="СПИ 21.06.2019 от 21.06.2019г."/>
        <s v="Счёт № 5190197 от 07.06.2024г."/>
        <s v="Счёт № 13 от 24.04.2025г. Комплект защиты"/>
        <s v="Счёт № 14 от 07.02.2022г от 07.02.2022"/>
        <s v="Счёт № 0211754693-0017 от 01.09.2025г. Фильтры масляные"/>
        <s v="Счёт № 0211754693-0019 от 01.09.2025г. Генератор Huter HT950A"/>
        <s v="Счёт № 0211754693-002 от 12.09.2025г. Манометр высокого давления"/>
        <s v="Счёт № 0211754693-0020 от 02.09.2025г. Рулонные шторы"/>
        <s v="Счёт № 0211754693-0023 от 05.09.2025г. Измеритель сигнала токовой петли ОВЕН"/>
        <s v="Счёт № 0211754693-0024 от 09.09.2025г. Сухпаёк армейский 2300г"/>
        <s v="Счёт № 0211754693-0034 от 24.09.2025г. Пенная насадка для Керхер  - 1 шт"/>
        <s v="Счёт № 0211754693-0035 от 25.09.2025г. Фильтры масляные  - 3 шт."/>
        <s v="Счёт № 0211754693-0036 от 25.09.2025г. Диск и корзина сцепления"/>
        <s v="Счёт № 0211754693-026 от 19.09.2025г. Сальник рулевой рейки - 3 шт."/>
        <s v="Счёт № 0211754693-030 от 22.09.2025г. Часы электронные настенные &quot;Соломон&quot; - 1 шт"/>
        <s v="Счёт № 0211754693-031 от 22.09.2025г. Фольгированная подложка. Клейкая лента"/>
        <s v="Счёт № 0211754693-032 от 22.09.2025г. Крестики для кафеля. Крестики для плитки."/>
        <s v="Счёт № 137 от 12.09.2025г. Весы"/>
        <s v="Счёт № 77 от 23.04.2025г. Сита к вибрационному грохоту"/>
        <s v="1 от 11.04.2024г. Приложение 2  сервисное обслуж"/>
        <s v="МО-07-11-2023-1 спец 5-1 от 07.11.2023 запчасти"/>
        <s v="МО-12-01-2024-1 от 12.01.2024г. Спецификация 17 Масло"/>
        <s v="Счёт № 6891 от 15.09.2025г.  Запчасти для автомобилей (Шланги, лампы, свечи зажигания)"/>
        <s v="7-БВ/25 от 05.06.2025г. Комплекс горных работ Нера-Талалах"/>
        <s v="Счёт № 820044344164 от 06.05.2025г. Ходовая для МЗТ Шантуй"/>
        <s v="ТСЗ-100000232-0147 от 04.10.2023г. Спец. № 4114177 Гусеница в сборе 40L 1G 610мм - 2 шт"/>
        <s v="Счёт № Р-871 от 22.09.2025г. Керамогранит для душевой комнаты"/>
        <s v="1303-2023 от 13.03.2025г. Спец. 7-2 FEMA 2657309536 клапан - 2 шт"/>
        <s v="1303-2023 от 13.03.2025г. Спец. 8 2657826356 Джойстик- 1 шт."/>
        <s v="Счёт № 146 от 06.06.2025г. Прокладка ГБЦ - 9 шт."/>
        <s v="Счёт № 77323 от 16.09.2025г.  Блок питания для сетевого хранилища QNAR"/>
        <s v="Счёт №  ЦБ-3744 от 15.08.2025г. Наконечники тяги рулевой трапеции"/>
        <s v="Счёт № ЦБ-2465 от 17.06.2025г. Вилка ЯМЗ выключения сцепления"/>
        <s v="Счёт № ЦБ-4271 от 08.09.2025г.  Радиатор водяной (УРАЛ) - 1 шт. Стартер (ЯМЗ) - 1 шт."/>
        <s v="Счёт № ЦБ-4277 от 09.09.2025г. Привод вентилятора (ЯМЗ) - 2 шт."/>
        <s v="Счёт № ЦБ-4305 от 10 сентября 2025г. Клемма АКБ СВИНЕЦ - 50 к-т."/>
        <s v="ЦБ-4421 от 15.09.2025г. (Цилиндры БелАЗ - 2 шт., Фильт ры масл. - 10 шт.)"/>
        <s v="Счёт № КМЮ2026 от 20.05.2025г. Краны шаровые"/>
        <s v="Счёт № КМЮ3505 от 05.09.2025г. Шайбы дроссельные Гранбаланс"/>
        <s v="Счёт № МТ000000406 от 08.07.2025г. (ТЗР ООО &quot;Завод Пирс&quot;)"/>
        <s v="FE-S/21-025 от 18.10.2021"/>
        <s v="Основной (курсовая разница)"/>
        <s v="Счет № FECB-004969 от 29.03.2024 г. ШЛАНГИ  Договор №FE-P/22-063 от 19.12.22г."/>
        <s v="Счёт № FECB-006203 от 27.03.2025г. Договор № FE-P/22-063 от 19.12.22г. Запчасти LIUGONG"/>
        <s v="Счет № FECB-006443 от 16.04.2024 г. Договор №FE-P/22-063 от 19.12.22г."/>
        <s v="Счёт № FECB-008170 от 15.04.2025г. Договор № FE-P/22-063 от 19.12.22г. Ремни, болты, гайки"/>
        <s v="Счёт № FECB-010222 от 03.05.2025г. Договор № FE-P/22-063 от 19.12.22г. Шланги137 658,66"/>
        <s v="Счёт № FECB-011951 от 16.05.2025г. Договор № FE-P/22-063 от 19.12.22г. Втулки, штифты 372 271,48"/>
        <s v="Счёт № FECB-011960 от 14.06.2024г. Договор № FE-P/22-063 от 19.12.22г. Уплотнительные кольца"/>
        <s v="Счёт № FECB-013110 от 27.06.2024г. Договор № FE-P/22-063 от 19.12.22г. (Сальник)"/>
        <s v="Счёт № FECB-013317 от 01.07.2024г. Договор № FE-P/14-111 от 19.12.22г. Пружина, болт, гайка"/>
        <s v="Счет № FECB-013401 от 29.05.2025  Договор №FE-P/22-063 от 19.12.22г."/>
        <s v="Счёт № FECB-013671 от 03.07.2024г. Договор № FE-P/22-063 от 19.12.22г."/>
        <s v="Счёт № FECB-013758 от 04.07.2024г. Договор № FE-P/14-111"/>
        <s v="Счёт № FECB-014137 от 05.06.2025г. Договор № FE-P/22-063 от 19.12.22г. Запчасти Komatsu"/>
        <s v="Счёт № FECB-015268 от 17.06.2025г. Договор № FE-P/22-063 от 19.12.22г. Запчасти Komatsu"/>
        <s v="Счёт № FECB-015269 от 17.06.2025г. Договор FE-P/22-063 от 19.12.22г. Запчасти Komatsu"/>
        <s v="Счёт № FECB-015272 от 17.06.2025г. Договор № FE-P/22-063 от 19.12.22г. Запчасти Komatsu."/>
        <s v="Счёт № FECB-016236 от 30.07.2024г. Договор № FE-P/14-111"/>
        <s v="Счёт № FECB-016448 от 30.06.2025г. Договор № FE-P/22-063 от 19.12.22г. Запчасти Komatsu"/>
        <s v="Счёт № FECB-016903 от 07.08.2024г. Договор № FE-P/22-063 от 19.12.22г.  Втулки"/>
        <s v="Счёт № FECB-017079 от 04.07.2025г. Договор FE-P/22-063 от 19.12.22г. Фильтры"/>
        <s v="Счёт № FECB-017936 от 16.08.2024г. Договор № FE-P/22-063 от 19.12.22г. Шланги. Электродвигатель."/>
        <s v="Счёт № FECB-018565 от 21.08.2024г. Договор № FE-P/22-063 от 19.12.22г. Ножи, болты, гайки, трубки, ш"/>
        <s v="Счёт № FECB-019929 от 03.09.2024г. Договор № FE-P/22-063 от 19.12.22г. (Сальники, шланги)"/>
        <s v="Счет № FECB-020593  Договор №FE-P/22-063 от 19.12.22г."/>
        <s v="Счёт № FECB-022405 о25.08.2025г. Договор № FE-P/22-063 от 19.12.22г. Запчасти Komatsu"/>
        <s v="Счёт № FECB-022473   Договор № FE-P/22-063 от 19.12.22г. Втулки, Клапан"/>
        <s v="Счёт № FECB-022781 от 28.08.2025г Договор № FE-P/22-063 от 19.12.22г.  Фильтры, кожухи"/>
        <s v="Счёт № FECB-023345 от 03.09.2025г. Договор № FE-P/22-063 от 19.12.22г. Насос, штифты, втулки"/>
        <s v="Счёт № FECB-023355 от 03.09.2025г. Договор № FE-P/22-063 от 19.12.22г.Фильтрующий картридж 4 шт"/>
        <s v="Счёт № FECB-024228 от 11.09.2025г. Договор № FE-P/22-063 от 19.12.22г. Запчасти Komatsu"/>
        <s v="Счёт № FECB-024601 от 15.09.2025г. Договор № FE-P/22-063 от 19.12.22г. Запчасти Komatsu"/>
        <s v="Счёт № FECB-024603 от 15.09.2025г. Договор № FE-P/22-063 от 19.12.22г. Запчасти Komatsu."/>
        <s v="Счёт № FECB-024833 от 17.09.2025г. Договор № FE-P/22-063 от 19.12.22г. Запчасти Komatsu"/>
        <s v="Счёт № FECB-025549 от 23.09.2025г. Договор № FE-P/22-063 от 19.12.22г. Запчасти Komatsu"/>
        <s v="Счёт № FECB-025551 от 23.09.2025г. Договор № FE-P/22-063 от 19.12.22г. Запчасти Komatsu"/>
        <s v="Счёт № FECB-025553 от 23.09.2025г. Договор № FE-P/22-063 от 19.12.22г. Запчасти Komatsu."/>
        <s v="Счёт № FECB-025612 от 24.09.2025г. Договор № FE-P/22-063 от 19.12.22г. Коронка D375 - 50 шт"/>
        <s v="Счет № FECB-028846 от 25.12.2024 г. Договор №FE-P/22-063 от 19.12.22г."/>
        <s v="БН Счёт № 145 от 05.09.2025г. Валик (брезент)"/>
        <s v="Счёт № УТ-3167 от 23.09.2025г. Насос шестерённый НШ-10У-3 (правый (РФ)) МЛМЗ - 2 шт"/>
        <s v="Счёт № 34 от 24.04.2025г. Фильтры, масла, демонтаж защиты"/>
        <s v="Счёт № УТ-15617 от 18 сентября 2025г. Стройматериалы. метизы."/>
        <s v="Счёт № УТ-16196 от 29.09.2025г. Пена полиуретановая профессиональная зимняя - 24 шт."/>
        <s v="Счёт № 24069 от 23.06.2025г. Комплектующие для видеонаблюдения"/>
        <s v="Счёт № 580 от 06.09.2025г. Емкость &quot;ОВАЛЬНАЯ&quot; 65*180*150 см с полосой * 1500л. - 1 шт."/>
        <s v="Счёт № 581 от 06.09.2025г. ИРПЛАСТ Ёмкость ЕК 2000 лит.- 1 шт."/>
        <s v="Счёт № 1242 от 24.09.2025г. Катод СР 101-141 - 20 шт."/>
        <s v="ВД-01-02-2024 от 01.02.2024г."/>
        <s v="Счёт 2 74699568 от 09.04.2025г. ТО Toyota Land Cruiser Аб04НР14"/>
        <s v="14/398-2025 от 13.08.2025г. Обман 0,1446га  28 535,32"/>
        <s v="Счёт № УТ-9045 от 29.07.2025г. Стиральный порошок, хоз товары"/>
        <s v="Счёт № УТ-8119 от 15.08.2025г. LNC-188 ПО KAMAZ для сканеров Launch."/>
        <s v="БС-02.12.22/11 от 02.12.2022г. Спец. 9 Запчасти Komatsu"/>
        <s v="Счёт № 90 от 21.05.2025г. Адаптеры"/>
        <s v="Счёт № УТ-2289 от 09.09.2025г. Плата 10067683 (CUT100(L221) - 2 шт."/>
        <s v="Счёт № РТ-560 от 22.09.2025г. Уголок комбинированный"/>
        <s v="Счёт № 286 от 27.06.2025г. Инструмент"/>
        <s v="Счёт № ЦБ-2382 от 15.04.2025г. Фитинги"/>
        <s v="Счёт № ЦБ-6409 от 26.08.2025г. Турбокомпрессор 17201-0L070 2KD-FTV ORIG Hilux - 1 шт."/>
        <s v="3-2025 от 09.12.2024г."/>
        <s v="Счёт № 1440 от 30.07.2025г. Сигнальное оборудование для автомобилей."/>
        <s v="Счёт № 1677 от 05 сентября 2025г 5336-3506085-01 Шланг - 10 шт."/>
        <s v="Счёт № 1737 от 16.09.2025г. Запчасти на БелАЗ (Пальцы, цилиндры, гидрораспределители)."/>
        <s v="Счет 95 от 16.12.2024"/>
        <s v="Счёт № 65 от 29.08.2025г. Датчики износа тормозных колодок Land Rover"/>
        <s v="Счёт № 68 от 11.09.2025г. Амортизатор Toyota Highlander передний KYB - 2 шт."/>
        <s v="Счёт № ЯКТ10916 от 22.09.2025г. (ТЗР ООО &quot;Сервис Маш&quot; Запчасти)"/>
        <s v="Счёт № ЯКТ11106 от 25.09.2025г. (ТЗР ООО &quot;Бела&quot;  Тенты Тарпаулин)"/>
        <s v="Счёт № ЯКТ11132 от 25.09.2025г. (ТЗР ООО &quot;Глобал Фиш&quot;  Спецодежда)"/>
        <s v="Счёт № СФРХ_00734 от 11.04.2025г. Фильтры"/>
        <s v="Счёт № НБ-261 от 26.04.2025г. Столы, стулья"/>
        <s v="Счёт № НБ-262 от 26.06.2025г. Стул металл. &quot;Венский&quot;- 2 шт."/>
        <s v="Счёт № 227 от 16.07.2025г. Запчасти"/>
        <s v="Счёт № ЦБ-60 от 22.09.2025г. Клей Litoflex K80, клеевая смесь для керамогранита (25кг) - 31 шт"/>
        <s v="Счёт № УТ-5611 от 26.03.2025г. Плащ - дождевик"/>
        <s v="01-2024/ТХ от 09.01.2024г. Спец. 3 Рукав полиэтиленовый ПВД д.230мм"/>
        <s v="Счёт № КТ-2113 от 28.08.2025г. Запчасти МЗТ"/>
        <s v="Счёт № 00695 от 12.09.2025г. Фильтр воздушный Shacman"/>
        <s v="Счёт-договор № УТ-436 от 22.09.2025г. Фильтры воздушные SHACMAN X5000"/>
        <s v="Счёт № 1717 от 02.06.2025г. Мясорубка МИМ-300"/>
        <s v="Счёт-Договор № 00338ТК от 26.05.2025г. Привод заднего моста"/>
        <s v="69 от 16.06.2025г. Спец. 1 ТНВД"/>
        <s v="Счёт № УТ-99 от 16.07.2025г. Пневморессора - 2 шт"/>
        <s v="БС-13.12.21/2 от 14.12.2021г"/>
        <s v="04-00043 от 01.04.2025 (Айхал, вывоз ТКО)"/>
        <s v="04-00044 от 01.04.2025 (Эрел, вывоз ТКО)"/>
        <s v="51/05-ю/2025 от 06.05.2025г. (50737-20)"/>
        <s v="Счёт № ЦМ-688 от 11.04.2025г. Гвозди"/>
        <s v="03-67/25 от 03.03.2025г."/>
        <s v="Заказ № 15905106 от 19.09.2025г. HANTEK 2D72 Портативный мини-осциллограф 70МГц-мультиметр/ Hantek -"/>
        <s v="Счёт № 2576/1 от 22.09.2025г. Болт D24, L120, (вилки основного амортизатора) SHAANXI, F3000 - 4 шт."/>
        <s v="Счёт № ЭП10072 от 04.08.2025г. Электродвигатель общепромышленный - 2 шт."/>
        <s v="Счёт № FECB-027184 от 25.11.2024г Договор № FE-P/22-063 от 19.12.22г. USD Двигатель"/>
        <s v="№ БС-02.12.22/11 от 02.12.2022г., спец № 4 от 15.01.2024 ($ доллар) запчасти"/>
        <s v="Счёт № АТЦБ-40946 от 26.05.2025г. Выпрямитель СИМЗ"/>
        <s v="Счёт № 170 от 03.06.2025г. Фаркоп"/>
        <s v="Счёт № 9000-007937 от 05.05.2025г."/>
        <s v="Счёт № 42364 от 30.04.2025г. (ТЗР защита на Чанган)"/>
        <s v="Счёт № 283 от 19.05.2025г. Запчасти для ДЭС"/>
        <s v="Счёт № 325 от 17.06.2025г. Ремень поликлиновой. Ролик натяжителя"/>
        <s v="РС-17-02-2023-1 от 20.02.2023г. Спец. 5"/>
        <s v="РС-17-02-2023-1 от 20.02.2023г. Спец. 6 Автозапчасти"/>
        <s v="Счёт № ЯА000007656 от 11.06.2025г. Запчасти для автомобилей"/>
        <s v="Счёт № ЯА000007862 от 19.06.2025г. Болты ступицы - 60 шт."/>
        <s v="Счёт № 82954839 (1729594) от 21.06.2025г. Трубки топливные"/>
        <s v="01/04/25 от 01.04.2025г."/>
        <s v="05/03/25 от 10.03.2025 г. ТЗР ИП Гурьев П.П. Лес кругляк"/>
        <s v="09/04/25 от 09.04.2025г. Перевозка груза"/>
        <s v="Счёт № АК00008735 от 23.06.2025г. Рыба, краб. палочки"/>
        <s v="Счёт № 711 от 14.04.2025г. Форсунки - 4 шт"/>
        <s v="Счёт № 00035 от 04.06.2025г. Реле напряжения - 20 шт."/>
        <s v="Счёт № 278 от 12.03.2025г. Фильтр гидросистемы MFCRE100CD1"/>
        <s v="Счёт № 4889 от 07.05.2025г. (ТЗР ИП Тульчинская Д.И. Лобовые стёкла)"/>
        <s v="Счёт № 5238 от 15.05.2025г. (ТЗР ООО &quot;СДИ&quot; Переходники)"/>
        <s v="Счёт № 1069 от 09.06.2025г. Запчасти для автомобилей Hilux"/>
        <s v="Счёт № 1156 от 25.06.2025г. Запчасти для автомобилей Hilux"/>
        <s v="Счёт № 867 от 13.05.2025г. Брызговики"/>
        <s v="Счёт № 906 от 17.05.2025г. Редуктор моста"/>
        <s v="01-20/05 от 20.05.2025г. Запчасти Komatsu"/>
        <s v="РС-08-12-2022-5 от 08.12.2022г. Спец. 9 Раздаточная коробка"/>
        <s v="Счёт № ЦБ-295 от 05.03.2024г."/>
        <s v="ИТС-01910 от 10.02.2023 г."/>
        <s v="Счёт № 452 от 06.03.2025г. ООО &quot;Техсервис&quot; Дог. БИ-03032025 от 03.03.2025 Спец. 1"/>
        <s v="34-24 от 14.11.2024г. Большой-Тарын 74,3383га"/>
        <s v="35-24 от 14.11.2024г. Хаптагай-Хая 33,6097га"/>
        <s v="36-24 от 14.11.2024г. Дымный 2,1661га"/>
        <s v="23042025/02 от 22.04.2025г. Спец. 1 Рефрижираторный контейнер"/>
        <s v="Счёт № 2809 от 15.05.2025г. Поддон. Сита"/>
        <s v="Счёт № 3238 от 16.06.2025г. Сита"/>
        <s v="Счёт № УТ-4576 от 11.06.2025г. Болты"/>
        <s v="Счёт № 2504-468534-00235 от 26.04.2025г. Инструмент"/>
        <s v="Счёт № 2505-42723-29384 от 15.05.2025г. Молоток отбойный, пика"/>
        <s v="Счёт № 2506-414077-68122 от 17.06.2025г. Метизы"/>
        <s v="Счёт № 2506-414079-78422 от 17.06.2025г. Стропы"/>
        <s v="Счёт № 2506-425025-77097 от 19.06.2025г. Инструмент"/>
        <s v="Счёт № 2506-492084-03811 от 26.06.2025г. Инструмент"/>
        <s v="КЮ48847 от 02.06.2019г."/>
        <s v="КЮ49685 от 21.06.2021г"/>
        <s v="КЮ55947 от 05.05.2021г"/>
        <s v="Договор поставки №РС-16-12-2024-1 спецодежда Спецификация 1 от 16.12.2024"/>
        <s v="Договор поставки №РС-16-12-2024-2 ПРОДУКТЫ Спецификация 1 от 16.12.2024"/>
        <s v="РС-27-12-2023-1  от 27.12.2023г. Бакалея, колбаса"/>
        <s v="Счёт № 6 от 08.04.2025г. Спецодежда. Обувь"/>
        <s v="РС-26-12-2022-9/127з от 26.12.2022г. Спец. 26 Подшипники"/>
        <s v="Счёт № АТ-1711 от 16.06.2025г. Ствол пожарный"/>
        <s v="Счёт № 97 от 24.03.2025г. Зарядное устройство"/>
        <s v="Счёт № СП-ЯКТ113 от 11.06.2025г. Кронштейны"/>
        <s v="Счёт № СП-ЯКТ130 от 17.06.2025г. Подшипники газель"/>
        <s v="Счёт № СП-ЯКТ157 от 25.06.2025г. Блок газель"/>
        <s v="Счёт № СП-ЯКТ158 от 25.06.2025г. Кардан, трос, граната"/>
        <s v="Счёт № СП-ЯКТ159 от 25.06.2025г. Кардан ГАЗ"/>
        <s v="Счёт № СП-ЯКТ95 от 05.06.2025г. Подшипник ГАЗ 3302"/>
        <s v="Счёт № Т000000518 от 06.05.2025г. Шланг тормозной"/>
        <s v="Счёт № Т000000539 от 14.05.2025г. Кулаки поворотные"/>
        <s v="Счёт № 25-00101108576 от 21.06.2025г. (ТЗР ООО &quot;Титаниум&quot; Пульт)"/>
        <s v="Счёт № 25-0020067650 от 25.06.2025г. (ТЗР ООО &quot;Тодеталь&quot; Фильтры)"/>
        <s v="Счёт № 25-00241212653 от 14.05.2025г. (ТЗР ООО &quot;КПК-Партс&quot; Клапан смазки)"/>
        <s v="Счёт № 25-002412522455 от 16.06.2025г. (ТЗР ООО &quot;КПК-Партс&quot;)"/>
        <s v="Счёт № 25-00241273346 от 20.06.2025г. (ТЗР ООО &quot;КПК-Партс&quot;)"/>
        <s v="Счёт № 25-00291114978 от 10.06.2025г. (ТЗР ООО &quot;ЗТО&quot;)"/>
        <s v="Счёт № 25-00291119220 от 23.06.2025г. (ТЗР ООО &quot;АСМ-Ресурс&quot;)"/>
        <s v="Счёт № 25-00295036025 от 23.06.2025г. (ТЗР ООО &quot;АСМ-Ресурс&quot;)"/>
        <s v="Счёт № 25-00311077287 от 10.06.2025г. (ТЗР ООО ПКФ &quot;Термех&quot;)"/>
        <s v="Счёт № 25-00311078343 от 11.06.2025г. (ТЗР ООО &quot;СК-Полимеры&quot; Перчатки доводчика)"/>
        <s v="Счёт № 25-00391053605 от 25.06.2025г. (ТЗР ООО &quot;Оборудование АЗС&quot; Насос)"/>
        <s v="Счёт № 25-00490009419 от 10.06.2025г. (ТЗР ООО &quot;СЦ Канмаш&quot; Запчасти)"/>
        <s v="Счёт № 25-00581044306 от 11.06.2025г. (ТЗР ООО &quot;СПИ&quot;)"/>
        <s v="Счёт № 25-00585012300 от 11.06.2025г. (ТЗР ООО &quot;СПИ&quot;)"/>
        <s v="Счёт № 25-00661254664 от 05.06.2025г. (ТЗР ООО &quot;Русэкспорт&quot;)"/>
        <s v="Счёт № 25-01191222935 от 29.05.2025г. (ТЗР ООО &quot;Авангард Трейд&quot; Выпрямитель)"/>
        <s v="Счёт № 25-01191246155 от 11.06.2025г. (ТЗР ООО &quot;ТПП&quot; Трансформатор)"/>
        <s v="Счёт № 25-01191264353 от 25.06.2025г. (ТЗР ООО &quot;ТПП&quot; Трансформатор)"/>
        <s v="Счёт № 25-01211203186 от 24.06.2025г. (ТЗР ООО &quot;Оригана&quot; Фильтры)"/>
        <s v="Счёт № 25-01751007950 от 10.06.2025г. (ТЗР ИП Аксёнов Д.В. Реле)"/>
        <s v="Счёт № 25-01761093027 от 16.06.2025г. (ТЗР ООО &quot;Энтузиаст-С&quot;)"/>
        <s v="Счёт № 25-01801066940 от 09.06.2025г. (ТЗР ООО &quot;Компания Дизель&quot;)"/>
        <s v="Счёт № 25-01801070728 от 25.06.2025г. (ТЗР ООО &quot;Автодеталь&quot; Запчасти)"/>
        <s v="Счёт № 25-02321084268 от 16.06.2025г. (ТЗР ООО ТД &quot;Планета Безопасности&quot;)"/>
        <s v="Счёт № 25-02441662642 от 25.06.2025г. (ТЗР ООО &quot;Тракдрайв&quot; Разъёмы)"/>
        <s v="Счёт № 25-0260111689 от 10.06.2025г. (ТЗР ООО &quot;РББ Холод&quot; Компрессор)"/>
        <s v="Счёт № 25-02871182795 от 20.06.2025г. (ТЗР ООО &quot;Авто-Ком&quot;)"/>
        <s v="Счёт № 25-12571455006 от 23.06.2025г. (ТЗР ООО &quot;Доринг&quot; Фильтры)"/>
        <s v="Счёт № 341 от 26.03.2025г. (ТЗР ООО &quot;Сфера)"/>
        <s v="Счёт № А-00162876 от 08.05.2025г. Водонагреватель"/>
        <s v="Счёт № А-00225255 от 24.06.2025г. Мониторы"/>
        <s v="Счёт № А-00228356 от 25.06.2025г. Конвекторы"/>
        <s v="Счёт № 16111 от 17.06.2025г. Фильтры"/>
        <s v="34/18-24 от 15.04.2024г. Спец. 2 Ролики конвейерные"/>
        <s v="Счёт № 17 109 от 06.06.2025г. (ТЗР оборудование для видеонаблюдения)"/>
        <s v="Счёт № 19 639 от 27.06.2025г. (ТЗР ООО &quot;ТД Планета безопасности&quot;)"/>
        <s v="14/03-1п от 14.03.2025г. Спец. 2 МКТ Насосные модули, фильтры"/>
        <s v="28.04.2025 от 28.04.2025г. Спец. 1 Редукторы"/>
        <s v="Счёт № 253638 от 05.06.2025г. Рукав"/>
        <s v="04/06-2025п от 04.06.2025г. Спец. 1 Трафареты - 216шт."/>
        <s v="РС-08-12-2022-15 от 08.12.2022г. Спец. 2 от 07.02.2025г."/>
        <s v="РС-08-12-2022-15 от 08.12.2022г. Спец. 3 Запчасти на промприборы"/>
        <s v="Счёт № 329 от 16.06.2025г. Шкив ведущий"/>
        <s v="Счёт № 3705 от 04.06.2025г. Фильтры, лампы  122450"/>
        <s v="Счёт № 3850 от 09.06.2025г. Болты ступицы - 20 шт."/>
        <s v="Счёт № 3896 от 10.06.2025г. Запчасти для автомобилей   67200р"/>
        <s v="Счёт № 4137 от 18.06.2025г. Запчасти для автомобилей"/>
        <s v="Счёт № 4249 от 20.06.2025г. Штуцеры. Трубка топливная"/>
        <s v="Счёт № 4282 от 23.06.2025г. Автошины, колёса"/>
        <s v="Счёт № 4376 от 25.06.2025г. Крестовина рулевая - 4 шт."/>
        <s v="Счёт № 4377 от 25.06.2025г. Колёса - 4 шт."/>
        <s v="Счёт № 204270 от 25.06.2025г. Сальники - 12 шт"/>
        <s v="Счёт № КИ-6260242 от 26.06.2025г. Сальники - 6 шт."/>
        <s v="Счёт № 756 от 27.05.2025г. Маяки светодтодные - 4 шт"/>
        <s v="Счёт № 829 от 10.06.2025г. Запчасти"/>
        <s v="Счёт № 893 от 25.06.2025г. Запчасти"/>
        <s v="Счёт № 87 от 11.06.2025г. Замки навесные"/>
        <s v="Счёт-Оферта № 487 от 20.05.2025г. Запчасти к ДЭС"/>
        <s v="1303-2023 от 13.03.2023 спец 5"/>
        <s v="Счёт № 128 от 29.04.2025г. Клапан смазки"/>
        <s v="Счёт № 154 от 16.06.2025г. Датчик температуры Epiroc - 1 шт."/>
        <s v="Счёт -Договор № 276 от 20.06.2025г. Таблички для автотранспорта"/>
        <s v="Счёт № 6669 от 17.06.2025г. Электростартер"/>
        <s v="Счёт № 161 от 13.03.2025г. (ТЗР ООО &quot;Иннопром&quot; Долото&quot;"/>
        <s v="Счёт № ГМ-1505 от 19.06.2025г. Ремень поликлиновой"/>
        <s v="Счёт № ЦБ-1713 от 07.05.2025г. ОПУ"/>
        <s v="Счёт № ЦБ-1998 от 26.05.2025г. Привод вентилятора"/>
        <s v="Счёт № ЦБ-2111 от 29.05.2025г. Вал карданный"/>
        <s v="Счёт № ЦБ-2142 от 02.06.2025г. Цилиндр поворота, гайки, стремянки"/>
        <s v="Счёт № ЦБ-2176 от 02.06.2025г. Головка шприца"/>
        <s v="Счёт № ЦБ-2251 от 05.06.2025г. Головки шприца"/>
        <s v="Счёт № ЦБ-2391 от 16.06.2025г. Форсунка КАМАЗ - 10 шт."/>
        <s v="Счёт № ЦБ-2475 от 18.06.2025г. Запчасти для Автокрана"/>
        <s v="Счёт № 287 от 30.04.2025г. Сверхнормативное использование контейнеров"/>
        <s v="Счёт № АК-345 от 04.04.2025г. Водонагреватель"/>
        <s v="Счёт-оферта № А3-350 от 03.06.2025г. Герметик"/>
        <s v="РС-09-12-2022-3 от 09.12.2022г. Спец. 9 Ситовая часть скруббер-бутар"/>
        <s v="Счёт № 257163 от 14.05.2025г. Зонт вытяжной пристенный"/>
        <s v="0412-2021 от 30.12.2021г. Доп. соглашение № 3 от 10.03.2025г."/>
        <s v="Счёт № 80117 от 13.05.2024г."/>
        <s v="Счёт № FECB-007517 от 08.04.2025г. Договор № FE-P/22-063 от 19.12.22г. Расходники LiuGong"/>
        <s v="Счёт № FECB-011250 от 13.05.2025г. Договор № FE-P/22-063 от 19.12.22г. Запчасти LiuGong 414 736,91"/>
        <s v="Счёт № FECB-013238 от 29.05.2025г. Договор № FE-P/22-063 от 19.12.22г. Трубы"/>
        <s v="Счёт № FECB-014009 от 04.06.2025г. Договор № FE-P/22-063 от 19.12.22г. Запчасти Komatsu  205 802,02"/>
        <s v="Счёт № 418 от 20.06.2025г. Таблички для автотранспорта"/>
        <s v="138  (проект разв.работ по м/р фланги Х-Хая)"/>
        <s v="71-04 от 14.04.2024г."/>
        <s v="Счёт № 117 от 05.06.2025г. Сушка. Гибкая труба"/>
        <s v="Счёт № 63 от 17.04.2025г. Мебель, посуда, быт. техника"/>
        <s v="Счёт № 0077313735 Ц от 19.06.2025г. Расходники к оргтехнике"/>
        <s v="Счёт № НСЧ2512074 от 27.03.2025г. Инструмент"/>
        <s v="Счёт № 146 от 03.06.2025г. Ниппели - 5 шт. Вал ВЭ - 1шт"/>
        <s v="Счёт № 481 от 10.06.2025г. Насос Petroll Vega"/>
        <s v="Счёт № 111118 от 11.06.2025г. Фильтр воздушный - 2шт."/>
        <s v="БВ-11-03/25 от 28.03.2025г. Геологический аудит"/>
        <s v="25-УТ0007501 от 03.06.2025г. Оборудование"/>
        <s v="01-25/3 от 29.01.2025г. Спец. 2 Емкость, полог"/>
        <s v="Счёт № 1 от 31.03.2025г. Ремонт ПЭР-250Н"/>
        <s v="ПР-04 24 от 01.04.2024г. Приложение № 13 от 30.04.2025г. ДТ Летнее"/>
        <s v="Счёт № ЯКА06110029 от 11.06.2025г. (ТЗР ООО &quot;Авенджер&quot; Фаркопы)"/>
        <s v="Счёт № 1034 от 13.05.2025г. Таблички по ТБ"/>
        <s v="Счёт № УТ-162 от 28.03.2025г. Коронки ретрак"/>
        <s v="14/286-2025 от 30.05.2025г. (Нера-Талалах 19,5977га)"/>
        <s v="29-04-2025 от 29.04.2025г. Спец. 1 Насосы"/>
        <s v="Счёт № 12309 от 12.05.2025г. Тестомес, печь"/>
        <s v="39 от 03.04.2025г. Матрасы"/>
        <s v="Счёт № 61 от 15.05.2025г. Краска, колер"/>
        <s v="№ БС-02.12.22/11 от 02.12.2022г., спец № 8, запчасти"/>
        <s v="27/0724-РС(Я)_ОВЭС от 10.04.2025г."/>
        <s v="Счёт № 1086 от 06.06.2025г. Лента ободная - 20 шт."/>
        <s v="МО-11-03-2024-1 от 11.03.2024г. Спец. 1 (РТИ)"/>
        <s v="МО-11-03-2024-1 от 11.03.2024г. Спец. 2 (РТИ)"/>
        <s v="МО-11-03-2024-1 от 11.03.2024г. Спец. 3 (РТИ)"/>
        <s v="Счёт № 30164 от 11.06.2025г. Рукава"/>
        <s v="Счёт № 1044 от 03.03.2025г. (ТЗР ООО НПЦ &quot;СБТ&quot; Запчасти Беркут)"/>
        <s v="Счёт № 2618 от 28.04.2025г. ЭнергоКабельСбыт"/>
        <s v="Счёт № 3689 от 16.06.2025г. (ТЗР ООО &quot;СЦ Канмаш&quot; Спец. 2)"/>
        <s v="Счёт № 943 от 27.02.2025г. (ТЗР ООО &quot;Яртурбо&quot; Двигатели)"/>
        <s v="03/03 от 12.03.2025г."/>
        <s v="Счёт № 22 от 03.05.2025г. Фильтры"/>
        <s v="8 от 28.04.2025г."/>
        <s v="Счёт № 5199 от 23.05.2025г. Запчасти"/>
        <s v="Счёт № ЦБ-1473 от 24.06.2024г. Сахар"/>
        <s v="Счёт № ЦБ-762 от 11.04.2024г. кисель, приправы, дрожжи"/>
        <s v="Счёт № НСБ27358 от 18.09.2024г.  ООО &quot;Сибирские технологии&quot; РТИ"/>
        <s v="29 от 14.03.2025г."/>
        <s v="Счёт № ЯКТ06209 от 03.06.2025г. (ТЗР Диски)"/>
        <s v="Счёт № ЯКТ06651 от 11.06.2025г. (ТЗР ООО &quot;СервисМаш&quot; Инструмент)"/>
        <s v="Счёт № ЯКТ06873 от 19.06.2025г. (ТЗР ООО &quot;ВсеИнструменты.ру&quot; Инструмент)"/>
        <s v="Счёт № ЯКТ06928 от 20.06.2025г. (ТЗР АО &quot;ГПФК&quot; Кардан)"/>
        <s v="Счёт № ЯКТ06999 от 21.06.2025г. (ТЗР АО &quot;ГПФК&quot; Запчасти)"/>
        <s v="Счёт № ЯКТ07175 от 25.06.2025г. (ТЗР ООО &quot;ВсеИнструменты.ру)"/>
        <s v="Счёт № 433 от 17.06.2025г. Пломбы"/>
        <s v="ВД-17-04-2025 от 17.04.2025г. Перевозка овощей"/>
        <s v="Счёт № 554828 от 22.05.2025г. Защита алюминиевая"/>
        <s v="МО-19-11-2024-1 от 19.11.2024г. Спец. 1 Запчасти к бур.станкам"/>
        <s v="Счёт № 820044347248 от 29.05.2025г. Фильтры гидравлические - 12шт."/>
        <s v="Счёт № 820044348888 от 10.06.2025г. Фильтры"/>
        <s v="ТСЗ-1020000232 от 04.10.2023г. Спецификация № 3956367 Запчвсти Shantui"/>
        <s v="Счёт № КТ-1413 от 10.06.2025г. Трубка"/>
        <s v="Счёт № 8 от 17.06.2025г. Пульты"/>
        <s v="Счёт № 136778 от 20.06.2025г.  Фильтры топливные MITSUBISHI - 5 шт"/>
        <s v="Счёт № 71498 от 18.06.2025г. Трансформатор"/>
        <s v="Счёт-договор № УТ-263 от 17.06.2025г. Сегмент BPW"/>
        <s v="Счёт № 82290 от 20.06.2025г. Разъёмы"/>
        <s v="Счёт № ЦБ-1181 от 25.06.2025г. Замок зажигания"/>
        <s v="Счёт № 382 от 24.04.2025г. Лобовое стекло"/>
        <s v="Счёт № 1646 от 26.05.2025г. Мясорубка МИМ-300"/>
        <s v="Счёт № 144 от 13.05.2025г. Запчасти АТЗ Урал"/>
        <s v="основной от 19.05.2025"/>
        <s v="Счёт № ЦМ-1420 от 23.06.2025г. Кабель РПШ"/>
        <s v="003 от 17.03.2025г."/>
        <s v="004 от 18.03.2025г. Нера-Таллалах"/>
        <s v="006 от 27.03.2025г."/>
        <s v="010 от 28.04.2025г.  уч.Обман"/>
        <s v="Счёт № 1196 от 31.03.2025г. Штанга толкателя"/>
        <s v="НСЦБ-000102 от 16.06.2025г. Запчасти для а/м"/>
        <s v="Счёт № 80 от 23.05.2025г. Выезд мобильной диагностической линии"/>
        <s v="Счёт № 2773235 от 25.06.2025г. Кнопка &quot;Пуск-Стоп&quot;"/>
        <s v="Счёт № 053081 от 19.06.2025г. Шпонки"/>
        <s v="12С-230-Ц-НЭЦ-ЭПБ-ТУ-24 от 16.12.2024"/>
        <s v="Счёт № ТКЛ004398 от 03.06.2025г. Набор съёмников"/>
        <s v="Счёт № ЛС-4074970856-1 от 19.05.2025г."/>
        <s v="160102 от 16.01.2025 г. EUR Бульдозеры KOMATSU D375A-8"/>
        <s v="счет № 2000-006994 от 08.06.2023"/>
        <s v="Счёт № СЧ-ЯСК400653 от 15.12.2024"/>
        <s v="170 от 07.11.2023г. Спец. 7  Модуль баня"/>
        <s v="№ 170 от 07.11.2023г, спец. № 6 от 21.01.2025г."/>
        <s v="Счёт № 2410 от 24.03.2025г.Сирена механическая ручная"/>
        <s v="2/03/2025 от 07.03.2025г. CHANGAN HUNTER PLUS"/>
        <s v="3/03/2025 от 07.03.2025г. CHANGAN HUNTER PLUS"/>
        <s v="7875-ВО-10 (спец 7) от 14.12.2015 г."/>
        <s v="Счёт № П0027859 от 20.03.2025г. Рыба"/>
        <s v="2612-А-11989 от 11.03.2025г. Спец. № 35835-06  &quot;Сайлык&quot; ЯКНО"/>
        <s v="2612-А-11989 от 11.03.2025г. Спец. № 37714-01 &quot;Дражный&quot; ЯКНО"/>
        <s v="007 от 17.02.2025г. Запчасти для а/м TOYOTA HILUX."/>
        <s v="Счёт № 1874 от 24.03.2025г. Запчасти для плазморезов"/>
        <s v="РС-08-12-2022-5 от 08.12.2022г. Спец. 8 Запчасти"/>
        <s v="Счёт № 2 от 03.10.2024г. чехлы на Форд"/>
        <s v="счет 1754 от 28.12.2024 доставка ООО &quot;Сибирские технологии&quot;"/>
        <s v="14 от 10.03.2024г. Счёт № 362 от 10.03.2025г. Нагнетатели смазки"/>
        <s v="Счёт № 5 от 11.03.2025г. Спецодежда"/>
        <s v="РС-26-12-2022-9/127з от 26.12.2022г. Спец. 17 Сита, задвижки, катки"/>
        <s v="РС-26-12-2022-9/127з от 26.12.2022г. Спец. 21 Фильтры"/>
        <s v="РС-06-03-2024-1 от 06.03.2024г. Спец. 2 от 21.02.2025г. Лес кругляк"/>
        <s v="Счёт № 25-00021115167 от 18.03.2025г. (ТЗР ООО &quot;Гаро&quot; Нагнетатели смазки)"/>
        <s v="Счёт № 25-00291063356 от 27.03.2025г. (ТЗР ООО &quot;ТЗО&quot; Фильтры)"/>
        <s v="Счёт № 25-00381001769 от 10.01.2025г.  ООО &quot;КТФ&quot;"/>
        <s v="Счёт № 25-00381095092 от 26.03.2025г. (ТЗР ООО &quot;Мобиба&quot; Палатка, печь)"/>
        <s v="Счёт № 25-00391027918 от 27.03.2025г. (ТЗР ООО &quot;Армиг&quot; Запчасти для плазморезов)"/>
        <s v="Счёт № 25-00481012184 от 24.03.2025г.(ТЗР АО &quot;ГПФК&quot; Фильтры)"/>
        <s v="Счёт № 25-12621047925 от 20.03.2025г. (ТЗР ООО &quot;Термоальянс&quot; Станция подачи топлива)"/>
        <s v="Счёт № 25-50370002143 от 28.03.2025г.(ТЗР ООО &quot;Зет-Техно&quot; Автомойки)"/>
        <s v="Счёт № А-00109891 от 27.03.2025г. Память USB Flash. Внешний SSD Samsung Т7"/>
        <s v="Счёт А-00107889 от 26.03.2025г. Ноутбук, рюкзак, док-станция, мышь"/>
        <s v="Счёт № Г-00124833 от 19.03.2025г. Оргтехника"/>
        <s v="ЕХ-15-25к от 27.02.2025г. Спец. 1 Воздухонагреватель Caros HGA-500"/>
        <s v="Счет № 2252131367298346Д от 06.12.2024 (СервисБурСистема)"/>
        <s v="Счёт № 2252131369923511Д от 14.12.2024 (КПК-Партс)"/>
        <s v="Счёт № 2252131380964434Д от 21.01.2025 (КПК-Партс)"/>
        <s v="Счёт № 2253732615428865Д от 26.12.2024 (КПК-Партс)"/>
        <s v="Счёт № 2253732616061094А от 21.01.2025 (КПК-Партс)"/>
        <s v="Счёт № 229605946136003А от 06.12.2024 (СервисБурСистема)"/>
        <s v="Счёту № 2253732615273780А от 14.12.2024 (КПК-Партс)"/>
        <s v="25-112 от 10.03.2025г. Автомойки Посейдон"/>
        <s v="14/03-1п от 14.03.2025г. Элемент фильтрующий-сепаратор"/>
        <s v="Счёт № S0250305723 от 21.03.2025г. Мотодрель Champion DR230-DR230"/>
        <s v="11.02.2025 от 11.02.2025г. Спец. 1 (Долото - 82шт)"/>
        <s v="МО-12-01-2024-1 от 12.01.2024г. Спец. 12 Масло LUKOIL"/>
        <s v="МО-12-01-2024-1 от 12.01.2024г. Спец. 15 АКБ"/>
        <s v="Счёт № КВ-440 от 17.03.2025г. Бумага А4"/>
        <s v="Счет 12 от 07.12.2024"/>
        <s v="Счёт № 1439 от 27.03.2025г. Канат"/>
        <s v="37 от 21.03.2025г. Кадастровые работы уч. &quot;Нера&quot;"/>
        <s v="Счёт № ИМ000000242 от 20.03.2025г. Строительный инструмент"/>
        <s v="Счёт № 128 от 27.03.2025г. Гайки стакана форсунки"/>
        <s v="Счёт № ЦБ-871 от 21.03.2025г. Клемы АКБ СВИНЕЦ"/>
        <s v="214/03 от 28.02.2025г."/>
        <s v="Договор купли-продажи имущества от 24.01.2025г. ( емкости РГС-60 и комплектующие)"/>
        <s v="№ РС-09-12-2022-3 от 09.12.2022г. от 09.12.2022г. Спец 6 Промприбор"/>
        <s v="РС-09-12-2022-3 от 09.12.2022г. Спец. 7 з/ч на промприбор"/>
        <s v="Счёт № 453 от 21.03.2025г. Палатка Мобиба. Печь Согра-3"/>
        <s v="Счёт № FECB-004892 от 18.03.2025г. Договор № FE-P/22-063 от 19.12.22г. Запчасти"/>
        <s v="Счёт № FECB-005083 от 19.03.2025г. Договор FE-P/22-063 от 19.12.22г. Фильтры"/>
        <s v="Счёт № FECB-005141 от 19.03.2025г. Договору № FE-P/22-063 от 19.12.22г. Переключатель"/>
        <s v="Счёт № FECB-016244 от 30.07.2024г. Договор № FE-P/14-111 Термостаты"/>
        <s v="Счёт № FECB-016611 от 05.08.2024г. Договор № FE-P/14-111 Резиновое уплотнение"/>
        <s v="Счёт № FECB-023040 от 04.10.2024г Договор № FE-P/22-063 от 19.12.22г.  (Подшипник скольжения, палец)"/>
        <s v="54-ММ от 31.10.2022г"/>
        <s v="Счёт № 3182 от 12.11.2024г. Адаптер для натяжения гусеницы"/>
        <s v="Счёт № УТ-4358 от 21.03.2025г. Инструмент"/>
        <s v="Счёт № УТ-4416 от 22.03.2025г. Инструмент"/>
        <s v="Счёт № 88 от 25.03.2025г. Серьги, зажимы, изоляторы"/>
        <s v="Спецификация 3 от 10.12.2024"/>
        <s v="ПР-04 24 от 01.04.2024г. Приложение 7 от 12.12.2024г."/>
        <s v="РС-10-02-2023-1 от 10.02.2023г. Спец. 3 Автошины"/>
        <s v="Счёт-договор № 16/07-3 от 16.07.2024г. Контроллер ML3"/>
        <s v="14/038-2025 от 21.01.2025г. 60000 Айхал 5,1102га  60 000"/>
        <s v="14/039-2025 от 21.01.2025г. Айхал 10,8753га 60000"/>
        <s v="14/059-2025 от 27.02.2025г. (Тарын 73,2500га) 424 441,07"/>
        <s v="14/075-2025 от 11.02.2025г. Айхал 2,1660га 139 679,48"/>
        <s v="14/076-2025 от 11.02.2025г. Эрел 33,6097га  457 918,98"/>
        <s v="14/150-2025 от 13.03.2025г. Обман 5,4584га"/>
        <s v="14/163-2025 от 21.03.2025г. Айхал 4,8288га"/>
        <s v="14/508-2024 от 01.11.2024г. Смородина 79,8315га"/>
        <s v="Счёт № ЦБ-64 от 27.03.2025г. Электроконвектор Loriot"/>
        <s v="Счёт № 39244 от 21.03.2025г. Форсунки QUATTRO ELEMENTI QE110D"/>
        <s v="МО-23-01-2024-1 от 23.01.2024г. Спец. 4 Запчасти для Белазов"/>
        <s v="Счёт № 1220 от 07.03.2025г. (ТЗР ООО &quot;Ависта Модуль Инжиниринг&quot; Модули)"/>
        <s v="Счёт № 1381 от 13.03.2025г.(ТЗР ООО &quot;Ависта Модуль Инжиниринг&quot;  Модули)"/>
        <s v="Счёт № 1435 от 14.03.2025г. (ТЗР ООО &quot;Ависта Модуль Инжиниринг&quot; Модули)"/>
        <s v="Счёт № 1436 от 14.03.2025г. (ТЗР ООО &quot;Ависта Модуль Инжиниринг&quot; Модули)"/>
        <s v="Счёт № 1702 от 21.03.2025г. (ТЗР ООО &quot;Ависта Модуль Инжиниринг&quot; Модули Спец. 6)"/>
        <s v="Счёт № 1817 от 27.03.2025г. (ТЗР ООО &quot;Ависта Модуль Инжиниринг&quot; Модули Спец.7)"/>
        <s v="Счёт № 559 от 06.02.2025г. Сварочный агрегат УЗСНГО Искра"/>
        <s v="Счёт № 809 от 19.02.2025г. Перевозка модулей"/>
        <s v="Счёт № 882 от 22.02.2025г. (ООО &quot;Ависта Модуль Инжиниринг&quot; модули)"/>
        <s v="Счёт № 884 от 22.02.2025г. (ООО &quot;Ависта Модуль Инжиниринг&quot; модули)"/>
        <s v="Счёт № 7523 от 26.03.2025г. Камлок"/>
        <s v="Счёт № УТ-245 от 21.03.2025г.  Ключ Съёмник"/>
        <s v="Счёт № НСБ6639 от 05.03.2025г. ООО &quot;Сибирские технологии&quot; РТИ"/>
        <s v="счет 391 от 13.12.2024  насос"/>
        <s v="ОИ-75/25 от 11.03.2025г."/>
        <s v="Счёт № ЯКТ00018600 от 18.10.2024г. ООО &quot;Евразия Майнинг&quot; Запчасти"/>
        <s v="Счёт № ЯКТ01516 от 13.02.2025г. (Генератор для вертолёта)"/>
        <s v="Счёт № ЯКТ02948 от 14.03.2025г.  (ТЗР ООО &quot;Глобал Фиш&quot; Счёт № 5 Спецодежда)"/>
        <s v="Счёт № ЯКТ03393 от 24.03.2025г.(ТЗР ООО &quot;ДНС Ритейл&quot; Оргтехника)"/>
        <s v="Счёт № ЯКТ03655 от 28.03.2025г. (ТЗР ООО &quot;Триза&quot; Оборудование Сч. 407)"/>
        <s v="МО-03-01-2024-1 от 03.01.2024г. Спец. 11 Коронки ковша - 30 шт."/>
        <s v="МО-03-01-2024-1 от 30.01.2024г. Спец. 9 Гусеницы, катки"/>
        <s v="248 от 23.09.2024г. Пыльник шруса"/>
        <s v="02-10-24 ТК/ПМ от 22.10.2024"/>
        <s v="1103-1/ТА от 11.03.2025г. Станция подачи-фильтрации топлива"/>
        <s v="Счёт № 89072 от 26.03.2025г. Розетки, ниппели"/>
        <s v="01-2024/ТХ от 09.01.2024г. Спец. 2 Рукав полиэтиленовый"/>
        <s v="Счёт № 820044315047 от 09.09.2024г. Коронки, ножи"/>
        <s v="Счёт № 820044339233 от 23.03.2025г. Форсунки"/>
        <s v="Счёт № 752 от 05.03.2025г. Ремонт Toyota HIGHLANDER"/>
        <s v="25/03/25 от 25.03.2025г. Оборудование"/>
        <s v="ПТ/0110-УВК/2020-ПЗ от 01.10.2020 г."/>
        <s v="Счёт № ФА-227 от 20.03.2025г. Мотопомпа Skat"/>
        <s v="32426 от 07.02.2024г."/>
        <s v="Счёт № 40225-8-3-1/666 от 04.02.2025г. (СЖС Восток Лимитет пробы за ТТ)"/>
        <s v="РС-07-03-2025-1 от 07.03.2025г. Спец. 1"/>
        <s v="СОУТ/Э-003/24 от 22.07.2024г."/>
        <s v="Счёт № 829 от 05.02.2025г. Патрубки"/>
        <s v="Соглашение № 35437L/D1 от 11.03.2025г. Выкуп"/>
        <s v="Счёт № ЛС-4074970856-1 от 07.06.2024г."/>
        <s v="М0-07-03-2024-1 от 07.03.2024г. Спец 8 запчасти буров"/>
        <s v="114з от 27.12.2024г. Спец.1 USD самосвалы Белаз (2шт.)"/>
        <s v="Счёт № МГ00000437 от 18.03.2025г. EUR Фильтры гидравлические"/>
        <s v="Счёт № МГ00000438 от 18.03.2025г. EUR Фильтры гидравлические"/>
        <s v="Договор №MM-PIOSK-2024 LiuGong от 27.12.2024"/>
        <s v="01/3494-24 от 28.12.2024г. Импортные запчасти"/>
        <s v="88/272-2786644-2 от 07.02.2025г. Бульдозер SHANTUI SD22-254hp(ARCTIC)"/>
        <s v="88/272-2860815-1 от 20.02.2025г. Бульдозер SHANTUI SD22-254hp(ARCTIC)"/>
        <s v="ОА-06/2024 от 22.03.2024г."/>
        <s v="182ТД от 17.10.2024г. Спец. 1 Компрессор для бур. станка"/>
        <s v="182ТД от 17.10.2024г. Спец. 2 Фильтры"/>
        <s v="Счёт № 9322170988 от 02.12.2024г."/>
        <s v="Счёт № 2412-246834-63770 от 25.12.2024 мотопомпа, фильтр"/>
        <s v="Счёту № 2412-246751-34443 Компрессор Мастак от 25.12.2024"/>
        <s v="44-24/СЦ от 20.12.2024 г."/>
        <s v="Счёт № 24-01371223245 от 18.10.2024г. ООО &quot;УПК&quot; Подшипники"/>
        <s v="Счёт № А-00163452 от 14.05.2024г."/>
        <s v="Счёт № ЦБ-5691 от 16.09.2024г. Крестовины"/>
        <s v="Счет 11 от 07.12.2024"/>
        <s v="Счет 13 от 11.12.2024"/>
        <s v="Счет 15 от 12.12.2024"/>
        <s v="Счет 16 от 12.12.2024"/>
        <s v="1303-2023 от 13.03.2023 счет 325"/>
        <s v="1303-2023 от 13.03.2023г. Спец. 6"/>
        <s v="26/08 от 26.08.2024г."/>
        <s v="Счёт № FECB-013317 от 01.07.2024г. Договор № FE-P/22-063 от 19.12.22г. Пружина, болт, гайка"/>
        <s v="Счёт № FECB-013758 от 04.07.2024г. Договор № FE-P/22-063 от 19.12.22г."/>
        <s v="Счёт № FECB-016236 от 30.07.2024г. Договор № FE-P/22-063 от 19.12.22г."/>
        <s v="Счёт № FECB-016244 от 30.07.2024г. Договор № FE-P/22-063 от 19.12.22г. Термостаты"/>
        <s v="Счёт № FECB-016611 от 05.08.2024г. Договор № FE-P/22-063 от 19.12.22г. Резиновое уплотнение"/>
        <s v="Счёт № 1764 от 16.08.2024г. Подшипниковая камера"/>
        <s v="16/04 от 12.04.2021г. Спец. 2 Инструмент для бур. станка"/>
        <s v="16/04 от 12.04.2021г. Спец. 3 Инструмент для станка Беркут"/>
        <s v="10634/2024/КИО от 01.03.2024г."/>
        <s v="Счёт № 71 от 02.08.2024г. Контроллер Hitachi"/>
        <s v="Спецификация 2 от 09.12.2024"/>
        <s v="Счёт № РМГ00000590 от 11.11.2024г. Кресла, диван"/>
        <s v="РС-05-11-2024-1 от 05.11.2024г. Спец. 1 (Коронки, трубы)"/>
        <s v="МО-11-03-2024-1 от 11.03.2024г. Спец. 4 (фитинг)"/>
        <s v="Счёт № 29.10.2024/1 от 29.10.2024г. Душевая кабина"/>
        <s v="Счёт № ЯКТ00018200 от 07.11.2024г. ООО &quot;Евразия Майнинг&quot; Запчасти"/>
        <s v="Счёт № ЯКТ00019400 от 04.12.2024 (Евразия Майнинг , запчасти)"/>
        <s v="Счёт № 29916 от 27.11.2024г. Мех.торц. уплотнение"/>
        <s v="Счёт № СЧ-104590 от 15.10.2024г. подшипники"/>
        <s v="Счёт № 3261515/200 от 26.11.2024г."/>
        <s v="017 от 19.09.2024г."/>
        <s v="Спецификация 1 от 12.12.2024"/>
        <s v="Спецификация 2 от 12.12.2024"/>
        <s v="РС-26-12-2022-9/127з от 26.12.2022г. Спец. 13 USD запчасти"/>
        <s v="Счёт № МГ00001851 от 26.09.2024г. Фильтры"/>
        <s v="Счёт № 015 от 28.08.2024г. Овощи"/>
        <s v="Счёт № 016 от 20.09.2024г. Овощи"/>
        <s v="П0021447 от 04.03.2024"/>
        <s v="Счёт № П0042971 от 02.05.2024г."/>
        <s v="Счёт № РЗ-234/60 от 29.08.2024г. Диск тормозной"/>
        <s v="Счёт № РЗ-426 от 26.09.2024г. Запчасти HILUX"/>
        <s v="Счёт № 59 от 11.09.2024г."/>
        <s v="Счёт № 84 от 26.07.2024г. Кронштейны, сошки, ложки  СВО"/>
        <s v="216-24 от 10.03.2024г.  Нера-Таллалах 191594"/>
        <s v="17-24 от 01.12.2023"/>
        <s v="20-УЦ/2024-СВ от 23.08.2024г. (64ч.)"/>
        <s v="20-УЦ/2024-СВ от 23.08.2024г. (8ч.)"/>
        <s v="Счёт № УТ-9224 от 16.09.2024г. Насосы"/>
        <s v="Счёт № УТ-9570 от 23.09.2024г. Войлок"/>
        <s v="Счёт № УТ-9649 от 24.09.2024г. Стройматериалы"/>
        <s v="счет № 2311-289581-74051 от 02.11.2023 обогреватели"/>
        <s v="Счёт № 2406-235755-36966 от 05.06.2024г. Бесщеточная дрель-шуруповерт"/>
        <s v="Счёт № 2406-238194-09313 от 01.06.2024г. Дрель-шуруповёрт"/>
        <s v="Счёт № 2406-286914-00700 от 02.06.2024г. Champion генераторы дизельные  DG3601Е  СВО"/>
        <s v="Счёт № 2406-293772-49374 от 26.06.2024г. Розетки"/>
        <s v="Счёт № 2409-254466-85190 от 20.09.2024г. Инструмент для СВО"/>
        <s v="КЮ48867 от 02.06.2019"/>
        <s v="КЮ55951 от 05.05.2021г."/>
        <s v="КЮ55954 от 05.05.2021г."/>
        <s v="№ 3-ТЭО-23 от 07.08.2023г"/>
        <s v="Счёт № 156 от 20.09.2024г. БПЛА  (СВО)"/>
        <s v="РС-26-12-2022-9/127з от 26.12.22г, спец № 7 задвижки, сито, сетки"/>
        <s v="Счёт № МГ00001847 от 26.09.2024г. Вентиляторы"/>
        <s v="Счёт № 5295 от 30.09.2024г. ООО &quot;Камдео&quot; Запчасти"/>
        <s v="МО-22-01-2024-2 от 22.01.2024г. Спец. 2 (Запчасти)"/>
        <s v="Счёт № А-00151921 от 02.05.2024г."/>
        <s v="Счёт № УТ-75819 от 20.09.2024г. Утеплитель"/>
        <s v="№ РС-08-12-2022-12 от 08.12.2022г, спец № 1 от 10.02.2023"/>
        <s v="Счёт № 23 259 от 10.07.2024г."/>
        <s v="МО-12-01-2024-1 от 12.01.2024г. Спец. № 1 (запчасти на промприбор)"/>
        <s v="Счёт № 274 от 05.08.2024г. Втулки, пружины, болты, гайки, ремкомплект"/>
        <s v="Счёт № 318 от 10.09.2024г. Радиаторы, стартеры, ремкомплект"/>
        <s v="Договор № БС-18.06.21 от 18.06.2021 г."/>
        <s v="Счёт № 0116348522 от 23.07.2024г."/>
        <s v="Счёт № 1485 от 05.09.2024г."/>
        <s v="ГМ-1021 от 10.06.2022г"/>
        <s v="ГМ-964 от 03.06.2022г"/>
        <s v="счет № ГМ-273 от 03.03.2023г. ремень"/>
        <s v="Счёт № ГМ-395 от 24.03.2023г. генератор"/>
        <s v="Счёт № ЦБ-3717 от 04.09.2024г. К-т гильза поршень"/>
        <s v="Счёт № ГЛ-4508 от 08.07.2024г. Концевик"/>
        <s v="Счёт № 16 от 09.02.2024"/>
        <s v="Счёт № 92 от 17.09.2024г."/>
        <s v="178 от 17.06.2024г. перевозка Иннопром"/>
        <s v="Счёт № 292311681 от 20.09.2024г. Автономный отопитель"/>
        <s v="Счёт № 196 от 24.06.2024г."/>
        <s v="ПР-04/24 от 01.04.2024г. Приложение № 6 от 18.09.2024г. Дт зимнее"/>
        <s v="Счёт № П-521 от 25.09.2024г. Гидромотор"/>
        <s v="Счёт № 309 от 03.09.2024г. Форма для СВО"/>
        <s v="14/398-2024 от 20.09.2024г. Нера-Таллалах 47,8986га"/>
        <s v="РС-22-02-2024 от 22.02.2024г. Спец. 8 (Футеровка шлюзов)"/>
        <s v="РС-22-02-2024 от 22.02.2024г. Спец. 9 (Футеровка бункера)"/>
        <s v="РС-22-02-2024 от 22.02.2024г. Спец.10 (Дно ШМН2)"/>
        <s v="Счёт № 14 от 14.03.2024г. перевозка"/>
        <s v="МО-11-01-2024-1 от 12.01.2024г. Спец. 2"/>
        <s v="Счёт № ЦБ-1079 от 08.04.2024г."/>
        <s v="№ 61-2022 от 28.02.2022 г."/>
        <s v="ОИ-289/24 от 26.07.2024г."/>
        <s v="Счёт № 1502 от 24.09.2024г. Шины"/>
        <s v="Счёт № ЯКТ00016102 от 25.09.2024г. ООО &quot;ВсеИнструменты.ру&quot; Розетки"/>
        <s v="Счёт № ЯКТ00016194 от 26.09.2024г. ООО ТД &quot;Спецшина&quot; Шины"/>
        <s v="Счёт № СФРХ_01488 от 17.07.2024г. Фильтры"/>
        <s v="Б-370/24 от 31.07.2024г."/>
        <s v="Т/А-233/24 от 31.07.2024г."/>
        <s v="Б/Н от 01.11.2023г. Доп. соглашение № 1"/>
        <s v="счет № 222 от 21.09.2023"/>
        <s v="Счёт № 268 от 29.11.2023"/>
        <s v="№102/2020 от 26.01.2021 г."/>
        <s v="Счёт № 1312 от 26.06.2024г."/>
        <s v="Счёт № 3261515/199 от 07.06.2024г."/>
        <s v="2710 ИЛЦ-02-24 от 24.04.2024г."/>
        <s v="ЭЮ-0701/2024 от 01.01.2024"/>
        <s v="03-160/24 от 26.09.2024 г."/>
        <s v="015 от 22.08.2024г."/>
        <s v="180/24 от 28.03.2024г. перевозки доставка"/>
        <s v="10-23-ВМ, приложение №1 от 28.11.2023г. Спец. 2"/>
        <s v="№ 18-22-ВМ от 28.11.2022г., спец №1 от 28.11.2022"/>
        <s v="Счёт № 17567 от 27.09.2024г. Реле"/>
        <s v="КЛВ-6/23 от 13.09.2023"/>
        <s v="МИ-07-03-2024-1 от 07.03.2024г. Спец 3 Двигатель  CNY"/>
        <s v="РС-26-12-2022-9/127з от 26.12.22г, спец № 8 (Фильтры)  ЕВРО"/>
        <s v="ПТ/1604-УВК/2024 от 16.04.2024г."/>
        <s v="МО-12-01-2024-1 от 16.01.2024, Спец.1 (З/ч импорт)"/>
        <s v="ТСЗ-100000232-0147 от 04.10.2023г. Спец. № 3623532 от 26.01.2024г. USD"/>
        <s v="счет №УТ-3709 от 08.08.2023"/>
        <s v="Счёт № 009 от 27.06.2024г."/>
        <s v="Счёт № 678 от 31.05.2024г."/>
        <s v="Счёт № 4892 от 22.04.2024г. перевозки"/>
        <s v="Счёт № 25854 от 25.04.2024г. страховка"/>
        <s v="Счёт № 3748 от 13.06.2024г."/>
        <s v="10-145-Ц-АЕВ-ИЗМ-24 от 28.06.2024г."/>
        <s v="46-2024 от 10.06.2024г."/>
        <s v="Счёт № 120424-2935-7-1/583 от 12.04.2024г. перевозки"/>
        <s v="Счёт № 220424-2935-12-1/583 от 22.04.2024г. перевозки"/>
        <s v="Счёт № 220524-2935-1-1/583 от 22.05.2024г. перевозки"/>
        <s v="Счёт № 6869690044 от 07.05.2024г."/>
        <s v="Счёт № ХО2659 от 27.03.2024г."/>
        <s v="Счёт № УТ-3940 от 06.05.2024г."/>
        <s v="Счёт № 2406-229050-13561 от 14.06.2024г. Ресанта Стабилизаторы напряжения"/>
        <s v="Счёт № 2406-298242-50698 от 18.06.2024г.  плунжерный шприц"/>
        <s v="Счёт № УТ-70 от 08.05.2024г."/>
        <s v="КЮ49518 от 17.06.2019г."/>
        <s v="КЮ55945 от 05.05.2021г."/>
        <s v="Счёт № 87 от 04.06.2024г."/>
        <s v="УТ-2245 от 21.06.2024г. Зонт вентиляционный, посуда"/>
        <s v="ИЕА 01.12.2020 от 01.12.2020г"/>
        <s v="РС-04-12-2023-1 от 04.12.2023г. Спецодежда логотип"/>
        <s v="РС-05-03-2024-2 от 05.03.2024г. Спец. 1 (мясо)"/>
        <s v="РС-19-01-2024-1 от 19.01.2024, Спец. 3 (Быт. химия)"/>
        <s v="Счёт № 8 от 14.03.2024г. перевозка продуктов (бакалея, колбасы)"/>
        <s v="договор № 17 от 12.03.2021г"/>
        <s v="Счёт № 87 от 31.05.2024г."/>
        <s v="РС-06-06-2024-1 от 13.06.2024г. Спец. 1"/>
        <s v="Счёт № 85 от 03.06.2024г. мясо, кондитерка"/>
        <s v="УТ-348 от 06.05.2024г."/>
        <s v="Счёт № 1851 от 17.04.2024г.  перевозки"/>
        <s v="Счёт № 2440 от 20.05.2024г.  перевозки"/>
        <s v="Счёт № 3167 от 18.06.2024г. Камдео Запчасти ТТН № 2401710А от 17.06.2024г."/>
        <s v="Счёт № 3331 от 25.06.2024г."/>
        <s v="Счёт № 24-00551038604 от 15.03.2024г. = 28 579,00"/>
        <s v="Счёт № 24-00661533278 от 18.06.2024г."/>
        <s v="Счёт № 24-01191264246 от 05.06.2024г."/>
        <s v="Счёт № 24-01211337948 от 26.06.2024г."/>
        <s v="Счёт № 24-01391224225/1 от 05.06.2024г."/>
        <s v="Счёт № 24-01741040104 от 27.06.2024г."/>
        <s v="Счёт № 24-03671013609 от 30.05.2024г..."/>
        <s v="Счёт № 24-10531264581 от 16.06.2024г."/>
        <s v="Счёт № 24-50370000712 от 17.05.2024г."/>
        <s v="Счёт № 24-50370001170 от 05.06.2024г."/>
        <s v="Счёт № 24-50370001170/1 от 25.06.2024г."/>
        <s v="МО-22-01-2024-2 от 22.01.2024 г. спец.1 двигатели, транспортные расходы"/>
        <s v="Счёт № А-00192512 от 04.06.2024г."/>
        <s v="24-274 от 07.05.2024г."/>
        <s v="ИВ/91848Ю от 12.10.2017г"/>
        <s v="1 от 11.04.2024г. Приложение 1 сервисное обслуж"/>
        <s v="МО-07-11-2023-1 спец 4 от 07.11.2023 модуль"/>
        <s v="Счёт № 189 от 21.06.2024г. 195-50-41120 Палец"/>
        <s v="РС-08-12-2022-15 от 08.12.2022г. Спец. 2"/>
        <s v="МО-12-01-2024-1 от 12.01.2024, Спец. 1 (Масла и жидкости)"/>
        <s v="Счёт № ЦБ-2104 от 18.04.2024г. автозапчасти"/>
        <s v="Счёт № 6444 от 16.05.2024г."/>
        <s v="Счёт № УТ-88 от 18.06.2024г. Масло MOTUL 800"/>
        <s v="1303-2023 от 13.03.2023 спец 4"/>
        <s v="Счёт № 1121 от 07.04.2024г. ремонт а/м"/>
        <s v="счет № 1811 от 11.10.2023 ремонт а/м"/>
        <s v="МО-17-11-2023-1 от 18.12.2023"/>
        <s v="Счёт № ГЛ-2029 от 10.04.2024г."/>
        <s v="Счёт № ГЛ-2034 от 10.04.2024г."/>
        <s v="20240315 от 15.03.2024г."/>
        <s v="31/01-20 от 13.01.2020г. Спец. 2"/>
        <s v="Счет № FECB-004968 от 29.03.2024 г. ШЛАНГИ Договор №FE-P/22-063 от 19.12.22г."/>
        <s v="Счет № FECB-008487 от 07.05.2024 г. Договор №FE-P/22-063 от 19.12.22г."/>
        <s v="Счет № FECB-008673 от 13.05.2024 г. Договор №FE-P/22-063 от 19.12.22г.Запчасти Komatsu  (D-375)"/>
        <s v="Счёт № FECB-013082 от 26.06.2024г.ПАЛЕЦ Договор № FE-P/22-063 от 19.12.22г. (Палец)"/>
        <s v="4-2024 от 09.11.23г,  спец 4"/>
        <s v="Без договора"/>
        <s v="Счёт № НН-00378 от 17.06.2024г."/>
        <s v="Счёт № НН-00402 от 24.06.2024г."/>
        <s v="Счёт № 514 от 25.06.2024г."/>
        <s v="№ РС-08-04-2022-1 от 08.04.2022"/>
        <s v="УТ- 402 от 06.05.2024г."/>
        <s v="Счёт № 52 от 03.06.2024г.  Запчасти Komatsu для HD365"/>
        <s v="Счёт № 001225 от 23.04.2024г."/>
        <s v="ПР-04/24 от 01.04.2024г. Сч.24042601, приложение 3"/>
        <s v="Счёт № ЯКА03280012 от 28.03.2024г. перевозки"/>
        <s v="РС-10-12-2022-3 от 09.02.2023г. Спец. 12"/>
        <s v="РС-10-12-2022-3 от 09.02.2023г. Спец. 9"/>
        <s v="Счёт № 16949 от 17.06.2024г.  КГ-ХЛ 3*4+1*2,5"/>
        <s v="Счёт № 6953 от 28.05.2024г. Сборка, упаковка и автоэкспедирование груза"/>
        <s v="Счёт № 322 от 31.05.2024г."/>
        <s v="Счёт № 35 от 19.03.2024г."/>
        <s v="счет № 113986F от 23.11.2022"/>
        <s v="ФМВ/П-0017270 от 18.04.2024г."/>
        <s v="Счёт № 37 от 14.05.2024г. Подшипник"/>
        <s v="Счёт № 80 от 26.06.2024г. (Палец)"/>
        <s v="Счёт № 367 от 19.06.2024г."/>
        <s v="02-06 от 14.06.2024г."/>
        <s v="18 от 08.05.2024г."/>
        <s v="Счёт № 6742 от 24.06.2024г."/>
        <s v="Счёт № ЦБ-1301 от 05.06.2024г. бакалея, кондитерка"/>
        <s v="Счёт № ЦБ-795 от 13.04.2024г. Яйцо, изюм"/>
        <s v="Счёт № СПР00003857 от 26.03.0320г. страхование и перевозки"/>
        <s v="Счёт № 2 от 03.04.2024г. Цельностеклянная угловая перегородка"/>
        <s v="Счёт № 3 от 03.04.2024г. Цельностеклянная угловая перегородка"/>
        <s v="Счёт № ЯКТ000010010 от 27.06.2024г."/>
        <s v="Счёт № ЯКТ00008031 от 06.06.2024г."/>
        <s v="Счёт № ЯКТ00008243 от 07.06.2024г."/>
        <s v="Счёт № ЯКТ00008594 от 13.06.2024г."/>
        <s v="Счёт № ЯКТ00009338 от 20.06.2024г."/>
        <s v="Счёт № ЯКТ00009647 от 25.06.2024г."/>
        <s v="Счёт № ЯКТ00009718 от 25.06.2024г. ТЗР - станция зарядная углекислотная (для огнетушителей) (ИП Гузн"/>
        <s v="Счёт № ЯКТ00009820 от 26.06.2024г."/>
        <s v="Счёт № ЯКУ00009735 от 25.06.2024г."/>
        <s v="Счёт № ST137733 от 17.06.2024г."/>
        <s v="Счёт № ST138083 от 24.06.2024г."/>
        <s v="Счёт № СФРХ_01299 от 21.06.2024г.  Генератор и ремкомплекты"/>
        <s v="119 от 23.05.2024г. Пыльники шруса, шрус"/>
        <s v="Счёт № 8 от 13.06.2024г. фильтры"/>
        <s v="Счёт № 250692 от 17.05.2024г."/>
        <s v="Счёт № 820044303198 от 08.06.2024г."/>
        <s v="ТСЗ-100000232-0147 от 04.10.2023 г. Спец. № 3626940 от 31.01.2024г."/>
        <s v="ТСЗ-100000232-0147 от 04.10.2023г. Спец. 3693983 от 23.04.2024г."/>
        <s v="Счёт № СбТМ-947 от 18.06.2024г."/>
        <s v="Б/Н от 13.05.2024г. Счёт № 577 от 14.05.2024г.  перевозки"/>
        <s v="Счёт № ЦБ-4389 от 20.06.2024г."/>
        <s v="основной от 12.03.2024"/>
        <s v="Счёт № ЦМ-1059 от 16.05.2024г."/>
        <s v="03-43/24 от 13.02.2024г."/>
        <s v="счет № ЦСБ18220 от 08.09.2023г,"/>
        <s v="10-2024 от 30.05.2024г."/>
        <s v="Счёт № 1301668270 от 21.06.2024г. полировка кузова"/>
        <s v="Счёт-договор № 276 от 29.05.2024г."/>
        <s v="12С-267-Ц-НЭЦ-ЭПБ-ТУ-23 от 22.11.2023"/>
        <s v="№ Д 25-2024 от 23.01.2024"/>
        <s v="№ FE-P/22-063 от 19.12.2022г, счет USD $"/>
        <s v="№ БС-02.12.22/11 от 02.12.2022г., спец № 5 от 02.12.2022 ($ доллар)"/>
        <s v="2022/08-24 от 24.08.2022г. Спец. 5 USD"/>
        <s v="№ 170 от 07.11.2023г, спец. № 1 от 07.11.2023"/>
        <s v="№ 170 от 07.11.2023г, спец. № 2 от 07.11.2023"/>
        <s v="№ 170 от 07.11.2023г, спец. № 3 от 07.11.2023"/>
        <s v="№ 170 от 07.11.2023г, спец. № 4 от 07.11.2023"/>
        <s v="№ 170 от 07.11.2023г, спец. № 5 от 07.11.2023"/>
        <s v="№ 2023-05/12-1г от 11.12.2023"/>
        <s v="МО-25-01-2024-1 от 25.01.2024г. Спец. 1 (Запчасти ЭКГ)"/>
        <s v="Д-2468-12-Р от 22.12.2023"/>
        <s v="Счёт № ФИ-195 от 27.02.2024"/>
        <s v="МО-07-03-2024-1 от 07.03.2024г."/>
        <s v="ВДВ-15.02.2024 от 15.02.2024  перевозки"/>
        <s v="РС-08-12-2022-5 от 08.12.22г. Спец. №5"/>
        <s v="РС-08-12-2022-5 от 08.12.22г. Спец. №7"/>
        <s v="1 от 13.03.2024г."/>
        <s v="07 от 22.02.2024  перевозки"/>
        <s v="Счёт № 2403-255095-58987 от 12.03.2024г."/>
        <s v="24-058 от 19.02.2024"/>
        <s v="МО-15-12-2023-1 от 15.12.2023 г.  Спец 1"/>
        <s v="МО-15-12-2023-1 от 15.12.2023 г.  Спец 2"/>
        <s v="МО-15-12-2023-1 от 15.12.2023 г.  Спец 3"/>
        <s v="УТ-1167 от 25.03.2024г."/>
        <s v="РС-06-03-2024-2 от 06.03.2024г. Спец. 1 (продукты)"/>
        <s v="РС-19-01-2024-1 от 19.01.2024, Спец. 1 (Посуда и кух. оборудование)"/>
        <s v="РС-19-01-2024-1 от 19.01.2024, Спец. 2 (Матрасы и одеяла)"/>
        <s v="Счёт № 7 от 14.03.2024г. перевозка мяса, субпродуктов"/>
        <s v="РС-26-12-2022-9/127з от 26.12.22г, спец № 10 масла, смазки"/>
        <s v="РС-13-02-2024-2 от 13.02.2024г. Спец. 1"/>
        <s v="РC-06-03-2024-1 от 06.03.2024г."/>
        <s v="Счёт № 1308 от 25.03.2024г."/>
        <s v="МО-22-01-2024-2 от 22.01.2024, Спец. 1 (Двигатели)"/>
        <s v="Счёт № А-00104939 от 27.03.2024г."/>
        <s v="Счёт № 2252131284922682Д от 26.12.2023"/>
        <s v="Счёт № 2252628784309699Д от 14.02.2024"/>
        <s v="Счёт № 2253732605669328А от 13.12.2023"/>
        <s v="Счёт № 2253732605958441А от 21.12.2023г."/>
        <s v="Счёт №2254016057382023А от 26.12.2023"/>
        <s v="Счёту №2253732606332838А от 11.01.2024г"/>
        <s v="МО-12-01-2024-1 от 12.01.2024г. Спец. 2 (метизы)"/>
        <s v="МО-12-01-2024-1 от 12.01.2024г. Спец. 4 (Металл)"/>
        <s v="МО-12-01-2024-1 от 12.01.2024г. Спец. № 3 (футеровка)"/>
        <s v="МО-07-11-2023-1 спец 1 от 07.11.2023 модуль"/>
        <s v="МО-07-11-2023-1 спец 3 от 07.11.2023 двигатель, модуль"/>
        <s v="МО-07-11-2023-1 спец 5 от 07.11.2023 двигатель"/>
        <s v="ВД-12-03-2025 от 12.03.2025г."/>
        <s v="163/20240220 от 20.03.2024г."/>
        <s v="Счёт № 2493880724 от 12.03.2024г."/>
        <s v="К_22В7С2С29113"/>
        <s v="МО-30-11-2023-1 от 30.11.2023 г."/>
        <s v="РС-20-03-2023-1 от 20.03.2023г. Спец. 2"/>
        <s v="№ РC-09-12-2022-3 от 09.12.2022г."/>
        <s v="Чернушенко Вадим Сергеевич"/>
        <s v="4-2024 от 09.11.23г,  спец 1"/>
        <s v="4-2024 от 09.11.23г,  спец 2"/>
        <s v="МО-22-01-2024-1 от 20.02.2024г. Спец. 1"/>
        <s v="100130068 от 13.02.2024г."/>
        <s v="1534-20849-2023 от 05.02.2024"/>
        <s v="1987-22819-2024 от 27.02.2024"/>
        <s v="счет № 387 от 15.08.2023"/>
        <s v="ЛМ/0413 от 29.11.2023"/>
        <s v="РС-05-03-2024-1 от 05.03.2024г. Спец. 1 (Хоз.товары)"/>
        <s v="РС-05-03-2024-1 от 05.03.2024г. Спец. 2 (Хоз.товары, оборудование)"/>
        <s v="РС-05-03-2024-1 от 05.03.2024г. Спец. 3  стройматериалы"/>
        <s v="24П-038 от 19.02.2024"/>
        <s v="Договор аренды имущества № 1-ДВ/23 от 20.12.2022г"/>
        <s v="Счёт № 21 от 13.03.2024г."/>
        <s v="РС-21-02-2024-2 от 21.02.2024 Спец. 9 (Инструмент)"/>
        <s v="Счёт № 21 от 21.03.2024г."/>
        <s v="РС-10-12-2022-3 от 09.02.2023г. Спец. № 10"/>
        <s v="РС-10-12-2022-3 от 09.02.2023г. Спец. № 11"/>
        <s v="14/105-2024 от 06.03.2024г.  170000  Ольчан-Вольник"/>
        <s v="14/106-2024 от 06.03.2024г.  110000  Ольчан-Покорный"/>
        <s v="14/107-2024 от 06.03.2024г.   140000  Хаптагай-Хая"/>
        <s v="14/108-2024 от 06.03.2024г.   110000  Дымный"/>
        <s v="14/109-2024 от 06.03.2024г.   581462,28  Б.Тарын"/>
        <s v="14/110-2024 от 06.03.2024г.   140758,25 Бедовый"/>
        <s v="14/161-2023 от 21.06.2023   235896.31"/>
        <s v="РС-22-02-2024 от 22.02.2024г. Спец. 1 (Масла)"/>
        <s v="МО-12-02-2024-1 от 16.02.2024г. Спец. 1 (Запчасти на МЗТ)"/>
        <s v="МО-11-01-2024-1 от 12.01.2024г. Спец. 1"/>
        <s v="МО-23-01-2024-1 от 23.01.2024 Спец. 2"/>
        <s v="МО-23-01-2024-1 от 23.01.2024 Спец. 3"/>
        <s v="Счёт № 590 от 06.02.2024"/>
        <s v="Счёт № 591 от 06.02.2024"/>
        <s v="Счёт № 592 от 06.02.2024"/>
        <s v="Счёт № 607 от 06.02.2024"/>
        <s v="Счёт № 804 от 14.02.2024"/>
        <s v="Счёт № 806 от 14.02.2024"/>
        <s v="Счёт № 813 от 14.02.2024г."/>
        <s v="Счёт № 815 от 10.02.2024г."/>
        <s v="Счёт-договор № 112 от 22.03.2024г."/>
        <s v="DEN2400427 от 07.03.2024г."/>
        <s v="Счёт № ЯКТ00001671 от 08.02.2024"/>
        <s v="Счёт № ЯКТ00003631 от 15.03.2024г."/>
        <s v="Счёт № ЯКТ00003697 от 18.03.2024г."/>
        <s v="Счёт № ЯКТ00003709 от 18.03.2024г."/>
        <s v="Счёт № ЯКТ00003812 от 19.03.2024г."/>
        <s v="Счёт № ЯКТ00003881 от 20.03.2024г."/>
        <s v="Счёт № ЯКТ00004178 от 26.03.2024г."/>
        <s v="РС-13-02-2024-1 от 13.02.2024г. Спец. 1"/>
        <s v="БВ 02/24 от 12.02.2024 Спец.1"/>
        <s v="А-087/22 от 21.12.2021 г."/>
        <s v="ТО/2303-УВК/AS350/Б от 23.03.2016г."/>
        <s v="Счёт № ФРЗ-0435809 от 28.03.2024г."/>
        <s v="Счёт № 3261515/197 от 15.03.2024г."/>
        <s v="Счёт № ЦБ-100 от 28.03.2024г."/>
        <s v="№ ЛС-4074970856-1,"/>
        <s v="МО-05-12-2023-1 от 05.12.2023г eur (у.е.)"/>
        <s v="136з от 15.11.2023  самосвалы"/>
        <s v="28з от 25.03.2024г. Спец. №1 USD  самосвал"/>
        <s v="88/272-2566673-1 от 30.11.2023"/>
        <s v="88/272-2567333-1 от 30.11.2023"/>
        <s v="88/272-2567336-1 от 30.11.2023"/>
        <s v="2022/08-24 от 24.08.2022г. Спец. 6 USD"/>
        <s v="БВ 01/24 от 29.01.2024 Спец. 1"/>
        <s v="№ 2023-01/12-1 от 01.12.2023"/>
        <s v="№ ОА-06/2023 от 25.04.2023"/>
        <s v="11/АТЗ от 01.11.2013от 01.11.2013"/>
        <s v="№ ИТС-01910 от 08.02.2023г"/>
        <s v="ИТС-01910 от 03.02.2021"/>
        <s v="счет № 421 от 28.07.2023"/>
        <s v="№ 6869689846 от 04.12.2023г,"/>
        <s v="№ 2311-253094-35339 от 29.11.2023   СВО ???"/>
        <s v="62 от 07.12.2023"/>
        <s v="счет № 1286 от 20.11.2023"/>
        <s v="счёт № 23-02801641605"/>
        <s v="№ РС-08-12-2022-11 от 08.12.2022г, по спец №1"/>
        <s v="Счёту № Г-00550611 от 28.11.2023"/>
        <s v="счёт № 2252104773579204Д от 30.11.2023"/>
        <s v="Счёт № 2252131280590868Д от 06.12.2023"/>
        <s v="Счёт № 2279291947889704Д от 17.11.2023"/>
        <s v="№ 23-809 от 29.11.2023"/>
        <s v="11/12-1п от 11.12.2023"/>
        <s v="№ СПИ 15.12.23 от 15.12.2023"/>
        <s v="СПИ 27.11.2023г. от 12.12.2023"/>
        <s v="МО-07-11-2023-1 от 07.11.2023"/>
        <s v="счет № 446 от 08.11.2023"/>
        <s v="№РС-11-03-21-1 от 11.03.2022г (электроды)"/>
        <s v="Счёт № 2158 от 14.04.2022г."/>
        <s v="Счёт № 4564 от 22.08.2023  Металлорукава, крестовины, датчики."/>
        <s v="счет № 6435 от 16.09.2021г"/>
        <s v="1303-2023 от 13.03.2023"/>
        <s v="№ FE-P/22-063 от 19.12.2022г счет RUB"/>
        <s v="№ FE-P/22-063 от 19.12.2022г, счет USD"/>
        <s v="№ 89/23/А/М"/>
        <s v="1-П-2023 от 30.08.2023"/>
        <s v="№ 99 от 04.07.2023"/>
        <s v="№ 10152/2023/КИО от 01.03.2023г"/>
        <s v="№ РС-10-12-2022-3 от 05.12.2023"/>
        <s v="№ БС-04.05.22 от 04.08.2023"/>
        <s v="№ 006-2023 от 11.12.2023"/>
        <s v="34/11 от 10.11.2023"/>
        <s v="82 от 27.11.2023"/>
        <s v="№ БС-02.12.22/3 от 02.12.2022г. СNY"/>
        <s v="FE-P16-033 от 19.12.2016 (ДОЛЛАР)"/>
        <s v="FE-P16-033 от 19.12.2016 (ЕВРО)"/>
        <s v="№ FE-P/22-063 от 19.12.22г USD спец 1"/>
        <s v=" РС-16-02-2026-1 от 16.02.2026г. Спец. 2. Запчасти для автомобилей."/>
        <s v="15418-ХБР-24-АМ-Л от 23.04.2024г."/>
        <s v="Счёт № 134356 от 04.03.2026г. Счётчик бензина и ДТ Petroll OGM 25 - 2 шт"/>
        <s v="10-45-Ц-АЕВ-ИЗМ-26 Электроизмерения"/>
        <s v="34-25 от 05.12.2025г. &quot;Ольчан - Смородина&quot; 1,7352 га"/>
        <s v="35-25 от 05.12.2025г. &quot;Большой Тарын&quot; 47,1901 га"/>
        <s v="36-25 от 05.12.2025г &quot;Бедовый&quot; 3,3616 га"/>
        <s v="39-25 от 05.12.2025г. &quot;Ольчан Талынья&quot; 3,1253 га"/>
        <s v="Счёт № УТ-1444 от 05.03.2026г. Ареометры АНТ-1 для нефтепродуктов - 3 шт."/>
        <s v="Счёт № 2603-407354-80951 от 09.03.2026г.  Инструмент."/>
        <s v="Счёт № 2603-458276-71623 от 03.03.2026г.  Светодиодные светильники. Аккумуляторы"/>
        <s v="Счёт № 202603024 от 02.03.2026г. Гидравлический ключ Ф89 - 1 шт."/>
        <s v="РС-13-02-2024-2 от 13.02.2024г. Спец. 1 Энергокабельная продукция"/>
        <s v="РС-25-02-2026-1 от 25.02.2026г. Спец. 2. Обогреватели, терморегуляторы, термостаты"/>
        <s v="РС-25-02-2026-1 от 25.02.2026г. Спец. 3. Энергокабельная продукция."/>
        <s v="Счёт № 26-00091034381 от 12.03.2026г. (ООО ПО &quot;Грейфер&quot; Спец.1)"/>
        <s v="Счёт № 26-00111002820 от 11.03.2026г. (ООО &quot;ИСТК&quot;)."/>
        <s v="Счёт № 26-01301027108 от 06.03.2026г. (ТЗР ИП Гайнуллов Р.Р.)"/>
        <s v="Счёт № 26-01691018143 от 10.03.2026г. (ТЗР ООО &quot;ИСТК&quot;)"/>
        <s v="Счёт № 26-02601035743 от 06.03.2026г. (ТЗР ООО &quot;ИСТК&quot; Спец. 2)"/>
        <s v="Счёт № 26-04031035770 от 12.03.2026г. (ТЗР ООО &quot;ИСТК&quot;)."/>
        <s v="Счёт № 26-04181000840 от 10.03.2026г. (ООО &quot;ИСТК&quot;)"/>
        <s v="Счёт № 26-04291001443 от 12.03.2026г. (ТЗР ООО &quot;ИСТК&quot;)"/>
        <s v="Счёт № 26-12571195446 от 11.03.2026г. (ТЗР ООО &quot;Анкас&quot;)"/>
        <s v="Счет № 26-50370002233 от 02.03.2026г. ТЗР ООО &quot;ЗЕТ-Техно&quot;"/>
        <s v="Счёту № 26-04291000899 от 10.03.2026г. (ТЗР ООО &quot;ИСТК&quot; Спец. 2)"/>
        <s v="17/02-1П от 17.02.2026г. Спец. 1  Насос Танкер-Д Л.330. Двигатель Lifan 170F  D20."/>
        <s v="ИН 11476/СДСТ-2025 от 29.05.2025г. Спец. 2. Запчасти Komatsu"/>
        <s v="МО-12-01-2024-1 от 12.01.2024г. Спец. 21  Двигатели."/>
        <s v="МО-12-01-2024-1 ОТ 12.01.2024Г. Спец. 22 Запчасти для а/м УАЗ."/>
        <s v="П/263/24 от 25.12.2024г. Спец. 1 Дизельная электростанция  - 1 шт"/>
        <s v="Счёт № 26931258379 от 11.03.2026г."/>
        <s v="Счёт № FECB-004738 от 10.03.2026г. Договор № FE-S/23-S0301 от 01.04.2023г. Ремонт двигателя Komatsu"/>
        <s v="Счёт № FECB-004746 от 10.03.2026г. Договор FE-P/22-063 от 19.12.22г. Запчасти Komatsu."/>
        <s v="Счёт № FECB-004770 от 10.03.2026г. Договор FE-P/22-063 от 19.12.22г. Запчасти Komatsu."/>
        <s v="Счёт № FECB-026282 от 01.10.2025г. Договор № FE-P/22-063 от 19.12.22г. Запчасти Komatsu."/>
        <s v="Счёт № FECB-026419 от 02.10.2025г. Договор № FE-P/22-063 от 19.12.22г. Запчасти Komatsu"/>
        <s v="Счёт № FECB-026720 от 07.10.2025г. Договор № FE-P/22-063 от 19.12.22г. Запчасти Komatsu."/>
        <s v="Счёт № FECB-027197 от 10.10.2025г. Договор FE-P/22-063 от 19.12.22г. Запчасти Komatsu"/>
        <s v="Счёт № FECB-027289 от 13.10.2025г. Договор FE-P/22-063 от 19.12.22г. Запчасти Komatsu."/>
        <s v="Счёт № FECB-027727 от 16.10.2025г. Договор № FE-P/22-063 от 19.12.22г. 6261-71-5460  Трубка - 1 шт"/>
        <s v="Счёт № FECB-027788 от 17.10.2025г. Договор  № FE-P/22-063 от 19.12.22г.6261-71-5122  Трубка - 2 шт."/>
        <s v="Счёт № FECB-027829 от 17.10.2025г. Договор № FE-P/22-063 от 19.12.22г. Запчасти Komatsu."/>
        <s v="Счёт № FECB-027960 от 20.10.2025г. Договор № FE-P/22-063 от 19.12.22г. Запчасти Komatsu."/>
        <s v="N 03020706 от 14.10.14г"/>
        <s v="22312IR001441 от 31.12.2023"/>
        <s v="01-26/2  от 11.02.2026г. Спец. 1 Емкости, пологи и транспортные расходы"/>
        <s v="Счёт № 84 от 05.03.2026г. Демпфер TDSA4 резьба МН APL 23/8 Reg - 1 шт."/>
        <s v="ПР-04 24 от 01.04.2024г. Прил. № 27 от 01.12.2025г. ДТ ЕВРО зимнее, межсезонное Е"/>
        <s v="РС-10-02-2023-1 от 10.02.2023г. Спец. 4 Автошины."/>
        <s v="Договор №2619049 от 03.12.2016 г."/>
        <s v="14/093-2026 от 19.02.2026г. (Хаптагай-Хая 76,9171 га)"/>
        <s v="14072-2026 от 05.02.2026г. 187190-33 Талынья 60,0070 га."/>
        <s v="РС-08-12-2022-13 от 08.12.2026г. Спец. 3. Запчасти МЗТ."/>
        <s v="21-2026 от 08.12.2025г. Уголь"/>
        <s v="Счёт № 313 от 05.02.2026г. (ТЗР  ООО &quot;Альфа&quot;)"/>
        <s v="Счёт № 730 от 03.03.2026г. (ТЗР ООО СЦ &quot;Канмаш&quot;)"/>
        <s v="Счёт № 800 от 06.03.2026г. (ТЗР ООО СЦ &quot;Канмаш&quot;)"/>
        <s v="Счёт № 812 от 08.03.2026г. (ТЗР ООО СЦ &quot;Канмаш&quot;)"/>
        <s v="Счёт № 816 от 08.03.2026г. (ТЗР ООО СЦ &quot;Канмаш&quot;)"/>
        <s v="Счёт № 819 от 07.03.2026г. (ТЗР ООО НПФ &quot;Механика&quot;)"/>
        <s v="26/03-46 от 27.01.2026г.  Спец. 2. Запчасти Komatsu"/>
        <s v="Счёт № ЯКТ02435 от 02.03.2026г. (ТЗР ООО &quot;ВсеИнструменты.ру&quot; Инструмент)."/>
        <s v="МО-03-01-2024-1 от 03.01.2024г. Спец. 17  от 27.02.2026г. Запчасти МЗТ, Shantui"/>
        <s v="Счёт № 162 от 05.03.2026г. Ремкомплект уплотнений S1069310 - 2 шт."/>
        <s v="чёт № ЦБ - 468 от 05.03.2026г. Бамперы Газель-Бизнес, Газель Соболь."/>
        <s v="20/26 от 10.03.2026г. Право использования программ для ЭВМ."/>
        <s v="РС-07-03-2025-1 от 07.03.2025г. Спец. 3. Энергокабельная продукция."/>
      </sharedItems>
    </cacheField>
    <cacheField name="Субконто" numFmtId="0">
      <sharedItems containsBlank="1"/>
    </cacheField>
    <cacheField name="Дата" numFmtId="0">
      <sharedItems containsBlank="1"/>
    </cacheField>
    <cacheField name="Сумма остаток Дт" numFmtId="3">
      <sharedItems containsSemiMixedTypes="0" containsString="0" containsNumber="1" minValue="-9600" maxValue="280060000"/>
    </cacheField>
    <cacheField name="Сумма остаток Кт" numFmtId="0">
      <sharedItems containsNonDate="0" containsString="0" containsBlank="1"/>
    </cacheField>
    <cacheField name="Количество записей" numFmtId="0">
      <sharedItems containsString="0" containsBlank="1" containsNumber="1" containsInteger="1" minValue="1" maxValue="1"/>
    </cacheField>
    <cacheField name="Дата образования задолженности" numFmtId="14">
      <sharedItems containsSemiMixedTypes="0" containsNonDate="0" containsDate="1" containsString="0" minDate="1899-12-30T00:00:00" maxDate="2026-03-14T00:00:00"/>
    </cacheField>
    <cacheField name="срок дебиторской задолженности" numFmtId="0">
      <sharedItems containsSemiMixedTypes="0" containsString="0" containsNumber="1" containsInteger="1" minValue="1" maxValue="46097"/>
    </cacheField>
    <cacheField name="Период задолженности" numFmtId="0">
      <sharedItems count="7">
        <s v="121-180"/>
        <s v="31-90"/>
        <s v="0-30"/>
        <s v="181-270"/>
        <s v="91-120"/>
        <s v="&gt;360"/>
        <s v="271-360"/>
      </sharedItems>
    </cacheField>
    <cacheField name="Дата отчета" numFmtId="14">
      <sharedItems containsSemiMixedTypes="0" containsNonDate="0" containsDate="1" containsString="0" minDate="2024-01-01T00:00:00" maxDate="2026-03-17T00:00:00" count="13">
        <d v="2026-03-01T00:00:00"/>
        <d v="2026-03-02T00:00:00"/>
        <d v="2026-02-01T00:00:00"/>
        <d v="2026-01-01T00:00:00"/>
        <d v="2025-10-01T00:00:00"/>
        <d v="2025-07-01T00:00:00"/>
        <d v="2025-04-01T00:00:00"/>
        <d v="2025-01-01T00:00:00"/>
        <d v="2024-10-01T00:00:00"/>
        <d v="2024-07-01T00:00:00"/>
        <d v="2024-04-01T00:00:00"/>
        <d v="2024-01-01T00:00:00"/>
        <d v="2026-03-16T00:00:00"/>
      </sharedItems>
    </cacheField>
    <cacheField name="Год" numFmtId="0">
      <sharedItems containsSemiMixedTypes="0" containsString="0" containsNumber="1" containsInteger="1" minValue="2024" maxValue="2026" count="3">
        <n v="2026"/>
        <n v="2025"/>
        <n v="2024"/>
      </sharedItems>
    </cacheField>
    <cacheField name="Причина образования ДЗ" numFmtId="0">
      <sharedItems containsBlank="1" count="24">
        <m/>
        <s v="лицензия. поставка будет в 2026 (Бардадым)"/>
        <s v="недостача "/>
        <s v="недопоставка"/>
        <s v="срок отгрузки 20.02.2026"/>
        <s v="аванс закидываем 70% на год. В течение года могут консультировать"/>
        <s v="предоплата 50% сдача проектной документации в электронном виде заказчику"/>
        <s v="предоплата 50% просрочка"/>
        <s v="нет документов в бухгалтерии"/>
        <s v="просрочка"/>
        <s v="предоплата 50%"/>
        <s v="товар не поставлен"/>
        <s v="не довоз. Товар оплачен на 2 390 812,00 р., товар пришел 2 091 312,00 р_x0009__x0009__x0009_"/>
        <s v="запасные части. Деньги перечислены, товара нет"/>
        <s v="остаток от оплаты услуг"/>
        <s v="товар пришел, нет документов в бухгалтерии"/>
        <s v="возврат денег ждем"/>
        <s v="работы не приняты вторую часть работ оплатили"/>
        <s v="ждем возврата"/>
        <s v="документы есть, не занесены в бухгалтерии. Документы в диадок"/>
        <s v="ждем возврата денег"/>
        <s v="зачем - то отдельно переплатили 4 р."/>
        <s v="срок поставки 05.03.2026"/>
        <s v="нет документов о поставке" u="1"/>
      </sharedItems>
    </cacheField>
    <cacheField name="Срок по договору " numFmtId="0">
      <sharedItems containsDate="1" containsBlank="1" containsMixedTypes="1" minDate="2025-11-20T00:00:00" maxDate="2026-03-19T00:00:00"/>
    </cacheField>
    <cacheField name="Ответственный отдел по урегулированию ДЗ" numFmtId="0">
      <sharedItems containsBlank="1"/>
    </cacheField>
    <cacheField name="Комментарий решения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9">
  <r>
    <s v="60.02"/>
    <x v="0"/>
    <x v="0"/>
    <s v="Списание с расчетного счета 00БП-007871 от 23.10.2025 18:50:57"/>
    <s v="23.10.25"/>
    <n v="17000"/>
    <m/>
    <n v="1"/>
    <d v="2025-10-23T00:00:00"/>
    <n v="129"/>
    <x v="0"/>
    <x v="0"/>
    <x v="0"/>
    <x v="0"/>
    <m/>
    <m/>
    <m/>
  </r>
  <r>
    <s v="60.02"/>
    <x v="1"/>
    <x v="1"/>
    <s v="Списание с расчетного счета 00БП-000102 от 22.01.2026 6:54:22"/>
    <s v="22.01.26"/>
    <n v="21271"/>
    <m/>
    <n v="1"/>
    <d v="2026-01-22T00:00:00"/>
    <n v="38"/>
    <x v="1"/>
    <x v="0"/>
    <x v="0"/>
    <x v="0"/>
    <m/>
    <m/>
    <m/>
  </r>
  <r>
    <s v="60.02"/>
    <x v="2"/>
    <x v="2"/>
    <s v="Списание с расчетного счета 00БП-009273 от 24.12.2025 11:37:26"/>
    <s v="24.12.25"/>
    <n v="11000000"/>
    <m/>
    <n v="1"/>
    <d v="2025-12-24T00:00:00"/>
    <n v="67"/>
    <x v="1"/>
    <x v="0"/>
    <x v="0"/>
    <x v="0"/>
    <m/>
    <m/>
    <m/>
  </r>
  <r>
    <s v="60.02"/>
    <x v="3"/>
    <x v="3"/>
    <s v="Списание с расчетного счета 00БП-000026 от 14.01.2026 16:45:19"/>
    <s v="14.01.26"/>
    <n v="10657877.73"/>
    <m/>
    <n v="1"/>
    <d v="2026-01-14T00:00:00"/>
    <n v="46"/>
    <x v="1"/>
    <x v="0"/>
    <x v="0"/>
    <x v="0"/>
    <m/>
    <m/>
    <m/>
  </r>
  <r>
    <s v="60.02"/>
    <x v="3"/>
    <x v="3"/>
    <s v="Списание с расчетного счета 00БП-000361 от 13.02.2026 17:04:30"/>
    <s v="13.02.26"/>
    <n v="4517905.22"/>
    <m/>
    <n v="1"/>
    <d v="2026-02-13T00:00:00"/>
    <n v="16"/>
    <x v="2"/>
    <x v="0"/>
    <x v="0"/>
    <x v="0"/>
    <m/>
    <m/>
    <m/>
  </r>
  <r>
    <s v="60.02"/>
    <x v="3"/>
    <x v="4"/>
    <s v="Списание с расчетного счета 00БП-000025 от 14.01.2026 16:45:18"/>
    <s v="14.01.26"/>
    <n v="5963831.3700000001"/>
    <m/>
    <n v="1"/>
    <d v="2026-01-14T00:00:00"/>
    <n v="46"/>
    <x v="1"/>
    <x v="0"/>
    <x v="0"/>
    <x v="0"/>
    <m/>
    <m/>
    <m/>
  </r>
  <r>
    <s v="60.02"/>
    <x v="3"/>
    <x v="4"/>
    <s v="Списание с расчетного счета 00БП-000359 от 13.02.2026 17:04:28"/>
    <s v="13.02.26"/>
    <n v="2528085.33"/>
    <m/>
    <n v="1"/>
    <d v="2026-02-13T00:00:00"/>
    <n v="16"/>
    <x v="2"/>
    <x v="0"/>
    <x v="0"/>
    <x v="0"/>
    <m/>
    <m/>
    <m/>
  </r>
  <r>
    <s v="60.02"/>
    <x v="4"/>
    <x v="5"/>
    <s v="Списание с расчетного счета 00БП-007373 от 08.10.2025 18:26:41"/>
    <s v="08.10.25"/>
    <n v="30900000"/>
    <m/>
    <n v="1"/>
    <d v="2025-10-08T00:00:00"/>
    <n v="144"/>
    <x v="0"/>
    <x v="0"/>
    <x v="0"/>
    <x v="0"/>
    <m/>
    <m/>
    <m/>
  </r>
  <r>
    <s v="60.02"/>
    <x v="4"/>
    <x v="6"/>
    <s v="Списание с расчетного счета 00БП-000470 от 25.02.2026 17:39:33"/>
    <s v="25.02.26"/>
    <n v="70000"/>
    <m/>
    <n v="1"/>
    <d v="2026-02-25T00:00:00"/>
    <n v="4"/>
    <x v="2"/>
    <x v="0"/>
    <x v="0"/>
    <x v="0"/>
    <m/>
    <m/>
    <m/>
  </r>
  <r>
    <s v="60.02"/>
    <x v="4"/>
    <x v="7"/>
    <s v="Списание с расчетного счета 00БП-007408 от 09.10.2025 16:57:55"/>
    <s v="09.10.25"/>
    <n v="603882"/>
    <m/>
    <n v="1"/>
    <d v="2025-10-09T00:00:00"/>
    <n v="143"/>
    <x v="0"/>
    <x v="0"/>
    <x v="0"/>
    <x v="0"/>
    <m/>
    <m/>
    <m/>
  </r>
  <r>
    <s v="60.02"/>
    <x v="5"/>
    <x v="8"/>
    <s v="Списание с расчетного счета 00БП-000477 от 25.02.2026 17:39:40"/>
    <s v="25.02.26"/>
    <n v="3698422"/>
    <m/>
    <n v="1"/>
    <d v="2026-02-25T00:00:00"/>
    <n v="4"/>
    <x v="2"/>
    <x v="0"/>
    <x v="0"/>
    <x v="0"/>
    <m/>
    <m/>
    <m/>
  </r>
  <r>
    <s v="60.02"/>
    <x v="5"/>
    <x v="9"/>
    <s v="Списание с расчетного счета 00БП-000090 от 21.01.2026 11:45:50"/>
    <s v="21.01.26"/>
    <n v="352400"/>
    <m/>
    <n v="1"/>
    <d v="2026-01-21T00:00:00"/>
    <n v="39"/>
    <x v="1"/>
    <x v="0"/>
    <x v="0"/>
    <x v="0"/>
    <m/>
    <m/>
    <m/>
  </r>
  <r>
    <s v="60.02"/>
    <x v="5"/>
    <x v="9"/>
    <s v="Списание с расчетного счета 00БП-000439 от 24.02.2026 17:52:55"/>
    <s v="24.02.26"/>
    <n v="40800"/>
    <m/>
    <n v="1"/>
    <d v="2026-02-24T00:00:00"/>
    <n v="5"/>
    <x v="2"/>
    <x v="0"/>
    <x v="0"/>
    <x v="0"/>
    <m/>
    <m/>
    <m/>
  </r>
  <r>
    <s v="60.02"/>
    <x v="5"/>
    <x v="9"/>
    <s v="Списание с расчетного счета 00БП-000498 от 26.02.2026 17:17:28"/>
    <s v="26.02.26"/>
    <n v="114575"/>
    <m/>
    <n v="1"/>
    <d v="2026-02-26T00:00:00"/>
    <n v="3"/>
    <x v="2"/>
    <x v="0"/>
    <x v="0"/>
    <x v="0"/>
    <m/>
    <m/>
    <m/>
  </r>
  <r>
    <s v="60.02"/>
    <x v="5"/>
    <x v="10"/>
    <s v="Списание с расчетного счета 00БП-000349 от 13.02.2026 17:04:18"/>
    <s v="13.02.26"/>
    <n v="429500"/>
    <m/>
    <n v="1"/>
    <d v="2026-02-13T00:00:00"/>
    <n v="16"/>
    <x v="2"/>
    <x v="0"/>
    <x v="0"/>
    <x v="0"/>
    <m/>
    <m/>
    <m/>
  </r>
  <r>
    <s v="60.02"/>
    <x v="5"/>
    <x v="11"/>
    <s v="Списание с расчетного счета 00БП-006009 от 26.08.2025 19:15:04"/>
    <s v="26.08.25"/>
    <n v="30100"/>
    <m/>
    <n v="1"/>
    <d v="2025-08-26T00:00:00"/>
    <n v="187"/>
    <x v="3"/>
    <x v="0"/>
    <x v="0"/>
    <x v="0"/>
    <m/>
    <m/>
    <m/>
  </r>
  <r>
    <s v="60.02"/>
    <x v="5"/>
    <x v="12"/>
    <s v="Списание с расчетного счета 00БП-008786 от 18.11.2025 23:05:28"/>
    <s v="18.11.25"/>
    <n v="661131"/>
    <m/>
    <n v="1"/>
    <d v="2025-11-18T00:00:00"/>
    <n v="103"/>
    <x v="4"/>
    <x v="0"/>
    <x v="0"/>
    <x v="0"/>
    <m/>
    <m/>
    <m/>
  </r>
  <r>
    <s v="60.02"/>
    <x v="6"/>
    <x v="13"/>
    <s v="Списание с расчетного счета 00БП-002073 от 05.05.2023 18:33:46"/>
    <s v="05.05.23"/>
    <n v="0.01"/>
    <m/>
    <n v="1"/>
    <d v="2023-05-05T00:00:00"/>
    <n v="1031"/>
    <x v="5"/>
    <x v="0"/>
    <x v="0"/>
    <x v="0"/>
    <m/>
    <m/>
    <m/>
  </r>
  <r>
    <s v="60.02"/>
    <x v="7"/>
    <x v="14"/>
    <s v="Списание с расчетного счета 00БП-009292 от 25.12.2025 12:00:16"/>
    <s v="25.12.25"/>
    <n v="28800000"/>
    <m/>
    <n v="1"/>
    <d v="2025-12-25T00:00:00"/>
    <n v="66"/>
    <x v="1"/>
    <x v="0"/>
    <x v="0"/>
    <x v="0"/>
    <m/>
    <m/>
    <m/>
  </r>
  <r>
    <s v="60.02"/>
    <x v="8"/>
    <x v="15"/>
    <s v="Списание с расчетного счета 00БП-008834 от 19.11.2025 18:05:16"/>
    <s v="19.11.25"/>
    <n v="1984080"/>
    <m/>
    <n v="1"/>
    <d v="2025-11-19T00:00:00"/>
    <n v="102"/>
    <x v="4"/>
    <x v="0"/>
    <x v="0"/>
    <x v="0"/>
    <m/>
    <m/>
    <m/>
  </r>
  <r>
    <s v="60.02"/>
    <x v="9"/>
    <x v="16"/>
    <s v="Списание с расчетного счета 00БП-004852 от 14.07.2025 17:54:02"/>
    <s v="14.07.25"/>
    <n v="4985"/>
    <m/>
    <n v="1"/>
    <d v="2025-07-14T00:00:00"/>
    <n v="230"/>
    <x v="3"/>
    <x v="0"/>
    <x v="0"/>
    <x v="0"/>
    <m/>
    <m/>
    <m/>
  </r>
  <r>
    <s v="60.02"/>
    <x v="10"/>
    <x v="17"/>
    <s v="Списание с расчетного счета 00БП-009342 от 29.12.2025 17:48:57"/>
    <s v="29.12.25"/>
    <n v="124374672.66"/>
    <m/>
    <n v="1"/>
    <d v="2025-12-29T00:00:00"/>
    <n v="62"/>
    <x v="1"/>
    <x v="0"/>
    <x v="0"/>
    <x v="0"/>
    <m/>
    <m/>
    <m/>
  </r>
  <r>
    <s v="60.02"/>
    <x v="11"/>
    <x v="18"/>
    <s v="Списание с расчетного счета 00БП-000549 от 07.03.2025 17:21:16"/>
    <s v="07.03.25"/>
    <n v="198000"/>
    <m/>
    <n v="1"/>
    <d v="2025-03-07T00:00:00"/>
    <n v="359"/>
    <x v="6"/>
    <x v="0"/>
    <x v="0"/>
    <x v="1"/>
    <m/>
    <m/>
    <m/>
  </r>
  <r>
    <s v="60.02"/>
    <x v="12"/>
    <x v="19"/>
    <s v="Списание с расчетного счета 00БП-005478 от 07.08.2025 19:08:52"/>
    <s v="07.08.25"/>
    <n v="17955.38"/>
    <m/>
    <n v="1"/>
    <d v="2025-08-07T00:00:00"/>
    <n v="206"/>
    <x v="3"/>
    <x v="0"/>
    <x v="0"/>
    <x v="2"/>
    <m/>
    <m/>
    <m/>
  </r>
  <r>
    <s v="60.02"/>
    <x v="12"/>
    <x v="20"/>
    <s v="Списание с расчетного счета 00БП-005479 от 07.08.2025 19:08:53"/>
    <s v="07.08.25"/>
    <n v="67008.2"/>
    <m/>
    <n v="1"/>
    <d v="2025-08-07T00:00:00"/>
    <n v="206"/>
    <x v="3"/>
    <x v="0"/>
    <x v="0"/>
    <x v="3"/>
    <m/>
    <m/>
    <m/>
  </r>
  <r>
    <s v="60.02"/>
    <x v="12"/>
    <x v="20"/>
    <s v="Корректировка поступления 00БП-000024 от 05.09.2025 16:20:03"/>
    <s v="05.09.25"/>
    <n v="8599.8700000000008"/>
    <m/>
    <n v="1"/>
    <d v="2025-09-05T00:00:00"/>
    <n v="177"/>
    <x v="0"/>
    <x v="0"/>
    <x v="0"/>
    <x v="3"/>
    <m/>
    <m/>
    <m/>
  </r>
  <r>
    <s v="60.02"/>
    <x v="13"/>
    <x v="21"/>
    <s v="Списание с расчетного счета 00БП-000092 от 21.01.2026 11:45:52"/>
    <s v="21.01.26"/>
    <n v="10508130"/>
    <m/>
    <n v="1"/>
    <d v="2026-01-21T00:00:00"/>
    <n v="39"/>
    <x v="1"/>
    <x v="0"/>
    <x v="0"/>
    <x v="0"/>
    <m/>
    <m/>
    <m/>
  </r>
  <r>
    <s v="60.02"/>
    <x v="13"/>
    <x v="22"/>
    <s v="Списание с расчетного счета 00БП-009316 от 26.12.2025 12:00:22"/>
    <s v="26.12.25"/>
    <n v="1833304"/>
    <m/>
    <n v="1"/>
    <d v="2025-12-26T00:00:00"/>
    <n v="65"/>
    <x v="1"/>
    <x v="0"/>
    <x v="0"/>
    <x v="4"/>
    <m/>
    <m/>
    <m/>
  </r>
  <r>
    <s v="60.02"/>
    <x v="14"/>
    <x v="23"/>
    <s v="Списание с расчетного счета 00БП-000505 от 26.02.2026 17:17:35"/>
    <s v="26.02.26"/>
    <n v="2287728"/>
    <m/>
    <n v="1"/>
    <d v="2026-02-26T00:00:00"/>
    <n v="3"/>
    <x v="2"/>
    <x v="0"/>
    <x v="0"/>
    <x v="0"/>
    <m/>
    <m/>
    <m/>
  </r>
  <r>
    <s v="60.02"/>
    <x v="15"/>
    <x v="24"/>
    <s v="Списание с расчетного счета 00БП-009234 от 18.12.2025 17:20:48"/>
    <s v="18.12.25"/>
    <n v="613440"/>
    <m/>
    <n v="1"/>
    <d v="2025-12-18T00:00:00"/>
    <n v="73"/>
    <x v="1"/>
    <x v="0"/>
    <x v="0"/>
    <x v="0"/>
    <m/>
    <m/>
    <m/>
  </r>
  <r>
    <s v="60.02"/>
    <x v="16"/>
    <x v="25"/>
    <s v="Списание с расчетного счета 00БП-000504 от 26.02.2026 17:17:34"/>
    <s v="26.02.26"/>
    <n v="1644686.04"/>
    <m/>
    <n v="1"/>
    <d v="2026-02-26T00:00:00"/>
    <n v="3"/>
    <x v="2"/>
    <x v="0"/>
    <x v="0"/>
    <x v="0"/>
    <m/>
    <m/>
    <m/>
  </r>
  <r>
    <s v="60.02"/>
    <x v="17"/>
    <x v="26"/>
    <s v="Списание с расчетного счета 00БП-008784 от 18.11.2025 23:05:26"/>
    <s v="18.11.25"/>
    <n v="350000"/>
    <m/>
    <n v="1"/>
    <d v="2025-11-18T00:00:00"/>
    <n v="103"/>
    <x v="4"/>
    <x v="0"/>
    <x v="0"/>
    <x v="0"/>
    <m/>
    <m/>
    <m/>
  </r>
  <r>
    <s v="60.02"/>
    <x v="18"/>
    <x v="27"/>
    <s v="Списание с расчетного счета 00БП-002345 от 05.05.2025 19:41:14"/>
    <s v="05.05.25"/>
    <n v="691600"/>
    <m/>
    <n v="1"/>
    <d v="2025-05-05T00:00:00"/>
    <n v="300"/>
    <x v="6"/>
    <x v="0"/>
    <x v="0"/>
    <x v="5"/>
    <m/>
    <m/>
    <m/>
  </r>
  <r>
    <s v="60.02"/>
    <x v="19"/>
    <x v="28"/>
    <s v="Списание с расчетного счета 00БП-000049 от 15.01.2026 14:53:16"/>
    <s v="15.01.26"/>
    <n v="66000"/>
    <m/>
    <n v="1"/>
    <d v="2026-01-15T00:00:00"/>
    <n v="45"/>
    <x v="1"/>
    <x v="0"/>
    <x v="0"/>
    <x v="0"/>
    <m/>
    <m/>
    <m/>
  </r>
  <r>
    <s v="60.02"/>
    <x v="20"/>
    <x v="29"/>
    <s v="Списание с расчетного счета 00БП-007195 от 01.10.2025 20:24:05"/>
    <s v="01.10.25"/>
    <n v="400000"/>
    <m/>
    <n v="1"/>
    <d v="2025-10-01T00:00:00"/>
    <n v="151"/>
    <x v="0"/>
    <x v="0"/>
    <x v="0"/>
    <x v="6"/>
    <d v="2025-11-20T00:00:00"/>
    <s v="Геологический отдел"/>
    <m/>
  </r>
  <r>
    <s v="60.02"/>
    <x v="20"/>
    <x v="30"/>
    <s v="Списание с расчетного счета 00БП-004986 от 18.07.2025 20:39:46"/>
    <s v="18.07.25"/>
    <n v="1600000"/>
    <m/>
    <n v="1"/>
    <d v="2025-07-18T00:00:00"/>
    <n v="226"/>
    <x v="3"/>
    <x v="0"/>
    <x v="0"/>
    <x v="7"/>
    <d v="2026-02-15T00:00:00"/>
    <s v="Геологический отдел"/>
    <m/>
  </r>
  <r>
    <s v="60.02"/>
    <x v="20"/>
    <x v="30"/>
    <s v="Списание с расчетного счета 00БП-009315 от 26.12.2025 12:00:21"/>
    <s v="26.12.25"/>
    <n v="1200000"/>
    <m/>
    <n v="1"/>
    <d v="2025-12-26T00:00:00"/>
    <n v="65"/>
    <x v="1"/>
    <x v="0"/>
    <x v="0"/>
    <x v="7"/>
    <d v="2026-02-15T00:00:00"/>
    <s v="Геологический отдел"/>
    <m/>
  </r>
  <r>
    <s v="60.02"/>
    <x v="20"/>
    <x v="31"/>
    <s v="Списание с расчетного счета 00БП-007194 от 01.10.2025 20:24:04"/>
    <s v="01.10.25"/>
    <n v="400000"/>
    <m/>
    <n v="1"/>
    <d v="2025-10-01T00:00:00"/>
    <n v="151"/>
    <x v="0"/>
    <x v="0"/>
    <x v="0"/>
    <x v="6"/>
    <d v="2025-11-20T00:00:00"/>
    <s v="Геологический отдел"/>
    <m/>
  </r>
  <r>
    <s v="60.02"/>
    <x v="20"/>
    <x v="32"/>
    <s v="Списание с расчетного счета 00БП-006765 от 17.09.2025 19:43:17"/>
    <s v="17.09.25"/>
    <n v="250000"/>
    <m/>
    <n v="1"/>
    <d v="2025-09-17T00:00:00"/>
    <n v="165"/>
    <x v="0"/>
    <x v="0"/>
    <x v="0"/>
    <x v="6"/>
    <d v="2025-11-25T00:00:00"/>
    <s v="Геологический отдел"/>
    <m/>
  </r>
  <r>
    <s v="60.02"/>
    <x v="20"/>
    <x v="33"/>
    <s v="Списание с расчетного счета 00БП-006764 от 17.09.2025 19:43:16"/>
    <s v="17.09.25"/>
    <n v="250000"/>
    <m/>
    <n v="1"/>
    <d v="2025-09-17T00:00:00"/>
    <n v="165"/>
    <x v="0"/>
    <x v="0"/>
    <x v="0"/>
    <x v="6"/>
    <d v="2025-11-25T00:00:00"/>
    <s v="Геологический отдел"/>
    <m/>
  </r>
  <r>
    <s v="60.02"/>
    <x v="21"/>
    <x v="34"/>
    <s v="Списание с расчетного счета 00БП-004292 от 30.06.2025 23:59:59"/>
    <s v="30.06.25"/>
    <n v="7000"/>
    <m/>
    <n v="1"/>
    <d v="2025-06-30T00:00:00"/>
    <n v="244"/>
    <x v="3"/>
    <x v="0"/>
    <x v="0"/>
    <x v="8"/>
    <m/>
    <m/>
    <m/>
  </r>
  <r>
    <s v="60.02"/>
    <x v="22"/>
    <x v="35"/>
    <s v="Списание с расчетного счета 00БП-000342 от 13.02.2026 17:04:11"/>
    <s v="13.02.26"/>
    <n v="25000"/>
    <m/>
    <n v="1"/>
    <d v="2026-02-13T00:00:00"/>
    <n v="16"/>
    <x v="2"/>
    <x v="0"/>
    <x v="0"/>
    <x v="0"/>
    <m/>
    <m/>
    <m/>
  </r>
  <r>
    <s v="60.02"/>
    <x v="23"/>
    <x v="36"/>
    <s v="Списание с расчетного счета 00БП-000417 от 19.02.2026 16:28:32"/>
    <s v="19.02.26"/>
    <n v="1200041.6399999999"/>
    <m/>
    <n v="1"/>
    <d v="2026-02-19T00:00:00"/>
    <n v="10"/>
    <x v="2"/>
    <x v="0"/>
    <x v="0"/>
    <x v="0"/>
    <m/>
    <m/>
    <m/>
  </r>
  <r>
    <s v="60.02"/>
    <x v="23"/>
    <x v="37"/>
    <s v="Списание с расчетного счета 00БП-000181 от 29.01.2026 11:53:12"/>
    <s v="29.01.26"/>
    <n v="0.01"/>
    <m/>
    <n v="1"/>
    <d v="2026-01-29T00:00:00"/>
    <n v="31"/>
    <x v="1"/>
    <x v="0"/>
    <x v="0"/>
    <x v="0"/>
    <m/>
    <m/>
    <m/>
  </r>
  <r>
    <s v="60.02"/>
    <x v="23"/>
    <x v="37"/>
    <s v="Списание с расчетного счета 00БП-000347 от 13.02.2026 17:04:16"/>
    <s v="13.02.26"/>
    <n v="305626.94"/>
    <m/>
    <n v="1"/>
    <d v="2026-02-13T00:00:00"/>
    <n v="16"/>
    <x v="2"/>
    <x v="0"/>
    <x v="0"/>
    <x v="0"/>
    <m/>
    <m/>
    <m/>
  </r>
  <r>
    <s v="60.02"/>
    <x v="24"/>
    <x v="38"/>
    <s v="Списание с расчетного счета 00БП-005940 от 21.08.2025 17:24:52"/>
    <s v="21.08.25"/>
    <n v="52154.400000000001"/>
    <m/>
    <n v="1"/>
    <d v="2025-08-21T00:00:00"/>
    <n v="192"/>
    <x v="3"/>
    <x v="0"/>
    <x v="0"/>
    <x v="0"/>
    <m/>
    <m/>
    <m/>
  </r>
  <r>
    <s v="60.02"/>
    <x v="25"/>
    <x v="39"/>
    <s v="Списание с расчетного счета 00БП-000424 от 20.02.2026 17:20:32"/>
    <s v="20.02.26"/>
    <n v="12000"/>
    <m/>
    <n v="1"/>
    <d v="2026-02-20T00:00:00"/>
    <n v="9"/>
    <x v="2"/>
    <x v="0"/>
    <x v="0"/>
    <x v="0"/>
    <m/>
    <m/>
    <m/>
  </r>
  <r>
    <s v="60.02"/>
    <x v="26"/>
    <x v="40"/>
    <s v="Списание с расчетного счета 00БП-000150 от 28.01.2026 12:00:06"/>
    <s v="28.01.26"/>
    <n v="2405000"/>
    <m/>
    <n v="1"/>
    <d v="2026-01-28T00:00:00"/>
    <n v="32"/>
    <x v="1"/>
    <x v="0"/>
    <x v="0"/>
    <x v="0"/>
    <m/>
    <m/>
    <m/>
  </r>
  <r>
    <s v="60.02"/>
    <x v="26"/>
    <x v="41"/>
    <s v="Списание с расчетного счета 00БП-000149 от 28.01.2026 12:00:05"/>
    <s v="28.01.26"/>
    <n v="1150000"/>
    <m/>
    <n v="1"/>
    <d v="2026-01-28T00:00:00"/>
    <n v="32"/>
    <x v="1"/>
    <x v="0"/>
    <x v="0"/>
    <x v="0"/>
    <m/>
    <m/>
    <m/>
  </r>
  <r>
    <s v="60.02"/>
    <x v="27"/>
    <x v="42"/>
    <s v="Списание с расчетного счета 00БП-001912 от 17.04.2024 20:48:12"/>
    <s v="17.04.24"/>
    <n v="12630"/>
    <m/>
    <n v="1"/>
    <d v="2024-04-17T00:00:00"/>
    <n v="683"/>
    <x v="5"/>
    <x v="0"/>
    <x v="0"/>
    <x v="9"/>
    <m/>
    <m/>
    <m/>
  </r>
  <r>
    <s v="60.02"/>
    <x v="28"/>
    <x v="43"/>
    <s v="Списание с расчетного счета 00БП-008947 от 26.11.2025 14:57:07"/>
    <s v="26.11.25"/>
    <n v="92350"/>
    <m/>
    <n v="1"/>
    <d v="2025-11-26T00:00:00"/>
    <n v="95"/>
    <x v="4"/>
    <x v="0"/>
    <x v="0"/>
    <x v="0"/>
    <m/>
    <m/>
    <m/>
  </r>
  <r>
    <s v="60.02"/>
    <x v="29"/>
    <x v="44"/>
    <s v="Списание с расчетного счета 00БП-003512 от 09.06.2025 17:56:01"/>
    <s v="09.06.25"/>
    <n v="14178"/>
    <m/>
    <n v="1"/>
    <d v="2025-06-09T00:00:00"/>
    <n v="265"/>
    <x v="3"/>
    <x v="0"/>
    <x v="0"/>
    <x v="2"/>
    <m/>
    <m/>
    <m/>
  </r>
  <r>
    <s v="60.02"/>
    <x v="29"/>
    <x v="45"/>
    <s v="Списание с расчетного счета 00БП-000473 от 25.02.2026 17:39:36"/>
    <s v="25.02.26"/>
    <n v="405463"/>
    <m/>
    <n v="1"/>
    <d v="2026-02-25T00:00:00"/>
    <n v="4"/>
    <x v="2"/>
    <x v="0"/>
    <x v="0"/>
    <x v="0"/>
    <m/>
    <m/>
    <m/>
  </r>
  <r>
    <s v="60.02"/>
    <x v="30"/>
    <x v="46"/>
    <s v="Списание с расчетного счета 00БП-004058 от 28.06.2024 19:03:17"/>
    <s v="28.06.24"/>
    <n v="6600"/>
    <m/>
    <n v="1"/>
    <d v="2024-06-28T00:00:00"/>
    <n v="611"/>
    <x v="5"/>
    <x v="0"/>
    <x v="0"/>
    <x v="0"/>
    <m/>
    <m/>
    <m/>
  </r>
  <r>
    <s v="60.02"/>
    <x v="30"/>
    <x v="47"/>
    <s v="Списание с расчетного счета 00БП-003852 от 24.06.2024 17:54:37"/>
    <s v="24.06.24"/>
    <n v="6600"/>
    <m/>
    <n v="1"/>
    <d v="2024-06-24T00:00:00"/>
    <n v="615"/>
    <x v="5"/>
    <x v="0"/>
    <x v="0"/>
    <x v="0"/>
    <m/>
    <m/>
    <m/>
  </r>
  <r>
    <s v="60.02"/>
    <x v="30"/>
    <x v="48"/>
    <s v="Списание с расчетного счета 00БП-006739 от 16.09.2025 17:34:57"/>
    <s v="16.09.25"/>
    <n v="25000"/>
    <m/>
    <n v="1"/>
    <d v="2025-09-16T00:00:00"/>
    <n v="166"/>
    <x v="0"/>
    <x v="0"/>
    <x v="0"/>
    <x v="0"/>
    <m/>
    <m/>
    <m/>
  </r>
  <r>
    <s v="60.02"/>
    <x v="30"/>
    <x v="49"/>
    <s v="Списание с расчетного счета 00БП-002905 от 27.05.2024 18:19:20"/>
    <s v="27.05.24"/>
    <n v="6600"/>
    <m/>
    <n v="1"/>
    <d v="2024-05-27T00:00:00"/>
    <n v="643"/>
    <x v="5"/>
    <x v="0"/>
    <x v="0"/>
    <x v="0"/>
    <m/>
    <m/>
    <m/>
  </r>
  <r>
    <s v="60.02"/>
    <x v="30"/>
    <x v="50"/>
    <s v="Списание с расчетного счета 00БП-003005 от 23.05.2025 20:52:15"/>
    <s v="23.05.25"/>
    <n v="6600"/>
    <m/>
    <n v="1"/>
    <d v="2025-05-23T00:00:00"/>
    <n v="282"/>
    <x v="6"/>
    <x v="0"/>
    <x v="0"/>
    <x v="0"/>
    <m/>
    <m/>
    <m/>
  </r>
  <r>
    <s v="60.02"/>
    <x v="30"/>
    <x v="51"/>
    <s v="Списание с расчетного счета 00БП-004318 от 08.07.2024 18:29:52"/>
    <s v="08.07.24"/>
    <n v="25000"/>
    <m/>
    <n v="1"/>
    <d v="2024-07-08T00:00:00"/>
    <n v="601"/>
    <x v="5"/>
    <x v="0"/>
    <x v="0"/>
    <x v="0"/>
    <m/>
    <m/>
    <m/>
  </r>
  <r>
    <s v="60.02"/>
    <x v="30"/>
    <x v="52"/>
    <s v="Списание с расчетного счета 00БП-006217 от 01.09.2025 18:18:38"/>
    <s v="01.09.25"/>
    <n v="25000"/>
    <m/>
    <n v="1"/>
    <d v="2025-09-01T00:00:00"/>
    <n v="181"/>
    <x v="3"/>
    <x v="0"/>
    <x v="0"/>
    <x v="0"/>
    <m/>
    <m/>
    <m/>
  </r>
  <r>
    <s v="60.02"/>
    <x v="31"/>
    <x v="53"/>
    <s v="Списание с расчетного счета 00БП-000213 от 03.02.2026 14:13:45"/>
    <s v="03.02.26"/>
    <n v="179328"/>
    <m/>
    <n v="1"/>
    <d v="2026-02-03T00:00:00"/>
    <n v="26"/>
    <x v="2"/>
    <x v="0"/>
    <x v="0"/>
    <x v="0"/>
    <m/>
    <m/>
    <m/>
  </r>
  <r>
    <s v="60.02"/>
    <x v="32"/>
    <x v="54"/>
    <s v="Списание с расчетного счета 00БП-007131 от 29.09.2025 19:12:04"/>
    <s v="29.09.25"/>
    <n v="1750000"/>
    <m/>
    <n v="1"/>
    <d v="2025-09-29T00:00:00"/>
    <n v="153"/>
    <x v="0"/>
    <x v="0"/>
    <x v="0"/>
    <x v="0"/>
    <m/>
    <m/>
    <m/>
  </r>
  <r>
    <s v="60.02"/>
    <x v="32"/>
    <x v="55"/>
    <s v="Списание с расчетного счета 00БП-007756 от 17.10.2025 19:36:13"/>
    <s v="17.10.25"/>
    <n v="1750000"/>
    <m/>
    <n v="1"/>
    <d v="2025-10-17T00:00:00"/>
    <n v="135"/>
    <x v="0"/>
    <x v="0"/>
    <x v="0"/>
    <x v="0"/>
    <m/>
    <m/>
    <m/>
  </r>
  <r>
    <s v="60.02"/>
    <x v="32"/>
    <x v="56"/>
    <s v="Списание с расчетного счета 00БП-007130 от 29.09.2025 19:12:03"/>
    <s v="29.09.25"/>
    <n v="1750000"/>
    <m/>
    <n v="1"/>
    <d v="2025-09-29T00:00:00"/>
    <n v="153"/>
    <x v="0"/>
    <x v="0"/>
    <x v="0"/>
    <x v="0"/>
    <m/>
    <m/>
    <m/>
  </r>
  <r>
    <s v="60.02"/>
    <x v="32"/>
    <x v="57"/>
    <s v="Списание с расчетного счета 00БП-007755 от 17.10.2025 19:36:12"/>
    <s v="17.10.25"/>
    <n v="1750000"/>
    <m/>
    <n v="1"/>
    <d v="2025-10-17T00:00:00"/>
    <n v="135"/>
    <x v="0"/>
    <x v="0"/>
    <x v="0"/>
    <x v="0"/>
    <m/>
    <m/>
    <m/>
  </r>
  <r>
    <s v="60.02"/>
    <x v="32"/>
    <x v="58"/>
    <s v="Списание с расчетного счета 00БП-007129 от 29.09.2025 19:12:02"/>
    <s v="29.09.25"/>
    <n v="1750000"/>
    <m/>
    <n v="1"/>
    <d v="2025-09-29T00:00:00"/>
    <n v="153"/>
    <x v="0"/>
    <x v="0"/>
    <x v="0"/>
    <x v="0"/>
    <m/>
    <m/>
    <m/>
  </r>
  <r>
    <s v="60.02"/>
    <x v="33"/>
    <x v="59"/>
    <s v="Списание с расчетного счета 00БП-000341 от 13.02.2026 17:04:10"/>
    <s v="13.02.26"/>
    <n v="17831.84"/>
    <m/>
    <n v="1"/>
    <d v="2026-02-13T00:00:00"/>
    <n v="16"/>
    <x v="2"/>
    <x v="0"/>
    <x v="0"/>
    <x v="0"/>
    <m/>
    <m/>
    <m/>
  </r>
  <r>
    <s v="60.02"/>
    <x v="34"/>
    <x v="60"/>
    <s v="Списание с расчетного счета 00БП-009027 от 01.12.2025 15:42:22"/>
    <s v="01.12.25"/>
    <n v="2053117.29"/>
    <m/>
    <n v="1"/>
    <d v="2025-12-01T00:00:00"/>
    <n v="90"/>
    <x v="1"/>
    <x v="0"/>
    <x v="0"/>
    <x v="0"/>
    <m/>
    <m/>
    <m/>
  </r>
  <r>
    <s v="60.02"/>
    <x v="34"/>
    <x v="60"/>
    <s v="Списание с расчетного счета 00БП-000503 от 26.02.2026 17:17:33"/>
    <s v="26.02.26"/>
    <n v="1460604.1"/>
    <m/>
    <n v="1"/>
    <d v="2026-02-26T00:00:00"/>
    <n v="3"/>
    <x v="2"/>
    <x v="0"/>
    <x v="0"/>
    <x v="10"/>
    <s v="23.02.26 в новосибирске"/>
    <m/>
    <m/>
  </r>
  <r>
    <s v="60.02"/>
    <x v="34"/>
    <x v="61"/>
    <s v="Списание с расчетного счета 00БП-009026 от 01.12.2025 15:42:21"/>
    <s v="01.12.25"/>
    <n v="1211264.99"/>
    <m/>
    <n v="1"/>
    <d v="2025-12-01T00:00:00"/>
    <n v="90"/>
    <x v="1"/>
    <x v="0"/>
    <x v="0"/>
    <x v="0"/>
    <m/>
    <m/>
    <m/>
  </r>
  <r>
    <s v="60.02"/>
    <x v="34"/>
    <x v="61"/>
    <s v="Списание с расчетного счета 00БП-000502 от 26.02.2026 17:17:32"/>
    <s v="26.02.26"/>
    <n v="1251640.57"/>
    <m/>
    <n v="1"/>
    <d v="2026-02-26T00:00:00"/>
    <n v="3"/>
    <x v="2"/>
    <x v="0"/>
    <x v="0"/>
    <x v="0"/>
    <m/>
    <m/>
    <m/>
  </r>
  <r>
    <s v="60.02"/>
    <x v="34"/>
    <x v="62"/>
    <s v="Списание с расчетного счета 00БП-009025 от 01.12.2025 15:42:20"/>
    <s v="01.12.25"/>
    <n v="512327.6"/>
    <m/>
    <n v="1"/>
    <d v="2025-12-01T00:00:00"/>
    <n v="90"/>
    <x v="1"/>
    <x v="0"/>
    <x v="0"/>
    <x v="0"/>
    <m/>
    <m/>
    <m/>
  </r>
  <r>
    <s v="60.02"/>
    <x v="34"/>
    <x v="62"/>
    <s v="Списание с расчетного счета 00БП-009090 от 05.12.2025 12:00:05"/>
    <s v="05.12.25"/>
    <n v="12000"/>
    <m/>
    <n v="1"/>
    <d v="2025-12-05T00:00:00"/>
    <n v="86"/>
    <x v="1"/>
    <x v="0"/>
    <x v="0"/>
    <x v="0"/>
    <m/>
    <m/>
    <m/>
  </r>
  <r>
    <s v="60.02"/>
    <x v="34"/>
    <x v="62"/>
    <s v="Списание с расчетного счета 00БП-000474 от 25.02.2026 17:39:37"/>
    <s v="25.02.26"/>
    <n v="541805.18000000005"/>
    <m/>
    <n v="1"/>
    <d v="2026-02-25T00:00:00"/>
    <n v="4"/>
    <x v="2"/>
    <x v="0"/>
    <x v="0"/>
    <x v="0"/>
    <m/>
    <m/>
    <m/>
  </r>
  <r>
    <s v="60.02"/>
    <x v="34"/>
    <x v="63"/>
    <s v="Списание с расчетного счета 00БП-009024 от 01.12.2025 15:42:19"/>
    <s v="01.12.25"/>
    <n v="438338.63"/>
    <m/>
    <n v="1"/>
    <d v="2025-12-01T00:00:00"/>
    <n v="90"/>
    <x v="1"/>
    <x v="0"/>
    <x v="0"/>
    <x v="0"/>
    <m/>
    <m/>
    <m/>
  </r>
  <r>
    <s v="60.02"/>
    <x v="34"/>
    <x v="63"/>
    <s v="Списание с расчетного счета 00БП-000499 от 26.02.2026 17:17:29"/>
    <s v="26.02.26"/>
    <n v="452949.89"/>
    <m/>
    <n v="1"/>
    <d v="2026-02-26T00:00:00"/>
    <n v="3"/>
    <x v="2"/>
    <x v="0"/>
    <x v="0"/>
    <x v="0"/>
    <m/>
    <m/>
    <m/>
  </r>
  <r>
    <s v="60.02"/>
    <x v="35"/>
    <x v="64"/>
    <s v="Списание с расчетного счета 00БП-002965 от 21.05.2025 20:10:56"/>
    <s v="21.05.25"/>
    <n v="275272"/>
    <m/>
    <n v="1"/>
    <d v="2025-05-21T00:00:00"/>
    <n v="284"/>
    <x v="6"/>
    <x v="0"/>
    <x v="0"/>
    <x v="11"/>
    <m/>
    <m/>
    <m/>
  </r>
  <r>
    <s v="60.02"/>
    <x v="36"/>
    <x v="65"/>
    <s v="Списание с расчетного счета 00БП-000070 от 16.01.2026 17:13:38"/>
    <s v="16.01.26"/>
    <n v="15696807.25"/>
    <m/>
    <n v="1"/>
    <d v="2026-01-16T00:00:00"/>
    <n v="44"/>
    <x v="1"/>
    <x v="0"/>
    <x v="0"/>
    <x v="0"/>
    <m/>
    <m/>
    <m/>
  </r>
  <r>
    <s v="60.02"/>
    <x v="36"/>
    <x v="66"/>
    <s v="Списание с расчетного счета 00БП-000117 от 26.01.2026 12:00:04"/>
    <s v="26.01.26"/>
    <n v="23963645.800000001"/>
    <m/>
    <n v="1"/>
    <d v="2026-01-26T00:00:00"/>
    <n v="34"/>
    <x v="1"/>
    <x v="0"/>
    <x v="0"/>
    <x v="0"/>
    <m/>
    <m/>
    <m/>
  </r>
  <r>
    <s v="60.02"/>
    <x v="36"/>
    <x v="67"/>
    <s v="Списание с расчетного счета 00БП-000444 от 24.02.2026 17:53:00"/>
    <s v="24.02.26"/>
    <n v="321265"/>
    <m/>
    <n v="1"/>
    <d v="2026-02-24T00:00:00"/>
    <n v="5"/>
    <x v="2"/>
    <x v="0"/>
    <x v="0"/>
    <x v="0"/>
    <m/>
    <m/>
    <m/>
  </r>
  <r>
    <s v="60.02"/>
    <x v="36"/>
    <x v="68"/>
    <s v="Списание с расчетного счета 00БП-000407 от 18.02.2026 12:00:09"/>
    <s v="18.02.26"/>
    <n v="2644691.5"/>
    <m/>
    <n v="1"/>
    <d v="2026-02-18T00:00:00"/>
    <n v="11"/>
    <x v="2"/>
    <x v="0"/>
    <x v="0"/>
    <x v="0"/>
    <m/>
    <m/>
    <m/>
  </r>
  <r>
    <s v="60.02"/>
    <x v="36"/>
    <x v="69"/>
    <s v="Списание с расчетного счета 00БП-000216 от 03.02.2026 14:13:48"/>
    <s v="03.02.26"/>
    <n v="367360"/>
    <m/>
    <n v="1"/>
    <d v="2026-02-03T00:00:00"/>
    <n v="26"/>
    <x v="2"/>
    <x v="0"/>
    <x v="0"/>
    <x v="0"/>
    <m/>
    <m/>
    <m/>
  </r>
  <r>
    <s v="60.02"/>
    <x v="36"/>
    <x v="70"/>
    <s v="Списание с расчетного счета 00БП-000217 от 03.02.2026 14:13:49"/>
    <s v="03.02.26"/>
    <n v="1550000"/>
    <m/>
    <n v="1"/>
    <d v="2026-02-03T00:00:00"/>
    <n v="26"/>
    <x v="2"/>
    <x v="0"/>
    <x v="0"/>
    <x v="0"/>
    <m/>
    <m/>
    <m/>
  </r>
  <r>
    <s v="60.02"/>
    <x v="36"/>
    <x v="71"/>
    <s v="Списание с расчетного счета 00БП-000409 от 18.02.2026 12:00:11"/>
    <s v="18.02.26"/>
    <n v="6099500"/>
    <m/>
    <n v="1"/>
    <d v="2026-02-18T00:00:00"/>
    <n v="11"/>
    <x v="2"/>
    <x v="0"/>
    <x v="0"/>
    <x v="0"/>
    <m/>
    <m/>
    <m/>
  </r>
  <r>
    <s v="60.02"/>
    <x v="36"/>
    <x v="72"/>
    <s v="Списание с расчетного счета 00БП-000408 от 18.02.2026 12:00:10"/>
    <s v="18.02.26"/>
    <n v="3431200"/>
    <m/>
    <n v="1"/>
    <d v="2026-02-18T00:00:00"/>
    <n v="11"/>
    <x v="2"/>
    <x v="0"/>
    <x v="0"/>
    <x v="0"/>
    <m/>
    <m/>
    <m/>
  </r>
  <r>
    <s v="60.02"/>
    <x v="37"/>
    <x v="73"/>
    <s v="Списание с расчетного счета 00БП-000032 от 15.01.2026 14:52:57"/>
    <s v="15.01.26"/>
    <n v="130500"/>
    <m/>
    <n v="1"/>
    <d v="2026-01-15T00:00:00"/>
    <n v="45"/>
    <x v="1"/>
    <x v="0"/>
    <x v="0"/>
    <x v="0"/>
    <m/>
    <m/>
    <m/>
  </r>
  <r>
    <s v="60.02"/>
    <x v="38"/>
    <x v="74"/>
    <s v="Списание с расчетного счета 00БП-000348 от 13.02.2026 17:04:17"/>
    <s v="13.02.26"/>
    <n v="382630.8"/>
    <m/>
    <n v="1"/>
    <d v="2026-02-13T00:00:00"/>
    <n v="16"/>
    <x v="2"/>
    <x v="0"/>
    <x v="0"/>
    <x v="0"/>
    <m/>
    <m/>
    <m/>
  </r>
  <r>
    <s v="60.02"/>
    <x v="38"/>
    <x v="75"/>
    <s v="Списание с расчетного счета 00БП-003987 от 19.06.2025 19:28:50"/>
    <s v="19.06.25"/>
    <n v="682568"/>
    <m/>
    <n v="1"/>
    <d v="2025-06-19T00:00:00"/>
    <n v="255"/>
    <x v="3"/>
    <x v="0"/>
    <x v="0"/>
    <x v="0"/>
    <m/>
    <m/>
    <m/>
  </r>
  <r>
    <s v="60.02"/>
    <x v="38"/>
    <x v="76"/>
    <s v="Списание с расчетного счета 00БП-000358 от 13.02.2026 17:04:27"/>
    <s v="13.02.26"/>
    <n v="1926789.3"/>
    <m/>
    <n v="1"/>
    <d v="2026-02-13T00:00:00"/>
    <n v="16"/>
    <x v="2"/>
    <x v="0"/>
    <x v="0"/>
    <x v="0"/>
    <m/>
    <m/>
    <m/>
  </r>
  <r>
    <s v="60.02"/>
    <x v="38"/>
    <x v="77"/>
    <s v="Списание с расчетного счета 00БП-000322 от 12.02.2026 15:36:53"/>
    <s v="12.02.26"/>
    <n v="275291.09999999998"/>
    <m/>
    <n v="1"/>
    <d v="2026-02-12T00:00:00"/>
    <n v="17"/>
    <x v="2"/>
    <x v="0"/>
    <x v="0"/>
    <x v="0"/>
    <m/>
    <m/>
    <m/>
  </r>
  <r>
    <s v="60.02"/>
    <x v="38"/>
    <x v="78"/>
    <s v="Списание с расчетного счета 00БП-001887 от 16.04.2024 20:42:34"/>
    <s v="16.04.24"/>
    <n v="600"/>
    <m/>
    <n v="1"/>
    <d v="2024-04-16T00:00:00"/>
    <n v="684"/>
    <x v="5"/>
    <x v="0"/>
    <x v="0"/>
    <x v="0"/>
    <m/>
    <m/>
    <m/>
  </r>
  <r>
    <s v="60.02"/>
    <x v="38"/>
    <x v="79"/>
    <s v="Списание с расчетного счета 00БП-000091 от 21.01.2026 11:45:51"/>
    <s v="21.01.26"/>
    <n v="2253340.15"/>
    <m/>
    <n v="1"/>
    <d v="2026-01-21T00:00:00"/>
    <n v="39"/>
    <x v="1"/>
    <x v="0"/>
    <x v="0"/>
    <x v="0"/>
    <m/>
    <m/>
    <m/>
  </r>
  <r>
    <s v="60.02"/>
    <x v="38"/>
    <x v="80"/>
    <s v="Списание с расчетного счета 00БП-000423 от 28.02.2025 23:59:59"/>
    <s v="28.02.25"/>
    <n v="29963"/>
    <m/>
    <n v="1"/>
    <d v="2025-02-28T00:00:00"/>
    <n v="366"/>
    <x v="5"/>
    <x v="0"/>
    <x v="0"/>
    <x v="2"/>
    <m/>
    <m/>
    <m/>
  </r>
  <r>
    <s v="60.02"/>
    <x v="38"/>
    <x v="81"/>
    <s v="Списание с расчетного счета 00БП-007268 от 03.10.2025 17:50:33"/>
    <s v="03.10.25"/>
    <n v="19600"/>
    <m/>
    <n v="1"/>
    <d v="2025-10-03T00:00:00"/>
    <n v="149"/>
    <x v="0"/>
    <x v="0"/>
    <x v="0"/>
    <x v="0"/>
    <m/>
    <m/>
    <m/>
  </r>
  <r>
    <s v="60.02"/>
    <x v="39"/>
    <x v="82"/>
    <s v="Списание с расчетного счета 00БП-008971 от 27.11.2025 18:25:59"/>
    <s v="27.11.25"/>
    <n v="132000"/>
    <m/>
    <n v="1"/>
    <d v="2025-11-27T00:00:00"/>
    <n v="94"/>
    <x v="4"/>
    <x v="0"/>
    <x v="0"/>
    <x v="0"/>
    <m/>
    <m/>
    <m/>
  </r>
  <r>
    <s v="60.02"/>
    <x v="40"/>
    <x v="83"/>
    <s v="Списание с расчетного счета 00БП-003308 от 06.06.2024 23:59:59"/>
    <s v="06.06.24"/>
    <n v="3959"/>
    <m/>
    <n v="1"/>
    <d v="2024-06-06T00:00:00"/>
    <n v="633"/>
    <x v="5"/>
    <x v="0"/>
    <x v="0"/>
    <x v="9"/>
    <m/>
    <m/>
    <m/>
  </r>
  <r>
    <s v="60.02"/>
    <x v="40"/>
    <x v="84"/>
    <s v="Списание с расчетного счета 00БП-000265 от 06.02.2026 12:00:02"/>
    <s v="06.02.26"/>
    <n v="54211"/>
    <m/>
    <n v="1"/>
    <d v="2026-02-06T00:00:00"/>
    <n v="23"/>
    <x v="2"/>
    <x v="0"/>
    <x v="0"/>
    <x v="0"/>
    <m/>
    <m/>
    <m/>
  </r>
  <r>
    <s v="60.02"/>
    <x v="40"/>
    <x v="85"/>
    <s v="Списание с расчетного счета 00БП-009340 от 29.12.2025 17:48:55"/>
    <s v="29.12.25"/>
    <n v="53477"/>
    <m/>
    <n v="1"/>
    <d v="2025-12-29T00:00:00"/>
    <n v="62"/>
    <x v="1"/>
    <x v="0"/>
    <x v="0"/>
    <x v="0"/>
    <m/>
    <m/>
    <m/>
  </r>
  <r>
    <s v="60.02"/>
    <x v="40"/>
    <x v="86"/>
    <s v="Списание с расчетного счета 00БП-008817 от 19.11.2025 18:04:59"/>
    <s v="19.11.25"/>
    <n v="1875"/>
    <m/>
    <n v="1"/>
    <d v="2025-11-19T00:00:00"/>
    <n v="102"/>
    <x v="4"/>
    <x v="0"/>
    <x v="0"/>
    <x v="0"/>
    <m/>
    <m/>
    <m/>
  </r>
  <r>
    <s v="60.02"/>
    <x v="40"/>
    <x v="87"/>
    <s v="Списание с расчетного счета 00БП-008955 от 27.11.2025 18:25:43"/>
    <s v="27.11.25"/>
    <n v="13926"/>
    <m/>
    <n v="1"/>
    <d v="2025-11-27T00:00:00"/>
    <n v="94"/>
    <x v="4"/>
    <x v="0"/>
    <x v="0"/>
    <x v="0"/>
    <m/>
    <m/>
    <m/>
  </r>
  <r>
    <s v="60.02"/>
    <x v="40"/>
    <x v="88"/>
    <s v="Списание с расчетного счета 00БП-008055 от 30.10.2025 20:00:11"/>
    <s v="30.10.25"/>
    <n v="98480"/>
    <m/>
    <n v="1"/>
    <d v="2025-10-30T00:00:00"/>
    <n v="122"/>
    <x v="0"/>
    <x v="0"/>
    <x v="0"/>
    <x v="0"/>
    <m/>
    <m/>
    <m/>
  </r>
  <r>
    <s v="60.02"/>
    <x v="40"/>
    <x v="89"/>
    <s v="Списание с расчетного счета 00БП-005955 от 22.08.2025 17:42:38"/>
    <s v="22.08.25"/>
    <n v="39046"/>
    <m/>
    <n v="1"/>
    <d v="2025-08-22T00:00:00"/>
    <n v="191"/>
    <x v="3"/>
    <x v="0"/>
    <x v="0"/>
    <x v="0"/>
    <m/>
    <m/>
    <m/>
  </r>
  <r>
    <s v="60.02"/>
    <x v="40"/>
    <x v="90"/>
    <s v="Списание с расчетного счета 00БП-004471 от 07.07.2025 17:53:43"/>
    <s v="07.07.25"/>
    <n v="780"/>
    <m/>
    <n v="1"/>
    <d v="2025-07-07T00:00:00"/>
    <n v="237"/>
    <x v="3"/>
    <x v="0"/>
    <x v="0"/>
    <x v="0"/>
    <m/>
    <m/>
    <m/>
  </r>
  <r>
    <s v="60.02"/>
    <x v="40"/>
    <x v="91"/>
    <s v="Списание с расчетного счета 00БП-005515 от 11.08.2025 17:47:00"/>
    <s v="11.08.25"/>
    <n v="2154"/>
    <m/>
    <n v="1"/>
    <d v="2025-08-11T00:00:00"/>
    <n v="202"/>
    <x v="3"/>
    <x v="0"/>
    <x v="0"/>
    <x v="0"/>
    <m/>
    <m/>
    <m/>
  </r>
  <r>
    <s v="60.02"/>
    <x v="40"/>
    <x v="92"/>
    <s v="Списание с расчетного счета 00БП-008818 от 19.11.2025 18:05:00"/>
    <s v="19.11.25"/>
    <n v="1948"/>
    <m/>
    <n v="1"/>
    <d v="2025-11-19T00:00:00"/>
    <n v="102"/>
    <x v="4"/>
    <x v="0"/>
    <x v="0"/>
    <x v="0"/>
    <m/>
    <m/>
    <m/>
  </r>
  <r>
    <s v="60.02"/>
    <x v="40"/>
    <x v="93"/>
    <s v="Списание с расчетного счета 00БП-007383 от 09.10.2025 16:57:30"/>
    <s v="09.10.25"/>
    <n v="3247"/>
    <m/>
    <n v="1"/>
    <d v="2025-10-09T00:00:00"/>
    <n v="143"/>
    <x v="0"/>
    <x v="0"/>
    <x v="0"/>
    <x v="0"/>
    <m/>
    <m/>
    <m/>
  </r>
  <r>
    <s v="60.02"/>
    <x v="40"/>
    <x v="94"/>
    <s v="Списание с расчетного счета 00БП-007398 от 09.10.2025 16:57:45"/>
    <s v="09.10.25"/>
    <n v="12093"/>
    <m/>
    <n v="1"/>
    <d v="2025-10-09T00:00:00"/>
    <n v="143"/>
    <x v="0"/>
    <x v="0"/>
    <x v="0"/>
    <x v="0"/>
    <m/>
    <m/>
    <m/>
  </r>
  <r>
    <s v="60.02"/>
    <x v="40"/>
    <x v="95"/>
    <s v="Списание с расчетного счета 00БП-007275 от 03.10.2025 17:50:40"/>
    <s v="03.10.25"/>
    <n v="113416"/>
    <m/>
    <n v="1"/>
    <d v="2025-10-03T00:00:00"/>
    <n v="149"/>
    <x v="0"/>
    <x v="0"/>
    <x v="0"/>
    <x v="0"/>
    <m/>
    <m/>
    <m/>
  </r>
  <r>
    <s v="60.02"/>
    <x v="40"/>
    <x v="96"/>
    <s v="Списание с расчетного счета 00БП-007294 от 06.10.2025 18:16:04"/>
    <s v="06.10.25"/>
    <n v="279"/>
    <m/>
    <n v="1"/>
    <d v="2025-10-06T00:00:00"/>
    <n v="146"/>
    <x v="0"/>
    <x v="0"/>
    <x v="0"/>
    <x v="0"/>
    <m/>
    <m/>
    <m/>
  </r>
  <r>
    <s v="60.02"/>
    <x v="40"/>
    <x v="97"/>
    <s v="Списание с расчетного счета 00БП-009261 от 24.12.2025 11:37:12"/>
    <s v="24.12.25"/>
    <n v="930"/>
    <m/>
    <n v="1"/>
    <d v="2025-12-24T00:00:00"/>
    <n v="67"/>
    <x v="1"/>
    <x v="0"/>
    <x v="0"/>
    <x v="0"/>
    <m/>
    <m/>
    <m/>
  </r>
  <r>
    <s v="60.02"/>
    <x v="40"/>
    <x v="98"/>
    <s v="Списание с расчетного счета 00БП-009260 от 24.12.2025 11:37:11"/>
    <s v="24.12.25"/>
    <n v="930"/>
    <m/>
    <n v="1"/>
    <d v="2025-12-24T00:00:00"/>
    <n v="67"/>
    <x v="1"/>
    <x v="0"/>
    <x v="0"/>
    <x v="0"/>
    <m/>
    <m/>
    <m/>
  </r>
  <r>
    <s v="60.02"/>
    <x v="40"/>
    <x v="99"/>
    <s v="Списание с расчетного счета 00БП-005289 от 29.07.2025 20:44:17"/>
    <s v="29.07.25"/>
    <n v="1140"/>
    <m/>
    <n v="1"/>
    <d v="2025-07-29T00:00:00"/>
    <n v="215"/>
    <x v="3"/>
    <x v="0"/>
    <x v="0"/>
    <x v="0"/>
    <m/>
    <m/>
    <m/>
  </r>
  <r>
    <s v="60.02"/>
    <x v="40"/>
    <x v="100"/>
    <s v="Списание с расчетного счета 00БП-008035 от 29.10.2025 17:11:11"/>
    <s v="29.10.25"/>
    <n v="14870"/>
    <m/>
    <n v="1"/>
    <d v="2025-10-29T00:00:00"/>
    <n v="123"/>
    <x v="0"/>
    <x v="0"/>
    <x v="0"/>
    <x v="0"/>
    <m/>
    <m/>
    <m/>
  </r>
  <r>
    <s v="60.02"/>
    <x v="40"/>
    <x v="101"/>
    <s v="Списание с расчетного счета 00БП-006819 от 19.09.2025 17:32:15"/>
    <s v="19.09.25"/>
    <n v="1310"/>
    <m/>
    <n v="1"/>
    <d v="2025-09-19T00:00:00"/>
    <n v="163"/>
    <x v="0"/>
    <x v="0"/>
    <x v="0"/>
    <x v="0"/>
    <m/>
    <m/>
    <m/>
  </r>
  <r>
    <s v="60.02"/>
    <x v="40"/>
    <x v="102"/>
    <s v="Списание с расчетного счета 00БП-007404 от 09.10.2025 16:57:51"/>
    <s v="09.10.25"/>
    <n v="21872"/>
    <m/>
    <n v="1"/>
    <d v="2025-10-09T00:00:00"/>
    <n v="143"/>
    <x v="0"/>
    <x v="0"/>
    <x v="0"/>
    <x v="0"/>
    <m/>
    <m/>
    <m/>
  </r>
  <r>
    <s v="60.02"/>
    <x v="40"/>
    <x v="103"/>
    <s v="Списание с расчетного счета 00БП-000232 от 04.02.2026 16:35:11"/>
    <s v="04.02.26"/>
    <n v="4221"/>
    <m/>
    <n v="1"/>
    <d v="2026-02-04T00:00:00"/>
    <n v="25"/>
    <x v="2"/>
    <x v="0"/>
    <x v="0"/>
    <x v="0"/>
    <m/>
    <m/>
    <m/>
  </r>
  <r>
    <s v="60.02"/>
    <x v="40"/>
    <x v="104"/>
    <s v="Списание с расчетного счета 00БП-007912 от 27.10.2025 18:43:11"/>
    <s v="27.10.25"/>
    <n v="2373"/>
    <m/>
    <n v="1"/>
    <d v="2025-10-27T00:00:00"/>
    <n v="125"/>
    <x v="0"/>
    <x v="0"/>
    <x v="0"/>
    <x v="0"/>
    <m/>
    <m/>
    <m/>
  </r>
  <r>
    <s v="60.02"/>
    <x v="40"/>
    <x v="105"/>
    <s v="Списание с расчетного счета 00БП-009262 от 24.12.2025 11:37:13"/>
    <s v="24.12.25"/>
    <n v="943"/>
    <m/>
    <n v="1"/>
    <d v="2025-12-24T00:00:00"/>
    <n v="67"/>
    <x v="1"/>
    <x v="0"/>
    <x v="0"/>
    <x v="0"/>
    <m/>
    <m/>
    <m/>
  </r>
  <r>
    <s v="60.02"/>
    <x v="40"/>
    <x v="106"/>
    <s v="Списание с расчетного счета 00БП-007379 от 09.10.2025 16:57:26"/>
    <s v="09.10.25"/>
    <n v="279"/>
    <m/>
    <n v="1"/>
    <d v="2025-10-09T00:00:00"/>
    <n v="143"/>
    <x v="0"/>
    <x v="0"/>
    <x v="0"/>
    <x v="0"/>
    <m/>
    <m/>
    <m/>
  </r>
  <r>
    <s v="60.02"/>
    <x v="40"/>
    <x v="107"/>
    <s v="Списание с расчетного счета 00БП-000250 от 05.02.2026 22:16:09"/>
    <s v="05.02.26"/>
    <n v="13750"/>
    <m/>
    <n v="1"/>
    <d v="2026-02-05T00:00:00"/>
    <n v="24"/>
    <x v="2"/>
    <x v="0"/>
    <x v="0"/>
    <x v="0"/>
    <m/>
    <m/>
    <m/>
  </r>
  <r>
    <s v="60.02"/>
    <x v="40"/>
    <x v="108"/>
    <s v="Списание с расчетного счета 00БП-000425 от 20.02.2026 17:20:33"/>
    <s v="20.02.26"/>
    <n v="107310"/>
    <m/>
    <n v="1"/>
    <d v="2026-02-20T00:00:00"/>
    <n v="9"/>
    <x v="2"/>
    <x v="0"/>
    <x v="0"/>
    <x v="0"/>
    <m/>
    <m/>
    <m/>
  </r>
  <r>
    <s v="60.02"/>
    <x v="40"/>
    <x v="109"/>
    <s v="Списание с расчетного счета 00БП-000274 от 09.02.2026 16:00:02"/>
    <s v="09.02.26"/>
    <n v="11763"/>
    <m/>
    <n v="1"/>
    <d v="2026-02-09T00:00:00"/>
    <n v="20"/>
    <x v="2"/>
    <x v="0"/>
    <x v="0"/>
    <x v="0"/>
    <m/>
    <m/>
    <m/>
  </r>
  <r>
    <s v="60.02"/>
    <x v="40"/>
    <x v="110"/>
    <s v="Списание с расчетного счета 00БП-000467 от 25.02.2026 17:39:30"/>
    <s v="25.02.26"/>
    <n v="14331"/>
    <m/>
    <n v="1"/>
    <d v="2026-02-25T00:00:00"/>
    <n v="4"/>
    <x v="2"/>
    <x v="0"/>
    <x v="0"/>
    <x v="0"/>
    <m/>
    <m/>
    <m/>
  </r>
  <r>
    <s v="60.02"/>
    <x v="40"/>
    <x v="111"/>
    <s v="Списание с расчетного счета 00БП-000346 от 13.02.2026 17:04:15"/>
    <s v="13.02.26"/>
    <n v="47892"/>
    <m/>
    <n v="1"/>
    <d v="2026-02-13T00:00:00"/>
    <n v="16"/>
    <x v="2"/>
    <x v="0"/>
    <x v="0"/>
    <x v="0"/>
    <m/>
    <m/>
    <m/>
  </r>
  <r>
    <s v="60.02"/>
    <x v="40"/>
    <x v="112"/>
    <s v="Списание с расчетного счета 00БП-000147 от 28.01.2026 12:00:03"/>
    <s v="28.01.26"/>
    <n v="105441"/>
    <m/>
    <n v="1"/>
    <d v="2026-01-28T00:00:00"/>
    <n v="32"/>
    <x v="1"/>
    <x v="0"/>
    <x v="0"/>
    <x v="0"/>
    <m/>
    <m/>
    <m/>
  </r>
  <r>
    <s v="60.02"/>
    <x v="40"/>
    <x v="113"/>
    <s v="Списание с расчетного счета 00БП-000233 от 04.02.2026 16:35:12"/>
    <s v="04.02.26"/>
    <n v="86425"/>
    <m/>
    <n v="1"/>
    <d v="2026-02-04T00:00:00"/>
    <n v="25"/>
    <x v="2"/>
    <x v="0"/>
    <x v="0"/>
    <x v="0"/>
    <m/>
    <m/>
    <m/>
  </r>
  <r>
    <s v="60.02"/>
    <x v="40"/>
    <x v="114"/>
    <s v="Списание с расчетного счета 00БП-000021 от 14.01.2026 16:45:14"/>
    <s v="14.01.26"/>
    <n v="33606"/>
    <m/>
    <n v="1"/>
    <d v="2026-01-14T00:00:00"/>
    <n v="46"/>
    <x v="1"/>
    <x v="0"/>
    <x v="0"/>
    <x v="0"/>
    <m/>
    <m/>
    <m/>
  </r>
  <r>
    <s v="60.02"/>
    <x v="40"/>
    <x v="115"/>
    <s v="Списание с расчетного счета 00БП-000041 от 15.01.2026 14:53:08"/>
    <s v="15.01.26"/>
    <n v="1331"/>
    <m/>
    <n v="1"/>
    <d v="2026-01-15T00:00:00"/>
    <n v="45"/>
    <x v="1"/>
    <x v="0"/>
    <x v="0"/>
    <x v="0"/>
    <m/>
    <m/>
    <m/>
  </r>
  <r>
    <s v="60.02"/>
    <x v="41"/>
    <x v="116"/>
    <s v="Списание с расчетного счета 00БП-009286 от 25.12.2025 12:00:10"/>
    <s v="25.12.25"/>
    <n v="141389"/>
    <m/>
    <n v="1"/>
    <d v="2025-12-25T00:00:00"/>
    <n v="66"/>
    <x v="1"/>
    <x v="0"/>
    <x v="0"/>
    <x v="0"/>
    <m/>
    <m/>
    <m/>
  </r>
  <r>
    <s v="60.02"/>
    <x v="41"/>
    <x v="116"/>
    <s v="Списание с расчетного счета 00БП-000441 от 24.02.2026 17:52:57"/>
    <s v="24.02.26"/>
    <n v="248561"/>
    <m/>
    <n v="1"/>
    <d v="2026-02-24T00:00:00"/>
    <n v="5"/>
    <x v="2"/>
    <x v="0"/>
    <x v="0"/>
    <x v="0"/>
    <m/>
    <m/>
    <m/>
  </r>
  <r>
    <s v="60.02"/>
    <x v="41"/>
    <x v="116"/>
    <s v="Списание с расчетного счета 00БП-000495 от 26.02.2026 17:17:25"/>
    <s v="26.02.26"/>
    <n v="45150"/>
    <m/>
    <n v="1"/>
    <d v="2026-02-26T00:00:00"/>
    <n v="3"/>
    <x v="2"/>
    <x v="0"/>
    <x v="0"/>
    <x v="0"/>
    <m/>
    <m/>
    <m/>
  </r>
  <r>
    <s v="60.02"/>
    <x v="42"/>
    <x v="117"/>
    <s v="Списание с расчетного счета 00БП-000468 от 25.02.2026 17:39:31"/>
    <s v="25.02.26"/>
    <n v="29997"/>
    <m/>
    <n v="1"/>
    <d v="2026-02-25T00:00:00"/>
    <n v="4"/>
    <x v="2"/>
    <x v="0"/>
    <x v="0"/>
    <x v="0"/>
    <m/>
    <m/>
    <m/>
  </r>
  <r>
    <s v="60.02"/>
    <x v="43"/>
    <x v="118"/>
    <s v="Списание с расчетного счета 00БП-000403 от 18.02.2026 12:00:05"/>
    <s v="18.02.26"/>
    <n v="827640"/>
    <m/>
    <n v="1"/>
    <d v="2026-02-18T00:00:00"/>
    <n v="11"/>
    <x v="2"/>
    <x v="0"/>
    <x v="0"/>
    <x v="0"/>
    <m/>
    <m/>
    <m/>
  </r>
  <r>
    <s v="60.02"/>
    <x v="44"/>
    <x v="119"/>
    <s v="Списание с расчетного счета 00БП-007851 от 22.10.2025 18:47:36"/>
    <s v="22.10.25"/>
    <n v="97121"/>
    <m/>
    <n v="1"/>
    <d v="2025-10-22T00:00:00"/>
    <n v="130"/>
    <x v="0"/>
    <x v="0"/>
    <x v="0"/>
    <x v="0"/>
    <m/>
    <m/>
    <m/>
  </r>
  <r>
    <s v="60.02"/>
    <x v="45"/>
    <x v="120"/>
    <s v="Списание с расчетного счета 00БП-000353 от 13.02.2026 17:04:22"/>
    <s v="13.02.26"/>
    <n v="1220000"/>
    <m/>
    <n v="1"/>
    <d v="2026-02-13T00:00:00"/>
    <n v="16"/>
    <x v="2"/>
    <x v="0"/>
    <x v="0"/>
    <x v="0"/>
    <m/>
    <m/>
    <m/>
  </r>
  <r>
    <s v="60.02"/>
    <x v="46"/>
    <x v="121"/>
    <s v="Списание с расчетного счета 00БП-000426 от 20.02.2026 17:20:34"/>
    <s v="20.02.26"/>
    <n v="1974844.5"/>
    <m/>
    <n v="1"/>
    <d v="2026-02-20T00:00:00"/>
    <n v="9"/>
    <x v="2"/>
    <x v="0"/>
    <x v="0"/>
    <x v="0"/>
    <m/>
    <m/>
    <m/>
  </r>
  <r>
    <s v="60.02"/>
    <x v="47"/>
    <x v="122"/>
    <s v="Списание с расчетного счета 00БП-000501 от 26.02.2026 17:17:31"/>
    <s v="26.02.26"/>
    <n v="555424"/>
    <m/>
    <n v="1"/>
    <d v="2026-02-26T00:00:00"/>
    <n v="3"/>
    <x v="2"/>
    <x v="0"/>
    <x v="0"/>
    <x v="0"/>
    <m/>
    <m/>
    <m/>
  </r>
  <r>
    <s v="60.02"/>
    <x v="48"/>
    <x v="123"/>
    <s v="Корректировка долга 00БП-000112 от 31.07.2022 13:59:59"/>
    <s v="31.07.22"/>
    <n v="6881.46"/>
    <m/>
    <n v="1"/>
    <d v="2022-07-31T00:00:00"/>
    <n v="1309"/>
    <x v="5"/>
    <x v="0"/>
    <x v="0"/>
    <x v="2"/>
    <m/>
    <m/>
    <m/>
  </r>
  <r>
    <s v="60.02"/>
    <x v="48"/>
    <x v="124"/>
    <s v="Списание с расчетного счета 00БП-009245 от 19.12.2025 12:51:13"/>
    <s v="19.12.25"/>
    <n v="6883200"/>
    <m/>
    <n v="1"/>
    <d v="2025-12-19T00:00:00"/>
    <n v="72"/>
    <x v="1"/>
    <x v="0"/>
    <x v="0"/>
    <x v="0"/>
    <m/>
    <m/>
    <m/>
  </r>
  <r>
    <s v="60.02"/>
    <x v="49"/>
    <x v="125"/>
    <s v="Списание с расчетного счета 00БП-000471 от 25.02.2026 17:39:34"/>
    <s v="25.02.26"/>
    <n v="153376"/>
    <m/>
    <n v="1"/>
    <d v="2026-02-25T00:00:00"/>
    <n v="4"/>
    <x v="2"/>
    <x v="0"/>
    <x v="0"/>
    <x v="0"/>
    <m/>
    <m/>
    <m/>
  </r>
  <r>
    <s v="60.02"/>
    <x v="50"/>
    <x v="126"/>
    <s v="Списание с расчетного счета 00БП-004119 от 25.06.2025 20:39:20"/>
    <s v="25.06.25"/>
    <n v="0.04"/>
    <m/>
    <n v="1"/>
    <d v="2025-06-25T00:00:00"/>
    <n v="249"/>
    <x v="3"/>
    <x v="0"/>
    <x v="0"/>
    <x v="0"/>
    <m/>
    <m/>
    <m/>
  </r>
  <r>
    <s v="60.02"/>
    <x v="51"/>
    <x v="127"/>
    <s v="Списание с расчетного счета 00БП-005812 от 14.08.2025 18:36:40"/>
    <s v="14.08.25"/>
    <n v="5478"/>
    <m/>
    <n v="1"/>
    <d v="2025-08-14T00:00:00"/>
    <n v="199"/>
    <x v="3"/>
    <x v="0"/>
    <x v="0"/>
    <x v="0"/>
    <m/>
    <m/>
    <m/>
  </r>
  <r>
    <s v="60.02"/>
    <x v="51"/>
    <x v="128"/>
    <s v="Списание с расчетного счета 00БП-008347 от 11.11.2025 18:13:26"/>
    <s v="11.11.25"/>
    <n v="11518"/>
    <m/>
    <n v="1"/>
    <d v="2025-11-11T00:00:00"/>
    <n v="110"/>
    <x v="4"/>
    <x v="0"/>
    <x v="0"/>
    <x v="0"/>
    <m/>
    <m/>
    <m/>
  </r>
  <r>
    <s v="60.02"/>
    <x v="51"/>
    <x v="129"/>
    <s v="Списание с расчетного счета 00БП-008352 от 11.11.2025 18:13:31"/>
    <s v="11.11.25"/>
    <n v="65989"/>
    <m/>
    <n v="1"/>
    <d v="2025-11-11T00:00:00"/>
    <n v="110"/>
    <x v="4"/>
    <x v="0"/>
    <x v="0"/>
    <x v="0"/>
    <m/>
    <m/>
    <m/>
  </r>
  <r>
    <s v="60.02"/>
    <x v="52"/>
    <x v="130"/>
    <s v="Списание с расчетного счета 00БП-004118 от 25.06.2025 20:39:19"/>
    <s v="25.06.25"/>
    <n v="52500"/>
    <m/>
    <n v="1"/>
    <d v="2025-06-25T00:00:00"/>
    <n v="249"/>
    <x v="3"/>
    <x v="0"/>
    <x v="0"/>
    <x v="0"/>
    <m/>
    <m/>
    <m/>
  </r>
  <r>
    <s v="60.02"/>
    <x v="52"/>
    <x v="130"/>
    <s v="Списание с расчетного счета 00БП-006164 от 28.08.2025 19:12:06"/>
    <s v="28.08.25"/>
    <n v="297500"/>
    <m/>
    <n v="1"/>
    <d v="2025-08-28T00:00:00"/>
    <n v="185"/>
    <x v="3"/>
    <x v="0"/>
    <x v="0"/>
    <x v="0"/>
    <m/>
    <m/>
    <m/>
  </r>
  <r>
    <s v="60.02"/>
    <x v="52"/>
    <x v="131"/>
    <s v="Списание с расчетного счета 00БП-000497 от 26.02.2026 17:17:27"/>
    <s v="26.02.26"/>
    <n v="55050"/>
    <m/>
    <n v="1"/>
    <d v="2026-02-26T00:00:00"/>
    <n v="3"/>
    <x v="2"/>
    <x v="0"/>
    <x v="0"/>
    <x v="0"/>
    <m/>
    <m/>
    <m/>
  </r>
  <r>
    <s v="60.02"/>
    <x v="52"/>
    <x v="132"/>
    <s v="Списание с расчетного счета 00БП-000494 от 26.02.2026 17:17:24"/>
    <s v="26.02.26"/>
    <n v="22050"/>
    <m/>
    <n v="1"/>
    <d v="2026-02-26T00:00:00"/>
    <n v="3"/>
    <x v="2"/>
    <x v="0"/>
    <x v="0"/>
    <x v="0"/>
    <m/>
    <m/>
    <m/>
  </r>
  <r>
    <s v="60.02"/>
    <x v="53"/>
    <x v="133"/>
    <s v="Списание с расчетного счета 00БП-000360 от 13.02.2026 17:04:29"/>
    <s v="13.02.26"/>
    <n v="3156390"/>
    <m/>
    <n v="1"/>
    <d v="2026-02-13T00:00:00"/>
    <n v="16"/>
    <x v="2"/>
    <x v="0"/>
    <x v="0"/>
    <x v="0"/>
    <m/>
    <m/>
    <m/>
  </r>
  <r>
    <s v="60.02"/>
    <x v="53"/>
    <x v="134"/>
    <s v="Списание с расчетного счета 00БП-008361 от 11.11.2025 18:13:40"/>
    <s v="11.11.25"/>
    <n v="40216000"/>
    <m/>
    <n v="1"/>
    <d v="2025-11-11T00:00:00"/>
    <n v="110"/>
    <x v="4"/>
    <x v="0"/>
    <x v="0"/>
    <x v="0"/>
    <m/>
    <m/>
    <m/>
  </r>
  <r>
    <s v="60.02"/>
    <x v="53"/>
    <x v="134"/>
    <s v="Списание с расчетного счета 00БП-000202 от 02.02.2026 17:15:27"/>
    <s v="02.02.26"/>
    <n v="40216000"/>
    <m/>
    <n v="1"/>
    <d v="2026-02-02T00:00:00"/>
    <n v="27"/>
    <x v="2"/>
    <x v="0"/>
    <x v="0"/>
    <x v="0"/>
    <m/>
    <m/>
    <m/>
  </r>
  <r>
    <s v="60.02"/>
    <x v="54"/>
    <x v="135"/>
    <s v="Списание с расчетного счета 00БП-009290 от 25.12.2025 12:00:14"/>
    <s v="25.12.25"/>
    <n v="10077837.699999999"/>
    <m/>
    <n v="1"/>
    <d v="2025-12-25T00:00:00"/>
    <n v="66"/>
    <x v="1"/>
    <x v="0"/>
    <x v="0"/>
    <x v="0"/>
    <m/>
    <m/>
    <m/>
  </r>
  <r>
    <s v="60.02"/>
    <x v="54"/>
    <x v="135"/>
    <s v="Списание с расчетного счета 00БП-000446 от 24.02.2026 17:53:02"/>
    <s v="24.02.26"/>
    <n v="1897551.4"/>
    <m/>
    <n v="1"/>
    <d v="2026-02-24T00:00:00"/>
    <n v="5"/>
    <x v="2"/>
    <x v="0"/>
    <x v="0"/>
    <x v="0"/>
    <m/>
    <m/>
    <m/>
  </r>
  <r>
    <s v="60.02"/>
    <x v="55"/>
    <x v="136"/>
    <s v="Списание с расчетного счета 00БП-007364 от 08.10.2025 18:26:32"/>
    <s v="08.10.25"/>
    <n v="168000"/>
    <m/>
    <n v="1"/>
    <d v="2025-10-08T00:00:00"/>
    <n v="144"/>
    <x v="0"/>
    <x v="0"/>
    <x v="0"/>
    <x v="0"/>
    <m/>
    <m/>
    <m/>
  </r>
  <r>
    <s v="60.02"/>
    <x v="56"/>
    <x v="137"/>
    <s v="Списание с расчетного счета 00БП-005850 от 15.08.2025 19:11:20"/>
    <s v="15.08.25"/>
    <n v="7941"/>
    <m/>
    <n v="1"/>
    <d v="2025-08-15T00:00:00"/>
    <n v="198"/>
    <x v="3"/>
    <x v="0"/>
    <x v="0"/>
    <x v="0"/>
    <m/>
    <m/>
    <m/>
  </r>
  <r>
    <s v="60.02"/>
    <x v="57"/>
    <x v="138"/>
    <s v="Списание с расчетного счета 00БП-000520 от 27.02.2026 17:35:29"/>
    <s v="27.02.26"/>
    <n v="57500"/>
    <m/>
    <n v="1"/>
    <d v="2026-02-27T00:00:00"/>
    <n v="2"/>
    <x v="2"/>
    <x v="0"/>
    <x v="0"/>
    <x v="0"/>
    <m/>
    <m/>
    <m/>
  </r>
  <r>
    <s v="60.02"/>
    <x v="58"/>
    <x v="139"/>
    <s v="Списание с расчетного счета 00БП-005685 от 26.09.2023 22:54:03"/>
    <s v="26.09.23"/>
    <n v="5500"/>
    <m/>
    <n v="1"/>
    <d v="2023-09-26T00:00:00"/>
    <n v="887"/>
    <x v="5"/>
    <x v="0"/>
    <x v="0"/>
    <x v="0"/>
    <m/>
    <m/>
    <m/>
  </r>
  <r>
    <s v="60.02"/>
    <x v="58"/>
    <x v="140"/>
    <s v="Списание с расчетного счета 00БП-007707 от 15.10.2025 22:57:03"/>
    <s v="15.10.25"/>
    <n v="102545"/>
    <m/>
    <n v="1"/>
    <d v="2025-10-15T00:00:00"/>
    <n v="137"/>
    <x v="0"/>
    <x v="0"/>
    <x v="0"/>
    <x v="0"/>
    <m/>
    <m/>
    <m/>
  </r>
  <r>
    <s v="60.02"/>
    <x v="59"/>
    <x v="141"/>
    <s v="Списание с расчетного счета 00БП-008927 от 25.11.2025 15:31:10"/>
    <s v="25.11.25"/>
    <n v="2760000"/>
    <m/>
    <n v="1"/>
    <d v="2025-11-25T00:00:00"/>
    <n v="96"/>
    <x v="4"/>
    <x v="0"/>
    <x v="0"/>
    <x v="0"/>
    <m/>
    <m/>
    <m/>
  </r>
  <r>
    <s v="60.02"/>
    <x v="60"/>
    <x v="142"/>
    <s v="Списание с расчетного счета 00БП-008307 от 21.12.2021 12:00:28"/>
    <s v="21.12.21"/>
    <n v="2000"/>
    <m/>
    <n v="1"/>
    <d v="2021-12-21T00:00:00"/>
    <n v="1531"/>
    <x v="5"/>
    <x v="0"/>
    <x v="0"/>
    <x v="0"/>
    <m/>
    <m/>
    <m/>
  </r>
  <r>
    <s v="60.02"/>
    <x v="61"/>
    <x v="143"/>
    <s v="Списание с расчетного счета 00БП-006163 от 28.08.2025 19:12:05"/>
    <s v="28.08.25"/>
    <n v="25866"/>
    <m/>
    <n v="1"/>
    <d v="2025-08-28T00:00:00"/>
    <n v="185"/>
    <x v="3"/>
    <x v="0"/>
    <x v="0"/>
    <x v="0"/>
    <m/>
    <m/>
    <m/>
  </r>
  <r>
    <s v="60.02"/>
    <x v="62"/>
    <x v="144"/>
    <s v="Списание с расчетного счета 00БП-001959 от 19.04.2024 20:35:31"/>
    <s v="19.04.24"/>
    <n v="300"/>
    <m/>
    <n v="1"/>
    <d v="2024-04-19T00:00:00"/>
    <n v="681"/>
    <x v="5"/>
    <x v="0"/>
    <x v="0"/>
    <x v="0"/>
    <m/>
    <m/>
    <m/>
  </r>
  <r>
    <s v="60.02"/>
    <x v="63"/>
    <x v="145"/>
    <s v="Списание с расчетного счета 00БП-009289 от 25.12.2025 12:00:13"/>
    <s v="25.12.25"/>
    <n v="4790000"/>
    <m/>
    <n v="1"/>
    <d v="2025-12-25T00:00:00"/>
    <n v="66"/>
    <x v="1"/>
    <x v="0"/>
    <x v="0"/>
    <x v="0"/>
    <m/>
    <m/>
    <m/>
  </r>
  <r>
    <s v="60.02"/>
    <x v="64"/>
    <x v="146"/>
    <s v="Списание с расчетного счета 00БП-008785 от 18.11.2025 23:05:27"/>
    <s v="18.11.25"/>
    <n v="0.02"/>
    <m/>
    <n v="1"/>
    <d v="2025-11-18T00:00:00"/>
    <n v="103"/>
    <x v="4"/>
    <x v="0"/>
    <x v="0"/>
    <x v="0"/>
    <m/>
    <m/>
    <m/>
  </r>
  <r>
    <s v="60.02"/>
    <x v="64"/>
    <x v="147"/>
    <s v="Списание с расчетного счета 00БП-004591 от 10.07.2025 16:07:40"/>
    <s v="10.07.25"/>
    <n v="0.01"/>
    <m/>
    <n v="1"/>
    <d v="2025-07-10T00:00:00"/>
    <n v="234"/>
    <x v="3"/>
    <x v="0"/>
    <x v="0"/>
    <x v="0"/>
    <m/>
    <m/>
    <m/>
  </r>
  <r>
    <s v="60.02"/>
    <x v="65"/>
    <x v="148"/>
    <s v="Списание с расчетного счета 00БП-009153 от 05.12.2024 12:53:23"/>
    <s v="05.12.24"/>
    <n v="299500"/>
    <m/>
    <n v="1"/>
    <d v="2024-12-05T00:00:00"/>
    <n v="451"/>
    <x v="5"/>
    <x v="0"/>
    <x v="0"/>
    <x v="12"/>
    <m/>
    <m/>
    <m/>
  </r>
  <r>
    <s v="60.02"/>
    <x v="66"/>
    <x v="149"/>
    <s v="Списание с расчетного счета 00БП-000427 от 20.02.2026 17:20:35"/>
    <s v="20.02.26"/>
    <n v="23700000"/>
    <m/>
    <n v="1"/>
    <d v="2026-02-20T00:00:00"/>
    <n v="9"/>
    <x v="2"/>
    <x v="0"/>
    <x v="0"/>
    <x v="0"/>
    <m/>
    <m/>
    <m/>
  </r>
  <r>
    <s v="60.02"/>
    <x v="67"/>
    <x v="150"/>
    <s v="Списание с расчетного счета 00БП-005457 от 06.08.2025 19:15:12"/>
    <s v="06.08.25"/>
    <n v="23544"/>
    <m/>
    <n v="1"/>
    <d v="2025-08-06T00:00:00"/>
    <n v="207"/>
    <x v="3"/>
    <x v="0"/>
    <x v="0"/>
    <x v="0"/>
    <m/>
    <m/>
    <m/>
  </r>
  <r>
    <s v="60.02"/>
    <x v="68"/>
    <x v="151"/>
    <s v="Списание с расчетного счета 00БП-007543 от 10.10.2025 17:09:37"/>
    <s v="10.10.25"/>
    <n v="28000"/>
    <m/>
    <n v="1"/>
    <d v="2025-10-10T00:00:00"/>
    <n v="142"/>
    <x v="0"/>
    <x v="0"/>
    <x v="0"/>
    <x v="0"/>
    <m/>
    <m/>
    <m/>
  </r>
  <r>
    <s v="60.02"/>
    <x v="69"/>
    <x v="152"/>
    <s v="Списание с расчетного счета 00БП-007816 от 22.10.2024 18:07:30"/>
    <s v="22.10.24"/>
    <n v="1334.4"/>
    <m/>
    <n v="1"/>
    <d v="2024-10-22T00:00:00"/>
    <n v="495"/>
    <x v="5"/>
    <x v="0"/>
    <x v="0"/>
    <x v="2"/>
    <m/>
    <m/>
    <m/>
  </r>
  <r>
    <s v="60.02"/>
    <x v="69"/>
    <x v="153"/>
    <s v="Списание с расчетного счета 00БП-007962 от 28.10.2024 23:47:33"/>
    <s v="28.10.24"/>
    <n v="6990"/>
    <m/>
    <n v="1"/>
    <d v="2024-10-28T00:00:00"/>
    <n v="489"/>
    <x v="5"/>
    <x v="0"/>
    <x v="0"/>
    <x v="2"/>
    <m/>
    <m/>
    <m/>
  </r>
  <r>
    <s v="60.02"/>
    <x v="70"/>
    <x v="154"/>
    <s v="Списание с расчетного счета 00БП-008783 от 18.11.2025 23:05:25"/>
    <s v="18.11.25"/>
    <n v="300000"/>
    <m/>
    <n v="1"/>
    <d v="2025-11-18T00:00:00"/>
    <n v="103"/>
    <x v="4"/>
    <x v="0"/>
    <x v="0"/>
    <x v="0"/>
    <m/>
    <m/>
    <m/>
  </r>
  <r>
    <s v="60.02"/>
    <x v="71"/>
    <x v="155"/>
    <s v="Списание с расчетного счета 00БП-003507 от 09.06.2025 17:55:56"/>
    <s v="09.06.25"/>
    <n v="24500"/>
    <m/>
    <n v="1"/>
    <d v="2025-06-09T00:00:00"/>
    <n v="265"/>
    <x v="3"/>
    <x v="0"/>
    <x v="0"/>
    <x v="0"/>
    <m/>
    <m/>
    <m/>
  </r>
  <r>
    <s v="60.02"/>
    <x v="71"/>
    <x v="156"/>
    <s v="Списание с расчетного счета 00БП-002932 от 20.05.2025 20:02:05"/>
    <s v="20.05.25"/>
    <n v="58485"/>
    <m/>
    <n v="1"/>
    <d v="2025-05-20T00:00:00"/>
    <n v="285"/>
    <x v="6"/>
    <x v="0"/>
    <x v="0"/>
    <x v="0"/>
    <m/>
    <m/>
    <m/>
  </r>
  <r>
    <s v="60.02"/>
    <x v="71"/>
    <x v="157"/>
    <s v="Списание с расчетного счета 00БП-003349 от 03.06.2025 17:39:01"/>
    <s v="03.06.25"/>
    <n v="2690"/>
    <m/>
    <n v="1"/>
    <d v="2025-06-03T00:00:00"/>
    <n v="271"/>
    <x v="6"/>
    <x v="0"/>
    <x v="0"/>
    <x v="0"/>
    <m/>
    <m/>
    <m/>
  </r>
  <r>
    <s v="60.02"/>
    <x v="71"/>
    <x v="158"/>
    <s v="Списание с расчетного счета 00БП-004858 от 14.07.2025 17:54:08"/>
    <s v="14.07.25"/>
    <n v="16020"/>
    <m/>
    <n v="1"/>
    <d v="2025-07-14T00:00:00"/>
    <n v="230"/>
    <x v="3"/>
    <x v="0"/>
    <x v="0"/>
    <x v="0"/>
    <m/>
    <m/>
    <m/>
  </r>
  <r>
    <s v="60.02"/>
    <x v="71"/>
    <x v="159"/>
    <s v="Списание с расчетного счета 00БП-007893 от 24.10.2025 17:29:35"/>
    <s v="24.10.25"/>
    <n v="29748"/>
    <m/>
    <n v="1"/>
    <d v="2025-10-24T00:00:00"/>
    <n v="128"/>
    <x v="0"/>
    <x v="0"/>
    <x v="0"/>
    <x v="0"/>
    <m/>
    <m/>
    <m/>
  </r>
  <r>
    <s v="60.02"/>
    <x v="72"/>
    <x v="73"/>
    <s v="Списание с расчетного счета 00БП-008907 от 24.11.2025 16:33:57"/>
    <s v="24.11.25"/>
    <n v="3135726.34"/>
    <m/>
    <n v="1"/>
    <d v="2025-11-24T00:00:00"/>
    <n v="97"/>
    <x v="4"/>
    <x v="0"/>
    <x v="0"/>
    <x v="0"/>
    <m/>
    <m/>
    <m/>
  </r>
  <r>
    <s v="60.02"/>
    <x v="73"/>
    <x v="160"/>
    <s v="Списание с расчетного счета 00БП-003413 от 05.06.2025 19:44:02"/>
    <s v="05.06.25"/>
    <n v="5900"/>
    <m/>
    <n v="1"/>
    <d v="2025-06-05T00:00:00"/>
    <n v="269"/>
    <x v="3"/>
    <x v="0"/>
    <x v="0"/>
    <x v="0"/>
    <m/>
    <m/>
    <m/>
  </r>
  <r>
    <s v="60.02"/>
    <x v="73"/>
    <x v="161"/>
    <s v="Списание с расчетного счета 00БП-002901 от 19.05.2025 18:19:45"/>
    <s v="19.05.25"/>
    <n v="76000"/>
    <m/>
    <n v="1"/>
    <d v="2025-05-19T00:00:00"/>
    <n v="286"/>
    <x v="6"/>
    <x v="0"/>
    <x v="0"/>
    <x v="0"/>
    <m/>
    <m/>
    <m/>
  </r>
  <r>
    <s v="60.02"/>
    <x v="74"/>
    <x v="162"/>
    <s v="Списание с расчетного счета 00БП-000535 от 07.03.2025 17:21:02"/>
    <s v="07.03.25"/>
    <n v="9000"/>
    <m/>
    <n v="1"/>
    <d v="2025-03-07T00:00:00"/>
    <n v="359"/>
    <x v="6"/>
    <x v="0"/>
    <x v="0"/>
    <x v="8"/>
    <m/>
    <m/>
    <m/>
  </r>
  <r>
    <s v="60.02"/>
    <x v="75"/>
    <x v="163"/>
    <s v="Списание с расчетного счета 00БП-009339 от 29.12.2025 17:48:54"/>
    <s v="29.12.25"/>
    <n v="23320"/>
    <m/>
    <n v="1"/>
    <d v="2025-12-29T00:00:00"/>
    <n v="62"/>
    <x v="1"/>
    <x v="0"/>
    <x v="0"/>
    <x v="0"/>
    <m/>
    <m/>
    <m/>
  </r>
  <r>
    <s v="60.02"/>
    <x v="75"/>
    <x v="164"/>
    <s v="Списание с расчетного счета 00БП-007854 от 22.10.2025 18:47:39"/>
    <s v="22.10.25"/>
    <n v="427500"/>
    <m/>
    <n v="1"/>
    <d v="2025-10-22T00:00:00"/>
    <n v="130"/>
    <x v="0"/>
    <x v="0"/>
    <x v="0"/>
    <x v="0"/>
    <m/>
    <m/>
    <m/>
  </r>
  <r>
    <s v="60.02"/>
    <x v="76"/>
    <x v="165"/>
    <s v="Списание с расчетного счета 00БП-008910 от 24.11.2025 16:34:00"/>
    <s v="24.11.25"/>
    <n v="5088000"/>
    <m/>
    <n v="1"/>
    <d v="2025-11-24T00:00:00"/>
    <n v="97"/>
    <x v="4"/>
    <x v="0"/>
    <x v="0"/>
    <x v="0"/>
    <m/>
    <m/>
    <m/>
  </r>
  <r>
    <s v="60.02"/>
    <x v="76"/>
    <x v="166"/>
    <s v="Списание с расчетного счета 00БП-008909 от 24.11.2025 16:33:59"/>
    <s v="24.11.25"/>
    <n v="4563000"/>
    <m/>
    <n v="1"/>
    <d v="2025-11-24T00:00:00"/>
    <n v="97"/>
    <x v="4"/>
    <x v="0"/>
    <x v="0"/>
    <x v="0"/>
    <m/>
    <m/>
    <m/>
  </r>
  <r>
    <s v="60.02"/>
    <x v="76"/>
    <x v="167"/>
    <s v="Списание с расчетного счета 00БП-008905 от 24.11.2025 16:33:55"/>
    <s v="24.11.25"/>
    <n v="492000"/>
    <m/>
    <n v="1"/>
    <d v="2025-11-24T00:00:00"/>
    <n v="97"/>
    <x v="4"/>
    <x v="0"/>
    <x v="0"/>
    <x v="0"/>
    <m/>
    <m/>
    <m/>
  </r>
  <r>
    <s v="60.02"/>
    <x v="76"/>
    <x v="168"/>
    <s v="Списание с расчетного счета 00БП-008911 от 24.11.2025 16:34:01"/>
    <s v="24.11.25"/>
    <n v="8808000"/>
    <m/>
    <n v="1"/>
    <d v="2025-11-24T00:00:00"/>
    <n v="97"/>
    <x v="4"/>
    <x v="0"/>
    <x v="0"/>
    <x v="0"/>
    <m/>
    <m/>
    <m/>
  </r>
  <r>
    <s v="60.02"/>
    <x v="76"/>
    <x v="169"/>
    <s v="Списание с расчетного счета 00БП-000267 от 06.02.2026 12:00:04"/>
    <s v="06.02.26"/>
    <n v="2857301"/>
    <m/>
    <n v="1"/>
    <d v="2026-02-06T00:00:00"/>
    <n v="23"/>
    <x v="2"/>
    <x v="0"/>
    <x v="0"/>
    <x v="0"/>
    <m/>
    <m/>
    <m/>
  </r>
  <r>
    <s v="60.02"/>
    <x v="76"/>
    <x v="170"/>
    <s v="Списание с расчетного счета 00БП-000268 от 06.02.2026 12:00:05"/>
    <s v="06.02.26"/>
    <n v="7210200"/>
    <m/>
    <n v="1"/>
    <d v="2026-02-06T00:00:00"/>
    <n v="23"/>
    <x v="2"/>
    <x v="0"/>
    <x v="0"/>
    <x v="0"/>
    <m/>
    <m/>
    <m/>
  </r>
  <r>
    <s v="60.02"/>
    <x v="77"/>
    <x v="171"/>
    <s v="Списание с расчетного счета 00БП-003223 от 28.05.2025 21:55:54"/>
    <s v="28.05.25"/>
    <n v="39502.11"/>
    <m/>
    <n v="1"/>
    <d v="2025-05-28T00:00:00"/>
    <n v="277"/>
    <x v="6"/>
    <x v="0"/>
    <x v="0"/>
    <x v="0"/>
    <m/>
    <m/>
    <m/>
  </r>
  <r>
    <s v="60.02"/>
    <x v="78"/>
    <x v="172"/>
    <s v="Списание с расчетного счета 00БП-009274 от 24.12.2025 11:37:27"/>
    <s v="24.12.25"/>
    <n v="59150000"/>
    <m/>
    <n v="1"/>
    <d v="2025-12-24T00:00:00"/>
    <n v="67"/>
    <x v="1"/>
    <x v="0"/>
    <x v="0"/>
    <x v="0"/>
    <m/>
    <m/>
    <m/>
  </r>
  <r>
    <s v="60.02"/>
    <x v="78"/>
    <x v="173"/>
    <s v="Списание с расчетного счета 00БП-004325 от 08.07.2024 18:29:59"/>
    <s v="08.07.24"/>
    <n v="31.2"/>
    <m/>
    <n v="1"/>
    <d v="2024-07-08T00:00:00"/>
    <n v="601"/>
    <x v="5"/>
    <x v="0"/>
    <x v="0"/>
    <x v="0"/>
    <m/>
    <m/>
    <m/>
  </r>
  <r>
    <s v="60.02"/>
    <x v="78"/>
    <x v="173"/>
    <s v="Списание с расчетного счета 00БП-004331 от 08.07.2024 18:30:05"/>
    <s v="08.07.24"/>
    <n v="995281.85"/>
    <m/>
    <n v="1"/>
    <d v="2024-07-08T00:00:00"/>
    <n v="601"/>
    <x v="5"/>
    <x v="0"/>
    <x v="0"/>
    <x v="0"/>
    <m/>
    <m/>
    <m/>
  </r>
  <r>
    <s v="60.02"/>
    <x v="78"/>
    <x v="173"/>
    <s v="Списание с расчетного счета 00БП-005804 от 23.08.2024 17:14:33"/>
    <s v="23.08.24"/>
    <n v="395493.5"/>
    <m/>
    <n v="1"/>
    <d v="2024-08-23T00:00:00"/>
    <n v="555"/>
    <x v="5"/>
    <x v="0"/>
    <x v="0"/>
    <x v="0"/>
    <m/>
    <m/>
    <m/>
  </r>
  <r>
    <s v="60.02"/>
    <x v="78"/>
    <x v="174"/>
    <s v="Списание с расчетного счета 00БП-007827 от 21.10.2025 17:30:38"/>
    <s v="21.10.25"/>
    <n v="969720.57"/>
    <m/>
    <n v="1"/>
    <d v="2025-10-21T00:00:00"/>
    <n v="131"/>
    <x v="0"/>
    <x v="0"/>
    <x v="0"/>
    <x v="0"/>
    <m/>
    <m/>
    <m/>
  </r>
  <r>
    <s v="60.02"/>
    <x v="78"/>
    <x v="174"/>
    <s v="Списание с расчетного счета 00БП-007894 от 24.10.2025 17:29:36"/>
    <s v="24.10.25"/>
    <n v="389696.13"/>
    <m/>
    <n v="1"/>
    <d v="2025-10-24T00:00:00"/>
    <n v="128"/>
    <x v="0"/>
    <x v="0"/>
    <x v="0"/>
    <x v="0"/>
    <m/>
    <m/>
    <m/>
  </r>
  <r>
    <s v="60.02"/>
    <x v="78"/>
    <x v="174"/>
    <s v="Списание с расчетного счета 00БП-007896 от 24.10.2025 17:29:38"/>
    <s v="24.10.25"/>
    <n v="1002946.15"/>
    <m/>
    <n v="1"/>
    <d v="2025-10-24T00:00:00"/>
    <n v="128"/>
    <x v="0"/>
    <x v="0"/>
    <x v="0"/>
    <x v="0"/>
    <m/>
    <m/>
    <m/>
  </r>
  <r>
    <s v="60.02"/>
    <x v="78"/>
    <x v="175"/>
    <s v="Списание с расчетного счета 00БП-000295 от 11.02.2026 17:01:51"/>
    <s v="11.02.26"/>
    <n v="9675994.3599999994"/>
    <m/>
    <n v="1"/>
    <d v="2026-02-11T00:00:00"/>
    <n v="18"/>
    <x v="2"/>
    <x v="0"/>
    <x v="0"/>
    <x v="0"/>
    <m/>
    <m/>
    <m/>
  </r>
  <r>
    <s v="60.02"/>
    <x v="78"/>
    <x v="176"/>
    <s v="Списание с расчетного счета 00БП-000481 от 25.02.2026 17:39:44"/>
    <s v="25.02.26"/>
    <n v="27479576.449999999"/>
    <m/>
    <n v="1"/>
    <d v="2026-02-25T00:00:00"/>
    <n v="4"/>
    <x v="2"/>
    <x v="0"/>
    <x v="0"/>
    <x v="0"/>
    <m/>
    <m/>
    <m/>
  </r>
  <r>
    <s v="60.02"/>
    <x v="78"/>
    <x v="177"/>
    <s v="Списание с расчетного счета 00БП-000290 от 11.02.2026 17:01:46"/>
    <s v="11.02.26"/>
    <n v="710983.33"/>
    <m/>
    <n v="1"/>
    <d v="2026-02-11T00:00:00"/>
    <n v="18"/>
    <x v="2"/>
    <x v="0"/>
    <x v="0"/>
    <x v="0"/>
    <m/>
    <m/>
    <m/>
  </r>
  <r>
    <s v="60.02"/>
    <x v="78"/>
    <x v="178"/>
    <s v="Списание с расчетного счета 00БП-000291 от 11.02.2026 17:01:47"/>
    <s v="11.02.26"/>
    <n v="949199.4"/>
    <m/>
    <n v="1"/>
    <d v="2026-02-11T00:00:00"/>
    <n v="18"/>
    <x v="2"/>
    <x v="0"/>
    <x v="0"/>
    <x v="0"/>
    <m/>
    <m/>
    <m/>
  </r>
  <r>
    <s v="60.02"/>
    <x v="78"/>
    <x v="179"/>
    <s v="Списание с расчетного счета 00БП-009318 от 26.12.2025 12:00:24"/>
    <s v="26.12.25"/>
    <n v="3536597.4"/>
    <m/>
    <n v="1"/>
    <d v="2025-12-26T00:00:00"/>
    <n v="65"/>
    <x v="1"/>
    <x v="0"/>
    <x v="0"/>
    <x v="0"/>
    <m/>
    <m/>
    <m/>
  </r>
  <r>
    <s v="60.02"/>
    <x v="78"/>
    <x v="180"/>
    <s v="Списание с расчетного счета 00БП-009317 от 26.12.2025 12:00:23"/>
    <s v="26.12.25"/>
    <n v="1857916.08"/>
    <m/>
    <n v="1"/>
    <d v="2025-12-26T00:00:00"/>
    <n v="65"/>
    <x v="1"/>
    <x v="0"/>
    <x v="0"/>
    <x v="0"/>
    <m/>
    <m/>
    <m/>
  </r>
  <r>
    <s v="60.02"/>
    <x v="78"/>
    <x v="181"/>
    <s v="Списание с расчетного счета 00БП-009243 от 19.12.2025 12:51:11"/>
    <s v="19.12.25"/>
    <n v="4806964.25"/>
    <m/>
    <n v="1"/>
    <d v="2025-12-19T00:00:00"/>
    <n v="72"/>
    <x v="1"/>
    <x v="0"/>
    <x v="0"/>
    <x v="0"/>
    <m/>
    <m/>
    <m/>
  </r>
  <r>
    <s v="60.02"/>
    <x v="79"/>
    <x v="182"/>
    <s v="Списание с расчетного счета 00БП-008210 от 05.11.2025 17:00:56"/>
    <s v="05.11.25"/>
    <n v="904.82"/>
    <m/>
    <n v="1"/>
    <d v="2025-11-05T00:00:00"/>
    <n v="116"/>
    <x v="4"/>
    <x v="0"/>
    <x v="0"/>
    <x v="0"/>
    <m/>
    <m/>
    <m/>
  </r>
  <r>
    <s v="60.02"/>
    <x v="79"/>
    <x v="182"/>
    <s v="Списание с расчетного счета 00БП-000223 от 03.02.2026 14:13:57"/>
    <s v="03.02.26"/>
    <n v="2000"/>
    <m/>
    <n v="1"/>
    <d v="2026-02-03T00:00:00"/>
    <n v="26"/>
    <x v="2"/>
    <x v="0"/>
    <x v="0"/>
    <x v="0"/>
    <m/>
    <m/>
    <m/>
  </r>
  <r>
    <s v="60.02"/>
    <x v="79"/>
    <x v="183"/>
    <s v="Списание с расчетного счета 00БП-000227 от 03.02.2026 14:14:01"/>
    <s v="03.02.26"/>
    <n v="2534.89"/>
    <m/>
    <n v="1"/>
    <d v="2026-02-03T00:00:00"/>
    <n v="26"/>
    <x v="2"/>
    <x v="0"/>
    <x v="0"/>
    <x v="0"/>
    <m/>
    <m/>
    <m/>
  </r>
  <r>
    <s v="60.02"/>
    <x v="79"/>
    <x v="184"/>
    <s v="Списание с расчетного счета 00БП-000459 от 24.02.2026 17:53:17"/>
    <s v="24.02.26"/>
    <n v="7952.65"/>
    <m/>
    <n v="1"/>
    <d v="2026-02-24T00:00:00"/>
    <n v="5"/>
    <x v="2"/>
    <x v="0"/>
    <x v="0"/>
    <x v="0"/>
    <m/>
    <m/>
    <m/>
  </r>
  <r>
    <s v="60.02"/>
    <x v="79"/>
    <x v="185"/>
    <s v="Списание с расчетного счета 00БП-001107 от 05.04.2019 22:18:00"/>
    <s v="05.04.19"/>
    <n v="45.91"/>
    <m/>
    <n v="1"/>
    <d v="2019-04-05T00:00:00"/>
    <n v="2522"/>
    <x v="5"/>
    <x v="0"/>
    <x v="0"/>
    <x v="0"/>
    <m/>
    <m/>
    <m/>
  </r>
  <r>
    <s v="60.02"/>
    <x v="79"/>
    <x v="186"/>
    <s v="Списание с расчетного счета 00БП-008215 от 05.11.2025 17:01:01"/>
    <s v="05.11.25"/>
    <n v="2028.51"/>
    <m/>
    <n v="1"/>
    <d v="2025-11-05T00:00:00"/>
    <n v="116"/>
    <x v="4"/>
    <x v="0"/>
    <x v="0"/>
    <x v="0"/>
    <m/>
    <m/>
    <m/>
  </r>
  <r>
    <s v="60.02"/>
    <x v="79"/>
    <x v="186"/>
    <s v="Списание с расчетного счета 00БП-000222 от 03.02.2026 14:13:56"/>
    <s v="03.02.26"/>
    <n v="2000"/>
    <m/>
    <n v="1"/>
    <d v="2026-02-03T00:00:00"/>
    <n v="26"/>
    <x v="2"/>
    <x v="0"/>
    <x v="0"/>
    <x v="0"/>
    <m/>
    <m/>
    <m/>
  </r>
  <r>
    <s v="60.02"/>
    <x v="79"/>
    <x v="187"/>
    <s v="Списание с расчетного счета 00БП-005417 от 04.08.2025 21:25:09"/>
    <s v="04.08.25"/>
    <n v="316.13"/>
    <m/>
    <n v="1"/>
    <d v="2025-08-04T00:00:00"/>
    <n v="209"/>
    <x v="3"/>
    <x v="0"/>
    <x v="0"/>
    <x v="0"/>
    <m/>
    <m/>
    <m/>
  </r>
  <r>
    <s v="60.02"/>
    <x v="79"/>
    <x v="188"/>
    <s v="Списание с расчетного счета 00БП-006846 от 03.11.2023 17:15:20"/>
    <s v="03.11.23"/>
    <n v="771.25"/>
    <m/>
    <n v="1"/>
    <d v="2023-11-03T00:00:00"/>
    <n v="849"/>
    <x v="5"/>
    <x v="0"/>
    <x v="0"/>
    <x v="0"/>
    <m/>
    <m/>
    <m/>
  </r>
  <r>
    <s v="60.02"/>
    <x v="79"/>
    <x v="188"/>
    <s v="Списание с расчетного счета 00БП-000347 от 13.02.2024 16:34:45"/>
    <s v="13.02.24"/>
    <n v="500"/>
    <m/>
    <n v="1"/>
    <d v="2024-02-13T00:00:00"/>
    <n v="747"/>
    <x v="5"/>
    <x v="0"/>
    <x v="0"/>
    <x v="0"/>
    <m/>
    <m/>
    <m/>
  </r>
  <r>
    <s v="60.02"/>
    <x v="79"/>
    <x v="189"/>
    <s v="Списание с расчетного счета 00БП-008216 от 05.11.2025 17:01:02"/>
    <s v="05.11.25"/>
    <n v="2124.0700000000002"/>
    <m/>
    <n v="1"/>
    <d v="2025-11-05T00:00:00"/>
    <n v="116"/>
    <x v="4"/>
    <x v="0"/>
    <x v="0"/>
    <x v="0"/>
    <m/>
    <m/>
    <m/>
  </r>
  <r>
    <s v="60.02"/>
    <x v="79"/>
    <x v="189"/>
    <s v="Списание с расчетного счета 00БП-000224 от 03.02.2026 14:13:58"/>
    <s v="03.02.26"/>
    <n v="2000"/>
    <m/>
    <n v="1"/>
    <d v="2026-02-03T00:00:00"/>
    <n v="26"/>
    <x v="2"/>
    <x v="0"/>
    <x v="0"/>
    <x v="0"/>
    <m/>
    <m/>
    <m/>
  </r>
  <r>
    <s v="60.02"/>
    <x v="79"/>
    <x v="190"/>
    <s v="Списание с расчетного счета 0000-000968 от 08.04.2016 23:59:59"/>
    <s v="08.04.16"/>
    <n v="127.6"/>
    <m/>
    <n v="1"/>
    <d v="2016-04-08T00:00:00"/>
    <n v="3614"/>
    <x v="5"/>
    <x v="0"/>
    <x v="0"/>
    <x v="0"/>
    <m/>
    <m/>
    <m/>
  </r>
  <r>
    <s v="60.02"/>
    <x v="79"/>
    <x v="190"/>
    <s v="Списание с расчетного счета 0000-001483 от 11.05.2016 23:59:59"/>
    <s v="11.05.16"/>
    <n v="430"/>
    <m/>
    <n v="1"/>
    <d v="2016-05-11T00:00:00"/>
    <n v="3581"/>
    <x v="5"/>
    <x v="0"/>
    <x v="0"/>
    <x v="0"/>
    <m/>
    <m/>
    <m/>
  </r>
  <r>
    <s v="60.02"/>
    <x v="79"/>
    <x v="190"/>
    <s v="Списание с расчетного счета 00БП-006633 от 18.12.2019 20:16:13"/>
    <s v="18.12.19"/>
    <n v="0.01"/>
    <m/>
    <n v="1"/>
    <d v="2019-12-18T00:00:00"/>
    <n v="2265"/>
    <x v="5"/>
    <x v="0"/>
    <x v="0"/>
    <x v="0"/>
    <m/>
    <m/>
    <m/>
  </r>
  <r>
    <s v="60.02"/>
    <x v="79"/>
    <x v="191"/>
    <m/>
    <m/>
    <n v="68.27"/>
    <m/>
    <n v="1"/>
    <d v="1899-12-30T00:00:00"/>
    <n v="46082"/>
    <x v="5"/>
    <x v="0"/>
    <x v="0"/>
    <x v="0"/>
    <m/>
    <m/>
    <m/>
  </r>
  <r>
    <s v="60.02"/>
    <x v="79"/>
    <x v="192"/>
    <s v="Поступление (акт, накладная, УПД) 0000-000139 от 29.02.2016 23:59:59"/>
    <s v="29.02.16"/>
    <n v="799.94"/>
    <m/>
    <n v="1"/>
    <d v="2016-02-29T00:00:00"/>
    <n v="3653"/>
    <x v="5"/>
    <x v="0"/>
    <x v="0"/>
    <x v="0"/>
    <m/>
    <m/>
    <m/>
  </r>
  <r>
    <s v="60.02"/>
    <x v="79"/>
    <x v="193"/>
    <s v="Списание с расчетного счета 00БП-005424 от 04.08.2025 21:25:16"/>
    <s v="04.08.25"/>
    <n v="2356.06"/>
    <m/>
    <n v="1"/>
    <d v="2025-08-04T00:00:00"/>
    <n v="209"/>
    <x v="3"/>
    <x v="0"/>
    <x v="0"/>
    <x v="0"/>
    <m/>
    <m/>
    <m/>
  </r>
  <r>
    <s v="60.02"/>
    <x v="79"/>
    <x v="193"/>
    <s v="Списание с расчетного счета 00БП-008214 от 05.11.2025 17:01:00"/>
    <s v="05.11.25"/>
    <n v="5000"/>
    <m/>
    <n v="1"/>
    <d v="2025-11-05T00:00:00"/>
    <n v="116"/>
    <x v="4"/>
    <x v="0"/>
    <x v="0"/>
    <x v="0"/>
    <m/>
    <m/>
    <m/>
  </r>
  <r>
    <s v="60.02"/>
    <x v="79"/>
    <x v="193"/>
    <s v="Списание с расчетного счета 00БП-000226 от 03.02.2026 14:14:00"/>
    <s v="03.02.26"/>
    <n v="2000"/>
    <m/>
    <n v="1"/>
    <d v="2026-02-03T00:00:00"/>
    <n v="26"/>
    <x v="2"/>
    <x v="0"/>
    <x v="0"/>
    <x v="0"/>
    <m/>
    <m/>
    <m/>
  </r>
  <r>
    <s v="60.02"/>
    <x v="79"/>
    <x v="194"/>
    <s v="Списание с расчетного счета 00БП-008914 от 24.11.2025 16:34:06"/>
    <s v="24.11.25"/>
    <n v="800"/>
    <m/>
    <n v="1"/>
    <d v="2025-11-24T00:00:00"/>
    <n v="97"/>
    <x v="4"/>
    <x v="0"/>
    <x v="0"/>
    <x v="0"/>
    <m/>
    <m/>
    <m/>
  </r>
  <r>
    <s v="60.02"/>
    <x v="80"/>
    <x v="195"/>
    <s v="Списание с расчетного счета 00БП-006379 от 10.09.2025 18:06:41"/>
    <s v="10.09.25"/>
    <n v="45000"/>
    <m/>
    <n v="1"/>
    <d v="2025-09-10T00:00:00"/>
    <n v="172"/>
    <x v="0"/>
    <x v="0"/>
    <x v="0"/>
    <x v="0"/>
    <m/>
    <m/>
    <m/>
  </r>
  <r>
    <s v="60.02"/>
    <x v="81"/>
    <x v="196"/>
    <s v="Списание с расчетного счета 00БП-009285 от 25.12.2025 12:00:09"/>
    <s v="25.12.25"/>
    <n v="411323.77"/>
    <m/>
    <n v="1"/>
    <d v="2025-12-25T00:00:00"/>
    <n v="66"/>
    <x v="1"/>
    <x v="0"/>
    <x v="0"/>
    <x v="0"/>
    <m/>
    <m/>
    <m/>
  </r>
  <r>
    <s v="60.02"/>
    <x v="81"/>
    <x v="197"/>
    <s v="Списание с расчетного счета 00БП-000531 от 27.02.2026 17:35:40"/>
    <s v="27.02.26"/>
    <n v="5632282.5"/>
    <m/>
    <n v="1"/>
    <d v="2026-02-27T00:00:00"/>
    <n v="2"/>
    <x v="2"/>
    <x v="0"/>
    <x v="0"/>
    <x v="0"/>
    <m/>
    <m/>
    <m/>
  </r>
  <r>
    <s v="60.02"/>
    <x v="82"/>
    <x v="198"/>
    <s v="Списание с расчетного счета 00БП-000258 от 05.02.2026 22:16:17"/>
    <s v="05.02.26"/>
    <n v="1750000"/>
    <m/>
    <n v="1"/>
    <d v="2026-02-05T00:00:00"/>
    <n v="24"/>
    <x v="2"/>
    <x v="0"/>
    <x v="0"/>
    <x v="0"/>
    <m/>
    <m/>
    <m/>
  </r>
  <r>
    <s v="60.02"/>
    <x v="82"/>
    <x v="198"/>
    <s v="Списание с расчетного счета 00БП-000530 от 27.02.2026 17:35:39"/>
    <s v="27.02.26"/>
    <n v="1750000"/>
    <m/>
    <n v="1"/>
    <d v="2026-02-27T00:00:00"/>
    <n v="2"/>
    <x v="2"/>
    <x v="0"/>
    <x v="0"/>
    <x v="0"/>
    <m/>
    <m/>
    <m/>
  </r>
  <r>
    <s v="60.02"/>
    <x v="83"/>
    <x v="199"/>
    <s v="Списание с расчетного счета 00БП-000103 от 22.01.2026 6:54:23"/>
    <s v="22.01.26"/>
    <n v="9237364.1999999993"/>
    <m/>
    <n v="1"/>
    <d v="2026-01-22T00:00:00"/>
    <n v="38"/>
    <x v="1"/>
    <x v="0"/>
    <x v="0"/>
    <x v="0"/>
    <m/>
    <m/>
    <m/>
  </r>
  <r>
    <s v="60.02"/>
    <x v="83"/>
    <x v="200"/>
    <s v="Списание с расчетного счета 00БП-000294 от 11.02.2026 17:01:50"/>
    <s v="11.02.26"/>
    <n v="9237364.1999999993"/>
    <m/>
    <n v="1"/>
    <d v="2026-02-11T00:00:00"/>
    <n v="18"/>
    <x v="2"/>
    <x v="0"/>
    <x v="0"/>
    <x v="0"/>
    <m/>
    <m/>
    <m/>
  </r>
  <r>
    <s v="60.02"/>
    <x v="83"/>
    <x v="201"/>
    <s v="Списание с расчетного счета 00БП-008314 от 10.11.2025 19:46:19"/>
    <s v="10.11.25"/>
    <n v="456108"/>
    <m/>
    <n v="1"/>
    <d v="2025-11-10T00:00:00"/>
    <n v="111"/>
    <x v="4"/>
    <x v="0"/>
    <x v="0"/>
    <x v="0"/>
    <m/>
    <m/>
    <m/>
  </r>
  <r>
    <s v="60.02"/>
    <x v="84"/>
    <x v="202"/>
    <s v="Списание с расчетного счета 00БП-000193 от 30.01.2026 12:00:05"/>
    <s v="30.01.26"/>
    <n v="2210602"/>
    <m/>
    <n v="1"/>
    <d v="2026-01-30T00:00:00"/>
    <n v="30"/>
    <x v="2"/>
    <x v="0"/>
    <x v="0"/>
    <x v="0"/>
    <m/>
    <m/>
    <m/>
  </r>
  <r>
    <s v="60.02"/>
    <x v="84"/>
    <x v="203"/>
    <s v="Списание с расчетного счета 00БП-000238 от 04.02.2026 16:35:17"/>
    <s v="04.02.26"/>
    <n v="20163208.710000001"/>
    <m/>
    <n v="1"/>
    <d v="2026-02-04T00:00:00"/>
    <n v="25"/>
    <x v="2"/>
    <x v="0"/>
    <x v="0"/>
    <x v="0"/>
    <m/>
    <m/>
    <m/>
  </r>
  <r>
    <s v="60.02"/>
    <x v="85"/>
    <x v="204"/>
    <s v="Списание с расчетного счета 00БП-007233 от 02.10.2025 17:20:48"/>
    <s v="02.10.25"/>
    <n v="7568"/>
    <m/>
    <n v="1"/>
    <d v="2025-10-02T00:00:00"/>
    <n v="150"/>
    <x v="0"/>
    <x v="0"/>
    <x v="0"/>
    <x v="0"/>
    <m/>
    <m/>
    <m/>
  </r>
  <r>
    <s v="60.02"/>
    <x v="86"/>
    <x v="205"/>
    <s v="Списание с расчетного счета 00БП-008774 от 18.11.2025 23:05:16"/>
    <s v="18.11.25"/>
    <n v="9550"/>
    <m/>
    <n v="1"/>
    <d v="2025-11-18T00:00:00"/>
    <n v="103"/>
    <x v="4"/>
    <x v="0"/>
    <x v="0"/>
    <x v="0"/>
    <m/>
    <m/>
    <m/>
  </r>
  <r>
    <s v="60.02"/>
    <x v="87"/>
    <x v="206"/>
    <s v="Списание с расчетного счета 00БП-007167 от 30.09.2025 23:59:59"/>
    <s v="30.09.25"/>
    <n v="25035"/>
    <m/>
    <n v="1"/>
    <d v="2025-09-30T00:00:00"/>
    <n v="152"/>
    <x v="0"/>
    <x v="0"/>
    <x v="0"/>
    <x v="0"/>
    <m/>
    <m/>
    <m/>
  </r>
  <r>
    <s v="60.02"/>
    <x v="88"/>
    <x v="207"/>
    <s v="Списание с расчетного счета 00БП-002240 от 28.04.2025 18:34:44"/>
    <s v="28.04.25"/>
    <n v="114.79"/>
    <m/>
    <n v="1"/>
    <d v="2025-04-28T00:00:00"/>
    <n v="307"/>
    <x v="6"/>
    <x v="0"/>
    <x v="0"/>
    <x v="0"/>
    <m/>
    <m/>
    <m/>
  </r>
  <r>
    <s v="60.02"/>
    <x v="89"/>
    <x v="208"/>
    <s v="Списание с расчетного счета 00БП-000235 от 04.02.2026 16:35:14"/>
    <s v="04.02.26"/>
    <n v="830516.83"/>
    <m/>
    <n v="1"/>
    <d v="2026-02-04T00:00:00"/>
    <n v="25"/>
    <x v="2"/>
    <x v="0"/>
    <x v="0"/>
    <x v="0"/>
    <m/>
    <m/>
    <m/>
  </r>
  <r>
    <s v="60.02"/>
    <x v="90"/>
    <x v="209"/>
    <s v="Списание с расчетного счета 00БП-009092 от 05.12.2025 12:00:07"/>
    <s v="05.12.25"/>
    <n v="0.01"/>
    <m/>
    <n v="1"/>
    <d v="2025-12-05T00:00:00"/>
    <n v="86"/>
    <x v="1"/>
    <x v="0"/>
    <x v="0"/>
    <x v="0"/>
    <m/>
    <m/>
    <m/>
  </r>
  <r>
    <s v="60.02"/>
    <x v="90"/>
    <x v="73"/>
    <m/>
    <m/>
    <n v="49553"/>
    <m/>
    <n v="1"/>
    <d v="1899-12-30T00:00:00"/>
    <n v="46082"/>
    <x v="5"/>
    <x v="0"/>
    <x v="0"/>
    <x v="0"/>
    <m/>
    <m/>
    <m/>
  </r>
  <r>
    <s v="60.02"/>
    <x v="91"/>
    <x v="210"/>
    <s v="Списание с расчетного счета 00БП-001175 от 01.04.2025 17:50:06"/>
    <s v="01.04.25"/>
    <n v="25739.47"/>
    <m/>
    <n v="1"/>
    <d v="2025-04-01T00:00:00"/>
    <n v="334"/>
    <x v="6"/>
    <x v="0"/>
    <x v="0"/>
    <x v="0"/>
    <m/>
    <m/>
    <m/>
  </r>
  <r>
    <s v="60.02"/>
    <x v="92"/>
    <x v="211"/>
    <s v="Списание с расчетного счета 00БП-002041 от 24.04.2025 18:07:53"/>
    <s v="24.04.25"/>
    <n v="231787.21"/>
    <m/>
    <n v="1"/>
    <d v="2025-04-24T00:00:00"/>
    <n v="311"/>
    <x v="6"/>
    <x v="0"/>
    <x v="0"/>
    <x v="0"/>
    <m/>
    <m/>
    <m/>
  </r>
  <r>
    <s v="60.02"/>
    <x v="92"/>
    <x v="212"/>
    <s v="Списание с расчетного счета 00БП-008010 от 28.10.2025 17:26:32"/>
    <s v="28.10.25"/>
    <n v="1109648.04"/>
    <m/>
    <n v="1"/>
    <d v="2025-10-28T00:00:00"/>
    <n v="124"/>
    <x v="0"/>
    <x v="0"/>
    <x v="0"/>
    <x v="0"/>
    <m/>
    <m/>
    <m/>
  </r>
  <r>
    <s v="60.02"/>
    <x v="92"/>
    <x v="212"/>
    <s v="Списание с расчетного счета 00БП-008883 от 21.11.2025 18:51:10"/>
    <s v="21.11.25"/>
    <n v="623307.19999999995"/>
    <m/>
    <n v="1"/>
    <d v="2025-11-21T00:00:00"/>
    <n v="100"/>
    <x v="4"/>
    <x v="0"/>
    <x v="0"/>
    <x v="0"/>
    <m/>
    <m/>
    <m/>
  </r>
  <r>
    <s v="60.02"/>
    <x v="92"/>
    <x v="213"/>
    <s v="Списание с расчетного счета 00БП-000186 от 29.01.2026 11:53:17"/>
    <s v="29.01.26"/>
    <n v="662388"/>
    <m/>
    <n v="1"/>
    <d v="2026-01-29T00:00:00"/>
    <n v="31"/>
    <x v="1"/>
    <x v="0"/>
    <x v="0"/>
    <x v="0"/>
    <m/>
    <m/>
    <m/>
  </r>
  <r>
    <s v="60.02"/>
    <x v="92"/>
    <x v="214"/>
    <s v="Списание с расчетного счета 00БП-007752 от 17.10.2025 19:36:09"/>
    <s v="17.10.25"/>
    <n v="140313"/>
    <m/>
    <n v="1"/>
    <d v="2025-10-17T00:00:00"/>
    <n v="135"/>
    <x v="0"/>
    <x v="0"/>
    <x v="0"/>
    <x v="0"/>
    <m/>
    <m/>
    <m/>
  </r>
  <r>
    <s v="60.02"/>
    <x v="92"/>
    <x v="215"/>
    <s v="Списание с расчетного счета 00БП-006363 от 19.10.2023 17:19:29"/>
    <s v="19.10.23"/>
    <n v="172161"/>
    <m/>
    <n v="1"/>
    <d v="2023-10-19T00:00:00"/>
    <n v="864"/>
    <x v="5"/>
    <x v="0"/>
    <x v="0"/>
    <x v="13"/>
    <m/>
    <m/>
    <m/>
  </r>
  <r>
    <s v="60.02"/>
    <x v="92"/>
    <x v="216"/>
    <s v="Списание с расчетного счета 00БП-007634 от 13.10.2025 18:15:51"/>
    <s v="13.10.25"/>
    <n v="1192763"/>
    <m/>
    <n v="1"/>
    <d v="2025-10-13T00:00:00"/>
    <n v="139"/>
    <x v="0"/>
    <x v="0"/>
    <x v="0"/>
    <x v="0"/>
    <m/>
    <m/>
    <m/>
  </r>
  <r>
    <s v="60.02"/>
    <x v="92"/>
    <x v="217"/>
    <s v="Списание с расчетного счета 00БП-007632 от 13.10.2025 18:15:49"/>
    <s v="13.10.25"/>
    <n v="546480"/>
    <m/>
    <n v="1"/>
    <d v="2025-10-13T00:00:00"/>
    <n v="139"/>
    <x v="0"/>
    <x v="0"/>
    <x v="0"/>
    <x v="0"/>
    <m/>
    <m/>
    <m/>
  </r>
  <r>
    <s v="60.02"/>
    <x v="93"/>
    <x v="218"/>
    <s v="Списание с расчетного счета 00БП-008787 от 18.11.2025 23:05:29"/>
    <s v="18.11.25"/>
    <n v="876000"/>
    <m/>
    <n v="1"/>
    <d v="2025-11-18T00:00:00"/>
    <n v="103"/>
    <x v="4"/>
    <x v="0"/>
    <x v="0"/>
    <x v="0"/>
    <m/>
    <m/>
    <m/>
  </r>
  <r>
    <s v="60.02"/>
    <x v="94"/>
    <x v="219"/>
    <s v="Списание с расчетного счета 00БП-000383 от 16.02.2026 17:22:07"/>
    <s v="16.02.26"/>
    <n v="344584"/>
    <m/>
    <n v="1"/>
    <d v="2026-02-16T00:00:00"/>
    <n v="13"/>
    <x v="2"/>
    <x v="0"/>
    <x v="0"/>
    <x v="0"/>
    <m/>
    <m/>
    <m/>
  </r>
  <r>
    <s v="60.02"/>
    <x v="95"/>
    <x v="220"/>
    <s v="Списание с расчетного счета 00БП-000089 от 21.01.2026 11:45:49"/>
    <s v="21.01.26"/>
    <n v="500000"/>
    <m/>
    <n v="1"/>
    <d v="2026-01-21T00:00:00"/>
    <n v="39"/>
    <x v="1"/>
    <x v="0"/>
    <x v="0"/>
    <x v="0"/>
    <m/>
    <m/>
    <m/>
  </r>
  <r>
    <s v="60.02"/>
    <x v="96"/>
    <x v="221"/>
    <s v="Списание с расчетного счета 00БП-009117 от 08.12.2025 1:54:01"/>
    <s v="08.12.25"/>
    <n v="161919248.72"/>
    <m/>
    <n v="1"/>
    <d v="2025-12-08T00:00:00"/>
    <n v="83"/>
    <x v="1"/>
    <x v="0"/>
    <x v="0"/>
    <x v="0"/>
    <m/>
    <m/>
    <m/>
  </r>
  <r>
    <s v="60.02"/>
    <x v="97"/>
    <x v="222"/>
    <s v="Списание с расчетного счета 00БП-009233 от 18.12.2025 17:20:47"/>
    <s v="18.12.25"/>
    <n v="236250"/>
    <m/>
    <n v="1"/>
    <d v="2025-12-18T00:00:00"/>
    <n v="73"/>
    <x v="1"/>
    <x v="0"/>
    <x v="0"/>
    <x v="0"/>
    <d v="2026-03-18T00:00:00"/>
    <m/>
    <m/>
  </r>
  <r>
    <s v="60.02"/>
    <x v="97"/>
    <x v="223"/>
    <s v="Списание с расчетного счета 00БП-003511 от 09.06.2025 17:56:00"/>
    <s v="09.06.25"/>
    <n v="1181250"/>
    <m/>
    <n v="1"/>
    <d v="2025-06-09T00:00:00"/>
    <n v="265"/>
    <x v="3"/>
    <x v="0"/>
    <x v="0"/>
    <x v="0"/>
    <d v="2026-03-18T00:00:00"/>
    <m/>
    <m/>
  </r>
  <r>
    <s v="60.02"/>
    <x v="97"/>
    <x v="223"/>
    <s v="Списание с расчетного счета 00БП-009158 от 11.12.2025 10:37:33"/>
    <s v="11.12.25"/>
    <n v="236250"/>
    <m/>
    <n v="1"/>
    <d v="2025-12-11T00:00:00"/>
    <n v="80"/>
    <x v="1"/>
    <x v="0"/>
    <x v="0"/>
    <x v="0"/>
    <d v="2026-03-18T00:00:00"/>
    <m/>
    <m/>
  </r>
  <r>
    <s v="60.02"/>
    <x v="98"/>
    <x v="224"/>
    <s v="Списание с расчетного счета 00БП-002981 от 22.05.2025 18:45:24"/>
    <s v="22.05.25"/>
    <n v="6869.56"/>
    <m/>
    <n v="1"/>
    <d v="2025-05-22T00:00:00"/>
    <n v="283"/>
    <x v="6"/>
    <x v="0"/>
    <x v="0"/>
    <x v="8"/>
    <m/>
    <m/>
    <m/>
  </r>
  <r>
    <s v="60.02"/>
    <x v="98"/>
    <x v="225"/>
    <s v="Списание с расчетного счета 00БП-002894 от 19.05.2025 18:19:38"/>
    <s v="19.05.25"/>
    <n v="16930"/>
    <m/>
    <n v="1"/>
    <d v="2025-05-19T00:00:00"/>
    <n v="286"/>
    <x v="6"/>
    <x v="0"/>
    <x v="0"/>
    <x v="8"/>
    <m/>
    <m/>
    <m/>
  </r>
  <r>
    <s v="60.02"/>
    <x v="98"/>
    <x v="226"/>
    <s v="Списание с расчетного счета 00БП-006181 от 06.09.2024 17:41:01"/>
    <s v="06.09.24"/>
    <n v="2163.48"/>
    <m/>
    <n v="1"/>
    <d v="2024-09-06T00:00:00"/>
    <n v="541"/>
    <x v="5"/>
    <x v="0"/>
    <x v="0"/>
    <x v="8"/>
    <m/>
    <m/>
    <m/>
  </r>
  <r>
    <s v="60.02"/>
    <x v="98"/>
    <x v="227"/>
    <s v="Списание с расчетного счета 00БП-002958 от 21.05.2025 20:10:49"/>
    <s v="21.05.25"/>
    <n v="35983.96"/>
    <m/>
    <n v="1"/>
    <d v="2025-05-21T00:00:00"/>
    <n v="284"/>
    <x v="6"/>
    <x v="0"/>
    <x v="0"/>
    <x v="8"/>
    <m/>
    <m/>
    <m/>
  </r>
  <r>
    <s v="60.02"/>
    <x v="98"/>
    <x v="228"/>
    <s v="Списание с расчетного счета 00БП-004340 от 01.07.2025 20:38:11"/>
    <s v="01.07.25"/>
    <n v="3413.74"/>
    <m/>
    <n v="1"/>
    <d v="2025-07-01T00:00:00"/>
    <n v="243"/>
    <x v="3"/>
    <x v="0"/>
    <x v="0"/>
    <x v="8"/>
    <m/>
    <m/>
    <m/>
  </r>
  <r>
    <s v="60.02"/>
    <x v="99"/>
    <x v="229"/>
    <s v="Списание с расчетного счета 00БП-009287 от 25.12.2025 12:00:11"/>
    <s v="25.12.25"/>
    <n v="2223000"/>
    <m/>
    <n v="1"/>
    <d v="2025-12-25T00:00:00"/>
    <n v="66"/>
    <x v="1"/>
    <x v="0"/>
    <x v="0"/>
    <x v="0"/>
    <m/>
    <m/>
    <m/>
  </r>
  <r>
    <s v="60.02"/>
    <x v="99"/>
    <x v="229"/>
    <s v="Списание с расчетного счета 00БП-000275 от 09.02.2026 16:00:03"/>
    <s v="09.02.26"/>
    <n v="123500"/>
    <m/>
    <n v="1"/>
    <d v="2026-02-09T00:00:00"/>
    <n v="20"/>
    <x v="2"/>
    <x v="0"/>
    <x v="0"/>
    <x v="0"/>
    <m/>
    <m/>
    <m/>
  </r>
  <r>
    <s v="60.02"/>
    <x v="99"/>
    <x v="229"/>
    <s v="Списание с расчетного счета 00БП-000276 от 09.02.2026 16:00:04"/>
    <s v="09.02.26"/>
    <n v="5187000"/>
    <m/>
    <n v="1"/>
    <d v="2026-02-09T00:00:00"/>
    <n v="20"/>
    <x v="2"/>
    <x v="0"/>
    <x v="0"/>
    <x v="0"/>
    <m/>
    <m/>
    <m/>
  </r>
  <r>
    <s v="60.02"/>
    <x v="100"/>
    <x v="230"/>
    <s v="Списание с расчетного счета 00БП-007569 от 15.10.2024 19:25:20"/>
    <s v="15.10.24"/>
    <n v="2798.49"/>
    <m/>
    <n v="1"/>
    <d v="2024-10-15T00:00:00"/>
    <n v="502"/>
    <x v="5"/>
    <x v="0"/>
    <x v="0"/>
    <x v="0"/>
    <m/>
    <m/>
    <m/>
  </r>
  <r>
    <s v="60.02"/>
    <x v="101"/>
    <x v="231"/>
    <s v="Списание с расчетного счета 00БП-000293 от 11.02.2026 17:01:49"/>
    <s v="11.02.26"/>
    <n v="2778000"/>
    <m/>
    <n v="1"/>
    <d v="2026-02-11T00:00:00"/>
    <n v="18"/>
    <x v="2"/>
    <x v="0"/>
    <x v="0"/>
    <x v="0"/>
    <m/>
    <m/>
    <m/>
  </r>
  <r>
    <s v="60.02"/>
    <x v="102"/>
    <x v="232"/>
    <s v="Списание с расчетного счета 00БП-000234 от 04.02.2026 16:35:13"/>
    <s v="04.02.26"/>
    <n v="130000"/>
    <m/>
    <n v="1"/>
    <d v="2026-02-04T00:00:00"/>
    <n v="25"/>
    <x v="2"/>
    <x v="0"/>
    <x v="0"/>
    <x v="0"/>
    <m/>
    <m/>
    <m/>
  </r>
  <r>
    <s v="60.02"/>
    <x v="103"/>
    <x v="233"/>
    <s v="Списание с расчетного счета 00БП-000381 от 16.02.2026 17:22:05"/>
    <s v="16.02.26"/>
    <n v="500"/>
    <m/>
    <n v="1"/>
    <d v="2026-02-16T00:00:00"/>
    <n v="13"/>
    <x v="2"/>
    <x v="0"/>
    <x v="0"/>
    <x v="0"/>
    <m/>
    <m/>
    <m/>
  </r>
  <r>
    <s v="60.02"/>
    <x v="104"/>
    <x v="234"/>
    <s v="Списание с расчетного счета 00БП-003058 от 26.05.2025 22:23:12"/>
    <s v="26.05.25"/>
    <n v="0.3"/>
    <m/>
    <n v="1"/>
    <d v="2025-05-26T00:00:00"/>
    <n v="279"/>
    <x v="6"/>
    <x v="0"/>
    <x v="0"/>
    <x v="0"/>
    <m/>
    <m/>
    <m/>
  </r>
  <r>
    <s v="60.02"/>
    <x v="105"/>
    <x v="235"/>
    <s v="Списание с расчетного счета 00БП-001305 от 04.04.2025 19:33:54"/>
    <s v="04.04.25"/>
    <n v="1425"/>
    <m/>
    <n v="1"/>
    <d v="2025-04-04T00:00:00"/>
    <n v="331"/>
    <x v="6"/>
    <x v="0"/>
    <x v="0"/>
    <x v="14"/>
    <m/>
    <m/>
    <m/>
  </r>
  <r>
    <s v="60.02"/>
    <x v="106"/>
    <x v="236"/>
    <s v="Корректировка поступления 00БП-000016 от 17.06.2025 17:44:56"/>
    <s v="17.06.25"/>
    <n v="163072"/>
    <m/>
    <n v="1"/>
    <d v="2025-06-17T00:00:00"/>
    <n v="257"/>
    <x v="3"/>
    <x v="0"/>
    <x v="0"/>
    <x v="2"/>
    <m/>
    <m/>
    <m/>
  </r>
  <r>
    <s v="60.02"/>
    <x v="107"/>
    <x v="237"/>
    <s v="Списание с расчетного счета 00БП-005899 от 19.08.2025 21:00:42"/>
    <s v="19.08.25"/>
    <n v="11240"/>
    <m/>
    <n v="1"/>
    <d v="2025-08-19T00:00:00"/>
    <n v="194"/>
    <x v="3"/>
    <x v="0"/>
    <x v="0"/>
    <x v="0"/>
    <m/>
    <m/>
    <m/>
  </r>
  <r>
    <s v="60.02"/>
    <x v="108"/>
    <x v="238"/>
    <s v="Списание с расчетного счета 00БП-009160 от 11.12.2025 10:37:35"/>
    <s v="11.12.25"/>
    <n v="460100"/>
    <m/>
    <n v="1"/>
    <d v="2025-12-11T00:00:00"/>
    <n v="80"/>
    <x v="1"/>
    <x v="0"/>
    <x v="0"/>
    <x v="0"/>
    <m/>
    <m/>
    <m/>
  </r>
  <r>
    <s v="60.02"/>
    <x v="109"/>
    <x v="239"/>
    <s v="Списание с расчетного счета 00БП-006900 от 03.11.2022 17:21:29"/>
    <s v="03.11.22"/>
    <n v="196.02"/>
    <m/>
    <n v="1"/>
    <d v="2022-11-03T00:00:00"/>
    <n v="1214"/>
    <x v="5"/>
    <x v="0"/>
    <x v="0"/>
    <x v="8"/>
    <m/>
    <m/>
    <m/>
  </r>
  <r>
    <s v="60.02"/>
    <x v="110"/>
    <x v="240"/>
    <s v="Списание с расчетного счета 00БП-000406 от 18.02.2026 12:00:08"/>
    <s v="18.02.26"/>
    <n v="1819352.97"/>
    <m/>
    <n v="1"/>
    <d v="2026-02-18T00:00:00"/>
    <n v="11"/>
    <x v="2"/>
    <x v="0"/>
    <x v="0"/>
    <x v="0"/>
    <m/>
    <m/>
    <m/>
  </r>
  <r>
    <s v="60.02"/>
    <x v="111"/>
    <x v="241"/>
    <s v="Списание с расчетного счета 00БП-000218 от 03.02.2026 14:13:50"/>
    <s v="03.02.26"/>
    <n v="12083389.800000001"/>
    <m/>
    <n v="1"/>
    <d v="2026-02-03T00:00:00"/>
    <n v="26"/>
    <x v="2"/>
    <x v="0"/>
    <x v="0"/>
    <x v="0"/>
    <m/>
    <m/>
    <m/>
  </r>
  <r>
    <s v="60.02"/>
    <x v="111"/>
    <x v="242"/>
    <s v="Списание с расчетного счета 00БП-000236 от 04.02.2026 16:35:15"/>
    <s v="04.02.26"/>
    <n v="1446946.5"/>
    <m/>
    <n v="1"/>
    <d v="2026-02-04T00:00:00"/>
    <n v="25"/>
    <x v="2"/>
    <x v="0"/>
    <x v="0"/>
    <x v="0"/>
    <m/>
    <m/>
    <m/>
  </r>
  <r>
    <s v="60.02"/>
    <x v="111"/>
    <x v="243"/>
    <s v="Списание с расчетного счета 00БП-000324 от 12.02.2026 15:36:55"/>
    <s v="12.02.26"/>
    <n v="895000"/>
    <m/>
    <n v="1"/>
    <d v="2026-02-12T00:00:00"/>
    <n v="17"/>
    <x v="2"/>
    <x v="0"/>
    <x v="0"/>
    <x v="0"/>
    <m/>
    <m/>
    <m/>
  </r>
  <r>
    <s v="60.02"/>
    <x v="111"/>
    <x v="244"/>
    <s v="Списание с расчетного счета 00БП-006826 от 19.09.2025 17:32:22"/>
    <s v="19.09.25"/>
    <n v="60000"/>
    <m/>
    <n v="1"/>
    <d v="2025-09-19T00:00:00"/>
    <n v="163"/>
    <x v="0"/>
    <x v="0"/>
    <x v="0"/>
    <x v="0"/>
    <m/>
    <m/>
    <m/>
  </r>
  <r>
    <s v="60.02"/>
    <x v="112"/>
    <x v="245"/>
    <s v="Списание с расчетного счета 00БП-007146 от 24.11.2022 12:50:24"/>
    <s v="24.11.22"/>
    <n v="650"/>
    <m/>
    <n v="1"/>
    <d v="2022-11-24T00:00:00"/>
    <n v="1193"/>
    <x v="5"/>
    <x v="0"/>
    <x v="0"/>
    <x v="8"/>
    <m/>
    <m/>
    <m/>
  </r>
  <r>
    <s v="60.02"/>
    <x v="113"/>
    <x v="246"/>
    <s v="Списание с расчетного счета 00БП-009047 от 02.12.2025 15:08:42"/>
    <s v="02.12.25"/>
    <n v="64916"/>
    <m/>
    <n v="1"/>
    <d v="2025-12-02T00:00:00"/>
    <n v="89"/>
    <x v="1"/>
    <x v="0"/>
    <x v="0"/>
    <x v="0"/>
    <m/>
    <m/>
    <m/>
  </r>
  <r>
    <s v="60.02"/>
    <x v="114"/>
    <x v="247"/>
    <s v="Списание с расчетного счета 00БП-005942 от 21.08.2025 17:24:54"/>
    <s v="21.08.25"/>
    <n v="1117.75"/>
    <m/>
    <n v="1"/>
    <d v="2025-08-21T00:00:00"/>
    <n v="192"/>
    <x v="3"/>
    <x v="0"/>
    <x v="0"/>
    <x v="0"/>
    <m/>
    <m/>
    <m/>
  </r>
  <r>
    <s v="60.02"/>
    <x v="115"/>
    <x v="248"/>
    <s v="Списание с расчетного счета 00БП-003974 от 19.06.2025 19:28:37"/>
    <s v="19.06.25"/>
    <n v="8840"/>
    <m/>
    <n v="1"/>
    <d v="2025-06-19T00:00:00"/>
    <n v="255"/>
    <x v="3"/>
    <x v="0"/>
    <x v="0"/>
    <x v="8"/>
    <m/>
    <m/>
    <m/>
  </r>
  <r>
    <s v="60.02"/>
    <x v="115"/>
    <x v="249"/>
    <s v="Списание с расчетного счета 00БП-000283 от 10.02.2026 17:01:18"/>
    <s v="10.02.26"/>
    <n v="192230"/>
    <m/>
    <n v="1"/>
    <d v="2026-02-10T00:00:00"/>
    <n v="19"/>
    <x v="2"/>
    <x v="0"/>
    <x v="0"/>
    <x v="0"/>
    <m/>
    <m/>
    <m/>
  </r>
  <r>
    <s v="60.02"/>
    <x v="115"/>
    <x v="250"/>
    <s v="Списание с расчетного счета 00БП-000352 от 13.02.2026 17:04:21"/>
    <s v="13.02.26"/>
    <n v="850000"/>
    <m/>
    <n v="1"/>
    <d v="2026-02-13T00:00:00"/>
    <n v="16"/>
    <x v="2"/>
    <x v="0"/>
    <x v="0"/>
    <x v="0"/>
    <m/>
    <m/>
    <m/>
  </r>
  <r>
    <s v="60.02"/>
    <x v="115"/>
    <x v="251"/>
    <s v="Списание с расчетного счета 00БП-000351 от 13.02.2026 17:04:20"/>
    <s v="13.02.26"/>
    <n v="850000"/>
    <m/>
    <n v="1"/>
    <d v="2026-02-13T00:00:00"/>
    <n v="16"/>
    <x v="2"/>
    <x v="0"/>
    <x v="0"/>
    <x v="0"/>
    <m/>
    <m/>
    <m/>
  </r>
  <r>
    <s v="60.02"/>
    <x v="115"/>
    <x v="252"/>
    <s v="Списание с расчетного счета 00БП-000404 от 18.02.2026 12:00:06"/>
    <s v="18.02.26"/>
    <n v="850000"/>
    <m/>
    <n v="1"/>
    <d v="2026-02-18T00:00:00"/>
    <n v="11"/>
    <x v="2"/>
    <x v="0"/>
    <x v="0"/>
    <x v="0"/>
    <m/>
    <m/>
    <m/>
  </r>
  <r>
    <s v="60.02"/>
    <x v="115"/>
    <x v="253"/>
    <s v="Списание с расчетного счета 00БП-000445 от 24.02.2026 17:53:01"/>
    <s v="24.02.26"/>
    <n v="850000"/>
    <m/>
    <n v="1"/>
    <d v="2026-02-24T00:00:00"/>
    <n v="5"/>
    <x v="2"/>
    <x v="0"/>
    <x v="0"/>
    <x v="0"/>
    <m/>
    <m/>
    <m/>
  </r>
  <r>
    <s v="60.02"/>
    <x v="115"/>
    <x v="254"/>
    <s v="Списание с расчетного счета 00БП-006898 от 24.09.2025 18:36:00"/>
    <s v="24.09.25"/>
    <n v="56500"/>
    <m/>
    <n v="1"/>
    <d v="2025-09-24T00:00:00"/>
    <n v="158"/>
    <x v="0"/>
    <x v="0"/>
    <x v="0"/>
    <x v="8"/>
    <m/>
    <m/>
    <m/>
  </r>
  <r>
    <s v="60.02"/>
    <x v="115"/>
    <x v="255"/>
    <s v="Списание с расчетного счета 00БП-008458 от 14.11.2025 15:50:55"/>
    <s v="14.11.25"/>
    <n v="500000"/>
    <m/>
    <n v="1"/>
    <d v="2025-11-14T00:00:00"/>
    <n v="107"/>
    <x v="4"/>
    <x v="0"/>
    <x v="0"/>
    <x v="15"/>
    <m/>
    <m/>
    <m/>
  </r>
  <r>
    <s v="60.02"/>
    <x v="115"/>
    <x v="256"/>
    <s v="Списание с расчетного счета 00БП-008863 от 20.11.2025 17:08:38"/>
    <s v="20.11.25"/>
    <n v="132000"/>
    <m/>
    <n v="1"/>
    <d v="2025-11-20T00:00:00"/>
    <n v="101"/>
    <x v="4"/>
    <x v="0"/>
    <x v="0"/>
    <x v="15"/>
    <m/>
    <m/>
    <m/>
  </r>
  <r>
    <s v="60.02"/>
    <x v="115"/>
    <x v="257"/>
    <s v="Списание с расчетного счета 00БП-009199 от 15.12.2025 12:52:28"/>
    <s v="15.12.25"/>
    <n v="36000"/>
    <m/>
    <n v="1"/>
    <d v="2025-12-15T00:00:00"/>
    <n v="76"/>
    <x v="1"/>
    <x v="0"/>
    <x v="0"/>
    <x v="0"/>
    <m/>
    <m/>
    <m/>
  </r>
  <r>
    <s v="60.02"/>
    <x v="116"/>
    <x v="258"/>
    <s v="Списание с расчетного счета 00БП-003861 от 16.06.2025 18:31:26"/>
    <s v="16.06.25"/>
    <n v="1.8"/>
    <m/>
    <n v="1"/>
    <d v="2025-06-16T00:00:00"/>
    <n v="258"/>
    <x v="3"/>
    <x v="0"/>
    <x v="0"/>
    <x v="0"/>
    <m/>
    <m/>
    <m/>
  </r>
  <r>
    <s v="60.02"/>
    <x v="117"/>
    <x v="259"/>
    <s v="Списание с расчетного счета 00БП-000262 от 05.02.2026 22:16:21"/>
    <s v="05.02.26"/>
    <n v="21362245.34"/>
    <m/>
    <n v="1"/>
    <d v="2026-02-05T00:00:00"/>
    <n v="24"/>
    <x v="2"/>
    <x v="0"/>
    <x v="0"/>
    <x v="0"/>
    <m/>
    <m/>
    <m/>
  </r>
  <r>
    <s v="60.02"/>
    <x v="118"/>
    <x v="260"/>
    <s v="Списание с расчетного счета 00БП-006932 от 25.09.2025 17:23:28"/>
    <s v="25.09.25"/>
    <n v="21420"/>
    <m/>
    <n v="1"/>
    <d v="2025-09-25T00:00:00"/>
    <n v="157"/>
    <x v="0"/>
    <x v="0"/>
    <x v="0"/>
    <x v="0"/>
    <m/>
    <m/>
    <m/>
  </r>
  <r>
    <s v="60.02"/>
    <x v="118"/>
    <x v="261"/>
    <s v="Списание с расчетного счета 00БП-006934 от 25.09.2025 17:23:30"/>
    <s v="25.09.25"/>
    <n v="26000"/>
    <m/>
    <n v="1"/>
    <d v="2025-09-25T00:00:00"/>
    <n v="157"/>
    <x v="0"/>
    <x v="0"/>
    <x v="0"/>
    <x v="0"/>
    <m/>
    <m/>
    <m/>
  </r>
  <r>
    <s v="60.02"/>
    <x v="119"/>
    <x v="262"/>
    <s v="Списание с расчетного счета 00БП-005868 от 01.10.2023 17:17:54"/>
    <s v="01.10.23"/>
    <n v="11834"/>
    <m/>
    <n v="1"/>
    <d v="2023-10-01T00:00:00"/>
    <n v="882"/>
    <x v="5"/>
    <x v="0"/>
    <x v="0"/>
    <x v="8"/>
    <m/>
    <m/>
    <m/>
  </r>
  <r>
    <s v="60.02"/>
    <x v="120"/>
    <x v="263"/>
    <s v="Списание с расчетного счета 00БП-000212 от 03.02.2026 14:13:44"/>
    <s v="03.02.26"/>
    <n v="47390"/>
    <m/>
    <n v="1"/>
    <d v="2026-02-03T00:00:00"/>
    <n v="26"/>
    <x v="2"/>
    <x v="0"/>
    <x v="0"/>
    <x v="0"/>
    <m/>
    <m/>
    <m/>
  </r>
  <r>
    <s v="60.02"/>
    <x v="121"/>
    <x v="264"/>
    <s v="Списание с расчетного счета 00БП-000148 от 28.01.2026 12:00:04"/>
    <s v="28.01.26"/>
    <n v="157500"/>
    <m/>
    <n v="1"/>
    <d v="2026-01-28T00:00:00"/>
    <n v="32"/>
    <x v="1"/>
    <x v="0"/>
    <x v="0"/>
    <x v="0"/>
    <m/>
    <m/>
    <m/>
  </r>
  <r>
    <s v="60.02"/>
    <x v="122"/>
    <x v="265"/>
    <s v="Списание с расчетного счета 00БП-005897 от 19.08.2025 21:00:40"/>
    <s v="19.08.25"/>
    <n v="3000"/>
    <m/>
    <n v="1"/>
    <d v="2025-08-19T00:00:00"/>
    <n v="194"/>
    <x v="3"/>
    <x v="0"/>
    <x v="0"/>
    <x v="0"/>
    <m/>
    <m/>
    <m/>
  </r>
  <r>
    <s v="60.02"/>
    <x v="122"/>
    <x v="266"/>
    <s v="Списание с расчетного счета 00БП-003521 от 03.07.2023 19:02:19"/>
    <s v="03.07.23"/>
    <n v="9250"/>
    <m/>
    <n v="1"/>
    <d v="2023-07-03T00:00:00"/>
    <n v="972"/>
    <x v="5"/>
    <x v="0"/>
    <x v="0"/>
    <x v="8"/>
    <m/>
    <m/>
    <m/>
  </r>
  <r>
    <s v="60.02"/>
    <x v="122"/>
    <x v="267"/>
    <s v="Списание с расчетного счета 00БП-005527 от 18.09.2023 19:05:35"/>
    <s v="18.09.23"/>
    <n v="4996"/>
    <m/>
    <n v="1"/>
    <d v="2023-09-18T00:00:00"/>
    <n v="895"/>
    <x v="5"/>
    <x v="0"/>
    <x v="0"/>
    <x v="8"/>
    <m/>
    <m/>
    <m/>
  </r>
  <r>
    <s v="60.02"/>
    <x v="122"/>
    <x v="268"/>
    <s v="Списание с расчетного счета 00БП-003633 от 13.06.2024 19:28:05"/>
    <s v="13.06.24"/>
    <n v="3100"/>
    <m/>
    <n v="1"/>
    <d v="2024-06-13T00:00:00"/>
    <n v="626"/>
    <x v="5"/>
    <x v="0"/>
    <x v="0"/>
    <x v="8"/>
    <m/>
    <m/>
    <m/>
  </r>
  <r>
    <s v="60.02"/>
    <x v="122"/>
    <x v="269"/>
    <s v="Списание с расчетного счета 00БП-007285 от 22.11.2023 15:47:11"/>
    <s v="22.11.23"/>
    <n v="2640"/>
    <m/>
    <n v="1"/>
    <d v="2023-11-22T00:00:00"/>
    <n v="830"/>
    <x v="5"/>
    <x v="0"/>
    <x v="0"/>
    <x v="8"/>
    <m/>
    <m/>
    <m/>
  </r>
  <r>
    <s v="60.02"/>
    <x v="122"/>
    <x v="270"/>
    <s v="Списание с расчетного счета 00БП-000253 от 05.02.2026 22:16:12"/>
    <s v="05.02.26"/>
    <n v="71968"/>
    <m/>
    <n v="1"/>
    <d v="2026-02-05T00:00:00"/>
    <n v="24"/>
    <x v="2"/>
    <x v="0"/>
    <x v="0"/>
    <x v="0"/>
    <m/>
    <m/>
    <m/>
  </r>
  <r>
    <s v="60.02"/>
    <x v="122"/>
    <x v="271"/>
    <s v="Списание с расчетного счета 00БП-000255 от 05.02.2026 22:16:14"/>
    <s v="05.02.26"/>
    <n v="129179"/>
    <m/>
    <n v="1"/>
    <d v="2026-02-05T00:00:00"/>
    <n v="24"/>
    <x v="2"/>
    <x v="0"/>
    <x v="0"/>
    <x v="0"/>
    <m/>
    <m/>
    <m/>
  </r>
  <r>
    <s v="60.02"/>
    <x v="122"/>
    <x v="272"/>
    <s v="Списание с расчетного счета 00БП-000254 от 05.02.2026 22:16:13"/>
    <s v="05.02.26"/>
    <n v="120800"/>
    <m/>
    <n v="1"/>
    <d v="2026-02-05T00:00:00"/>
    <n v="24"/>
    <x v="2"/>
    <x v="0"/>
    <x v="0"/>
    <x v="0"/>
    <m/>
    <m/>
    <m/>
  </r>
  <r>
    <s v="60.02"/>
    <x v="122"/>
    <x v="273"/>
    <s v="Списание с расчетного счета 00БП-000249 от 05.02.2026 22:16:08"/>
    <s v="05.02.26"/>
    <n v="13490"/>
    <m/>
    <n v="1"/>
    <d v="2026-02-05T00:00:00"/>
    <n v="24"/>
    <x v="2"/>
    <x v="0"/>
    <x v="0"/>
    <x v="0"/>
    <m/>
    <m/>
    <m/>
  </r>
  <r>
    <s v="60.02"/>
    <x v="122"/>
    <x v="274"/>
    <s v="Списание с расчетного счета 00БП-000282 от 10.02.2026 17:01:17"/>
    <s v="10.02.26"/>
    <n v="53809"/>
    <m/>
    <n v="1"/>
    <d v="2026-02-10T00:00:00"/>
    <n v="19"/>
    <x v="2"/>
    <x v="0"/>
    <x v="0"/>
    <x v="0"/>
    <m/>
    <m/>
    <m/>
  </r>
  <r>
    <s v="60.02"/>
    <x v="122"/>
    <x v="275"/>
    <s v="Списание с расчетного счета 00БП-000382 от 16.02.2026 17:22:06"/>
    <s v="16.02.26"/>
    <n v="7200"/>
    <m/>
    <n v="1"/>
    <d v="2026-02-16T00:00:00"/>
    <n v="13"/>
    <x v="2"/>
    <x v="0"/>
    <x v="0"/>
    <x v="0"/>
    <m/>
    <m/>
    <m/>
  </r>
  <r>
    <s v="60.02"/>
    <x v="122"/>
    <x v="276"/>
    <s v="Списание с расчетного счета 00БП-000469 от 25.02.2026 17:39:32"/>
    <s v="25.02.26"/>
    <n v="52079"/>
    <m/>
    <n v="1"/>
    <d v="2026-02-25T00:00:00"/>
    <n v="4"/>
    <x v="2"/>
    <x v="0"/>
    <x v="0"/>
    <x v="0"/>
    <m/>
    <m/>
    <m/>
  </r>
  <r>
    <s v="60.02"/>
    <x v="122"/>
    <x v="277"/>
    <s v="Списание с расчетного счета 00БП-002403 от 06.05.2025 20:09:56"/>
    <s v="06.05.25"/>
    <n v="22290"/>
    <m/>
    <n v="1"/>
    <d v="2025-05-06T00:00:00"/>
    <n v="299"/>
    <x v="6"/>
    <x v="0"/>
    <x v="0"/>
    <x v="8"/>
    <m/>
    <m/>
    <m/>
  </r>
  <r>
    <s v="60.02"/>
    <x v="122"/>
    <x v="277"/>
    <s v="Корректировка поступления 00БП-000026 от 30.09.2025 10:00:00"/>
    <s v="30.09.25"/>
    <n v="2000"/>
    <m/>
    <n v="1"/>
    <d v="2025-09-30T00:00:00"/>
    <n v="152"/>
    <x v="0"/>
    <x v="0"/>
    <x v="0"/>
    <x v="0"/>
    <m/>
    <m/>
    <m/>
  </r>
  <r>
    <s v="60.02"/>
    <x v="122"/>
    <x v="277"/>
    <s v="Корректировка поступления 00БП-000033 от 01.12.2025 20:43:05"/>
    <s v="01.12.25"/>
    <n v="4100"/>
    <m/>
    <n v="1"/>
    <d v="2025-12-01T00:00:00"/>
    <n v="90"/>
    <x v="1"/>
    <x v="0"/>
    <x v="0"/>
    <x v="0"/>
    <m/>
    <m/>
    <m/>
  </r>
  <r>
    <s v="60.02"/>
    <x v="122"/>
    <x v="278"/>
    <s v="Списание с расчетного счета 00БП-005980 от 25.08.2025 20:08:28"/>
    <s v="25.08.25"/>
    <n v="3000"/>
    <m/>
    <n v="1"/>
    <d v="2025-08-25T00:00:00"/>
    <n v="188"/>
    <x v="3"/>
    <x v="0"/>
    <x v="0"/>
    <x v="0"/>
    <m/>
    <m/>
    <m/>
  </r>
  <r>
    <s v="60.02"/>
    <x v="122"/>
    <x v="279"/>
    <s v="Списание с расчетного счета 00БП-006199 от 29.08.2025 23:56:43"/>
    <s v="29.08.25"/>
    <n v="29300"/>
    <m/>
    <n v="1"/>
    <d v="2025-08-29T00:00:00"/>
    <n v="184"/>
    <x v="3"/>
    <x v="0"/>
    <x v="0"/>
    <x v="0"/>
    <m/>
    <m/>
    <m/>
  </r>
  <r>
    <s v="60.02"/>
    <x v="123"/>
    <x v="280"/>
    <s v="Списание с расчетного счета 00БП-001303 от 06.04.2023 19:01:54"/>
    <s v="06.04.23"/>
    <n v="2400"/>
    <m/>
    <n v="1"/>
    <d v="2023-04-06T00:00:00"/>
    <n v="1060"/>
    <x v="5"/>
    <x v="0"/>
    <x v="0"/>
    <x v="8"/>
    <m/>
    <m/>
    <m/>
  </r>
  <r>
    <s v="60.02"/>
    <x v="123"/>
    <x v="281"/>
    <s v="Списание с расчетного счета 00БП-005944 от 04.10.2023 23:59:59"/>
    <s v="04.10.23"/>
    <n v="22029"/>
    <m/>
    <n v="1"/>
    <d v="2023-10-04T00:00:00"/>
    <n v="879"/>
    <x v="5"/>
    <x v="0"/>
    <x v="0"/>
    <x v="8"/>
    <m/>
    <m/>
    <m/>
  </r>
  <r>
    <s v="60.02"/>
    <x v="124"/>
    <x v="238"/>
    <s v="Списание с расчетного счета 00БП-003627 от 02.08.2019 16:20:39"/>
    <s v="02.08.19"/>
    <n v="270"/>
    <m/>
    <n v="1"/>
    <d v="2019-08-02T00:00:00"/>
    <n v="2403"/>
    <x v="5"/>
    <x v="0"/>
    <x v="0"/>
    <x v="8"/>
    <m/>
    <m/>
    <m/>
  </r>
  <r>
    <s v="60.02"/>
    <x v="125"/>
    <x v="282"/>
    <s v="Списание с расчетного счета 00БП-006359 от 09.09.2025 23:59:59"/>
    <s v="09.09.25"/>
    <n v="479100"/>
    <m/>
    <n v="1"/>
    <d v="2025-09-09T00:00:00"/>
    <n v="173"/>
    <x v="0"/>
    <x v="0"/>
    <x v="0"/>
    <x v="0"/>
    <m/>
    <m/>
    <m/>
  </r>
  <r>
    <s v="60.02"/>
    <x v="125"/>
    <x v="283"/>
    <s v="Списание с расчетного счета 00БП-007633 от 13.10.2025 18:15:50"/>
    <s v="13.10.25"/>
    <n v="855000"/>
    <m/>
    <n v="1"/>
    <d v="2025-10-13T00:00:00"/>
    <n v="139"/>
    <x v="0"/>
    <x v="0"/>
    <x v="0"/>
    <x v="0"/>
    <m/>
    <m/>
    <m/>
  </r>
  <r>
    <s v="60.02"/>
    <x v="125"/>
    <x v="284"/>
    <s v="Списание с расчетного счета 00БП-000151 от 28.01.2026 12:00:07"/>
    <s v="28.01.26"/>
    <n v="4479987"/>
    <m/>
    <n v="1"/>
    <d v="2026-01-28T00:00:00"/>
    <n v="32"/>
    <x v="1"/>
    <x v="0"/>
    <x v="0"/>
    <x v="0"/>
    <m/>
    <m/>
    <m/>
  </r>
  <r>
    <s v="60.02"/>
    <x v="126"/>
    <x v="285"/>
    <s v="Списание с расчетного счета 00БП-000183 от 29.01.2026 11:53:14"/>
    <s v="29.01.26"/>
    <n v="207200"/>
    <m/>
    <n v="1"/>
    <d v="2026-01-29T00:00:00"/>
    <n v="31"/>
    <x v="1"/>
    <x v="0"/>
    <x v="0"/>
    <x v="0"/>
    <m/>
    <m/>
    <m/>
  </r>
  <r>
    <s v="60.02"/>
    <x v="127"/>
    <x v="286"/>
    <s v="Списание с расчетного счета 00БП-007823 от 21.10.2025 17:30:34"/>
    <s v="21.10.25"/>
    <n v="380000"/>
    <m/>
    <n v="1"/>
    <d v="2025-10-21T00:00:00"/>
    <n v="131"/>
    <x v="0"/>
    <x v="0"/>
    <x v="0"/>
    <x v="0"/>
    <m/>
    <m/>
    <m/>
  </r>
  <r>
    <s v="60.02"/>
    <x v="127"/>
    <x v="287"/>
    <s v="Корректировка долга 00БП-000037 от 10.04.2024 10:00:00"/>
    <s v="10.04.24"/>
    <n v="37500"/>
    <m/>
    <n v="1"/>
    <d v="2024-04-10T00:00:00"/>
    <n v="690"/>
    <x v="5"/>
    <x v="0"/>
    <x v="0"/>
    <x v="2"/>
    <m/>
    <m/>
    <m/>
  </r>
  <r>
    <s v="60.02"/>
    <x v="127"/>
    <x v="288"/>
    <s v="Списание с расчетного счета 00БП-000260 от 05.02.2026 22:16:19"/>
    <s v="05.02.26"/>
    <n v="6402046.9900000002"/>
    <m/>
    <n v="1"/>
    <d v="2026-02-05T00:00:00"/>
    <n v="24"/>
    <x v="2"/>
    <x v="0"/>
    <x v="0"/>
    <x v="0"/>
    <m/>
    <m/>
    <m/>
  </r>
  <r>
    <s v="60.02"/>
    <x v="127"/>
    <x v="289"/>
    <s v="Списание с расчетного счета 00БП-009162 от 11.12.2025 10:37:37"/>
    <s v="11.12.25"/>
    <n v="10495159.01"/>
    <m/>
    <n v="1"/>
    <d v="2025-12-11T00:00:00"/>
    <n v="80"/>
    <x v="1"/>
    <x v="0"/>
    <x v="0"/>
    <x v="0"/>
    <m/>
    <m/>
    <m/>
  </r>
  <r>
    <s v="60.02"/>
    <x v="128"/>
    <x v="290"/>
    <s v="Списание с расчетного счета 00БП-007249 от 02.10.2025 17:21:04"/>
    <s v="02.10.25"/>
    <n v="700232.5"/>
    <m/>
    <n v="1"/>
    <d v="2025-10-02T00:00:00"/>
    <n v="150"/>
    <x v="0"/>
    <x v="0"/>
    <x v="0"/>
    <x v="0"/>
    <m/>
    <m/>
    <m/>
  </r>
  <r>
    <s v="60.02"/>
    <x v="128"/>
    <x v="290"/>
    <s v="Списание с расчетного счета 00БП-009213 от 16.12.2025 12:00:04"/>
    <s v="16.12.25"/>
    <n v="700232.5"/>
    <m/>
    <n v="1"/>
    <d v="2025-12-16T00:00:00"/>
    <n v="75"/>
    <x v="1"/>
    <x v="0"/>
    <x v="0"/>
    <x v="0"/>
    <m/>
    <m/>
    <m/>
  </r>
  <r>
    <s v="60.02"/>
    <x v="128"/>
    <x v="290"/>
    <s v="Списание с расчетного счета 00БП-000116 от 26.01.2026 12:00:03"/>
    <s v="26.01.26"/>
    <n v="1017148"/>
    <m/>
    <n v="1"/>
    <d v="2026-01-26T00:00:00"/>
    <n v="34"/>
    <x v="1"/>
    <x v="0"/>
    <x v="0"/>
    <x v="0"/>
    <m/>
    <m/>
    <m/>
  </r>
  <r>
    <s v="60.02"/>
    <x v="129"/>
    <x v="291"/>
    <s v="Списание с расчетного счета 00БП-000192 от 30.01.2026 12:00:04"/>
    <s v="30.01.26"/>
    <n v="585500"/>
    <m/>
    <n v="1"/>
    <d v="2026-01-30T00:00:00"/>
    <n v="30"/>
    <x v="2"/>
    <x v="0"/>
    <x v="0"/>
    <x v="0"/>
    <m/>
    <m/>
    <m/>
  </r>
  <r>
    <s v="60.02"/>
    <x v="129"/>
    <x v="291"/>
    <s v="Списание с расчетного счета 00БП-000384 от 16.02.2026 17:22:08"/>
    <s v="16.02.26"/>
    <n v="585500"/>
    <m/>
    <n v="1"/>
    <d v="2026-02-16T00:00:00"/>
    <n v="13"/>
    <x v="2"/>
    <x v="0"/>
    <x v="0"/>
    <x v="0"/>
    <m/>
    <m/>
    <m/>
  </r>
  <r>
    <s v="60.02"/>
    <x v="130"/>
    <x v="292"/>
    <s v="Списание с расчетного счета 00БП-006936 от 25.09.2025 17:23:32"/>
    <s v="25.09.25"/>
    <n v="38030"/>
    <m/>
    <n v="1"/>
    <d v="2025-09-25T00:00:00"/>
    <n v="157"/>
    <x v="0"/>
    <x v="0"/>
    <x v="0"/>
    <x v="0"/>
    <m/>
    <m/>
    <m/>
  </r>
  <r>
    <s v="60.02"/>
    <x v="130"/>
    <x v="293"/>
    <s v="Списание с расчетного счета 00БП-007196 от 01.10.2025 20:24:06"/>
    <s v="01.10.25"/>
    <n v="25650"/>
    <m/>
    <n v="1"/>
    <d v="2025-10-01T00:00:00"/>
    <n v="151"/>
    <x v="0"/>
    <x v="0"/>
    <x v="0"/>
    <x v="0"/>
    <m/>
    <m/>
    <m/>
  </r>
  <r>
    <s v="60.02"/>
    <x v="130"/>
    <x v="294"/>
    <s v="Списание с расчетного счета 00БП-000115 от 26.01.2026 12:00:02"/>
    <s v="26.01.26"/>
    <n v="91850"/>
    <m/>
    <n v="1"/>
    <d v="2026-01-26T00:00:00"/>
    <n v="34"/>
    <x v="1"/>
    <x v="0"/>
    <x v="0"/>
    <x v="0"/>
    <m/>
    <m/>
    <m/>
  </r>
  <r>
    <s v="60.02"/>
    <x v="130"/>
    <x v="295"/>
    <s v="Списание с расчетного счета 00БП-001221 от 02.04.2025 17:47:06"/>
    <s v="02.04.25"/>
    <n v="14000"/>
    <m/>
    <n v="1"/>
    <d v="2025-04-02T00:00:00"/>
    <n v="333"/>
    <x v="6"/>
    <x v="0"/>
    <x v="0"/>
    <x v="2"/>
    <m/>
    <m/>
    <m/>
  </r>
  <r>
    <s v="60.02"/>
    <x v="131"/>
    <x v="296"/>
    <s v="Списание с расчетного счета 00БП-008819 от 19.11.2025 18:05:01"/>
    <s v="19.11.25"/>
    <n v="2000"/>
    <m/>
    <n v="1"/>
    <d v="2025-11-19T00:00:00"/>
    <n v="102"/>
    <x v="4"/>
    <x v="0"/>
    <x v="0"/>
    <x v="0"/>
    <m/>
    <m/>
    <m/>
  </r>
  <r>
    <s v="60.02"/>
    <x v="132"/>
    <x v="297"/>
    <s v="Списание с расчетного счета 00БП-000251 от 05.02.2026 22:16:10"/>
    <s v="05.02.26"/>
    <n v="37607.5"/>
    <m/>
    <n v="1"/>
    <d v="2026-02-05T00:00:00"/>
    <n v="24"/>
    <x v="2"/>
    <x v="0"/>
    <x v="0"/>
    <x v="0"/>
    <m/>
    <m/>
    <m/>
  </r>
  <r>
    <s v="60.02"/>
    <x v="132"/>
    <x v="298"/>
    <s v="Списание с расчетного счета 00БП-000257 от 05.02.2026 22:16:16"/>
    <s v="05.02.26"/>
    <n v="313445"/>
    <m/>
    <n v="1"/>
    <d v="2026-02-05T00:00:00"/>
    <n v="24"/>
    <x v="2"/>
    <x v="0"/>
    <x v="0"/>
    <x v="0"/>
    <m/>
    <m/>
    <m/>
  </r>
  <r>
    <s v="60.02"/>
    <x v="133"/>
    <x v="299"/>
    <s v="Списание с расчетного счета 00БП-000187 от 29.01.2026 11:53:18"/>
    <s v="29.01.26"/>
    <n v="3115745.29"/>
    <m/>
    <n v="1"/>
    <d v="2026-01-29T00:00:00"/>
    <n v="31"/>
    <x v="1"/>
    <x v="0"/>
    <x v="0"/>
    <x v="0"/>
    <m/>
    <m/>
    <m/>
  </r>
  <r>
    <s v="60.02"/>
    <x v="134"/>
    <x v="300"/>
    <s v="Списание с расчетного счета 00БП-000259 от 05.02.2026 22:16:18"/>
    <s v="05.02.26"/>
    <n v="6244997.5"/>
    <m/>
    <n v="1"/>
    <d v="2026-02-05T00:00:00"/>
    <n v="24"/>
    <x v="2"/>
    <x v="0"/>
    <x v="0"/>
    <x v="0"/>
    <m/>
    <m/>
    <m/>
  </r>
  <r>
    <s v="60.02"/>
    <x v="135"/>
    <x v="301"/>
    <s v="Списание с расчетного счета 00БП-000496 от 26.02.2026 17:17:26"/>
    <s v="26.02.26"/>
    <n v="53800"/>
    <m/>
    <n v="1"/>
    <d v="2026-02-26T00:00:00"/>
    <n v="3"/>
    <x v="2"/>
    <x v="0"/>
    <x v="0"/>
    <x v="0"/>
    <m/>
    <m/>
    <m/>
  </r>
  <r>
    <s v="60.02"/>
    <x v="136"/>
    <x v="302"/>
    <s v="Списание с расчетного счета 00БП-000191 от 30.01.2026 12:00:03"/>
    <s v="30.01.26"/>
    <n v="561194"/>
    <m/>
    <n v="1"/>
    <d v="2026-01-30T00:00:00"/>
    <n v="30"/>
    <x v="2"/>
    <x v="0"/>
    <x v="0"/>
    <x v="0"/>
    <m/>
    <m/>
    <m/>
  </r>
  <r>
    <s v="60.02"/>
    <x v="137"/>
    <x v="303"/>
    <s v="Списание с расчетного счета 00БП-000703 от 13.03.2025 18:55:48"/>
    <s v="13.03.25"/>
    <n v="252667.4"/>
    <m/>
    <n v="1"/>
    <d v="2025-03-13T00:00:00"/>
    <n v="353"/>
    <x v="6"/>
    <x v="0"/>
    <x v="0"/>
    <x v="16"/>
    <m/>
    <m/>
    <m/>
  </r>
  <r>
    <s v="60.02"/>
    <x v="138"/>
    <x v="304"/>
    <m/>
    <m/>
    <n v="400000"/>
    <m/>
    <n v="1"/>
    <d v="1899-12-30T00:00:00"/>
    <n v="46082"/>
    <x v="5"/>
    <x v="0"/>
    <x v="0"/>
    <x v="17"/>
    <m/>
    <s v="Геологический отдел"/>
    <m/>
  </r>
  <r>
    <s v="60.02"/>
    <x v="139"/>
    <x v="305"/>
    <s v="Списание с расчетного счета 00БП-008191 от 05.11.2025 17:00:33"/>
    <s v="05.11.25"/>
    <n v="225706.72"/>
    <m/>
    <n v="1"/>
    <d v="2025-11-05T00:00:00"/>
    <n v="116"/>
    <x v="4"/>
    <x v="0"/>
    <x v="0"/>
    <x v="0"/>
    <m/>
    <m/>
    <m/>
  </r>
  <r>
    <s v="60.02"/>
    <x v="139"/>
    <x v="306"/>
    <s v="Списание с расчетного счета 00БП-008184 от 05.11.2025 17:00:26"/>
    <s v="05.11.25"/>
    <n v="154485.6"/>
    <m/>
    <n v="1"/>
    <d v="2025-11-05T00:00:00"/>
    <n v="116"/>
    <x v="4"/>
    <x v="0"/>
    <x v="0"/>
    <x v="0"/>
    <m/>
    <m/>
    <m/>
  </r>
  <r>
    <s v="60.02"/>
    <x v="140"/>
    <x v="307"/>
    <s v="Списание с расчетного счета 00БП-000142 от 27.01.2026 15:05:20"/>
    <s v="27.01.26"/>
    <n v="2403856.33"/>
    <m/>
    <n v="1"/>
    <d v="2026-01-27T00:00:00"/>
    <n v="33"/>
    <x v="1"/>
    <x v="0"/>
    <x v="0"/>
    <x v="0"/>
    <m/>
    <m/>
    <m/>
  </r>
  <r>
    <s v="60.02"/>
    <x v="141"/>
    <x v="308"/>
    <s v="Списание с расчетного счета 00БП-001386 от 08.04.2025 23:49:32"/>
    <s v="08.04.25"/>
    <n v="31000"/>
    <m/>
    <n v="1"/>
    <d v="2025-04-08T00:00:00"/>
    <n v="327"/>
    <x v="6"/>
    <x v="0"/>
    <x v="0"/>
    <x v="8"/>
    <m/>
    <m/>
    <m/>
  </r>
  <r>
    <s v="60.02"/>
    <x v="142"/>
    <x v="309"/>
    <s v="Списание с расчетного счета 00БП-001145 от 31.03.2025 23:59:59"/>
    <s v="31.03.25"/>
    <n v="32000"/>
    <m/>
    <n v="1"/>
    <d v="2025-03-31T00:00:00"/>
    <n v="335"/>
    <x v="6"/>
    <x v="0"/>
    <x v="0"/>
    <x v="8"/>
    <m/>
    <m/>
    <m/>
  </r>
  <r>
    <s v="60.02"/>
    <x v="143"/>
    <x v="310"/>
    <s v="Списание с расчетного счета 00БП-006763 от 17.09.2025 19:43:15"/>
    <s v="17.09.25"/>
    <n v="214283.5"/>
    <m/>
    <n v="1"/>
    <d v="2025-09-17T00:00:00"/>
    <n v="165"/>
    <x v="0"/>
    <x v="0"/>
    <x v="0"/>
    <x v="0"/>
    <m/>
    <m/>
    <m/>
  </r>
  <r>
    <s v="60.02"/>
    <x v="144"/>
    <x v="311"/>
    <s v="Списание с расчетного счета 00БП-000930 от 25.03.2025 17:52:15"/>
    <s v="25.03.25"/>
    <n v="20740"/>
    <m/>
    <n v="1"/>
    <d v="2025-03-25T00:00:00"/>
    <n v="341"/>
    <x v="6"/>
    <x v="0"/>
    <x v="0"/>
    <x v="2"/>
    <m/>
    <m/>
    <m/>
  </r>
  <r>
    <s v="60.02"/>
    <x v="145"/>
    <x v="312"/>
    <s v="Списание с расчетного счета 00БП-006058 от 30.08.2024 18:05:51"/>
    <s v="30.08.24"/>
    <n v="401.24"/>
    <m/>
    <n v="1"/>
    <d v="2024-08-30T00:00:00"/>
    <n v="548"/>
    <x v="5"/>
    <x v="0"/>
    <x v="0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n v="1"/>
    <d v="2024-10-08T00:00:00"/>
    <n v="509"/>
    <x v="5"/>
    <x v="0"/>
    <x v="0"/>
    <x v="18"/>
    <m/>
    <s v="Экологический отдел"/>
    <m/>
  </r>
  <r>
    <s v="60.02"/>
    <x v="146"/>
    <x v="314"/>
    <s v="Списание с расчетного счета 00БП-000184 от 29.01.2026 11:53:15"/>
    <s v="29.01.26"/>
    <n v="298776"/>
    <m/>
    <n v="1"/>
    <d v="2026-01-29T00:00:00"/>
    <n v="31"/>
    <x v="1"/>
    <x v="0"/>
    <x v="0"/>
    <x v="0"/>
    <m/>
    <m/>
    <m/>
  </r>
  <r>
    <s v="60.02"/>
    <x v="147"/>
    <x v="315"/>
    <s v="Списание с расчетного счета 00БП-000256 от 05.02.2026 22:16:15"/>
    <s v="05.02.26"/>
    <n v="215488"/>
    <m/>
    <n v="1"/>
    <d v="2026-02-05T00:00:00"/>
    <n v="24"/>
    <x v="2"/>
    <x v="0"/>
    <x v="0"/>
    <x v="0"/>
    <m/>
    <m/>
    <m/>
  </r>
  <r>
    <s v="60.02"/>
    <x v="148"/>
    <x v="238"/>
    <s v="Списание с расчетного счета 00БП-005685 от 15.08.2024 20:47:50"/>
    <s v="15.08.24"/>
    <n v="0.1"/>
    <m/>
    <n v="1"/>
    <d v="2024-08-15T00:00:00"/>
    <n v="563"/>
    <x v="5"/>
    <x v="0"/>
    <x v="0"/>
    <x v="0"/>
    <m/>
    <m/>
    <m/>
  </r>
  <r>
    <s v="60.02"/>
    <x v="149"/>
    <x v="316"/>
    <s v="Корректировка поступления 00БП-000018 от 25.10.2023 14:58:39"/>
    <s v="25.10.23"/>
    <n v="0.01"/>
    <m/>
    <n v="1"/>
    <d v="2023-10-25T00:00:00"/>
    <n v="858"/>
    <x v="5"/>
    <x v="0"/>
    <x v="0"/>
    <x v="0"/>
    <m/>
    <m/>
    <m/>
  </r>
  <r>
    <s v="60.02"/>
    <x v="149"/>
    <x v="317"/>
    <s v="Списание с расчетного счета 00БП-002336 от 05.05.2025 19:41:05"/>
    <s v="05.05.25"/>
    <n v="12461.79"/>
    <m/>
    <n v="1"/>
    <d v="2025-05-05T00:00:00"/>
    <n v="300"/>
    <x v="6"/>
    <x v="0"/>
    <x v="0"/>
    <x v="16"/>
    <m/>
    <s v="Экологический отдел"/>
    <m/>
  </r>
  <r>
    <s v="60.02"/>
    <x v="150"/>
    <x v="318"/>
    <s v="Списание с расчетного счета 00БП-000528 от 27.02.2026 17:35:37"/>
    <s v="27.02.26"/>
    <n v="162000"/>
    <m/>
    <n v="1"/>
    <d v="2026-02-27T00:00:00"/>
    <n v="2"/>
    <x v="2"/>
    <x v="0"/>
    <x v="0"/>
    <x v="0"/>
    <m/>
    <m/>
    <m/>
  </r>
  <r>
    <s v="60.02"/>
    <x v="151"/>
    <x v="319"/>
    <s v="Списание с расчетного счета 00БП-000655 от 12.03.2025 18:04:03"/>
    <s v="12.03.25"/>
    <n v="47400"/>
    <m/>
    <n v="1"/>
    <d v="2025-03-12T00:00:00"/>
    <n v="354"/>
    <x v="6"/>
    <x v="0"/>
    <x v="0"/>
    <x v="19"/>
    <m/>
    <m/>
    <m/>
  </r>
  <r>
    <s v="60.02"/>
    <x v="152"/>
    <x v="320"/>
    <s v="Списание с расчетного счета 00БП-006060 от 27.08.2025 18:30:27"/>
    <s v="27.08.25"/>
    <n v="22500"/>
    <m/>
    <n v="1"/>
    <d v="2025-08-27T00:00:00"/>
    <n v="186"/>
    <x v="3"/>
    <x v="0"/>
    <x v="0"/>
    <x v="0"/>
    <m/>
    <m/>
    <m/>
  </r>
  <r>
    <s v="60.02"/>
    <x v="153"/>
    <x v="321"/>
    <s v="Списание с расчетного счета 00БП-003382 от 04.06.2025 18:58:23"/>
    <s v="04.06.25"/>
    <n v="60000"/>
    <m/>
    <n v="1"/>
    <d v="2025-06-04T00:00:00"/>
    <n v="270"/>
    <x v="3"/>
    <x v="0"/>
    <x v="0"/>
    <x v="8"/>
    <m/>
    <m/>
    <m/>
  </r>
  <r>
    <s v="60.02"/>
    <x v="153"/>
    <x v="321"/>
    <s v="Списание с расчетного счета 00БП-008902 от 24.11.2025 16:33:52"/>
    <s v="24.11.25"/>
    <n v="140000"/>
    <m/>
    <n v="1"/>
    <d v="2025-11-24T00:00:00"/>
    <n v="97"/>
    <x v="4"/>
    <x v="0"/>
    <x v="0"/>
    <x v="0"/>
    <m/>
    <m/>
    <m/>
  </r>
  <r>
    <s v="60.02"/>
    <x v="153"/>
    <x v="322"/>
    <s v="Списание с расчетного счета 00БП-003379 от 04.06.2025 18:58:20"/>
    <s v="04.06.25"/>
    <n v="40500"/>
    <m/>
    <n v="1"/>
    <d v="2025-06-04T00:00:00"/>
    <n v="270"/>
    <x v="3"/>
    <x v="0"/>
    <x v="0"/>
    <x v="8"/>
    <m/>
    <m/>
    <m/>
  </r>
  <r>
    <s v="60.02"/>
    <x v="153"/>
    <x v="322"/>
    <s v="Списание с расчетного счета 00БП-007748 от 17.10.2025 19:36:05"/>
    <s v="17.10.25"/>
    <n v="74250"/>
    <m/>
    <n v="1"/>
    <d v="2025-10-17T00:00:00"/>
    <n v="135"/>
    <x v="0"/>
    <x v="0"/>
    <x v="0"/>
    <x v="0"/>
    <m/>
    <m/>
    <m/>
  </r>
  <r>
    <s v="60.02"/>
    <x v="153"/>
    <x v="322"/>
    <s v="Списание с расчетного счета 00БП-008900 от 24.11.2025 16:33:50"/>
    <s v="24.11.25"/>
    <n v="20250"/>
    <m/>
    <n v="1"/>
    <d v="2025-11-24T00:00:00"/>
    <n v="97"/>
    <x v="4"/>
    <x v="0"/>
    <x v="0"/>
    <x v="0"/>
    <m/>
    <m/>
    <m/>
  </r>
  <r>
    <s v="60.02"/>
    <x v="153"/>
    <x v="323"/>
    <s v="Списание с расчетного счета 00БП-004063 от 23.06.2025 18:09:41"/>
    <s v="23.06.25"/>
    <n v="90000"/>
    <m/>
    <n v="1"/>
    <d v="2025-06-23T00:00:00"/>
    <n v="251"/>
    <x v="3"/>
    <x v="0"/>
    <x v="0"/>
    <x v="8"/>
    <m/>
    <m/>
    <m/>
  </r>
  <r>
    <s v="60.02"/>
    <x v="153"/>
    <x v="323"/>
    <s v="Списание с расчетного счета 00БП-008925 от 25.11.2025 15:31:08"/>
    <s v="25.11.25"/>
    <n v="165000"/>
    <m/>
    <n v="1"/>
    <d v="2025-11-25T00:00:00"/>
    <n v="96"/>
    <x v="4"/>
    <x v="0"/>
    <x v="0"/>
    <x v="0"/>
    <m/>
    <m/>
    <m/>
  </r>
  <r>
    <s v="60.02"/>
    <x v="153"/>
    <x v="324"/>
    <s v="Списание с расчетного счета 00БП-004062 от 23.06.2025 18:09:40"/>
    <s v="23.06.25"/>
    <n v="84000"/>
    <m/>
    <n v="1"/>
    <d v="2025-06-23T00:00:00"/>
    <n v="251"/>
    <x v="3"/>
    <x v="0"/>
    <x v="0"/>
    <x v="8"/>
    <m/>
    <m/>
    <m/>
  </r>
  <r>
    <s v="60.02"/>
    <x v="154"/>
    <x v="325"/>
    <s v="Списание с расчетного счета 00БП-003903 от 17.06.2025 22:58:29"/>
    <s v="17.06.25"/>
    <n v="1165"/>
    <m/>
    <n v="1"/>
    <d v="2025-06-17T00:00:00"/>
    <n v="257"/>
    <x v="3"/>
    <x v="0"/>
    <x v="0"/>
    <x v="20"/>
    <m/>
    <m/>
    <m/>
  </r>
  <r>
    <s v="60.02"/>
    <x v="155"/>
    <x v="326"/>
    <s v="Списание с расчетного счета 00БП-005054 от 23.07.2025 20:44:19"/>
    <s v="23.07.25"/>
    <n v="9000"/>
    <m/>
    <n v="1"/>
    <d v="2025-07-23T00:00:00"/>
    <n v="221"/>
    <x v="3"/>
    <x v="0"/>
    <x v="0"/>
    <x v="8"/>
    <m/>
    <m/>
    <m/>
  </r>
  <r>
    <s v="60.02"/>
    <x v="156"/>
    <x v="327"/>
    <s v="Списание с расчетного счета 00БП-001173 от 01.04.2025 17:50:04"/>
    <s v="01.04.25"/>
    <n v="86800"/>
    <m/>
    <n v="1"/>
    <d v="2025-04-01T00:00:00"/>
    <n v="334"/>
    <x v="6"/>
    <x v="0"/>
    <x v="0"/>
    <x v="8"/>
    <m/>
    <m/>
    <m/>
  </r>
  <r>
    <s v="60.02"/>
    <x v="157"/>
    <x v="328"/>
    <s v="Списание с расчетного счета 00БП-009095 от 05.12.2025 12:00:10"/>
    <s v="05.12.25"/>
    <n v="10000000"/>
    <m/>
    <n v="1"/>
    <d v="2025-12-05T00:00:00"/>
    <n v="86"/>
    <x v="1"/>
    <x v="0"/>
    <x v="0"/>
    <x v="0"/>
    <m/>
    <m/>
    <m/>
  </r>
  <r>
    <s v="60.02"/>
    <x v="157"/>
    <x v="328"/>
    <s v="Списание с расчетного счета 00БП-000237 от 04.02.2026 16:35:16"/>
    <s v="04.02.26"/>
    <n v="20000000"/>
    <m/>
    <n v="1"/>
    <d v="2026-02-04T00:00:00"/>
    <n v="25"/>
    <x v="2"/>
    <x v="0"/>
    <x v="0"/>
    <x v="0"/>
    <m/>
    <m/>
    <m/>
  </r>
  <r>
    <s v="60.02"/>
    <x v="158"/>
    <x v="329"/>
    <s v="Списание с расчетного счета 00БП-000529 от 27.02.2026 17:35:38"/>
    <s v="27.02.26"/>
    <n v="657833.19999999995"/>
    <m/>
    <n v="1"/>
    <d v="2026-02-27T00:00:00"/>
    <n v="2"/>
    <x v="2"/>
    <x v="0"/>
    <x v="0"/>
    <x v="0"/>
    <m/>
    <m/>
    <m/>
  </r>
  <r>
    <s v="60.02"/>
    <x v="159"/>
    <x v="330"/>
    <s v="Списание с расчетного счета 00БП-000052 от 15.01.2026 14:53:19"/>
    <s v="15.01.26"/>
    <n v="819000"/>
    <m/>
    <n v="1"/>
    <d v="2026-01-15T00:00:00"/>
    <n v="45"/>
    <x v="1"/>
    <x v="0"/>
    <x v="0"/>
    <x v="0"/>
    <m/>
    <m/>
    <m/>
  </r>
  <r>
    <s v="60.02"/>
    <x v="160"/>
    <x v="331"/>
    <s v="Списание с расчетного счета 00БП-007407 от 09.10.2025 16:57:54"/>
    <s v="09.10.25"/>
    <n v="244320"/>
    <m/>
    <n v="1"/>
    <d v="2025-10-09T00:00:00"/>
    <n v="143"/>
    <x v="0"/>
    <x v="0"/>
    <x v="0"/>
    <x v="0"/>
    <m/>
    <m/>
    <m/>
  </r>
  <r>
    <s v="60.02"/>
    <x v="161"/>
    <x v="73"/>
    <s v="Авансовый отчет 00БП-000339 от 24.11.2025 12:03:37"/>
    <s v="24.11.25"/>
    <n v="3630"/>
    <m/>
    <n v="1"/>
    <d v="2025-11-24T00:00:00"/>
    <n v="97"/>
    <x v="4"/>
    <x v="0"/>
    <x v="0"/>
    <x v="0"/>
    <m/>
    <m/>
    <m/>
  </r>
  <r>
    <s v="60.02"/>
    <x v="162"/>
    <x v="332"/>
    <s v="Списание с расчетного счета 00БП-006742 от 26.10.2022 17:19:37"/>
    <s v="26.10.22"/>
    <n v="4"/>
    <m/>
    <n v="1"/>
    <d v="2022-10-26T00:00:00"/>
    <n v="1222"/>
    <x v="5"/>
    <x v="0"/>
    <x v="0"/>
    <x v="21"/>
    <m/>
    <m/>
    <m/>
  </r>
  <r>
    <s v="60.02"/>
    <x v="163"/>
    <x v="333"/>
    <s v="Списание с расчетного счета 00БП-005938 от 21.08.2025 17:24:50"/>
    <s v="21.08.25"/>
    <n v="11631.14"/>
    <m/>
    <n v="1"/>
    <d v="2025-08-21T00:00:00"/>
    <n v="192"/>
    <x v="3"/>
    <x v="0"/>
    <x v="0"/>
    <x v="0"/>
    <m/>
    <m/>
    <m/>
  </r>
  <r>
    <s v="60.02"/>
    <x v="164"/>
    <x v="334"/>
    <s v="Корректировка долга 00БП-000094 от 25.09.2025 17:23:53"/>
    <s v="25.09.25"/>
    <n v="52780.5"/>
    <m/>
    <n v="1"/>
    <d v="2025-09-25T00:00:00"/>
    <n v="157"/>
    <x v="0"/>
    <x v="0"/>
    <x v="0"/>
    <x v="0"/>
    <m/>
    <m/>
    <m/>
  </r>
  <r>
    <s v="60.02"/>
    <x v="165"/>
    <x v="335"/>
    <s v="Списание с расчетного счета 00БП-005475 от 07.08.2025 19:08:49"/>
    <s v="07.08.25"/>
    <n v="96000"/>
    <m/>
    <n v="1"/>
    <d v="2025-08-07T00:00:00"/>
    <n v="206"/>
    <x v="3"/>
    <x v="0"/>
    <x v="0"/>
    <x v="0"/>
    <m/>
    <m/>
    <m/>
  </r>
  <r>
    <s v="60.32"/>
    <x v="166"/>
    <x v="336"/>
    <s v="Списание с расчетного счета 00БП-004562 от 09.07.2025 20:21:45"/>
    <s v="09.07.25"/>
    <n v="126099.22"/>
    <m/>
    <n v="1"/>
    <d v="2025-07-09T00:00:00"/>
    <n v="235"/>
    <x v="3"/>
    <x v="0"/>
    <x v="0"/>
    <x v="0"/>
    <m/>
    <m/>
    <m/>
  </r>
  <r>
    <s v="60.32"/>
    <x v="167"/>
    <x v="337"/>
    <s v="Списание с расчетного счета 00БП-000024 от 14.01.2026 16:45:17"/>
    <s v="14.01.26"/>
    <n v="2819920.72"/>
    <m/>
    <n v="1"/>
    <d v="2026-01-14T00:00:00"/>
    <n v="46"/>
    <x v="1"/>
    <x v="0"/>
    <x v="0"/>
    <x v="0"/>
    <m/>
    <m/>
    <m/>
  </r>
  <r>
    <s v="60.32"/>
    <x v="167"/>
    <x v="338"/>
    <s v="Списание с расчетного счета 00БП-006625 от 19.09.2024 18:14:26"/>
    <s v="19.09.24"/>
    <n v="35421.75"/>
    <m/>
    <n v="1"/>
    <d v="2024-09-19T00:00:00"/>
    <n v="528"/>
    <x v="5"/>
    <x v="0"/>
    <x v="0"/>
    <x v="13"/>
    <m/>
    <m/>
    <m/>
  </r>
  <r>
    <s v="60.32"/>
    <x v="38"/>
    <x v="339"/>
    <s v="Списание с расчетного счета 00БП-006941 от 25.09.2025 17:23:37"/>
    <s v="25.09.25"/>
    <n v="4103412.84"/>
    <m/>
    <n v="1"/>
    <d v="2025-09-25T00:00:00"/>
    <n v="157"/>
    <x v="0"/>
    <x v="0"/>
    <x v="0"/>
    <x v="0"/>
    <m/>
    <m/>
    <m/>
  </r>
  <r>
    <s v="60.32"/>
    <x v="38"/>
    <x v="340"/>
    <s v="Списание с расчетного счета 00БП-007817 от 21.10.2025 17:30:28"/>
    <s v="21.10.25"/>
    <n v="81774.75"/>
    <m/>
    <n v="1"/>
    <d v="2025-10-21T00:00:00"/>
    <n v="131"/>
    <x v="0"/>
    <x v="0"/>
    <x v="0"/>
    <x v="0"/>
    <m/>
    <m/>
    <m/>
  </r>
  <r>
    <s v="60.32"/>
    <x v="38"/>
    <x v="340"/>
    <s v="Списание с расчетного счета 00БП-007824 от 21.10.2025 17:30:35"/>
    <s v="21.10.25"/>
    <n v="381299.85"/>
    <m/>
    <n v="1"/>
    <d v="2025-10-21T00:00:00"/>
    <n v="131"/>
    <x v="0"/>
    <x v="0"/>
    <x v="0"/>
    <x v="0"/>
    <m/>
    <m/>
    <m/>
  </r>
  <r>
    <s v="60.32"/>
    <x v="38"/>
    <x v="340"/>
    <s v="Списание с расчетного счета 00БП-008864 от 20.11.2025 17:08:39"/>
    <s v="20.11.25"/>
    <n v="242292.07"/>
    <m/>
    <n v="1"/>
    <d v="2025-11-20T00:00:00"/>
    <n v="101"/>
    <x v="4"/>
    <x v="0"/>
    <x v="0"/>
    <x v="0"/>
    <m/>
    <m/>
    <m/>
  </r>
  <r>
    <s v="60.32"/>
    <x v="38"/>
    <x v="340"/>
    <s v="Списание с расчетного счета 00БП-008877 от 21.11.2025 18:51:04"/>
    <s v="21.11.25"/>
    <n v="9195.39"/>
    <m/>
    <n v="1"/>
    <d v="2025-11-21T00:00:00"/>
    <n v="100"/>
    <x v="4"/>
    <x v="0"/>
    <x v="0"/>
    <x v="0"/>
    <m/>
    <m/>
    <m/>
  </r>
  <r>
    <s v="60.32"/>
    <x v="38"/>
    <x v="340"/>
    <s v="Списание с расчетного счета 00БП-008880 от 21.11.2025 18:51:07"/>
    <s v="21.11.25"/>
    <n v="96959.25"/>
    <m/>
    <n v="1"/>
    <d v="2025-11-21T00:00:00"/>
    <n v="100"/>
    <x v="4"/>
    <x v="0"/>
    <x v="0"/>
    <x v="0"/>
    <m/>
    <m/>
    <m/>
  </r>
  <r>
    <s v="60.32"/>
    <x v="38"/>
    <x v="341"/>
    <s v="Списание с расчетного счета 00БП-000325 от 12.02.2026 15:36:56"/>
    <s v="12.02.26"/>
    <n v="1472469.51"/>
    <m/>
    <n v="1"/>
    <d v="2026-02-12T00:00:00"/>
    <n v="17"/>
    <x v="2"/>
    <x v="0"/>
    <x v="0"/>
    <x v="0"/>
    <m/>
    <m/>
    <m/>
  </r>
  <r>
    <s v="60.32"/>
    <x v="38"/>
    <x v="342"/>
    <s v="Списание с расчетного счета 00БП-007402 от 09.10.2025 16:57:49"/>
    <s v="09.10.25"/>
    <n v="17940.52"/>
    <m/>
    <n v="1"/>
    <d v="2025-10-09T00:00:00"/>
    <n v="143"/>
    <x v="0"/>
    <x v="0"/>
    <x v="0"/>
    <x v="0"/>
    <m/>
    <m/>
    <m/>
  </r>
  <r>
    <s v="60.32"/>
    <x v="38"/>
    <x v="343"/>
    <s v="Списание с расчетного счета 00БП-009293 от 25.12.2025 12:00:17"/>
    <s v="25.12.25"/>
    <n v="42558293.729999997"/>
    <m/>
    <n v="1"/>
    <d v="2025-12-25T00:00:00"/>
    <n v="66"/>
    <x v="1"/>
    <x v="0"/>
    <x v="0"/>
    <x v="0"/>
    <m/>
    <m/>
    <m/>
  </r>
  <r>
    <s v="60.32"/>
    <x v="78"/>
    <x v="344"/>
    <s v="Списание с расчетного счета 00БП-009029 от 01.12.2025 15:42:24"/>
    <s v="01.12.25"/>
    <n v="100541017.20999999"/>
    <m/>
    <n v="1"/>
    <d v="2025-12-01T00:00:00"/>
    <n v="90"/>
    <x v="1"/>
    <x v="0"/>
    <x v="0"/>
    <x v="0"/>
    <m/>
    <m/>
    <m/>
  </r>
  <r>
    <s v="60.32"/>
    <x v="78"/>
    <x v="345"/>
    <s v="Списание с расчетного счета 00БП-000532 от 27.02.2026 17:35:41"/>
    <s v="27.02.26"/>
    <n v="10023164.039999999"/>
    <m/>
    <n v="1"/>
    <d v="2026-02-27T00:00:00"/>
    <n v="2"/>
    <x v="2"/>
    <x v="0"/>
    <x v="0"/>
    <x v="0"/>
    <m/>
    <m/>
    <m/>
  </r>
  <r>
    <s v="60.32"/>
    <x v="78"/>
    <x v="346"/>
    <s v="Списание с расчетного счета 00БП-000875 от 21.03.2025 17:21:00"/>
    <s v="21.03.25"/>
    <n v="4.22"/>
    <m/>
    <n v="1"/>
    <d v="2025-03-21T00:00:00"/>
    <n v="345"/>
    <x v="6"/>
    <x v="0"/>
    <x v="0"/>
    <x v="0"/>
    <m/>
    <m/>
    <m/>
  </r>
  <r>
    <s v="60.32"/>
    <x v="78"/>
    <x v="347"/>
    <s v="Списание с расчетного счета 00БП-008463 от 14.11.2025 15:51:00"/>
    <s v="14.11.25"/>
    <n v="19041986.25"/>
    <m/>
    <n v="1"/>
    <d v="2025-11-14T00:00:00"/>
    <n v="107"/>
    <x v="4"/>
    <x v="0"/>
    <x v="0"/>
    <x v="0"/>
    <m/>
    <m/>
    <m/>
  </r>
  <r>
    <s v="60.32"/>
    <x v="78"/>
    <x v="348"/>
    <s v="Списание с расчетного счета 00БП-007312 от 06.10.2025 18:16:22"/>
    <s v="06.10.25"/>
    <n v="832127.38"/>
    <m/>
    <n v="1"/>
    <d v="2025-10-06T00:00:00"/>
    <n v="146"/>
    <x v="0"/>
    <x v="0"/>
    <x v="0"/>
    <x v="0"/>
    <m/>
    <m/>
    <m/>
  </r>
  <r>
    <s v="60.32"/>
    <x v="78"/>
    <x v="349"/>
    <s v="Списание с расчетного счета 00БП-007338 от 07.10.2025 17:57:46"/>
    <s v="07.10.25"/>
    <n v="19608750"/>
    <m/>
    <n v="1"/>
    <d v="2025-10-07T00:00:00"/>
    <n v="145"/>
    <x v="0"/>
    <x v="0"/>
    <x v="0"/>
    <x v="0"/>
    <m/>
    <m/>
    <m/>
  </r>
  <r>
    <s v="60.32"/>
    <x v="78"/>
    <x v="350"/>
    <s v="Списание с расчетного счета 00БП-007683 от 14.10.2025 17:30:20"/>
    <s v="14.10.25"/>
    <n v="8521724.8000000007"/>
    <m/>
    <n v="1"/>
    <d v="2025-10-14T00:00:00"/>
    <n v="138"/>
    <x v="0"/>
    <x v="0"/>
    <x v="0"/>
    <x v="0"/>
    <m/>
    <m/>
    <m/>
  </r>
  <r>
    <s v="60.32"/>
    <x v="78"/>
    <x v="351"/>
    <s v="Списание с расчетного счета 00БП-007684 от 14.10.2025 17:30:21"/>
    <s v="14.10.25"/>
    <n v="565552.64000000001"/>
    <m/>
    <n v="1"/>
    <d v="2025-10-14T00:00:00"/>
    <n v="138"/>
    <x v="0"/>
    <x v="0"/>
    <x v="0"/>
    <x v="0"/>
    <m/>
    <m/>
    <m/>
  </r>
  <r>
    <s v="60.32"/>
    <x v="168"/>
    <x v="352"/>
    <s v="Списание с расчетного счета 00БП-009269 от 24.12.2025 11:37:20"/>
    <s v="24.12.25"/>
    <n v="595854"/>
    <m/>
    <n v="1"/>
    <d v="2025-12-24T00:00:00"/>
    <n v="67"/>
    <x v="1"/>
    <x v="0"/>
    <x v="0"/>
    <x v="0"/>
    <m/>
    <m/>
    <m/>
  </r>
  <r>
    <s v="60.32"/>
    <x v="168"/>
    <x v="352"/>
    <s v="Списание с расчетного счета 00БП-009288 от 25.12.2025 12:00:12"/>
    <s v="25.12.25"/>
    <n v="3400245.12"/>
    <m/>
    <n v="1"/>
    <d v="2025-12-25T00:00:00"/>
    <n v="66"/>
    <x v="1"/>
    <x v="0"/>
    <x v="0"/>
    <x v="0"/>
    <m/>
    <m/>
    <m/>
  </r>
  <r>
    <s v="60.32"/>
    <x v="169"/>
    <x v="353"/>
    <s v="Списание с расчетного счета 00БП-000270 от 06.02.2026 12:00:07"/>
    <s v="06.02.26"/>
    <n v="100427453.63"/>
    <m/>
    <n v="1"/>
    <d v="2026-02-06T00:00:00"/>
    <n v="23"/>
    <x v="2"/>
    <x v="0"/>
    <x v="0"/>
    <x v="0"/>
    <m/>
    <m/>
    <m/>
  </r>
  <r>
    <s v="60.32"/>
    <x v="106"/>
    <x v="354"/>
    <s v="Списание с расчетного счета 00БП-000143 от 27.01.2026 15:05:21"/>
    <s v="27.01.26"/>
    <n v="5895177.5800000001"/>
    <m/>
    <n v="1"/>
    <d v="2026-01-27T00:00:00"/>
    <n v="33"/>
    <x v="1"/>
    <x v="0"/>
    <x v="0"/>
    <x v="0"/>
    <m/>
    <m/>
    <m/>
  </r>
  <r>
    <s v="60.32"/>
    <x v="106"/>
    <x v="354"/>
    <s v="Списание с расчетного счета 00БП-000479 от 25.02.2026 17:39:42"/>
    <s v="25.02.26"/>
    <n v="6661076.0499999998"/>
    <m/>
    <n v="1"/>
    <d v="2026-02-25T00:00:00"/>
    <n v="4"/>
    <x v="2"/>
    <x v="0"/>
    <x v="0"/>
    <x v="0"/>
    <m/>
    <m/>
    <m/>
  </r>
  <r>
    <s v="60.32"/>
    <x v="170"/>
    <x v="355"/>
    <s v="Списание с расчетного счета 00БП-000067 от 16.01.2026 17:13:35"/>
    <s v="16.01.26"/>
    <n v="2080992"/>
    <m/>
    <n v="1"/>
    <d v="2026-01-16T00:00:00"/>
    <n v="44"/>
    <x v="1"/>
    <x v="0"/>
    <x v="0"/>
    <x v="0"/>
    <m/>
    <m/>
    <m/>
  </r>
  <r>
    <s v="60.32"/>
    <x v="170"/>
    <x v="356"/>
    <s v="Списание с расчетного счета 00БП-000068 от 16.01.2026 17:13:36"/>
    <s v="16.01.26"/>
    <n v="2080992"/>
    <m/>
    <n v="1"/>
    <d v="2026-01-16T00:00:00"/>
    <n v="44"/>
    <x v="1"/>
    <x v="0"/>
    <x v="0"/>
    <x v="0"/>
    <m/>
    <m/>
    <m/>
  </r>
  <r>
    <s v="60.32"/>
    <x v="170"/>
    <x v="357"/>
    <s v="Списание с расчетного счета 00БП-000066 от 16.01.2026 17:13:34"/>
    <s v="16.01.26"/>
    <n v="1978905.6000000001"/>
    <m/>
    <n v="1"/>
    <d v="2026-01-16T00:00:00"/>
    <n v="44"/>
    <x v="1"/>
    <x v="0"/>
    <x v="0"/>
    <x v="0"/>
    <m/>
    <m/>
    <m/>
  </r>
  <r>
    <s v="60.32"/>
    <x v="127"/>
    <x v="358"/>
    <s v="Списание с расчетного счета 00БП-009356 от 30.12.2025 12:00:18"/>
    <s v="30.12.25"/>
    <n v="948672.83"/>
    <m/>
    <n v="1"/>
    <d v="2025-12-30T00:00:00"/>
    <n v="61"/>
    <x v="1"/>
    <x v="0"/>
    <x v="0"/>
    <x v="0"/>
    <m/>
    <m/>
    <m/>
  </r>
  <r>
    <s v="60.02"/>
    <x v="0"/>
    <x v="0"/>
    <s v="Списание с расчетного счета 00БП-007871 от 23.10.2025 18:50:57"/>
    <s v="23.10.25"/>
    <n v="17000"/>
    <m/>
    <n v="1"/>
    <d v="2025-10-23T00:00:00"/>
    <n v="129"/>
    <x v="0"/>
    <x v="1"/>
    <x v="0"/>
    <x v="0"/>
    <m/>
    <m/>
    <m/>
  </r>
  <r>
    <s v="60.02"/>
    <x v="1"/>
    <x v="1"/>
    <s v="Списание с расчетного счета 00БП-000102 от 22.01.2026 6:54:22"/>
    <s v="22.01.26"/>
    <n v="21271"/>
    <m/>
    <n v="1"/>
    <d v="2026-01-22T00:00:00"/>
    <n v="38"/>
    <x v="1"/>
    <x v="1"/>
    <x v="0"/>
    <x v="0"/>
    <m/>
    <m/>
    <m/>
  </r>
  <r>
    <s v="60.02"/>
    <x v="2"/>
    <x v="2"/>
    <s v="Списание с расчетного счета 00БП-009273 от 24.12.2025 11:37:26"/>
    <s v="24.12.25"/>
    <n v="11000000"/>
    <m/>
    <n v="1"/>
    <d v="2025-12-24T00:00:00"/>
    <n v="67"/>
    <x v="1"/>
    <x v="1"/>
    <x v="0"/>
    <x v="0"/>
    <m/>
    <m/>
    <m/>
  </r>
  <r>
    <s v="60.02"/>
    <x v="3"/>
    <x v="3"/>
    <s v="Списание с расчетного счета 00БП-000026 от 14.01.2026 16:45:19"/>
    <s v="14.01.26"/>
    <n v="10657877.73"/>
    <m/>
    <n v="1"/>
    <d v="2026-01-14T00:00:00"/>
    <n v="46"/>
    <x v="1"/>
    <x v="1"/>
    <x v="0"/>
    <x v="0"/>
    <m/>
    <m/>
    <m/>
  </r>
  <r>
    <s v="60.02"/>
    <x v="3"/>
    <x v="3"/>
    <s v="Списание с расчетного счета 00БП-000361 от 13.02.2026 17:04:30"/>
    <s v="13.02.26"/>
    <n v="4517905.22"/>
    <m/>
    <n v="1"/>
    <d v="2026-02-13T00:00:00"/>
    <n v="16"/>
    <x v="2"/>
    <x v="1"/>
    <x v="0"/>
    <x v="0"/>
    <m/>
    <m/>
    <m/>
  </r>
  <r>
    <s v="60.02"/>
    <x v="3"/>
    <x v="4"/>
    <s v="Списание с расчетного счета 00БП-000025 от 14.01.2026 16:45:18"/>
    <s v="14.01.26"/>
    <n v="5963831.3700000001"/>
    <m/>
    <n v="1"/>
    <d v="2026-01-14T00:00:00"/>
    <n v="46"/>
    <x v="1"/>
    <x v="1"/>
    <x v="0"/>
    <x v="0"/>
    <m/>
    <m/>
    <m/>
  </r>
  <r>
    <s v="60.02"/>
    <x v="3"/>
    <x v="4"/>
    <s v="Списание с расчетного счета 00БП-000359 от 13.02.2026 17:04:28"/>
    <s v="13.02.26"/>
    <n v="2528085.33"/>
    <m/>
    <n v="1"/>
    <d v="2026-02-13T00:00:00"/>
    <n v="16"/>
    <x v="2"/>
    <x v="1"/>
    <x v="0"/>
    <x v="0"/>
    <m/>
    <m/>
    <m/>
  </r>
  <r>
    <s v="60.02"/>
    <x v="4"/>
    <x v="5"/>
    <s v="Списание с расчетного счета 00БП-007373 от 08.10.2025 18:26:41"/>
    <s v="08.10.25"/>
    <n v="30900000"/>
    <m/>
    <n v="1"/>
    <d v="2025-10-08T00:00:00"/>
    <n v="144"/>
    <x v="0"/>
    <x v="1"/>
    <x v="0"/>
    <x v="0"/>
    <m/>
    <m/>
    <m/>
  </r>
  <r>
    <s v="60.02"/>
    <x v="4"/>
    <x v="6"/>
    <s v="Списание с расчетного счета 00БП-000470 от 25.02.2026 17:39:33"/>
    <s v="25.02.26"/>
    <n v="70000"/>
    <m/>
    <n v="1"/>
    <d v="2026-02-25T00:00:00"/>
    <n v="4"/>
    <x v="2"/>
    <x v="1"/>
    <x v="0"/>
    <x v="0"/>
    <m/>
    <m/>
    <m/>
  </r>
  <r>
    <s v="60.02"/>
    <x v="4"/>
    <x v="7"/>
    <s v="Списание с расчетного счета 00БП-007408 от 09.10.2025 16:57:55"/>
    <s v="09.10.25"/>
    <n v="603882"/>
    <m/>
    <n v="1"/>
    <d v="2025-10-09T00:00:00"/>
    <n v="143"/>
    <x v="0"/>
    <x v="1"/>
    <x v="0"/>
    <x v="0"/>
    <m/>
    <m/>
    <m/>
  </r>
  <r>
    <s v="60.02"/>
    <x v="5"/>
    <x v="8"/>
    <s v="Списание с расчетного счета 00БП-000477 от 25.02.2026 17:39:40"/>
    <s v="25.02.26"/>
    <n v="3698422"/>
    <m/>
    <n v="1"/>
    <d v="2026-02-25T00:00:00"/>
    <n v="4"/>
    <x v="2"/>
    <x v="1"/>
    <x v="0"/>
    <x v="0"/>
    <m/>
    <m/>
    <m/>
  </r>
  <r>
    <s v="60.02"/>
    <x v="5"/>
    <x v="9"/>
    <s v="Списание с расчетного счета 00БП-000090 от 21.01.2026 11:45:50"/>
    <s v="21.01.26"/>
    <n v="352400"/>
    <m/>
    <n v="1"/>
    <d v="2026-01-21T00:00:00"/>
    <n v="39"/>
    <x v="1"/>
    <x v="1"/>
    <x v="0"/>
    <x v="0"/>
    <m/>
    <m/>
    <m/>
  </r>
  <r>
    <s v="60.02"/>
    <x v="5"/>
    <x v="9"/>
    <s v="Списание с расчетного счета 00БП-000439 от 24.02.2026 17:52:55"/>
    <s v="24.02.26"/>
    <n v="40800"/>
    <m/>
    <n v="1"/>
    <d v="2026-02-24T00:00:00"/>
    <n v="5"/>
    <x v="2"/>
    <x v="1"/>
    <x v="0"/>
    <x v="0"/>
    <m/>
    <m/>
    <m/>
  </r>
  <r>
    <s v="60.02"/>
    <x v="5"/>
    <x v="9"/>
    <s v="Списание с расчетного счета 00БП-000498 от 26.02.2026 17:17:28"/>
    <s v="26.02.26"/>
    <n v="114575"/>
    <m/>
    <n v="1"/>
    <d v="2026-02-26T00:00:00"/>
    <n v="3"/>
    <x v="2"/>
    <x v="1"/>
    <x v="0"/>
    <x v="0"/>
    <m/>
    <m/>
    <m/>
  </r>
  <r>
    <s v="60.02"/>
    <x v="5"/>
    <x v="10"/>
    <s v="Списание с расчетного счета 00БП-000349 от 13.02.2026 17:04:18"/>
    <s v="13.02.26"/>
    <n v="429500"/>
    <m/>
    <n v="1"/>
    <d v="2026-02-13T00:00:00"/>
    <n v="16"/>
    <x v="2"/>
    <x v="1"/>
    <x v="0"/>
    <x v="0"/>
    <m/>
    <m/>
    <m/>
  </r>
  <r>
    <s v="60.02"/>
    <x v="5"/>
    <x v="11"/>
    <s v="Списание с расчетного счета 00БП-006009 от 26.08.2025 19:15:04"/>
    <s v="26.08.25"/>
    <n v="30100"/>
    <m/>
    <n v="1"/>
    <d v="2025-08-26T00:00:00"/>
    <n v="187"/>
    <x v="3"/>
    <x v="1"/>
    <x v="0"/>
    <x v="0"/>
    <m/>
    <m/>
    <m/>
  </r>
  <r>
    <s v="60.02"/>
    <x v="5"/>
    <x v="12"/>
    <s v="Списание с расчетного счета 00БП-008786 от 18.11.2025 23:05:28"/>
    <s v="18.11.25"/>
    <n v="661131"/>
    <m/>
    <n v="1"/>
    <d v="2025-11-18T00:00:00"/>
    <n v="103"/>
    <x v="4"/>
    <x v="1"/>
    <x v="0"/>
    <x v="0"/>
    <m/>
    <m/>
    <m/>
  </r>
  <r>
    <s v="60.02"/>
    <x v="6"/>
    <x v="13"/>
    <s v="Списание с расчетного счета 00БП-002073 от 05.05.2023 18:33:46"/>
    <s v="05.05.23"/>
    <n v="0.01"/>
    <m/>
    <n v="1"/>
    <d v="2023-05-05T00:00:00"/>
    <n v="1031"/>
    <x v="5"/>
    <x v="1"/>
    <x v="0"/>
    <x v="0"/>
    <m/>
    <m/>
    <m/>
  </r>
  <r>
    <s v="60.02"/>
    <x v="7"/>
    <x v="14"/>
    <s v="Списание с расчетного счета 00БП-009292 от 25.12.2025 12:00:16"/>
    <s v="25.12.25"/>
    <n v="28800000"/>
    <m/>
    <n v="1"/>
    <d v="2025-12-25T00:00:00"/>
    <n v="66"/>
    <x v="1"/>
    <x v="1"/>
    <x v="0"/>
    <x v="0"/>
    <m/>
    <m/>
    <m/>
  </r>
  <r>
    <s v="60.02"/>
    <x v="8"/>
    <x v="15"/>
    <s v="Списание с расчетного счета 00БП-008834 от 19.11.2025 18:05:16"/>
    <s v="19.11.25"/>
    <n v="1984080"/>
    <m/>
    <n v="1"/>
    <d v="2025-11-19T00:00:00"/>
    <n v="102"/>
    <x v="4"/>
    <x v="1"/>
    <x v="0"/>
    <x v="0"/>
    <m/>
    <m/>
    <m/>
  </r>
  <r>
    <s v="60.02"/>
    <x v="9"/>
    <x v="16"/>
    <s v="Списание с расчетного счета 00БП-004852 от 14.07.2025 17:54:02"/>
    <s v="14.07.25"/>
    <n v="4985"/>
    <m/>
    <n v="1"/>
    <d v="2025-07-14T00:00:00"/>
    <n v="230"/>
    <x v="3"/>
    <x v="1"/>
    <x v="0"/>
    <x v="0"/>
    <m/>
    <m/>
    <m/>
  </r>
  <r>
    <s v="60.02"/>
    <x v="10"/>
    <x v="17"/>
    <s v="Списание с расчетного счета 00БП-009342 от 29.12.2025 17:48:57"/>
    <s v="29.12.25"/>
    <n v="124374672.66"/>
    <m/>
    <n v="1"/>
    <d v="2025-12-29T00:00:00"/>
    <n v="62"/>
    <x v="1"/>
    <x v="1"/>
    <x v="0"/>
    <x v="0"/>
    <m/>
    <m/>
    <m/>
  </r>
  <r>
    <s v="60.02"/>
    <x v="11"/>
    <x v="18"/>
    <s v="Списание с расчетного счета 00БП-000549 от 07.03.2025 17:21:16"/>
    <s v="07.03.25"/>
    <n v="198000"/>
    <m/>
    <n v="1"/>
    <d v="2025-03-07T00:00:00"/>
    <n v="359"/>
    <x v="6"/>
    <x v="1"/>
    <x v="0"/>
    <x v="1"/>
    <m/>
    <m/>
    <m/>
  </r>
  <r>
    <s v="60.02"/>
    <x v="12"/>
    <x v="19"/>
    <s v="Списание с расчетного счета 00БП-005478 от 07.08.2025 19:08:52"/>
    <s v="07.08.25"/>
    <n v="17955.38"/>
    <m/>
    <n v="1"/>
    <d v="2025-08-07T00:00:00"/>
    <n v="206"/>
    <x v="3"/>
    <x v="1"/>
    <x v="0"/>
    <x v="2"/>
    <m/>
    <m/>
    <m/>
  </r>
  <r>
    <s v="60.02"/>
    <x v="12"/>
    <x v="20"/>
    <s v="Списание с расчетного счета 00БП-005479 от 07.08.2025 19:08:53"/>
    <s v="07.08.25"/>
    <n v="67008.2"/>
    <m/>
    <n v="1"/>
    <d v="2025-08-07T00:00:00"/>
    <n v="206"/>
    <x v="3"/>
    <x v="1"/>
    <x v="0"/>
    <x v="3"/>
    <m/>
    <m/>
    <m/>
  </r>
  <r>
    <s v="60.02"/>
    <x v="12"/>
    <x v="20"/>
    <s v="Корректировка поступления 00БП-000024 от 05.09.2025 16:20:03"/>
    <s v="05.09.25"/>
    <n v="8599.8700000000008"/>
    <m/>
    <n v="1"/>
    <d v="2025-09-05T00:00:00"/>
    <n v="177"/>
    <x v="0"/>
    <x v="1"/>
    <x v="0"/>
    <x v="3"/>
    <m/>
    <m/>
    <m/>
  </r>
  <r>
    <s v="60.02"/>
    <x v="13"/>
    <x v="21"/>
    <s v="Списание с расчетного счета 00БП-000092 от 21.01.2026 11:45:52"/>
    <s v="21.01.26"/>
    <n v="10508130"/>
    <m/>
    <n v="1"/>
    <d v="2026-01-21T00:00:00"/>
    <n v="39"/>
    <x v="1"/>
    <x v="1"/>
    <x v="0"/>
    <x v="0"/>
    <m/>
    <m/>
    <m/>
  </r>
  <r>
    <s v="60.02"/>
    <x v="13"/>
    <x v="22"/>
    <s v="Списание с расчетного счета 00БП-009316 от 26.12.2025 12:00:22"/>
    <s v="26.12.25"/>
    <n v="1833304"/>
    <m/>
    <n v="1"/>
    <d v="2025-12-26T00:00:00"/>
    <n v="65"/>
    <x v="1"/>
    <x v="1"/>
    <x v="0"/>
    <x v="4"/>
    <m/>
    <m/>
    <m/>
  </r>
  <r>
    <s v="60.02"/>
    <x v="14"/>
    <x v="23"/>
    <s v="Списание с расчетного счета 00БП-000505 от 26.02.2026 17:17:35"/>
    <s v="26.02.26"/>
    <n v="2287728"/>
    <m/>
    <n v="1"/>
    <d v="2026-02-26T00:00:00"/>
    <n v="3"/>
    <x v="2"/>
    <x v="1"/>
    <x v="0"/>
    <x v="0"/>
    <m/>
    <m/>
    <m/>
  </r>
  <r>
    <s v="60.02"/>
    <x v="15"/>
    <x v="24"/>
    <s v="Списание с расчетного счета 00БП-009234 от 18.12.2025 17:20:48"/>
    <s v="18.12.25"/>
    <n v="613440"/>
    <m/>
    <n v="1"/>
    <d v="2025-12-18T00:00:00"/>
    <n v="73"/>
    <x v="1"/>
    <x v="1"/>
    <x v="0"/>
    <x v="0"/>
    <m/>
    <m/>
    <m/>
  </r>
  <r>
    <s v="60.02"/>
    <x v="16"/>
    <x v="25"/>
    <s v="Списание с расчетного счета 00БП-000504 от 26.02.2026 17:17:34"/>
    <s v="26.02.26"/>
    <n v="1644686.04"/>
    <m/>
    <n v="1"/>
    <d v="2026-02-26T00:00:00"/>
    <n v="3"/>
    <x v="2"/>
    <x v="1"/>
    <x v="0"/>
    <x v="0"/>
    <m/>
    <m/>
    <m/>
  </r>
  <r>
    <s v="60.02"/>
    <x v="17"/>
    <x v="26"/>
    <s v="Списание с расчетного счета 00БП-008784 от 18.11.2025 23:05:26"/>
    <s v="18.11.25"/>
    <n v="350000"/>
    <m/>
    <n v="1"/>
    <d v="2025-11-18T00:00:00"/>
    <n v="103"/>
    <x v="4"/>
    <x v="1"/>
    <x v="0"/>
    <x v="0"/>
    <m/>
    <m/>
    <m/>
  </r>
  <r>
    <s v="60.02"/>
    <x v="18"/>
    <x v="27"/>
    <s v="Списание с расчетного счета 00БП-002345 от 05.05.2025 19:41:14"/>
    <s v="05.05.25"/>
    <n v="691600"/>
    <m/>
    <n v="1"/>
    <d v="2025-05-05T00:00:00"/>
    <n v="300"/>
    <x v="6"/>
    <x v="1"/>
    <x v="0"/>
    <x v="5"/>
    <m/>
    <m/>
    <m/>
  </r>
  <r>
    <s v="60.02"/>
    <x v="19"/>
    <x v="28"/>
    <s v="Списание с расчетного счета 00БП-000049 от 15.01.2026 14:53:16"/>
    <s v="15.01.26"/>
    <n v="66000"/>
    <m/>
    <n v="1"/>
    <d v="2026-01-15T00:00:00"/>
    <n v="45"/>
    <x v="1"/>
    <x v="1"/>
    <x v="0"/>
    <x v="0"/>
    <m/>
    <m/>
    <m/>
  </r>
  <r>
    <s v="60.02"/>
    <x v="20"/>
    <x v="29"/>
    <s v="Списание с расчетного счета 00БП-007195 от 01.10.2025 20:24:05"/>
    <s v="01.10.25"/>
    <n v="400000"/>
    <m/>
    <n v="1"/>
    <d v="2025-10-01T00:00:00"/>
    <n v="151"/>
    <x v="0"/>
    <x v="1"/>
    <x v="0"/>
    <x v="6"/>
    <d v="2025-11-20T00:00:00"/>
    <s v="Геологический отдел"/>
    <m/>
  </r>
  <r>
    <s v="60.02"/>
    <x v="20"/>
    <x v="30"/>
    <s v="Списание с расчетного счета 00БП-004986 от 18.07.2025 20:39:46"/>
    <s v="18.07.25"/>
    <n v="1600000"/>
    <m/>
    <n v="1"/>
    <d v="2025-07-18T00:00:00"/>
    <n v="226"/>
    <x v="3"/>
    <x v="1"/>
    <x v="0"/>
    <x v="7"/>
    <d v="2026-02-15T00:00:00"/>
    <s v="Геологический отдел"/>
    <m/>
  </r>
  <r>
    <s v="60.02"/>
    <x v="20"/>
    <x v="30"/>
    <s v="Списание с расчетного счета 00БП-009315 от 26.12.2025 12:00:21"/>
    <s v="26.12.25"/>
    <n v="1200000"/>
    <m/>
    <n v="1"/>
    <d v="2025-12-26T00:00:00"/>
    <n v="65"/>
    <x v="1"/>
    <x v="1"/>
    <x v="0"/>
    <x v="7"/>
    <d v="2026-02-15T00:00:00"/>
    <s v="Геологический отдел"/>
    <m/>
  </r>
  <r>
    <s v="60.02"/>
    <x v="20"/>
    <x v="31"/>
    <s v="Списание с расчетного счета 00БП-007194 от 01.10.2025 20:24:04"/>
    <s v="01.10.25"/>
    <n v="400000"/>
    <m/>
    <n v="1"/>
    <d v="2025-10-01T00:00:00"/>
    <n v="151"/>
    <x v="0"/>
    <x v="1"/>
    <x v="0"/>
    <x v="6"/>
    <d v="2025-11-20T00:00:00"/>
    <s v="Геологический отдел"/>
    <m/>
  </r>
  <r>
    <s v="60.02"/>
    <x v="20"/>
    <x v="32"/>
    <s v="Списание с расчетного счета 00БП-006765 от 17.09.2025 19:43:17"/>
    <s v="17.09.25"/>
    <n v="250000"/>
    <m/>
    <n v="1"/>
    <d v="2025-09-17T00:00:00"/>
    <n v="165"/>
    <x v="0"/>
    <x v="1"/>
    <x v="0"/>
    <x v="6"/>
    <d v="2025-11-25T00:00:00"/>
    <s v="Геологический отдел"/>
    <m/>
  </r>
  <r>
    <s v="60.02"/>
    <x v="20"/>
    <x v="33"/>
    <s v="Списание с расчетного счета 00БП-006764 от 17.09.2025 19:43:16"/>
    <s v="17.09.25"/>
    <n v="250000"/>
    <m/>
    <n v="1"/>
    <d v="2025-09-17T00:00:00"/>
    <n v="165"/>
    <x v="0"/>
    <x v="1"/>
    <x v="0"/>
    <x v="6"/>
    <d v="2025-11-25T00:00:00"/>
    <s v="Геологический отдел"/>
    <m/>
  </r>
  <r>
    <s v="60.02"/>
    <x v="21"/>
    <x v="34"/>
    <s v="Списание с расчетного счета 00БП-004292 от 30.06.2025 23:59:59"/>
    <s v="30.06.25"/>
    <n v="7000"/>
    <m/>
    <n v="1"/>
    <d v="2025-06-30T00:00:00"/>
    <n v="244"/>
    <x v="3"/>
    <x v="1"/>
    <x v="0"/>
    <x v="8"/>
    <m/>
    <m/>
    <m/>
  </r>
  <r>
    <s v="60.02"/>
    <x v="22"/>
    <x v="35"/>
    <s v="Списание с расчетного счета 00БП-000342 от 13.02.2026 17:04:11"/>
    <s v="13.02.26"/>
    <n v="25000"/>
    <m/>
    <n v="1"/>
    <d v="2026-02-13T00:00:00"/>
    <n v="16"/>
    <x v="2"/>
    <x v="1"/>
    <x v="0"/>
    <x v="0"/>
    <m/>
    <m/>
    <m/>
  </r>
  <r>
    <s v="60.02"/>
    <x v="23"/>
    <x v="36"/>
    <s v="Списание с расчетного счета 00БП-000417 от 19.02.2026 16:28:32"/>
    <s v="19.02.26"/>
    <n v="1200041.6399999999"/>
    <m/>
    <n v="1"/>
    <d v="2026-02-19T00:00:00"/>
    <n v="10"/>
    <x v="2"/>
    <x v="1"/>
    <x v="0"/>
    <x v="0"/>
    <m/>
    <m/>
    <m/>
  </r>
  <r>
    <s v="60.02"/>
    <x v="23"/>
    <x v="37"/>
    <s v="Списание с расчетного счета 00БП-000181 от 29.01.2026 11:53:12"/>
    <s v="29.01.26"/>
    <n v="0.01"/>
    <m/>
    <n v="1"/>
    <d v="2026-01-29T00:00:00"/>
    <n v="31"/>
    <x v="1"/>
    <x v="1"/>
    <x v="0"/>
    <x v="0"/>
    <m/>
    <m/>
    <m/>
  </r>
  <r>
    <s v="60.02"/>
    <x v="23"/>
    <x v="37"/>
    <s v="Списание с расчетного счета 00БП-000347 от 13.02.2026 17:04:16"/>
    <s v="13.02.26"/>
    <n v="305626.94"/>
    <m/>
    <n v="1"/>
    <d v="2026-02-13T00:00:00"/>
    <n v="16"/>
    <x v="2"/>
    <x v="1"/>
    <x v="0"/>
    <x v="0"/>
    <m/>
    <m/>
    <m/>
  </r>
  <r>
    <s v="60.02"/>
    <x v="24"/>
    <x v="38"/>
    <s v="Списание с расчетного счета 00БП-005940 от 21.08.2025 17:24:52"/>
    <s v="21.08.25"/>
    <n v="52154.400000000001"/>
    <m/>
    <n v="1"/>
    <d v="2025-08-21T00:00:00"/>
    <n v="192"/>
    <x v="3"/>
    <x v="1"/>
    <x v="0"/>
    <x v="0"/>
    <m/>
    <m/>
    <m/>
  </r>
  <r>
    <s v="60.02"/>
    <x v="25"/>
    <x v="39"/>
    <s v="Списание с расчетного счета 00БП-000424 от 20.02.2026 17:20:32"/>
    <s v="20.02.26"/>
    <n v="12000"/>
    <m/>
    <n v="1"/>
    <d v="2026-02-20T00:00:00"/>
    <n v="9"/>
    <x v="2"/>
    <x v="1"/>
    <x v="0"/>
    <x v="0"/>
    <m/>
    <m/>
    <m/>
  </r>
  <r>
    <s v="60.02"/>
    <x v="26"/>
    <x v="40"/>
    <s v="Списание с расчетного счета 00БП-000150 от 28.01.2026 12:00:06"/>
    <s v="28.01.26"/>
    <n v="2405000"/>
    <m/>
    <n v="1"/>
    <d v="2026-01-28T00:00:00"/>
    <n v="32"/>
    <x v="1"/>
    <x v="1"/>
    <x v="0"/>
    <x v="0"/>
    <m/>
    <m/>
    <m/>
  </r>
  <r>
    <s v="60.02"/>
    <x v="26"/>
    <x v="41"/>
    <s v="Списание с расчетного счета 00БП-000149 от 28.01.2026 12:00:05"/>
    <s v="28.01.26"/>
    <n v="1150000"/>
    <m/>
    <n v="1"/>
    <d v="2026-01-28T00:00:00"/>
    <n v="32"/>
    <x v="1"/>
    <x v="1"/>
    <x v="0"/>
    <x v="0"/>
    <m/>
    <m/>
    <m/>
  </r>
  <r>
    <s v="60.02"/>
    <x v="27"/>
    <x v="42"/>
    <s v="Списание с расчетного счета 00БП-001912 от 17.04.2024 20:48:12"/>
    <s v="17.04.24"/>
    <n v="12630"/>
    <m/>
    <n v="1"/>
    <d v="2024-04-17T00:00:00"/>
    <n v="683"/>
    <x v="5"/>
    <x v="1"/>
    <x v="0"/>
    <x v="9"/>
    <m/>
    <m/>
    <m/>
  </r>
  <r>
    <s v="60.02"/>
    <x v="28"/>
    <x v="43"/>
    <s v="Списание с расчетного счета 00БП-008947 от 26.11.2025 14:57:07"/>
    <s v="26.11.25"/>
    <n v="92350"/>
    <m/>
    <n v="1"/>
    <d v="2025-11-26T00:00:00"/>
    <n v="95"/>
    <x v="4"/>
    <x v="1"/>
    <x v="0"/>
    <x v="0"/>
    <m/>
    <m/>
    <m/>
  </r>
  <r>
    <s v="60.02"/>
    <x v="29"/>
    <x v="44"/>
    <s v="Списание с расчетного счета 00БП-003512 от 09.06.2025 17:56:01"/>
    <s v="09.06.25"/>
    <n v="14178"/>
    <m/>
    <n v="1"/>
    <d v="2025-06-09T00:00:00"/>
    <n v="265"/>
    <x v="3"/>
    <x v="1"/>
    <x v="0"/>
    <x v="2"/>
    <m/>
    <m/>
    <m/>
  </r>
  <r>
    <s v="60.02"/>
    <x v="29"/>
    <x v="45"/>
    <s v="Списание с расчетного счета 00БП-000473 от 25.02.2026 17:39:36"/>
    <s v="25.02.26"/>
    <n v="405463"/>
    <m/>
    <n v="1"/>
    <d v="2026-02-25T00:00:00"/>
    <n v="4"/>
    <x v="2"/>
    <x v="1"/>
    <x v="0"/>
    <x v="0"/>
    <m/>
    <m/>
    <m/>
  </r>
  <r>
    <s v="60.02"/>
    <x v="30"/>
    <x v="46"/>
    <s v="Списание с расчетного счета 00БП-004058 от 28.06.2024 19:03:17"/>
    <s v="28.06.24"/>
    <n v="6600"/>
    <m/>
    <n v="1"/>
    <d v="2024-06-28T00:00:00"/>
    <n v="611"/>
    <x v="5"/>
    <x v="1"/>
    <x v="0"/>
    <x v="0"/>
    <m/>
    <m/>
    <m/>
  </r>
  <r>
    <s v="60.02"/>
    <x v="30"/>
    <x v="47"/>
    <s v="Списание с расчетного счета 00БП-003852 от 24.06.2024 17:54:37"/>
    <s v="24.06.24"/>
    <n v="6600"/>
    <m/>
    <n v="1"/>
    <d v="2024-06-24T00:00:00"/>
    <n v="615"/>
    <x v="5"/>
    <x v="1"/>
    <x v="0"/>
    <x v="0"/>
    <m/>
    <m/>
    <m/>
  </r>
  <r>
    <s v="60.02"/>
    <x v="30"/>
    <x v="48"/>
    <s v="Списание с расчетного счета 00БП-006739 от 16.09.2025 17:34:57"/>
    <s v="16.09.25"/>
    <n v="25000"/>
    <m/>
    <n v="1"/>
    <d v="2025-09-16T00:00:00"/>
    <n v="166"/>
    <x v="0"/>
    <x v="1"/>
    <x v="0"/>
    <x v="0"/>
    <m/>
    <m/>
    <m/>
  </r>
  <r>
    <s v="60.02"/>
    <x v="30"/>
    <x v="49"/>
    <s v="Списание с расчетного счета 00БП-002905 от 27.05.2024 18:19:20"/>
    <s v="27.05.24"/>
    <n v="6600"/>
    <m/>
    <n v="1"/>
    <d v="2024-05-27T00:00:00"/>
    <n v="643"/>
    <x v="5"/>
    <x v="1"/>
    <x v="0"/>
    <x v="0"/>
    <m/>
    <m/>
    <m/>
  </r>
  <r>
    <s v="60.02"/>
    <x v="30"/>
    <x v="50"/>
    <s v="Списание с расчетного счета 00БП-003005 от 23.05.2025 20:52:15"/>
    <s v="23.05.25"/>
    <n v="6600"/>
    <m/>
    <n v="1"/>
    <d v="2025-05-23T00:00:00"/>
    <n v="282"/>
    <x v="6"/>
    <x v="1"/>
    <x v="0"/>
    <x v="0"/>
    <m/>
    <m/>
    <m/>
  </r>
  <r>
    <s v="60.02"/>
    <x v="30"/>
    <x v="51"/>
    <s v="Списание с расчетного счета 00БП-004318 от 08.07.2024 18:29:52"/>
    <s v="08.07.24"/>
    <n v="25000"/>
    <m/>
    <n v="1"/>
    <d v="2024-07-08T00:00:00"/>
    <n v="601"/>
    <x v="5"/>
    <x v="1"/>
    <x v="0"/>
    <x v="0"/>
    <m/>
    <m/>
    <m/>
  </r>
  <r>
    <s v="60.02"/>
    <x v="30"/>
    <x v="52"/>
    <s v="Списание с расчетного счета 00БП-006217 от 01.09.2025 18:18:38"/>
    <s v="01.09.25"/>
    <n v="25000"/>
    <m/>
    <n v="1"/>
    <d v="2025-09-01T00:00:00"/>
    <n v="181"/>
    <x v="3"/>
    <x v="1"/>
    <x v="0"/>
    <x v="0"/>
    <m/>
    <m/>
    <m/>
  </r>
  <r>
    <s v="60.02"/>
    <x v="31"/>
    <x v="53"/>
    <s v="Списание с расчетного счета 00БП-000213 от 03.02.2026 14:13:45"/>
    <s v="03.02.26"/>
    <n v="179328"/>
    <m/>
    <n v="1"/>
    <d v="2026-02-03T00:00:00"/>
    <n v="26"/>
    <x v="2"/>
    <x v="1"/>
    <x v="0"/>
    <x v="0"/>
    <m/>
    <m/>
    <m/>
  </r>
  <r>
    <s v="60.02"/>
    <x v="32"/>
    <x v="54"/>
    <s v="Списание с расчетного счета 00БП-007131 от 29.09.2025 19:12:04"/>
    <s v="29.09.25"/>
    <n v="1750000"/>
    <m/>
    <n v="1"/>
    <d v="2025-09-29T00:00:00"/>
    <n v="153"/>
    <x v="0"/>
    <x v="1"/>
    <x v="0"/>
    <x v="0"/>
    <m/>
    <m/>
    <m/>
  </r>
  <r>
    <s v="60.02"/>
    <x v="32"/>
    <x v="55"/>
    <s v="Списание с расчетного счета 00БП-007756 от 17.10.2025 19:36:13"/>
    <s v="17.10.25"/>
    <n v="1750000"/>
    <m/>
    <n v="1"/>
    <d v="2025-10-17T00:00:00"/>
    <n v="135"/>
    <x v="0"/>
    <x v="1"/>
    <x v="0"/>
    <x v="0"/>
    <m/>
    <m/>
    <m/>
  </r>
  <r>
    <s v="60.02"/>
    <x v="32"/>
    <x v="56"/>
    <s v="Списание с расчетного счета 00БП-007130 от 29.09.2025 19:12:03"/>
    <s v="29.09.25"/>
    <n v="1750000"/>
    <m/>
    <n v="1"/>
    <d v="2025-09-29T00:00:00"/>
    <n v="153"/>
    <x v="0"/>
    <x v="1"/>
    <x v="0"/>
    <x v="0"/>
    <m/>
    <m/>
    <m/>
  </r>
  <r>
    <s v="60.02"/>
    <x v="32"/>
    <x v="57"/>
    <s v="Списание с расчетного счета 00БП-007755 от 17.10.2025 19:36:12"/>
    <s v="17.10.25"/>
    <n v="1750000"/>
    <m/>
    <n v="1"/>
    <d v="2025-10-17T00:00:00"/>
    <n v="135"/>
    <x v="0"/>
    <x v="1"/>
    <x v="0"/>
    <x v="0"/>
    <m/>
    <m/>
    <m/>
  </r>
  <r>
    <s v="60.02"/>
    <x v="32"/>
    <x v="58"/>
    <s v="Списание с расчетного счета 00БП-007129 от 29.09.2025 19:12:02"/>
    <s v="29.09.25"/>
    <n v="1750000"/>
    <m/>
    <n v="1"/>
    <d v="2025-09-29T00:00:00"/>
    <n v="153"/>
    <x v="0"/>
    <x v="1"/>
    <x v="0"/>
    <x v="0"/>
    <m/>
    <m/>
    <m/>
  </r>
  <r>
    <s v="60.02"/>
    <x v="33"/>
    <x v="59"/>
    <s v="Списание с расчетного счета 00БП-000341 от 13.02.2026 17:04:10"/>
    <s v="13.02.26"/>
    <n v="17831.84"/>
    <m/>
    <n v="1"/>
    <d v="2026-02-13T00:00:00"/>
    <n v="16"/>
    <x v="2"/>
    <x v="1"/>
    <x v="0"/>
    <x v="0"/>
    <m/>
    <m/>
    <m/>
  </r>
  <r>
    <s v="60.02"/>
    <x v="34"/>
    <x v="60"/>
    <s v="Списание с расчетного счета 00БП-009027 от 01.12.2025 15:42:22"/>
    <s v="01.12.25"/>
    <n v="2053117.29"/>
    <m/>
    <n v="1"/>
    <d v="2025-12-01T00:00:00"/>
    <n v="90"/>
    <x v="1"/>
    <x v="1"/>
    <x v="0"/>
    <x v="0"/>
    <m/>
    <m/>
    <m/>
  </r>
  <r>
    <s v="60.02"/>
    <x v="34"/>
    <x v="60"/>
    <s v="Списание с расчетного счета 00БП-000503 от 26.02.2026 17:17:33"/>
    <s v="26.02.26"/>
    <n v="1460604.1"/>
    <m/>
    <n v="1"/>
    <d v="2026-02-26T00:00:00"/>
    <n v="3"/>
    <x v="2"/>
    <x v="1"/>
    <x v="0"/>
    <x v="10"/>
    <s v="23.02.26 в новосибирске"/>
    <m/>
    <m/>
  </r>
  <r>
    <s v="60.02"/>
    <x v="34"/>
    <x v="61"/>
    <s v="Списание с расчетного счета 00БП-009026 от 01.12.2025 15:42:21"/>
    <s v="01.12.25"/>
    <n v="1211264.99"/>
    <m/>
    <n v="1"/>
    <d v="2025-12-01T00:00:00"/>
    <n v="90"/>
    <x v="1"/>
    <x v="1"/>
    <x v="0"/>
    <x v="0"/>
    <m/>
    <m/>
    <m/>
  </r>
  <r>
    <s v="60.02"/>
    <x v="34"/>
    <x v="61"/>
    <s v="Списание с расчетного счета 00БП-000502 от 26.02.2026 17:17:32"/>
    <s v="26.02.26"/>
    <n v="1251640.57"/>
    <m/>
    <n v="1"/>
    <d v="2026-02-26T00:00:00"/>
    <n v="3"/>
    <x v="2"/>
    <x v="1"/>
    <x v="0"/>
    <x v="0"/>
    <m/>
    <m/>
    <m/>
  </r>
  <r>
    <s v="60.02"/>
    <x v="34"/>
    <x v="62"/>
    <s v="Списание с расчетного счета 00БП-009025 от 01.12.2025 15:42:20"/>
    <s v="01.12.25"/>
    <n v="512327.6"/>
    <m/>
    <n v="1"/>
    <d v="2025-12-01T00:00:00"/>
    <n v="90"/>
    <x v="1"/>
    <x v="1"/>
    <x v="0"/>
    <x v="0"/>
    <m/>
    <m/>
    <m/>
  </r>
  <r>
    <s v="60.02"/>
    <x v="34"/>
    <x v="62"/>
    <s v="Списание с расчетного счета 00БП-009090 от 05.12.2025 12:00:05"/>
    <s v="05.12.25"/>
    <n v="12000"/>
    <m/>
    <n v="1"/>
    <d v="2025-12-05T00:00:00"/>
    <n v="86"/>
    <x v="1"/>
    <x v="1"/>
    <x v="0"/>
    <x v="0"/>
    <m/>
    <m/>
    <m/>
  </r>
  <r>
    <s v="60.02"/>
    <x v="34"/>
    <x v="62"/>
    <s v="Списание с расчетного счета 00БП-000474 от 25.02.2026 17:39:37"/>
    <s v="25.02.26"/>
    <n v="541805.18000000005"/>
    <m/>
    <n v="1"/>
    <d v="2026-02-25T00:00:00"/>
    <n v="4"/>
    <x v="2"/>
    <x v="1"/>
    <x v="0"/>
    <x v="0"/>
    <m/>
    <m/>
    <m/>
  </r>
  <r>
    <s v="60.02"/>
    <x v="34"/>
    <x v="63"/>
    <s v="Списание с расчетного счета 00БП-009024 от 01.12.2025 15:42:19"/>
    <s v="01.12.25"/>
    <n v="438338.63"/>
    <m/>
    <n v="1"/>
    <d v="2025-12-01T00:00:00"/>
    <n v="90"/>
    <x v="1"/>
    <x v="1"/>
    <x v="0"/>
    <x v="0"/>
    <m/>
    <m/>
    <m/>
  </r>
  <r>
    <s v="60.02"/>
    <x v="34"/>
    <x v="63"/>
    <s v="Списание с расчетного счета 00БП-000499 от 26.02.2026 17:17:29"/>
    <s v="26.02.26"/>
    <n v="452949.89"/>
    <m/>
    <n v="1"/>
    <d v="2026-02-26T00:00:00"/>
    <n v="3"/>
    <x v="2"/>
    <x v="1"/>
    <x v="0"/>
    <x v="0"/>
    <m/>
    <m/>
    <m/>
  </r>
  <r>
    <s v="60.02"/>
    <x v="35"/>
    <x v="64"/>
    <s v="Списание с расчетного счета 00БП-002965 от 21.05.2025 20:10:56"/>
    <s v="21.05.25"/>
    <n v="275272"/>
    <m/>
    <n v="1"/>
    <d v="2025-05-21T00:00:00"/>
    <n v="284"/>
    <x v="6"/>
    <x v="1"/>
    <x v="0"/>
    <x v="11"/>
    <m/>
    <m/>
    <m/>
  </r>
  <r>
    <s v="60.02"/>
    <x v="36"/>
    <x v="65"/>
    <s v="Списание с расчетного счета 00БП-000070 от 16.01.2026 17:13:38"/>
    <s v="16.01.26"/>
    <n v="15696807.25"/>
    <m/>
    <n v="1"/>
    <d v="2026-01-16T00:00:00"/>
    <n v="44"/>
    <x v="1"/>
    <x v="1"/>
    <x v="0"/>
    <x v="0"/>
    <m/>
    <m/>
    <m/>
  </r>
  <r>
    <s v="60.02"/>
    <x v="36"/>
    <x v="66"/>
    <s v="Списание с расчетного счета 00БП-000117 от 26.01.2026 12:00:04"/>
    <s v="26.01.26"/>
    <n v="23963645.800000001"/>
    <m/>
    <n v="1"/>
    <d v="2026-01-26T00:00:00"/>
    <n v="34"/>
    <x v="1"/>
    <x v="1"/>
    <x v="0"/>
    <x v="0"/>
    <m/>
    <m/>
    <m/>
  </r>
  <r>
    <s v="60.02"/>
    <x v="36"/>
    <x v="67"/>
    <s v="Списание с расчетного счета 00БП-000444 от 24.02.2026 17:53:00"/>
    <s v="24.02.26"/>
    <n v="321265"/>
    <m/>
    <n v="1"/>
    <d v="2026-02-24T00:00:00"/>
    <n v="5"/>
    <x v="2"/>
    <x v="1"/>
    <x v="0"/>
    <x v="0"/>
    <m/>
    <m/>
    <m/>
  </r>
  <r>
    <s v="60.02"/>
    <x v="36"/>
    <x v="68"/>
    <s v="Списание с расчетного счета 00БП-000407 от 18.02.2026 12:00:09"/>
    <s v="18.02.26"/>
    <n v="2644691.5"/>
    <m/>
    <n v="1"/>
    <d v="2026-02-18T00:00:00"/>
    <n v="11"/>
    <x v="2"/>
    <x v="1"/>
    <x v="0"/>
    <x v="0"/>
    <m/>
    <m/>
    <m/>
  </r>
  <r>
    <s v="60.02"/>
    <x v="36"/>
    <x v="69"/>
    <s v="Списание с расчетного счета 00БП-000216 от 03.02.2026 14:13:48"/>
    <s v="03.02.26"/>
    <n v="367360"/>
    <m/>
    <n v="1"/>
    <d v="2026-02-03T00:00:00"/>
    <n v="26"/>
    <x v="2"/>
    <x v="1"/>
    <x v="0"/>
    <x v="0"/>
    <m/>
    <m/>
    <m/>
  </r>
  <r>
    <s v="60.02"/>
    <x v="36"/>
    <x v="70"/>
    <s v="Списание с расчетного счета 00БП-000217 от 03.02.2026 14:13:49"/>
    <s v="03.02.26"/>
    <n v="1550000"/>
    <m/>
    <n v="1"/>
    <d v="2026-02-03T00:00:00"/>
    <n v="26"/>
    <x v="2"/>
    <x v="1"/>
    <x v="0"/>
    <x v="0"/>
    <m/>
    <m/>
    <m/>
  </r>
  <r>
    <s v="60.02"/>
    <x v="36"/>
    <x v="71"/>
    <s v="Списание с расчетного счета 00БП-000409 от 18.02.2026 12:00:11"/>
    <s v="18.02.26"/>
    <n v="6099500"/>
    <m/>
    <n v="1"/>
    <d v="2026-02-18T00:00:00"/>
    <n v="11"/>
    <x v="2"/>
    <x v="1"/>
    <x v="0"/>
    <x v="0"/>
    <m/>
    <m/>
    <m/>
  </r>
  <r>
    <s v="60.02"/>
    <x v="36"/>
    <x v="72"/>
    <s v="Списание с расчетного счета 00БП-000408 от 18.02.2026 12:00:10"/>
    <s v="18.02.26"/>
    <n v="3431200"/>
    <m/>
    <n v="1"/>
    <d v="2026-02-18T00:00:00"/>
    <n v="11"/>
    <x v="2"/>
    <x v="1"/>
    <x v="0"/>
    <x v="0"/>
    <m/>
    <m/>
    <m/>
  </r>
  <r>
    <s v="60.02"/>
    <x v="37"/>
    <x v="73"/>
    <s v="Списание с расчетного счета 00БП-000032 от 15.01.2026 14:52:57"/>
    <s v="15.01.26"/>
    <n v="130500"/>
    <m/>
    <n v="1"/>
    <d v="2026-01-15T00:00:00"/>
    <n v="45"/>
    <x v="1"/>
    <x v="1"/>
    <x v="0"/>
    <x v="0"/>
    <m/>
    <m/>
    <m/>
  </r>
  <r>
    <s v="60.02"/>
    <x v="38"/>
    <x v="74"/>
    <s v="Списание с расчетного счета 00БП-000348 от 13.02.2026 17:04:17"/>
    <s v="13.02.26"/>
    <n v="382630.8"/>
    <m/>
    <n v="1"/>
    <d v="2026-02-13T00:00:00"/>
    <n v="16"/>
    <x v="2"/>
    <x v="1"/>
    <x v="0"/>
    <x v="0"/>
    <m/>
    <m/>
    <m/>
  </r>
  <r>
    <s v="60.02"/>
    <x v="38"/>
    <x v="75"/>
    <s v="Списание с расчетного счета 00БП-003987 от 19.06.2025 19:28:50"/>
    <s v="19.06.25"/>
    <n v="682568"/>
    <m/>
    <n v="1"/>
    <d v="2025-06-19T00:00:00"/>
    <n v="255"/>
    <x v="3"/>
    <x v="1"/>
    <x v="0"/>
    <x v="0"/>
    <m/>
    <m/>
    <m/>
  </r>
  <r>
    <s v="60.02"/>
    <x v="38"/>
    <x v="76"/>
    <s v="Списание с расчетного счета 00БП-000358 от 13.02.2026 17:04:27"/>
    <s v="13.02.26"/>
    <n v="1926789.3"/>
    <m/>
    <n v="1"/>
    <d v="2026-02-13T00:00:00"/>
    <n v="16"/>
    <x v="2"/>
    <x v="1"/>
    <x v="0"/>
    <x v="0"/>
    <m/>
    <m/>
    <m/>
  </r>
  <r>
    <s v="60.02"/>
    <x v="38"/>
    <x v="77"/>
    <s v="Списание с расчетного счета 00БП-000322 от 12.02.2026 15:36:53"/>
    <s v="12.02.26"/>
    <n v="275291.09999999998"/>
    <m/>
    <n v="1"/>
    <d v="2026-02-12T00:00:00"/>
    <n v="17"/>
    <x v="2"/>
    <x v="1"/>
    <x v="0"/>
    <x v="0"/>
    <m/>
    <m/>
    <m/>
  </r>
  <r>
    <s v="60.02"/>
    <x v="38"/>
    <x v="78"/>
    <s v="Списание с расчетного счета 00БП-001887 от 16.04.2024 20:42:34"/>
    <s v="16.04.24"/>
    <n v="600"/>
    <m/>
    <n v="1"/>
    <d v="2024-04-16T00:00:00"/>
    <n v="684"/>
    <x v="5"/>
    <x v="1"/>
    <x v="0"/>
    <x v="0"/>
    <m/>
    <m/>
    <m/>
  </r>
  <r>
    <s v="60.02"/>
    <x v="38"/>
    <x v="79"/>
    <s v="Списание с расчетного счета 00БП-000091 от 21.01.2026 11:45:51"/>
    <s v="21.01.26"/>
    <n v="2253340.15"/>
    <m/>
    <n v="1"/>
    <d v="2026-01-21T00:00:00"/>
    <n v="39"/>
    <x v="1"/>
    <x v="1"/>
    <x v="0"/>
    <x v="0"/>
    <m/>
    <m/>
    <m/>
  </r>
  <r>
    <s v="60.02"/>
    <x v="38"/>
    <x v="80"/>
    <s v="Списание с расчетного счета 00БП-000423 от 28.02.2025 23:59:59"/>
    <s v="28.02.25"/>
    <n v="29963"/>
    <m/>
    <n v="1"/>
    <d v="2025-02-28T00:00:00"/>
    <n v="366"/>
    <x v="5"/>
    <x v="1"/>
    <x v="0"/>
    <x v="2"/>
    <m/>
    <m/>
    <m/>
  </r>
  <r>
    <s v="60.02"/>
    <x v="38"/>
    <x v="81"/>
    <s v="Списание с расчетного счета 00БП-007268 от 03.10.2025 17:50:33"/>
    <s v="03.10.25"/>
    <n v="19600"/>
    <m/>
    <n v="1"/>
    <d v="2025-10-03T00:00:00"/>
    <n v="149"/>
    <x v="0"/>
    <x v="1"/>
    <x v="0"/>
    <x v="0"/>
    <m/>
    <m/>
    <m/>
  </r>
  <r>
    <s v="60.02"/>
    <x v="39"/>
    <x v="82"/>
    <s v="Списание с расчетного счета 00БП-008971 от 27.11.2025 18:25:59"/>
    <s v="27.11.25"/>
    <n v="132000"/>
    <m/>
    <n v="1"/>
    <d v="2025-11-27T00:00:00"/>
    <n v="94"/>
    <x v="4"/>
    <x v="1"/>
    <x v="0"/>
    <x v="0"/>
    <m/>
    <m/>
    <m/>
  </r>
  <r>
    <s v="60.02"/>
    <x v="40"/>
    <x v="83"/>
    <s v="Списание с расчетного счета 00БП-003308 от 06.06.2024 23:59:59"/>
    <s v="06.06.24"/>
    <n v="3959"/>
    <m/>
    <n v="1"/>
    <d v="2024-06-06T00:00:00"/>
    <n v="633"/>
    <x v="5"/>
    <x v="1"/>
    <x v="0"/>
    <x v="9"/>
    <m/>
    <m/>
    <m/>
  </r>
  <r>
    <s v="60.02"/>
    <x v="40"/>
    <x v="84"/>
    <s v="Списание с расчетного счета 00БП-000265 от 06.02.2026 12:00:02"/>
    <s v="06.02.26"/>
    <n v="54211"/>
    <m/>
    <n v="1"/>
    <d v="2026-02-06T00:00:00"/>
    <n v="23"/>
    <x v="2"/>
    <x v="1"/>
    <x v="0"/>
    <x v="0"/>
    <m/>
    <m/>
    <m/>
  </r>
  <r>
    <s v="60.02"/>
    <x v="40"/>
    <x v="85"/>
    <s v="Списание с расчетного счета 00БП-009340 от 29.12.2025 17:48:55"/>
    <s v="29.12.25"/>
    <n v="53477"/>
    <m/>
    <n v="1"/>
    <d v="2025-12-29T00:00:00"/>
    <n v="62"/>
    <x v="1"/>
    <x v="1"/>
    <x v="0"/>
    <x v="0"/>
    <m/>
    <m/>
    <m/>
  </r>
  <r>
    <s v="60.02"/>
    <x v="40"/>
    <x v="86"/>
    <s v="Списание с расчетного счета 00БП-008817 от 19.11.2025 18:04:59"/>
    <s v="19.11.25"/>
    <n v="1875"/>
    <m/>
    <n v="1"/>
    <d v="2025-11-19T00:00:00"/>
    <n v="102"/>
    <x v="4"/>
    <x v="1"/>
    <x v="0"/>
    <x v="0"/>
    <m/>
    <m/>
    <m/>
  </r>
  <r>
    <s v="60.02"/>
    <x v="40"/>
    <x v="87"/>
    <s v="Списание с расчетного счета 00БП-008955 от 27.11.2025 18:25:43"/>
    <s v="27.11.25"/>
    <n v="13926"/>
    <m/>
    <n v="1"/>
    <d v="2025-11-27T00:00:00"/>
    <n v="94"/>
    <x v="4"/>
    <x v="1"/>
    <x v="0"/>
    <x v="0"/>
    <m/>
    <m/>
    <m/>
  </r>
  <r>
    <s v="60.02"/>
    <x v="40"/>
    <x v="88"/>
    <s v="Списание с расчетного счета 00БП-008055 от 30.10.2025 20:00:11"/>
    <s v="30.10.25"/>
    <n v="98480"/>
    <m/>
    <n v="1"/>
    <d v="2025-10-30T00:00:00"/>
    <n v="122"/>
    <x v="0"/>
    <x v="1"/>
    <x v="0"/>
    <x v="0"/>
    <m/>
    <m/>
    <m/>
  </r>
  <r>
    <s v="60.02"/>
    <x v="40"/>
    <x v="89"/>
    <s v="Списание с расчетного счета 00БП-005955 от 22.08.2025 17:42:38"/>
    <s v="22.08.25"/>
    <n v="39046"/>
    <m/>
    <n v="1"/>
    <d v="2025-08-22T00:00:00"/>
    <n v="191"/>
    <x v="3"/>
    <x v="1"/>
    <x v="0"/>
    <x v="0"/>
    <m/>
    <m/>
    <m/>
  </r>
  <r>
    <s v="60.02"/>
    <x v="40"/>
    <x v="90"/>
    <s v="Списание с расчетного счета 00БП-004471 от 07.07.2025 17:53:43"/>
    <s v="07.07.25"/>
    <n v="780"/>
    <m/>
    <n v="1"/>
    <d v="2025-07-07T00:00:00"/>
    <n v="237"/>
    <x v="3"/>
    <x v="1"/>
    <x v="0"/>
    <x v="0"/>
    <m/>
    <m/>
    <m/>
  </r>
  <r>
    <s v="60.02"/>
    <x v="40"/>
    <x v="91"/>
    <s v="Списание с расчетного счета 00БП-005515 от 11.08.2025 17:47:00"/>
    <s v="11.08.25"/>
    <n v="2154"/>
    <m/>
    <n v="1"/>
    <d v="2025-08-11T00:00:00"/>
    <n v="202"/>
    <x v="3"/>
    <x v="1"/>
    <x v="0"/>
    <x v="0"/>
    <m/>
    <m/>
    <m/>
  </r>
  <r>
    <s v="60.02"/>
    <x v="40"/>
    <x v="92"/>
    <s v="Списание с расчетного счета 00БП-008818 от 19.11.2025 18:05:00"/>
    <s v="19.11.25"/>
    <n v="1948"/>
    <m/>
    <n v="1"/>
    <d v="2025-11-19T00:00:00"/>
    <n v="102"/>
    <x v="4"/>
    <x v="1"/>
    <x v="0"/>
    <x v="0"/>
    <m/>
    <m/>
    <m/>
  </r>
  <r>
    <s v="60.02"/>
    <x v="40"/>
    <x v="93"/>
    <s v="Списание с расчетного счета 00БП-007383 от 09.10.2025 16:57:30"/>
    <s v="09.10.25"/>
    <n v="3247"/>
    <m/>
    <n v="1"/>
    <d v="2025-10-09T00:00:00"/>
    <n v="143"/>
    <x v="0"/>
    <x v="1"/>
    <x v="0"/>
    <x v="0"/>
    <m/>
    <m/>
    <m/>
  </r>
  <r>
    <s v="60.02"/>
    <x v="40"/>
    <x v="94"/>
    <s v="Списание с расчетного счета 00БП-007398 от 09.10.2025 16:57:45"/>
    <s v="09.10.25"/>
    <n v="12093"/>
    <m/>
    <n v="1"/>
    <d v="2025-10-09T00:00:00"/>
    <n v="143"/>
    <x v="0"/>
    <x v="1"/>
    <x v="0"/>
    <x v="0"/>
    <m/>
    <m/>
    <m/>
  </r>
  <r>
    <s v="60.02"/>
    <x v="40"/>
    <x v="95"/>
    <s v="Списание с расчетного счета 00БП-007275 от 03.10.2025 17:50:40"/>
    <s v="03.10.25"/>
    <n v="113416"/>
    <m/>
    <n v="1"/>
    <d v="2025-10-03T00:00:00"/>
    <n v="149"/>
    <x v="0"/>
    <x v="1"/>
    <x v="0"/>
    <x v="0"/>
    <m/>
    <m/>
    <m/>
  </r>
  <r>
    <s v="60.02"/>
    <x v="40"/>
    <x v="96"/>
    <s v="Списание с расчетного счета 00БП-007294 от 06.10.2025 18:16:04"/>
    <s v="06.10.25"/>
    <n v="279"/>
    <m/>
    <n v="1"/>
    <d v="2025-10-06T00:00:00"/>
    <n v="146"/>
    <x v="0"/>
    <x v="1"/>
    <x v="0"/>
    <x v="0"/>
    <m/>
    <m/>
    <m/>
  </r>
  <r>
    <s v="60.02"/>
    <x v="40"/>
    <x v="97"/>
    <s v="Списание с расчетного счета 00БП-009261 от 24.12.2025 11:37:12"/>
    <s v="24.12.25"/>
    <n v="930"/>
    <m/>
    <n v="1"/>
    <d v="2025-12-24T00:00:00"/>
    <n v="67"/>
    <x v="1"/>
    <x v="1"/>
    <x v="0"/>
    <x v="0"/>
    <m/>
    <m/>
    <m/>
  </r>
  <r>
    <s v="60.02"/>
    <x v="40"/>
    <x v="98"/>
    <s v="Списание с расчетного счета 00БП-009260 от 24.12.2025 11:37:11"/>
    <s v="24.12.25"/>
    <n v="930"/>
    <m/>
    <n v="1"/>
    <d v="2025-12-24T00:00:00"/>
    <n v="67"/>
    <x v="1"/>
    <x v="1"/>
    <x v="0"/>
    <x v="0"/>
    <m/>
    <m/>
    <m/>
  </r>
  <r>
    <s v="60.02"/>
    <x v="40"/>
    <x v="99"/>
    <s v="Списание с расчетного счета 00БП-005289 от 29.07.2025 20:44:17"/>
    <s v="29.07.25"/>
    <n v="1140"/>
    <m/>
    <n v="1"/>
    <d v="2025-07-29T00:00:00"/>
    <n v="215"/>
    <x v="3"/>
    <x v="1"/>
    <x v="0"/>
    <x v="0"/>
    <m/>
    <m/>
    <m/>
  </r>
  <r>
    <s v="60.02"/>
    <x v="40"/>
    <x v="100"/>
    <s v="Списание с расчетного счета 00БП-008035 от 29.10.2025 17:11:11"/>
    <s v="29.10.25"/>
    <n v="14870"/>
    <m/>
    <n v="1"/>
    <d v="2025-10-29T00:00:00"/>
    <n v="123"/>
    <x v="0"/>
    <x v="1"/>
    <x v="0"/>
    <x v="0"/>
    <m/>
    <m/>
    <m/>
  </r>
  <r>
    <s v="60.02"/>
    <x v="40"/>
    <x v="101"/>
    <s v="Списание с расчетного счета 00БП-006819 от 19.09.2025 17:32:15"/>
    <s v="19.09.25"/>
    <n v="1310"/>
    <m/>
    <n v="1"/>
    <d v="2025-09-19T00:00:00"/>
    <n v="163"/>
    <x v="0"/>
    <x v="1"/>
    <x v="0"/>
    <x v="0"/>
    <m/>
    <m/>
    <m/>
  </r>
  <r>
    <s v="60.02"/>
    <x v="40"/>
    <x v="102"/>
    <s v="Списание с расчетного счета 00БП-007404 от 09.10.2025 16:57:51"/>
    <s v="09.10.25"/>
    <n v="21872"/>
    <m/>
    <n v="1"/>
    <d v="2025-10-09T00:00:00"/>
    <n v="143"/>
    <x v="0"/>
    <x v="1"/>
    <x v="0"/>
    <x v="0"/>
    <m/>
    <m/>
    <m/>
  </r>
  <r>
    <s v="60.02"/>
    <x v="40"/>
    <x v="103"/>
    <s v="Списание с расчетного счета 00БП-000232 от 04.02.2026 16:35:11"/>
    <s v="04.02.26"/>
    <n v="4221"/>
    <m/>
    <n v="1"/>
    <d v="2026-02-04T00:00:00"/>
    <n v="25"/>
    <x v="2"/>
    <x v="1"/>
    <x v="0"/>
    <x v="0"/>
    <m/>
    <m/>
    <m/>
  </r>
  <r>
    <s v="60.02"/>
    <x v="40"/>
    <x v="104"/>
    <s v="Списание с расчетного счета 00БП-007912 от 27.10.2025 18:43:11"/>
    <s v="27.10.25"/>
    <n v="2373"/>
    <m/>
    <n v="1"/>
    <d v="2025-10-27T00:00:00"/>
    <n v="125"/>
    <x v="0"/>
    <x v="1"/>
    <x v="0"/>
    <x v="0"/>
    <m/>
    <m/>
    <m/>
  </r>
  <r>
    <s v="60.02"/>
    <x v="40"/>
    <x v="105"/>
    <s v="Списание с расчетного счета 00БП-009262 от 24.12.2025 11:37:13"/>
    <s v="24.12.25"/>
    <n v="943"/>
    <m/>
    <n v="1"/>
    <d v="2025-12-24T00:00:00"/>
    <n v="67"/>
    <x v="1"/>
    <x v="1"/>
    <x v="0"/>
    <x v="0"/>
    <m/>
    <m/>
    <m/>
  </r>
  <r>
    <s v="60.02"/>
    <x v="40"/>
    <x v="106"/>
    <s v="Списание с расчетного счета 00БП-007379 от 09.10.2025 16:57:26"/>
    <s v="09.10.25"/>
    <n v="279"/>
    <m/>
    <n v="1"/>
    <d v="2025-10-09T00:00:00"/>
    <n v="143"/>
    <x v="0"/>
    <x v="1"/>
    <x v="0"/>
    <x v="0"/>
    <m/>
    <m/>
    <m/>
  </r>
  <r>
    <s v="60.02"/>
    <x v="40"/>
    <x v="107"/>
    <s v="Списание с расчетного счета 00БП-000250 от 05.02.2026 22:16:09"/>
    <s v="05.02.26"/>
    <n v="13750"/>
    <m/>
    <n v="1"/>
    <d v="2026-02-05T00:00:00"/>
    <n v="24"/>
    <x v="2"/>
    <x v="1"/>
    <x v="0"/>
    <x v="0"/>
    <m/>
    <m/>
    <m/>
  </r>
  <r>
    <s v="60.02"/>
    <x v="40"/>
    <x v="108"/>
    <s v="Списание с расчетного счета 00БП-000425 от 20.02.2026 17:20:33"/>
    <s v="20.02.26"/>
    <n v="107310"/>
    <m/>
    <n v="1"/>
    <d v="2026-02-20T00:00:00"/>
    <n v="9"/>
    <x v="2"/>
    <x v="1"/>
    <x v="0"/>
    <x v="0"/>
    <m/>
    <m/>
    <m/>
  </r>
  <r>
    <s v="60.02"/>
    <x v="40"/>
    <x v="109"/>
    <s v="Списание с расчетного счета 00БП-000274 от 09.02.2026 16:00:02"/>
    <s v="09.02.26"/>
    <n v="11763"/>
    <m/>
    <n v="1"/>
    <d v="2026-02-09T00:00:00"/>
    <n v="20"/>
    <x v="2"/>
    <x v="1"/>
    <x v="0"/>
    <x v="0"/>
    <m/>
    <m/>
    <m/>
  </r>
  <r>
    <s v="60.02"/>
    <x v="40"/>
    <x v="110"/>
    <s v="Списание с расчетного счета 00БП-000467 от 25.02.2026 17:39:30"/>
    <s v="25.02.26"/>
    <n v="14331"/>
    <m/>
    <n v="1"/>
    <d v="2026-02-25T00:00:00"/>
    <n v="4"/>
    <x v="2"/>
    <x v="1"/>
    <x v="0"/>
    <x v="0"/>
    <m/>
    <m/>
    <m/>
  </r>
  <r>
    <s v="60.02"/>
    <x v="40"/>
    <x v="111"/>
    <s v="Списание с расчетного счета 00БП-000346 от 13.02.2026 17:04:15"/>
    <s v="13.02.26"/>
    <n v="47892"/>
    <m/>
    <n v="1"/>
    <d v="2026-02-13T00:00:00"/>
    <n v="16"/>
    <x v="2"/>
    <x v="1"/>
    <x v="0"/>
    <x v="0"/>
    <m/>
    <m/>
    <m/>
  </r>
  <r>
    <s v="60.02"/>
    <x v="40"/>
    <x v="112"/>
    <s v="Списание с расчетного счета 00БП-000147 от 28.01.2026 12:00:03"/>
    <s v="28.01.26"/>
    <n v="105441"/>
    <m/>
    <n v="1"/>
    <d v="2026-01-28T00:00:00"/>
    <n v="32"/>
    <x v="1"/>
    <x v="1"/>
    <x v="0"/>
    <x v="0"/>
    <m/>
    <m/>
    <m/>
  </r>
  <r>
    <s v="60.02"/>
    <x v="40"/>
    <x v="113"/>
    <s v="Списание с расчетного счета 00БП-000233 от 04.02.2026 16:35:12"/>
    <s v="04.02.26"/>
    <n v="86425"/>
    <m/>
    <n v="1"/>
    <d v="2026-02-04T00:00:00"/>
    <n v="25"/>
    <x v="2"/>
    <x v="1"/>
    <x v="0"/>
    <x v="0"/>
    <m/>
    <m/>
    <m/>
  </r>
  <r>
    <s v="60.02"/>
    <x v="40"/>
    <x v="114"/>
    <s v="Списание с расчетного счета 00БП-000021 от 14.01.2026 16:45:14"/>
    <s v="14.01.26"/>
    <n v="33606"/>
    <m/>
    <n v="1"/>
    <d v="2026-01-14T00:00:00"/>
    <n v="46"/>
    <x v="1"/>
    <x v="1"/>
    <x v="0"/>
    <x v="0"/>
    <m/>
    <m/>
    <m/>
  </r>
  <r>
    <s v="60.02"/>
    <x v="40"/>
    <x v="115"/>
    <s v="Списание с расчетного счета 00БП-000041 от 15.01.2026 14:53:08"/>
    <s v="15.01.26"/>
    <n v="1331"/>
    <m/>
    <n v="1"/>
    <d v="2026-01-15T00:00:00"/>
    <n v="45"/>
    <x v="1"/>
    <x v="1"/>
    <x v="0"/>
    <x v="0"/>
    <m/>
    <m/>
    <m/>
  </r>
  <r>
    <s v="60.02"/>
    <x v="41"/>
    <x v="116"/>
    <s v="Списание с расчетного счета 00БП-009286 от 25.12.2025 12:00:10"/>
    <s v="25.12.25"/>
    <n v="141389"/>
    <m/>
    <n v="1"/>
    <d v="2025-12-25T00:00:00"/>
    <n v="66"/>
    <x v="1"/>
    <x v="1"/>
    <x v="0"/>
    <x v="0"/>
    <m/>
    <m/>
    <m/>
  </r>
  <r>
    <s v="60.02"/>
    <x v="41"/>
    <x v="116"/>
    <s v="Списание с расчетного счета 00БП-000441 от 24.02.2026 17:52:57"/>
    <s v="24.02.26"/>
    <n v="248561"/>
    <m/>
    <n v="1"/>
    <d v="2026-02-24T00:00:00"/>
    <n v="5"/>
    <x v="2"/>
    <x v="1"/>
    <x v="0"/>
    <x v="0"/>
    <m/>
    <m/>
    <m/>
  </r>
  <r>
    <s v="60.02"/>
    <x v="41"/>
    <x v="116"/>
    <s v="Списание с расчетного счета 00БП-000495 от 26.02.2026 17:17:25"/>
    <s v="26.02.26"/>
    <n v="45150"/>
    <m/>
    <n v="1"/>
    <d v="2026-02-26T00:00:00"/>
    <n v="3"/>
    <x v="2"/>
    <x v="1"/>
    <x v="0"/>
    <x v="0"/>
    <m/>
    <m/>
    <m/>
  </r>
  <r>
    <s v="60.02"/>
    <x v="42"/>
    <x v="117"/>
    <s v="Списание с расчетного счета 00БП-000468 от 25.02.2026 17:39:31"/>
    <s v="25.02.26"/>
    <n v="29997"/>
    <m/>
    <n v="1"/>
    <d v="2026-02-25T00:00:00"/>
    <n v="4"/>
    <x v="2"/>
    <x v="1"/>
    <x v="0"/>
    <x v="0"/>
    <m/>
    <m/>
    <m/>
  </r>
  <r>
    <s v="60.02"/>
    <x v="43"/>
    <x v="118"/>
    <s v="Списание с расчетного счета 00БП-000403 от 18.02.2026 12:00:05"/>
    <s v="18.02.26"/>
    <n v="827640"/>
    <m/>
    <n v="1"/>
    <d v="2026-02-18T00:00:00"/>
    <n v="11"/>
    <x v="2"/>
    <x v="1"/>
    <x v="0"/>
    <x v="0"/>
    <m/>
    <m/>
    <m/>
  </r>
  <r>
    <s v="60.02"/>
    <x v="44"/>
    <x v="119"/>
    <s v="Списание с расчетного счета 00БП-007851 от 22.10.2025 18:47:36"/>
    <s v="22.10.25"/>
    <n v="97121"/>
    <m/>
    <n v="1"/>
    <d v="2025-10-22T00:00:00"/>
    <n v="130"/>
    <x v="0"/>
    <x v="1"/>
    <x v="0"/>
    <x v="0"/>
    <m/>
    <m/>
    <m/>
  </r>
  <r>
    <s v="60.02"/>
    <x v="45"/>
    <x v="120"/>
    <s v="Списание с расчетного счета 00БП-000353 от 13.02.2026 17:04:22"/>
    <s v="13.02.26"/>
    <n v="1220000"/>
    <m/>
    <n v="1"/>
    <d v="2026-02-13T00:00:00"/>
    <n v="16"/>
    <x v="2"/>
    <x v="1"/>
    <x v="0"/>
    <x v="0"/>
    <m/>
    <m/>
    <m/>
  </r>
  <r>
    <s v="60.02"/>
    <x v="46"/>
    <x v="121"/>
    <s v="Списание с расчетного счета 00БП-000426 от 20.02.2026 17:20:34"/>
    <s v="20.02.26"/>
    <n v="1974844.5"/>
    <m/>
    <n v="1"/>
    <d v="2026-02-20T00:00:00"/>
    <n v="9"/>
    <x v="2"/>
    <x v="1"/>
    <x v="0"/>
    <x v="0"/>
    <m/>
    <m/>
    <m/>
  </r>
  <r>
    <s v="60.02"/>
    <x v="47"/>
    <x v="122"/>
    <s v="Списание с расчетного счета 00БП-000501 от 26.02.2026 17:17:31"/>
    <s v="26.02.26"/>
    <n v="555424"/>
    <m/>
    <n v="1"/>
    <d v="2026-02-26T00:00:00"/>
    <n v="3"/>
    <x v="2"/>
    <x v="1"/>
    <x v="0"/>
    <x v="0"/>
    <m/>
    <m/>
    <m/>
  </r>
  <r>
    <s v="60.02"/>
    <x v="48"/>
    <x v="123"/>
    <s v="Корректировка долга 00БП-000112 от 31.07.2022 13:59:59"/>
    <s v="31.07.22"/>
    <n v="6881.46"/>
    <m/>
    <n v="1"/>
    <d v="2022-07-31T00:00:00"/>
    <n v="1309"/>
    <x v="5"/>
    <x v="1"/>
    <x v="0"/>
    <x v="2"/>
    <m/>
    <m/>
    <m/>
  </r>
  <r>
    <s v="60.02"/>
    <x v="48"/>
    <x v="124"/>
    <s v="Списание с расчетного счета 00БП-009245 от 19.12.2025 12:51:13"/>
    <s v="19.12.25"/>
    <n v="6883200"/>
    <m/>
    <n v="1"/>
    <d v="2025-12-19T00:00:00"/>
    <n v="72"/>
    <x v="1"/>
    <x v="1"/>
    <x v="0"/>
    <x v="0"/>
    <m/>
    <m/>
    <m/>
  </r>
  <r>
    <s v="60.02"/>
    <x v="49"/>
    <x v="125"/>
    <s v="Списание с расчетного счета 00БП-000471 от 25.02.2026 17:39:34"/>
    <s v="25.02.26"/>
    <n v="153376"/>
    <m/>
    <n v="1"/>
    <d v="2026-02-25T00:00:00"/>
    <n v="4"/>
    <x v="2"/>
    <x v="1"/>
    <x v="0"/>
    <x v="0"/>
    <m/>
    <m/>
    <m/>
  </r>
  <r>
    <s v="60.02"/>
    <x v="50"/>
    <x v="126"/>
    <s v="Списание с расчетного счета 00БП-004119 от 25.06.2025 20:39:20"/>
    <s v="25.06.25"/>
    <n v="0.04"/>
    <m/>
    <n v="1"/>
    <d v="2025-06-25T00:00:00"/>
    <n v="249"/>
    <x v="3"/>
    <x v="1"/>
    <x v="0"/>
    <x v="0"/>
    <m/>
    <m/>
    <m/>
  </r>
  <r>
    <s v="60.02"/>
    <x v="51"/>
    <x v="127"/>
    <s v="Списание с расчетного счета 00БП-005812 от 14.08.2025 18:36:40"/>
    <s v="14.08.25"/>
    <n v="5478"/>
    <m/>
    <n v="1"/>
    <d v="2025-08-14T00:00:00"/>
    <n v="199"/>
    <x v="3"/>
    <x v="1"/>
    <x v="0"/>
    <x v="0"/>
    <m/>
    <m/>
    <m/>
  </r>
  <r>
    <s v="60.02"/>
    <x v="51"/>
    <x v="128"/>
    <s v="Списание с расчетного счета 00БП-008347 от 11.11.2025 18:13:26"/>
    <s v="11.11.25"/>
    <n v="11518"/>
    <m/>
    <n v="1"/>
    <d v="2025-11-11T00:00:00"/>
    <n v="110"/>
    <x v="4"/>
    <x v="1"/>
    <x v="0"/>
    <x v="0"/>
    <m/>
    <m/>
    <m/>
  </r>
  <r>
    <s v="60.02"/>
    <x v="51"/>
    <x v="129"/>
    <s v="Списание с расчетного счета 00БП-008352 от 11.11.2025 18:13:31"/>
    <s v="11.11.25"/>
    <n v="65989"/>
    <m/>
    <n v="1"/>
    <d v="2025-11-11T00:00:00"/>
    <n v="110"/>
    <x v="4"/>
    <x v="1"/>
    <x v="0"/>
    <x v="0"/>
    <m/>
    <m/>
    <m/>
  </r>
  <r>
    <s v="60.02"/>
    <x v="52"/>
    <x v="130"/>
    <s v="Списание с расчетного счета 00БП-004118 от 25.06.2025 20:39:19"/>
    <s v="25.06.25"/>
    <n v="52500"/>
    <m/>
    <n v="1"/>
    <d v="2025-06-25T00:00:00"/>
    <n v="249"/>
    <x v="3"/>
    <x v="1"/>
    <x v="0"/>
    <x v="0"/>
    <m/>
    <m/>
    <m/>
  </r>
  <r>
    <s v="60.02"/>
    <x v="52"/>
    <x v="130"/>
    <s v="Списание с расчетного счета 00БП-006164 от 28.08.2025 19:12:06"/>
    <s v="28.08.25"/>
    <n v="297500"/>
    <m/>
    <n v="1"/>
    <d v="2025-08-28T00:00:00"/>
    <n v="185"/>
    <x v="3"/>
    <x v="1"/>
    <x v="0"/>
    <x v="0"/>
    <m/>
    <m/>
    <m/>
  </r>
  <r>
    <s v="60.02"/>
    <x v="52"/>
    <x v="131"/>
    <s v="Списание с расчетного счета 00БП-000497 от 26.02.2026 17:17:27"/>
    <s v="26.02.26"/>
    <n v="55050"/>
    <m/>
    <n v="1"/>
    <d v="2026-02-26T00:00:00"/>
    <n v="3"/>
    <x v="2"/>
    <x v="1"/>
    <x v="0"/>
    <x v="0"/>
    <m/>
    <m/>
    <m/>
  </r>
  <r>
    <s v="60.02"/>
    <x v="52"/>
    <x v="132"/>
    <s v="Списание с расчетного счета 00БП-000494 от 26.02.2026 17:17:24"/>
    <s v="26.02.26"/>
    <n v="22050"/>
    <m/>
    <n v="1"/>
    <d v="2026-02-26T00:00:00"/>
    <n v="3"/>
    <x v="2"/>
    <x v="1"/>
    <x v="0"/>
    <x v="0"/>
    <m/>
    <m/>
    <m/>
  </r>
  <r>
    <s v="60.02"/>
    <x v="53"/>
    <x v="133"/>
    <s v="Списание с расчетного счета 00БП-000360 от 13.02.2026 17:04:29"/>
    <s v="13.02.26"/>
    <n v="3156390"/>
    <m/>
    <n v="1"/>
    <d v="2026-02-13T00:00:00"/>
    <n v="16"/>
    <x v="2"/>
    <x v="1"/>
    <x v="0"/>
    <x v="0"/>
    <m/>
    <m/>
    <m/>
  </r>
  <r>
    <s v="60.02"/>
    <x v="53"/>
    <x v="134"/>
    <s v="Списание с расчетного счета 00БП-008361 от 11.11.2025 18:13:40"/>
    <s v="11.11.25"/>
    <n v="40216000"/>
    <m/>
    <n v="1"/>
    <d v="2025-11-11T00:00:00"/>
    <n v="110"/>
    <x v="4"/>
    <x v="1"/>
    <x v="0"/>
    <x v="0"/>
    <m/>
    <m/>
    <m/>
  </r>
  <r>
    <s v="60.02"/>
    <x v="53"/>
    <x v="134"/>
    <s v="Списание с расчетного счета 00БП-000202 от 02.02.2026 17:15:27"/>
    <s v="02.02.26"/>
    <n v="40216000"/>
    <m/>
    <n v="1"/>
    <d v="2026-02-02T00:00:00"/>
    <n v="27"/>
    <x v="2"/>
    <x v="1"/>
    <x v="0"/>
    <x v="0"/>
    <m/>
    <m/>
    <m/>
  </r>
  <r>
    <s v="60.02"/>
    <x v="54"/>
    <x v="135"/>
    <s v="Списание с расчетного счета 00БП-009290 от 25.12.2025 12:00:14"/>
    <s v="25.12.25"/>
    <n v="10077837.699999999"/>
    <m/>
    <n v="1"/>
    <d v="2025-12-25T00:00:00"/>
    <n v="66"/>
    <x v="1"/>
    <x v="1"/>
    <x v="0"/>
    <x v="0"/>
    <m/>
    <m/>
    <m/>
  </r>
  <r>
    <s v="60.02"/>
    <x v="54"/>
    <x v="135"/>
    <s v="Списание с расчетного счета 00БП-000446 от 24.02.2026 17:53:02"/>
    <s v="24.02.26"/>
    <n v="1897551.4"/>
    <m/>
    <n v="1"/>
    <d v="2026-02-24T00:00:00"/>
    <n v="5"/>
    <x v="2"/>
    <x v="1"/>
    <x v="0"/>
    <x v="0"/>
    <m/>
    <m/>
    <m/>
  </r>
  <r>
    <s v="60.02"/>
    <x v="55"/>
    <x v="136"/>
    <s v="Списание с расчетного счета 00БП-007364 от 08.10.2025 18:26:32"/>
    <s v="08.10.25"/>
    <n v="168000"/>
    <m/>
    <n v="1"/>
    <d v="2025-10-08T00:00:00"/>
    <n v="144"/>
    <x v="0"/>
    <x v="1"/>
    <x v="0"/>
    <x v="0"/>
    <m/>
    <m/>
    <m/>
  </r>
  <r>
    <s v="60.02"/>
    <x v="56"/>
    <x v="137"/>
    <s v="Списание с расчетного счета 00БП-005850 от 15.08.2025 19:11:20"/>
    <s v="15.08.25"/>
    <n v="7941"/>
    <m/>
    <n v="1"/>
    <d v="2025-08-15T00:00:00"/>
    <n v="198"/>
    <x v="3"/>
    <x v="1"/>
    <x v="0"/>
    <x v="0"/>
    <m/>
    <m/>
    <m/>
  </r>
  <r>
    <s v="60.02"/>
    <x v="57"/>
    <x v="138"/>
    <s v="Списание с расчетного счета 00БП-000520 от 27.02.2026 17:35:29"/>
    <s v="27.02.26"/>
    <n v="57500"/>
    <m/>
    <n v="1"/>
    <d v="2026-02-27T00:00:00"/>
    <n v="2"/>
    <x v="2"/>
    <x v="1"/>
    <x v="0"/>
    <x v="0"/>
    <m/>
    <m/>
    <m/>
  </r>
  <r>
    <s v="60.02"/>
    <x v="58"/>
    <x v="139"/>
    <s v="Списание с расчетного счета 00БП-005685 от 26.09.2023 22:54:03"/>
    <s v="26.09.23"/>
    <n v="5500"/>
    <m/>
    <n v="1"/>
    <d v="2023-09-26T00:00:00"/>
    <n v="887"/>
    <x v="5"/>
    <x v="1"/>
    <x v="0"/>
    <x v="0"/>
    <m/>
    <m/>
    <m/>
  </r>
  <r>
    <s v="60.02"/>
    <x v="58"/>
    <x v="140"/>
    <s v="Списание с расчетного счета 00БП-007707 от 15.10.2025 22:57:03"/>
    <s v="15.10.25"/>
    <n v="102545"/>
    <m/>
    <n v="1"/>
    <d v="2025-10-15T00:00:00"/>
    <n v="137"/>
    <x v="0"/>
    <x v="1"/>
    <x v="0"/>
    <x v="0"/>
    <m/>
    <m/>
    <m/>
  </r>
  <r>
    <s v="60.02"/>
    <x v="59"/>
    <x v="141"/>
    <s v="Списание с расчетного счета 00БП-008927 от 25.11.2025 15:31:10"/>
    <s v="25.11.25"/>
    <n v="2760000"/>
    <m/>
    <n v="1"/>
    <d v="2025-11-25T00:00:00"/>
    <n v="96"/>
    <x v="4"/>
    <x v="1"/>
    <x v="0"/>
    <x v="0"/>
    <m/>
    <m/>
    <m/>
  </r>
  <r>
    <s v="60.02"/>
    <x v="60"/>
    <x v="142"/>
    <s v="Списание с расчетного счета 00БП-008307 от 21.12.2021 12:00:28"/>
    <s v="21.12.21"/>
    <n v="2000"/>
    <m/>
    <n v="1"/>
    <d v="2021-12-21T00:00:00"/>
    <n v="1531"/>
    <x v="5"/>
    <x v="1"/>
    <x v="0"/>
    <x v="0"/>
    <m/>
    <m/>
    <m/>
  </r>
  <r>
    <s v="60.02"/>
    <x v="61"/>
    <x v="143"/>
    <s v="Списание с расчетного счета 00БП-006163 от 28.08.2025 19:12:05"/>
    <s v="28.08.25"/>
    <n v="25866"/>
    <m/>
    <n v="1"/>
    <d v="2025-08-28T00:00:00"/>
    <n v="185"/>
    <x v="3"/>
    <x v="1"/>
    <x v="0"/>
    <x v="0"/>
    <m/>
    <m/>
    <m/>
  </r>
  <r>
    <s v="60.02"/>
    <x v="62"/>
    <x v="144"/>
    <s v="Списание с расчетного счета 00БП-001959 от 19.04.2024 20:35:31"/>
    <s v="19.04.24"/>
    <n v="300"/>
    <m/>
    <n v="1"/>
    <d v="2024-04-19T00:00:00"/>
    <n v="681"/>
    <x v="5"/>
    <x v="1"/>
    <x v="0"/>
    <x v="0"/>
    <m/>
    <m/>
    <m/>
  </r>
  <r>
    <s v="60.02"/>
    <x v="63"/>
    <x v="145"/>
    <s v="Списание с расчетного счета 00БП-009289 от 25.12.2025 12:00:13"/>
    <s v="25.12.25"/>
    <n v="4790000"/>
    <m/>
    <n v="1"/>
    <d v="2025-12-25T00:00:00"/>
    <n v="66"/>
    <x v="1"/>
    <x v="1"/>
    <x v="0"/>
    <x v="0"/>
    <m/>
    <m/>
    <m/>
  </r>
  <r>
    <s v="60.02"/>
    <x v="64"/>
    <x v="146"/>
    <s v="Списание с расчетного счета 00БП-008785 от 18.11.2025 23:05:27"/>
    <s v="18.11.25"/>
    <n v="0.02"/>
    <m/>
    <n v="1"/>
    <d v="2025-11-18T00:00:00"/>
    <n v="103"/>
    <x v="4"/>
    <x v="1"/>
    <x v="0"/>
    <x v="0"/>
    <m/>
    <m/>
    <m/>
  </r>
  <r>
    <s v="60.02"/>
    <x v="64"/>
    <x v="147"/>
    <s v="Списание с расчетного счета 00БП-004591 от 10.07.2025 16:07:40"/>
    <s v="10.07.25"/>
    <n v="0.01"/>
    <m/>
    <n v="1"/>
    <d v="2025-07-10T00:00:00"/>
    <n v="234"/>
    <x v="3"/>
    <x v="1"/>
    <x v="0"/>
    <x v="0"/>
    <m/>
    <m/>
    <m/>
  </r>
  <r>
    <s v="60.02"/>
    <x v="65"/>
    <x v="148"/>
    <s v="Списание с расчетного счета 00БП-009153 от 05.12.2024 12:53:23"/>
    <s v="05.12.24"/>
    <n v="299500"/>
    <m/>
    <n v="1"/>
    <d v="2024-12-05T00:00:00"/>
    <n v="451"/>
    <x v="5"/>
    <x v="1"/>
    <x v="0"/>
    <x v="12"/>
    <m/>
    <m/>
    <m/>
  </r>
  <r>
    <s v="60.02"/>
    <x v="66"/>
    <x v="149"/>
    <s v="Списание с расчетного счета 00БП-000427 от 20.02.2026 17:20:35"/>
    <s v="20.02.26"/>
    <n v="23700000"/>
    <m/>
    <n v="1"/>
    <d v="2026-02-20T00:00:00"/>
    <n v="9"/>
    <x v="2"/>
    <x v="1"/>
    <x v="0"/>
    <x v="0"/>
    <m/>
    <m/>
    <m/>
  </r>
  <r>
    <s v="60.02"/>
    <x v="67"/>
    <x v="150"/>
    <s v="Списание с расчетного счета 00БП-005457 от 06.08.2025 19:15:12"/>
    <s v="06.08.25"/>
    <n v="23544"/>
    <m/>
    <n v="1"/>
    <d v="2025-08-06T00:00:00"/>
    <n v="207"/>
    <x v="3"/>
    <x v="1"/>
    <x v="0"/>
    <x v="0"/>
    <m/>
    <m/>
    <m/>
  </r>
  <r>
    <s v="60.02"/>
    <x v="68"/>
    <x v="151"/>
    <s v="Списание с расчетного счета 00БП-007543 от 10.10.2025 17:09:37"/>
    <s v="10.10.25"/>
    <n v="28000"/>
    <m/>
    <n v="1"/>
    <d v="2025-10-10T00:00:00"/>
    <n v="142"/>
    <x v="0"/>
    <x v="1"/>
    <x v="0"/>
    <x v="0"/>
    <m/>
    <m/>
    <m/>
  </r>
  <r>
    <s v="60.02"/>
    <x v="69"/>
    <x v="152"/>
    <s v="Списание с расчетного счета 00БП-007816 от 22.10.2024 18:07:30"/>
    <s v="22.10.24"/>
    <n v="1334.4"/>
    <m/>
    <n v="1"/>
    <d v="2024-10-22T00:00:00"/>
    <n v="495"/>
    <x v="5"/>
    <x v="1"/>
    <x v="0"/>
    <x v="2"/>
    <m/>
    <m/>
    <m/>
  </r>
  <r>
    <s v="60.02"/>
    <x v="69"/>
    <x v="153"/>
    <s v="Списание с расчетного счета 00БП-007962 от 28.10.2024 23:47:33"/>
    <s v="28.10.24"/>
    <n v="6990"/>
    <m/>
    <n v="1"/>
    <d v="2024-10-28T00:00:00"/>
    <n v="489"/>
    <x v="5"/>
    <x v="1"/>
    <x v="0"/>
    <x v="2"/>
    <m/>
    <m/>
    <m/>
  </r>
  <r>
    <s v="60.02"/>
    <x v="70"/>
    <x v="154"/>
    <s v="Списание с расчетного счета 00БП-008783 от 18.11.2025 23:05:25"/>
    <s v="18.11.25"/>
    <n v="300000"/>
    <m/>
    <n v="1"/>
    <d v="2025-11-18T00:00:00"/>
    <n v="103"/>
    <x v="4"/>
    <x v="1"/>
    <x v="0"/>
    <x v="0"/>
    <m/>
    <m/>
    <m/>
  </r>
  <r>
    <s v="60.02"/>
    <x v="71"/>
    <x v="155"/>
    <s v="Списание с расчетного счета 00БП-003507 от 09.06.2025 17:55:56"/>
    <s v="09.06.25"/>
    <n v="24500"/>
    <m/>
    <n v="1"/>
    <d v="2025-06-09T00:00:00"/>
    <n v="265"/>
    <x v="3"/>
    <x v="1"/>
    <x v="0"/>
    <x v="0"/>
    <m/>
    <m/>
    <m/>
  </r>
  <r>
    <s v="60.02"/>
    <x v="71"/>
    <x v="156"/>
    <s v="Списание с расчетного счета 00БП-002932 от 20.05.2025 20:02:05"/>
    <s v="20.05.25"/>
    <n v="58485"/>
    <m/>
    <n v="1"/>
    <d v="2025-05-20T00:00:00"/>
    <n v="285"/>
    <x v="6"/>
    <x v="1"/>
    <x v="0"/>
    <x v="0"/>
    <m/>
    <m/>
    <m/>
  </r>
  <r>
    <s v="60.02"/>
    <x v="71"/>
    <x v="157"/>
    <s v="Списание с расчетного счета 00БП-003349 от 03.06.2025 17:39:01"/>
    <s v="03.06.25"/>
    <n v="2690"/>
    <m/>
    <n v="1"/>
    <d v="2025-06-03T00:00:00"/>
    <n v="271"/>
    <x v="6"/>
    <x v="1"/>
    <x v="0"/>
    <x v="0"/>
    <m/>
    <m/>
    <m/>
  </r>
  <r>
    <s v="60.02"/>
    <x v="71"/>
    <x v="158"/>
    <s v="Списание с расчетного счета 00БП-004858 от 14.07.2025 17:54:08"/>
    <s v="14.07.25"/>
    <n v="16020"/>
    <m/>
    <n v="1"/>
    <d v="2025-07-14T00:00:00"/>
    <n v="230"/>
    <x v="3"/>
    <x v="1"/>
    <x v="0"/>
    <x v="0"/>
    <m/>
    <m/>
    <m/>
  </r>
  <r>
    <s v="60.02"/>
    <x v="71"/>
    <x v="159"/>
    <s v="Списание с расчетного счета 00БП-007893 от 24.10.2025 17:29:35"/>
    <s v="24.10.25"/>
    <n v="29748"/>
    <m/>
    <n v="1"/>
    <d v="2025-10-24T00:00:00"/>
    <n v="128"/>
    <x v="0"/>
    <x v="1"/>
    <x v="0"/>
    <x v="0"/>
    <m/>
    <m/>
    <m/>
  </r>
  <r>
    <s v="60.02"/>
    <x v="72"/>
    <x v="73"/>
    <s v="Списание с расчетного счета 00БП-008907 от 24.11.2025 16:33:57"/>
    <s v="24.11.25"/>
    <n v="3135726.34"/>
    <m/>
    <n v="1"/>
    <d v="2025-11-24T00:00:00"/>
    <n v="97"/>
    <x v="4"/>
    <x v="1"/>
    <x v="0"/>
    <x v="0"/>
    <m/>
    <m/>
    <m/>
  </r>
  <r>
    <s v="60.02"/>
    <x v="73"/>
    <x v="160"/>
    <s v="Списание с расчетного счета 00БП-003413 от 05.06.2025 19:44:02"/>
    <s v="05.06.25"/>
    <n v="5900"/>
    <m/>
    <n v="1"/>
    <d v="2025-06-05T00:00:00"/>
    <n v="269"/>
    <x v="3"/>
    <x v="1"/>
    <x v="0"/>
    <x v="0"/>
    <m/>
    <m/>
    <m/>
  </r>
  <r>
    <s v="60.02"/>
    <x v="73"/>
    <x v="161"/>
    <s v="Списание с расчетного счета 00БП-002901 от 19.05.2025 18:19:45"/>
    <s v="19.05.25"/>
    <n v="76000"/>
    <m/>
    <n v="1"/>
    <d v="2025-05-19T00:00:00"/>
    <n v="286"/>
    <x v="6"/>
    <x v="1"/>
    <x v="0"/>
    <x v="0"/>
    <m/>
    <m/>
    <m/>
  </r>
  <r>
    <s v="60.02"/>
    <x v="74"/>
    <x v="162"/>
    <s v="Списание с расчетного счета 00БП-000535 от 07.03.2025 17:21:02"/>
    <s v="07.03.25"/>
    <n v="9000"/>
    <m/>
    <n v="1"/>
    <d v="2025-03-07T00:00:00"/>
    <n v="359"/>
    <x v="6"/>
    <x v="1"/>
    <x v="0"/>
    <x v="8"/>
    <m/>
    <m/>
    <m/>
  </r>
  <r>
    <s v="60.02"/>
    <x v="75"/>
    <x v="163"/>
    <s v="Списание с расчетного счета 00БП-009339 от 29.12.2025 17:48:54"/>
    <s v="29.12.25"/>
    <n v="23320"/>
    <m/>
    <n v="1"/>
    <d v="2025-12-29T00:00:00"/>
    <n v="62"/>
    <x v="1"/>
    <x v="1"/>
    <x v="0"/>
    <x v="0"/>
    <m/>
    <m/>
    <m/>
  </r>
  <r>
    <s v="60.02"/>
    <x v="75"/>
    <x v="164"/>
    <s v="Списание с расчетного счета 00БП-007854 от 22.10.2025 18:47:39"/>
    <s v="22.10.25"/>
    <n v="427500"/>
    <m/>
    <n v="1"/>
    <d v="2025-10-22T00:00:00"/>
    <n v="130"/>
    <x v="0"/>
    <x v="1"/>
    <x v="0"/>
    <x v="0"/>
    <m/>
    <m/>
    <m/>
  </r>
  <r>
    <s v="60.02"/>
    <x v="76"/>
    <x v="165"/>
    <s v="Списание с расчетного счета 00БП-008910 от 24.11.2025 16:34:00"/>
    <s v="24.11.25"/>
    <n v="5088000"/>
    <m/>
    <n v="1"/>
    <d v="2025-11-24T00:00:00"/>
    <n v="97"/>
    <x v="4"/>
    <x v="1"/>
    <x v="0"/>
    <x v="0"/>
    <m/>
    <m/>
    <m/>
  </r>
  <r>
    <s v="60.02"/>
    <x v="76"/>
    <x v="166"/>
    <s v="Списание с расчетного счета 00БП-008909 от 24.11.2025 16:33:59"/>
    <s v="24.11.25"/>
    <n v="4563000"/>
    <m/>
    <n v="1"/>
    <d v="2025-11-24T00:00:00"/>
    <n v="97"/>
    <x v="4"/>
    <x v="1"/>
    <x v="0"/>
    <x v="0"/>
    <m/>
    <m/>
    <m/>
  </r>
  <r>
    <s v="60.02"/>
    <x v="76"/>
    <x v="167"/>
    <s v="Списание с расчетного счета 00БП-008905 от 24.11.2025 16:33:55"/>
    <s v="24.11.25"/>
    <n v="492000"/>
    <m/>
    <n v="1"/>
    <d v="2025-11-24T00:00:00"/>
    <n v="97"/>
    <x v="4"/>
    <x v="1"/>
    <x v="0"/>
    <x v="0"/>
    <m/>
    <m/>
    <m/>
  </r>
  <r>
    <s v="60.02"/>
    <x v="76"/>
    <x v="168"/>
    <s v="Списание с расчетного счета 00БП-008911 от 24.11.2025 16:34:01"/>
    <s v="24.11.25"/>
    <n v="8808000"/>
    <m/>
    <n v="1"/>
    <d v="2025-11-24T00:00:00"/>
    <n v="97"/>
    <x v="4"/>
    <x v="1"/>
    <x v="0"/>
    <x v="0"/>
    <m/>
    <m/>
    <m/>
  </r>
  <r>
    <s v="60.02"/>
    <x v="76"/>
    <x v="169"/>
    <s v="Списание с расчетного счета 00БП-000267 от 06.02.2026 12:00:04"/>
    <s v="06.02.26"/>
    <n v="2857301"/>
    <m/>
    <n v="1"/>
    <d v="2026-02-06T00:00:00"/>
    <n v="23"/>
    <x v="2"/>
    <x v="1"/>
    <x v="0"/>
    <x v="0"/>
    <m/>
    <m/>
    <m/>
  </r>
  <r>
    <s v="60.02"/>
    <x v="76"/>
    <x v="170"/>
    <s v="Списание с расчетного счета 00БП-000268 от 06.02.2026 12:00:05"/>
    <s v="06.02.26"/>
    <n v="7210200"/>
    <m/>
    <n v="1"/>
    <d v="2026-02-06T00:00:00"/>
    <n v="23"/>
    <x v="2"/>
    <x v="1"/>
    <x v="0"/>
    <x v="0"/>
    <m/>
    <m/>
    <m/>
  </r>
  <r>
    <s v="60.02"/>
    <x v="77"/>
    <x v="171"/>
    <s v="Списание с расчетного счета 00БП-003223 от 28.05.2025 21:55:54"/>
    <s v="28.05.25"/>
    <n v="39502.11"/>
    <m/>
    <n v="1"/>
    <d v="2025-05-28T00:00:00"/>
    <n v="277"/>
    <x v="6"/>
    <x v="1"/>
    <x v="0"/>
    <x v="0"/>
    <m/>
    <m/>
    <m/>
  </r>
  <r>
    <s v="60.02"/>
    <x v="78"/>
    <x v="172"/>
    <s v="Списание с расчетного счета 00БП-009274 от 24.12.2025 11:37:27"/>
    <s v="24.12.25"/>
    <n v="59150000"/>
    <m/>
    <n v="1"/>
    <d v="2025-12-24T00:00:00"/>
    <n v="67"/>
    <x v="1"/>
    <x v="1"/>
    <x v="0"/>
    <x v="0"/>
    <m/>
    <m/>
    <m/>
  </r>
  <r>
    <s v="60.02"/>
    <x v="78"/>
    <x v="173"/>
    <s v="Списание с расчетного счета 00БП-004325 от 08.07.2024 18:29:59"/>
    <s v="08.07.24"/>
    <n v="31.2"/>
    <m/>
    <n v="1"/>
    <d v="2024-07-08T00:00:00"/>
    <n v="601"/>
    <x v="5"/>
    <x v="1"/>
    <x v="0"/>
    <x v="0"/>
    <m/>
    <m/>
    <m/>
  </r>
  <r>
    <s v="60.02"/>
    <x v="78"/>
    <x v="173"/>
    <s v="Списание с расчетного счета 00БП-004331 от 08.07.2024 18:30:05"/>
    <s v="08.07.24"/>
    <n v="995281.85"/>
    <m/>
    <n v="1"/>
    <d v="2024-07-08T00:00:00"/>
    <n v="601"/>
    <x v="5"/>
    <x v="1"/>
    <x v="0"/>
    <x v="0"/>
    <m/>
    <m/>
    <m/>
  </r>
  <r>
    <s v="60.02"/>
    <x v="78"/>
    <x v="173"/>
    <s v="Списание с расчетного счета 00БП-005804 от 23.08.2024 17:14:33"/>
    <s v="23.08.24"/>
    <n v="395493.5"/>
    <m/>
    <n v="1"/>
    <d v="2024-08-23T00:00:00"/>
    <n v="555"/>
    <x v="5"/>
    <x v="1"/>
    <x v="0"/>
    <x v="0"/>
    <m/>
    <m/>
    <m/>
  </r>
  <r>
    <s v="60.02"/>
    <x v="78"/>
    <x v="174"/>
    <s v="Списание с расчетного счета 00БП-007827 от 21.10.2025 17:30:38"/>
    <s v="21.10.25"/>
    <n v="969720.57"/>
    <m/>
    <n v="1"/>
    <d v="2025-10-21T00:00:00"/>
    <n v="131"/>
    <x v="0"/>
    <x v="1"/>
    <x v="0"/>
    <x v="0"/>
    <m/>
    <m/>
    <m/>
  </r>
  <r>
    <s v="60.02"/>
    <x v="78"/>
    <x v="174"/>
    <s v="Списание с расчетного счета 00БП-007894 от 24.10.2025 17:29:36"/>
    <s v="24.10.25"/>
    <n v="389696.13"/>
    <m/>
    <n v="1"/>
    <d v="2025-10-24T00:00:00"/>
    <n v="128"/>
    <x v="0"/>
    <x v="1"/>
    <x v="0"/>
    <x v="0"/>
    <m/>
    <m/>
    <m/>
  </r>
  <r>
    <s v="60.02"/>
    <x v="78"/>
    <x v="174"/>
    <s v="Списание с расчетного счета 00БП-007896 от 24.10.2025 17:29:38"/>
    <s v="24.10.25"/>
    <n v="1002946.15"/>
    <m/>
    <n v="1"/>
    <d v="2025-10-24T00:00:00"/>
    <n v="128"/>
    <x v="0"/>
    <x v="1"/>
    <x v="0"/>
    <x v="0"/>
    <m/>
    <m/>
    <m/>
  </r>
  <r>
    <s v="60.02"/>
    <x v="78"/>
    <x v="175"/>
    <s v="Списание с расчетного счета 00БП-000295 от 11.02.2026 17:01:51"/>
    <s v="11.02.26"/>
    <n v="9675994.3599999994"/>
    <m/>
    <n v="1"/>
    <d v="2026-02-11T00:00:00"/>
    <n v="18"/>
    <x v="2"/>
    <x v="1"/>
    <x v="0"/>
    <x v="0"/>
    <m/>
    <m/>
    <m/>
  </r>
  <r>
    <s v="60.02"/>
    <x v="78"/>
    <x v="176"/>
    <s v="Списание с расчетного счета 00БП-000481 от 25.02.2026 17:39:44"/>
    <s v="25.02.26"/>
    <n v="27479576.449999999"/>
    <m/>
    <n v="1"/>
    <d v="2026-02-25T00:00:00"/>
    <n v="4"/>
    <x v="2"/>
    <x v="1"/>
    <x v="0"/>
    <x v="0"/>
    <m/>
    <m/>
    <m/>
  </r>
  <r>
    <s v="60.02"/>
    <x v="78"/>
    <x v="177"/>
    <s v="Списание с расчетного счета 00БП-000290 от 11.02.2026 17:01:46"/>
    <s v="11.02.26"/>
    <n v="710983.33"/>
    <m/>
    <n v="1"/>
    <d v="2026-02-11T00:00:00"/>
    <n v="18"/>
    <x v="2"/>
    <x v="1"/>
    <x v="0"/>
    <x v="0"/>
    <m/>
    <m/>
    <m/>
  </r>
  <r>
    <s v="60.02"/>
    <x v="78"/>
    <x v="178"/>
    <s v="Списание с расчетного счета 00БП-000291 от 11.02.2026 17:01:47"/>
    <s v="11.02.26"/>
    <n v="949199.4"/>
    <m/>
    <n v="1"/>
    <d v="2026-02-11T00:00:00"/>
    <n v="18"/>
    <x v="2"/>
    <x v="1"/>
    <x v="0"/>
    <x v="0"/>
    <m/>
    <m/>
    <m/>
  </r>
  <r>
    <s v="60.02"/>
    <x v="78"/>
    <x v="179"/>
    <s v="Списание с расчетного счета 00БП-009318 от 26.12.2025 12:00:24"/>
    <s v="26.12.25"/>
    <n v="3536597.4"/>
    <m/>
    <n v="1"/>
    <d v="2025-12-26T00:00:00"/>
    <n v="65"/>
    <x v="1"/>
    <x v="1"/>
    <x v="0"/>
    <x v="0"/>
    <m/>
    <m/>
    <m/>
  </r>
  <r>
    <s v="60.02"/>
    <x v="78"/>
    <x v="180"/>
    <s v="Списание с расчетного счета 00БП-009317 от 26.12.2025 12:00:23"/>
    <s v="26.12.25"/>
    <n v="1857916.08"/>
    <m/>
    <n v="1"/>
    <d v="2025-12-26T00:00:00"/>
    <n v="65"/>
    <x v="1"/>
    <x v="1"/>
    <x v="0"/>
    <x v="0"/>
    <m/>
    <m/>
    <m/>
  </r>
  <r>
    <s v="60.02"/>
    <x v="78"/>
    <x v="181"/>
    <s v="Списание с расчетного счета 00БП-009243 от 19.12.2025 12:51:11"/>
    <s v="19.12.25"/>
    <n v="4806964.25"/>
    <m/>
    <n v="1"/>
    <d v="2025-12-19T00:00:00"/>
    <n v="72"/>
    <x v="1"/>
    <x v="1"/>
    <x v="0"/>
    <x v="0"/>
    <m/>
    <m/>
    <m/>
  </r>
  <r>
    <s v="60.02"/>
    <x v="79"/>
    <x v="182"/>
    <s v="Списание с расчетного счета 00БП-008210 от 05.11.2025 17:00:56"/>
    <s v="05.11.25"/>
    <n v="904.82"/>
    <m/>
    <n v="1"/>
    <d v="2025-11-05T00:00:00"/>
    <n v="116"/>
    <x v="4"/>
    <x v="1"/>
    <x v="0"/>
    <x v="0"/>
    <m/>
    <m/>
    <m/>
  </r>
  <r>
    <s v="60.02"/>
    <x v="79"/>
    <x v="182"/>
    <s v="Списание с расчетного счета 00БП-000223 от 03.02.2026 14:13:57"/>
    <s v="03.02.26"/>
    <n v="2000"/>
    <m/>
    <n v="1"/>
    <d v="2026-02-03T00:00:00"/>
    <n v="26"/>
    <x v="2"/>
    <x v="1"/>
    <x v="0"/>
    <x v="0"/>
    <m/>
    <m/>
    <m/>
  </r>
  <r>
    <s v="60.02"/>
    <x v="79"/>
    <x v="183"/>
    <s v="Списание с расчетного счета 00БП-000227 от 03.02.2026 14:14:01"/>
    <s v="03.02.26"/>
    <n v="2534.89"/>
    <m/>
    <n v="1"/>
    <d v="2026-02-03T00:00:00"/>
    <n v="26"/>
    <x v="2"/>
    <x v="1"/>
    <x v="0"/>
    <x v="0"/>
    <m/>
    <m/>
    <m/>
  </r>
  <r>
    <s v="60.02"/>
    <x v="79"/>
    <x v="184"/>
    <s v="Списание с расчетного счета 00БП-000459 от 24.02.2026 17:53:17"/>
    <s v="24.02.26"/>
    <n v="7952.65"/>
    <m/>
    <n v="1"/>
    <d v="2026-02-24T00:00:00"/>
    <n v="5"/>
    <x v="2"/>
    <x v="1"/>
    <x v="0"/>
    <x v="0"/>
    <m/>
    <m/>
    <m/>
  </r>
  <r>
    <s v="60.02"/>
    <x v="79"/>
    <x v="185"/>
    <s v="Списание с расчетного счета 00БП-001107 от 05.04.2019 22:18:00"/>
    <s v="05.04.19"/>
    <n v="45.91"/>
    <m/>
    <n v="1"/>
    <d v="2019-04-05T00:00:00"/>
    <n v="2522"/>
    <x v="5"/>
    <x v="1"/>
    <x v="0"/>
    <x v="0"/>
    <m/>
    <m/>
    <m/>
  </r>
  <r>
    <s v="60.02"/>
    <x v="79"/>
    <x v="186"/>
    <s v="Списание с расчетного счета 00БП-008215 от 05.11.2025 17:01:01"/>
    <s v="05.11.25"/>
    <n v="2028.51"/>
    <m/>
    <n v="1"/>
    <d v="2025-11-05T00:00:00"/>
    <n v="116"/>
    <x v="4"/>
    <x v="1"/>
    <x v="0"/>
    <x v="0"/>
    <m/>
    <m/>
    <m/>
  </r>
  <r>
    <s v="60.02"/>
    <x v="79"/>
    <x v="186"/>
    <s v="Списание с расчетного счета 00БП-000222 от 03.02.2026 14:13:56"/>
    <s v="03.02.26"/>
    <n v="2000"/>
    <m/>
    <n v="1"/>
    <d v="2026-02-03T00:00:00"/>
    <n v="26"/>
    <x v="2"/>
    <x v="1"/>
    <x v="0"/>
    <x v="0"/>
    <m/>
    <m/>
    <m/>
  </r>
  <r>
    <s v="60.02"/>
    <x v="79"/>
    <x v="187"/>
    <s v="Списание с расчетного счета 00БП-005417 от 04.08.2025 21:25:09"/>
    <s v="04.08.25"/>
    <n v="316.13"/>
    <m/>
    <n v="1"/>
    <d v="2025-08-04T00:00:00"/>
    <n v="209"/>
    <x v="3"/>
    <x v="1"/>
    <x v="0"/>
    <x v="0"/>
    <m/>
    <m/>
    <m/>
  </r>
  <r>
    <s v="60.02"/>
    <x v="79"/>
    <x v="188"/>
    <s v="Списание с расчетного счета 00БП-006846 от 03.11.2023 17:15:20"/>
    <s v="03.11.23"/>
    <n v="771.25"/>
    <m/>
    <n v="1"/>
    <d v="2023-11-03T00:00:00"/>
    <n v="849"/>
    <x v="5"/>
    <x v="1"/>
    <x v="0"/>
    <x v="0"/>
    <m/>
    <m/>
    <m/>
  </r>
  <r>
    <s v="60.02"/>
    <x v="79"/>
    <x v="188"/>
    <s v="Списание с расчетного счета 00БП-000347 от 13.02.2024 16:34:45"/>
    <s v="13.02.24"/>
    <n v="500"/>
    <m/>
    <n v="1"/>
    <d v="2024-02-13T00:00:00"/>
    <n v="747"/>
    <x v="5"/>
    <x v="1"/>
    <x v="0"/>
    <x v="0"/>
    <m/>
    <m/>
    <m/>
  </r>
  <r>
    <s v="60.02"/>
    <x v="79"/>
    <x v="189"/>
    <s v="Списание с расчетного счета 00БП-008216 от 05.11.2025 17:01:02"/>
    <s v="05.11.25"/>
    <n v="2124.0700000000002"/>
    <m/>
    <n v="1"/>
    <d v="2025-11-05T00:00:00"/>
    <n v="116"/>
    <x v="4"/>
    <x v="1"/>
    <x v="0"/>
    <x v="0"/>
    <m/>
    <m/>
    <m/>
  </r>
  <r>
    <s v="60.02"/>
    <x v="79"/>
    <x v="189"/>
    <s v="Списание с расчетного счета 00БП-000224 от 03.02.2026 14:13:58"/>
    <s v="03.02.26"/>
    <n v="2000"/>
    <m/>
    <n v="1"/>
    <d v="2026-02-03T00:00:00"/>
    <n v="26"/>
    <x v="2"/>
    <x v="1"/>
    <x v="0"/>
    <x v="0"/>
    <m/>
    <m/>
    <m/>
  </r>
  <r>
    <s v="60.02"/>
    <x v="79"/>
    <x v="190"/>
    <s v="Списание с расчетного счета 0000-000968 от 08.04.2016 23:59:59"/>
    <s v="08.04.16"/>
    <n v="127.6"/>
    <m/>
    <n v="1"/>
    <d v="2016-04-08T00:00:00"/>
    <n v="3614"/>
    <x v="5"/>
    <x v="1"/>
    <x v="0"/>
    <x v="0"/>
    <m/>
    <m/>
    <m/>
  </r>
  <r>
    <s v="60.02"/>
    <x v="79"/>
    <x v="190"/>
    <s v="Списание с расчетного счета 0000-001483 от 11.05.2016 23:59:59"/>
    <s v="11.05.16"/>
    <n v="430"/>
    <m/>
    <n v="1"/>
    <d v="2016-05-11T00:00:00"/>
    <n v="3581"/>
    <x v="5"/>
    <x v="1"/>
    <x v="0"/>
    <x v="0"/>
    <m/>
    <m/>
    <m/>
  </r>
  <r>
    <s v="60.02"/>
    <x v="79"/>
    <x v="190"/>
    <s v="Списание с расчетного счета 00БП-006633 от 18.12.2019 20:16:13"/>
    <s v="18.12.19"/>
    <n v="0.01"/>
    <m/>
    <n v="1"/>
    <d v="2019-12-18T00:00:00"/>
    <n v="2265"/>
    <x v="5"/>
    <x v="1"/>
    <x v="0"/>
    <x v="0"/>
    <m/>
    <m/>
    <m/>
  </r>
  <r>
    <s v="60.02"/>
    <x v="79"/>
    <x v="191"/>
    <m/>
    <m/>
    <n v="68.27"/>
    <m/>
    <n v="1"/>
    <d v="1899-12-30T00:00:00"/>
    <n v="46082"/>
    <x v="5"/>
    <x v="1"/>
    <x v="0"/>
    <x v="0"/>
    <m/>
    <m/>
    <m/>
  </r>
  <r>
    <s v="60.02"/>
    <x v="79"/>
    <x v="192"/>
    <s v="Поступление (акт, накладная, УПД) 0000-000139 от 29.02.2016 23:59:59"/>
    <s v="29.02.16"/>
    <n v="799.94"/>
    <m/>
    <n v="1"/>
    <d v="2016-02-29T00:00:00"/>
    <n v="3653"/>
    <x v="5"/>
    <x v="1"/>
    <x v="0"/>
    <x v="0"/>
    <m/>
    <m/>
    <m/>
  </r>
  <r>
    <s v="60.02"/>
    <x v="79"/>
    <x v="193"/>
    <s v="Списание с расчетного счета 00БП-005424 от 04.08.2025 21:25:16"/>
    <s v="04.08.25"/>
    <n v="2356.06"/>
    <m/>
    <n v="1"/>
    <d v="2025-08-04T00:00:00"/>
    <n v="209"/>
    <x v="3"/>
    <x v="1"/>
    <x v="0"/>
    <x v="0"/>
    <m/>
    <m/>
    <m/>
  </r>
  <r>
    <s v="60.02"/>
    <x v="79"/>
    <x v="193"/>
    <s v="Списание с расчетного счета 00БП-008214 от 05.11.2025 17:01:00"/>
    <s v="05.11.25"/>
    <n v="5000"/>
    <m/>
    <n v="1"/>
    <d v="2025-11-05T00:00:00"/>
    <n v="116"/>
    <x v="4"/>
    <x v="1"/>
    <x v="0"/>
    <x v="0"/>
    <m/>
    <m/>
    <m/>
  </r>
  <r>
    <s v="60.02"/>
    <x v="79"/>
    <x v="193"/>
    <s v="Списание с расчетного счета 00БП-000226 от 03.02.2026 14:14:00"/>
    <s v="03.02.26"/>
    <n v="2000"/>
    <m/>
    <n v="1"/>
    <d v="2026-02-03T00:00:00"/>
    <n v="26"/>
    <x v="2"/>
    <x v="1"/>
    <x v="0"/>
    <x v="0"/>
    <m/>
    <m/>
    <m/>
  </r>
  <r>
    <s v="60.02"/>
    <x v="79"/>
    <x v="194"/>
    <s v="Списание с расчетного счета 00БП-008914 от 24.11.2025 16:34:06"/>
    <s v="24.11.25"/>
    <n v="800"/>
    <m/>
    <n v="1"/>
    <d v="2025-11-24T00:00:00"/>
    <n v="97"/>
    <x v="4"/>
    <x v="1"/>
    <x v="0"/>
    <x v="0"/>
    <m/>
    <m/>
    <m/>
  </r>
  <r>
    <s v="60.02"/>
    <x v="80"/>
    <x v="195"/>
    <s v="Списание с расчетного счета 00БП-006379 от 10.09.2025 18:06:41"/>
    <s v="10.09.25"/>
    <n v="45000"/>
    <m/>
    <n v="1"/>
    <d v="2025-09-10T00:00:00"/>
    <n v="172"/>
    <x v="0"/>
    <x v="1"/>
    <x v="0"/>
    <x v="0"/>
    <m/>
    <m/>
    <m/>
  </r>
  <r>
    <s v="60.02"/>
    <x v="81"/>
    <x v="196"/>
    <s v="Списание с расчетного счета 00БП-009285 от 25.12.2025 12:00:09"/>
    <s v="25.12.25"/>
    <n v="411323.77"/>
    <m/>
    <n v="1"/>
    <d v="2025-12-25T00:00:00"/>
    <n v="66"/>
    <x v="1"/>
    <x v="1"/>
    <x v="0"/>
    <x v="0"/>
    <m/>
    <m/>
    <m/>
  </r>
  <r>
    <s v="60.02"/>
    <x v="81"/>
    <x v="197"/>
    <s v="Списание с расчетного счета 00БП-000531 от 27.02.2026 17:35:40"/>
    <s v="27.02.26"/>
    <n v="5632282.5"/>
    <m/>
    <n v="1"/>
    <d v="2026-02-27T00:00:00"/>
    <n v="2"/>
    <x v="2"/>
    <x v="1"/>
    <x v="0"/>
    <x v="0"/>
    <m/>
    <m/>
    <m/>
  </r>
  <r>
    <s v="60.02"/>
    <x v="82"/>
    <x v="198"/>
    <s v="Списание с расчетного счета 00БП-000258 от 05.02.2026 22:16:17"/>
    <s v="05.02.26"/>
    <n v="1750000"/>
    <m/>
    <n v="1"/>
    <d v="2026-02-05T00:00:00"/>
    <n v="24"/>
    <x v="2"/>
    <x v="1"/>
    <x v="0"/>
    <x v="0"/>
    <m/>
    <m/>
    <m/>
  </r>
  <r>
    <s v="60.02"/>
    <x v="82"/>
    <x v="198"/>
    <s v="Списание с расчетного счета 00БП-000530 от 27.02.2026 17:35:39"/>
    <s v="27.02.26"/>
    <n v="1750000"/>
    <m/>
    <n v="1"/>
    <d v="2026-02-27T00:00:00"/>
    <n v="2"/>
    <x v="2"/>
    <x v="1"/>
    <x v="0"/>
    <x v="0"/>
    <m/>
    <m/>
    <m/>
  </r>
  <r>
    <s v="60.02"/>
    <x v="83"/>
    <x v="199"/>
    <s v="Списание с расчетного счета 00БП-000103 от 22.01.2026 6:54:23"/>
    <s v="22.01.26"/>
    <n v="9237364.1999999993"/>
    <m/>
    <n v="1"/>
    <d v="2026-01-22T00:00:00"/>
    <n v="38"/>
    <x v="1"/>
    <x v="1"/>
    <x v="0"/>
    <x v="0"/>
    <m/>
    <m/>
    <m/>
  </r>
  <r>
    <s v="60.02"/>
    <x v="83"/>
    <x v="200"/>
    <s v="Списание с расчетного счета 00БП-000294 от 11.02.2026 17:01:50"/>
    <s v="11.02.26"/>
    <n v="9237364.1999999993"/>
    <m/>
    <n v="1"/>
    <d v="2026-02-11T00:00:00"/>
    <n v="18"/>
    <x v="2"/>
    <x v="1"/>
    <x v="0"/>
    <x v="0"/>
    <m/>
    <m/>
    <m/>
  </r>
  <r>
    <s v="60.02"/>
    <x v="83"/>
    <x v="201"/>
    <s v="Списание с расчетного счета 00БП-008314 от 10.11.2025 19:46:19"/>
    <s v="10.11.25"/>
    <n v="456108"/>
    <m/>
    <n v="1"/>
    <d v="2025-11-10T00:00:00"/>
    <n v="111"/>
    <x v="4"/>
    <x v="1"/>
    <x v="0"/>
    <x v="0"/>
    <m/>
    <m/>
    <m/>
  </r>
  <r>
    <s v="60.02"/>
    <x v="84"/>
    <x v="202"/>
    <s v="Списание с расчетного счета 00БП-000193 от 30.01.2026 12:00:05"/>
    <s v="30.01.26"/>
    <n v="2210602"/>
    <m/>
    <n v="1"/>
    <d v="2026-01-30T00:00:00"/>
    <n v="30"/>
    <x v="2"/>
    <x v="1"/>
    <x v="0"/>
    <x v="0"/>
    <m/>
    <m/>
    <m/>
  </r>
  <r>
    <s v="60.02"/>
    <x v="84"/>
    <x v="203"/>
    <s v="Списание с расчетного счета 00БП-000238 от 04.02.2026 16:35:17"/>
    <s v="04.02.26"/>
    <n v="20163208.710000001"/>
    <m/>
    <n v="1"/>
    <d v="2026-02-04T00:00:00"/>
    <n v="25"/>
    <x v="2"/>
    <x v="1"/>
    <x v="0"/>
    <x v="0"/>
    <m/>
    <m/>
    <m/>
  </r>
  <r>
    <s v="60.02"/>
    <x v="85"/>
    <x v="204"/>
    <s v="Списание с расчетного счета 00БП-007233 от 02.10.2025 17:20:48"/>
    <s v="02.10.25"/>
    <n v="7568"/>
    <m/>
    <n v="1"/>
    <d v="2025-10-02T00:00:00"/>
    <n v="150"/>
    <x v="0"/>
    <x v="1"/>
    <x v="0"/>
    <x v="0"/>
    <m/>
    <m/>
    <m/>
  </r>
  <r>
    <s v="60.02"/>
    <x v="86"/>
    <x v="205"/>
    <s v="Списание с расчетного счета 00БП-008774 от 18.11.2025 23:05:16"/>
    <s v="18.11.25"/>
    <n v="9550"/>
    <m/>
    <n v="1"/>
    <d v="2025-11-18T00:00:00"/>
    <n v="103"/>
    <x v="4"/>
    <x v="1"/>
    <x v="0"/>
    <x v="0"/>
    <m/>
    <m/>
    <m/>
  </r>
  <r>
    <s v="60.02"/>
    <x v="87"/>
    <x v="206"/>
    <s v="Списание с расчетного счета 00БП-007167 от 30.09.2025 23:59:59"/>
    <s v="30.09.25"/>
    <n v="25035"/>
    <m/>
    <n v="1"/>
    <d v="2025-09-30T00:00:00"/>
    <n v="152"/>
    <x v="0"/>
    <x v="1"/>
    <x v="0"/>
    <x v="0"/>
    <m/>
    <m/>
    <m/>
  </r>
  <r>
    <s v="60.02"/>
    <x v="88"/>
    <x v="207"/>
    <s v="Списание с расчетного счета 00БП-002240 от 28.04.2025 18:34:44"/>
    <s v="28.04.25"/>
    <n v="114.79"/>
    <m/>
    <n v="1"/>
    <d v="2025-04-28T00:00:00"/>
    <n v="307"/>
    <x v="6"/>
    <x v="1"/>
    <x v="0"/>
    <x v="0"/>
    <m/>
    <m/>
    <m/>
  </r>
  <r>
    <s v="60.02"/>
    <x v="89"/>
    <x v="208"/>
    <s v="Списание с расчетного счета 00БП-000235 от 04.02.2026 16:35:14"/>
    <s v="04.02.26"/>
    <n v="830516.83"/>
    <m/>
    <n v="1"/>
    <d v="2026-02-04T00:00:00"/>
    <n v="25"/>
    <x v="2"/>
    <x v="1"/>
    <x v="0"/>
    <x v="0"/>
    <m/>
    <m/>
    <m/>
  </r>
  <r>
    <s v="60.02"/>
    <x v="90"/>
    <x v="209"/>
    <s v="Списание с расчетного счета 00БП-009092 от 05.12.2025 12:00:07"/>
    <s v="05.12.25"/>
    <n v="0.01"/>
    <m/>
    <n v="1"/>
    <d v="2025-12-05T00:00:00"/>
    <n v="86"/>
    <x v="1"/>
    <x v="1"/>
    <x v="0"/>
    <x v="0"/>
    <m/>
    <m/>
    <m/>
  </r>
  <r>
    <s v="60.02"/>
    <x v="90"/>
    <x v="73"/>
    <m/>
    <m/>
    <n v="49553"/>
    <m/>
    <n v="1"/>
    <d v="1899-12-30T00:00:00"/>
    <n v="46082"/>
    <x v="5"/>
    <x v="1"/>
    <x v="0"/>
    <x v="0"/>
    <m/>
    <m/>
    <m/>
  </r>
  <r>
    <s v="60.02"/>
    <x v="91"/>
    <x v="210"/>
    <s v="Списание с расчетного счета 00БП-001175 от 01.04.2025 17:50:06"/>
    <s v="01.04.25"/>
    <n v="25739.47"/>
    <m/>
    <n v="1"/>
    <d v="2025-04-01T00:00:00"/>
    <n v="334"/>
    <x v="6"/>
    <x v="1"/>
    <x v="0"/>
    <x v="0"/>
    <m/>
    <m/>
    <m/>
  </r>
  <r>
    <s v="60.02"/>
    <x v="92"/>
    <x v="211"/>
    <s v="Списание с расчетного счета 00БП-002041 от 24.04.2025 18:07:53"/>
    <s v="24.04.25"/>
    <n v="231787.21"/>
    <m/>
    <n v="1"/>
    <d v="2025-04-24T00:00:00"/>
    <n v="311"/>
    <x v="6"/>
    <x v="1"/>
    <x v="0"/>
    <x v="0"/>
    <m/>
    <m/>
    <m/>
  </r>
  <r>
    <s v="60.02"/>
    <x v="92"/>
    <x v="212"/>
    <s v="Списание с расчетного счета 00БП-008010 от 28.10.2025 17:26:32"/>
    <s v="28.10.25"/>
    <n v="1109648.04"/>
    <m/>
    <n v="1"/>
    <d v="2025-10-28T00:00:00"/>
    <n v="124"/>
    <x v="0"/>
    <x v="1"/>
    <x v="0"/>
    <x v="0"/>
    <m/>
    <m/>
    <m/>
  </r>
  <r>
    <s v="60.02"/>
    <x v="92"/>
    <x v="212"/>
    <s v="Списание с расчетного счета 00БП-008883 от 21.11.2025 18:51:10"/>
    <s v="21.11.25"/>
    <n v="623307.19999999995"/>
    <m/>
    <n v="1"/>
    <d v="2025-11-21T00:00:00"/>
    <n v="100"/>
    <x v="4"/>
    <x v="1"/>
    <x v="0"/>
    <x v="0"/>
    <m/>
    <m/>
    <m/>
  </r>
  <r>
    <s v="60.02"/>
    <x v="92"/>
    <x v="213"/>
    <s v="Списание с расчетного счета 00БП-000186 от 29.01.2026 11:53:17"/>
    <s v="29.01.26"/>
    <n v="662388"/>
    <m/>
    <n v="1"/>
    <d v="2026-01-29T00:00:00"/>
    <n v="31"/>
    <x v="1"/>
    <x v="1"/>
    <x v="0"/>
    <x v="0"/>
    <m/>
    <m/>
    <m/>
  </r>
  <r>
    <s v="60.02"/>
    <x v="92"/>
    <x v="214"/>
    <s v="Списание с расчетного счета 00БП-007752 от 17.10.2025 19:36:09"/>
    <s v="17.10.25"/>
    <n v="140313"/>
    <m/>
    <n v="1"/>
    <d v="2025-10-17T00:00:00"/>
    <n v="135"/>
    <x v="0"/>
    <x v="1"/>
    <x v="0"/>
    <x v="0"/>
    <m/>
    <m/>
    <m/>
  </r>
  <r>
    <s v="60.02"/>
    <x v="92"/>
    <x v="215"/>
    <s v="Списание с расчетного счета 00БП-006363 от 19.10.2023 17:19:29"/>
    <s v="19.10.23"/>
    <n v="172161"/>
    <m/>
    <n v="1"/>
    <d v="2023-10-19T00:00:00"/>
    <n v="864"/>
    <x v="5"/>
    <x v="1"/>
    <x v="0"/>
    <x v="13"/>
    <m/>
    <m/>
    <m/>
  </r>
  <r>
    <s v="60.02"/>
    <x v="92"/>
    <x v="216"/>
    <s v="Списание с расчетного счета 00БП-007634 от 13.10.2025 18:15:51"/>
    <s v="13.10.25"/>
    <n v="1192763"/>
    <m/>
    <n v="1"/>
    <d v="2025-10-13T00:00:00"/>
    <n v="139"/>
    <x v="0"/>
    <x v="1"/>
    <x v="0"/>
    <x v="0"/>
    <m/>
    <m/>
    <m/>
  </r>
  <r>
    <s v="60.02"/>
    <x v="92"/>
    <x v="217"/>
    <s v="Списание с расчетного счета 00БП-007632 от 13.10.2025 18:15:49"/>
    <s v="13.10.25"/>
    <n v="546480"/>
    <m/>
    <n v="1"/>
    <d v="2025-10-13T00:00:00"/>
    <n v="139"/>
    <x v="0"/>
    <x v="1"/>
    <x v="0"/>
    <x v="0"/>
    <m/>
    <m/>
    <m/>
  </r>
  <r>
    <s v="60.02"/>
    <x v="93"/>
    <x v="218"/>
    <s v="Списание с расчетного счета 00БП-008787 от 18.11.2025 23:05:29"/>
    <s v="18.11.25"/>
    <n v="876000"/>
    <m/>
    <n v="1"/>
    <d v="2025-11-18T00:00:00"/>
    <n v="103"/>
    <x v="4"/>
    <x v="1"/>
    <x v="0"/>
    <x v="0"/>
    <m/>
    <m/>
    <m/>
  </r>
  <r>
    <s v="60.02"/>
    <x v="94"/>
    <x v="219"/>
    <s v="Списание с расчетного счета 00БП-000383 от 16.02.2026 17:22:07"/>
    <s v="16.02.26"/>
    <n v="344584"/>
    <m/>
    <n v="1"/>
    <d v="2026-02-16T00:00:00"/>
    <n v="13"/>
    <x v="2"/>
    <x v="1"/>
    <x v="0"/>
    <x v="0"/>
    <m/>
    <m/>
    <m/>
  </r>
  <r>
    <s v="60.02"/>
    <x v="95"/>
    <x v="220"/>
    <s v="Списание с расчетного счета 00БП-000089 от 21.01.2026 11:45:49"/>
    <s v="21.01.26"/>
    <n v="500000"/>
    <m/>
    <n v="1"/>
    <d v="2026-01-21T00:00:00"/>
    <n v="39"/>
    <x v="1"/>
    <x v="1"/>
    <x v="0"/>
    <x v="0"/>
    <m/>
    <m/>
    <m/>
  </r>
  <r>
    <s v="60.02"/>
    <x v="96"/>
    <x v="221"/>
    <s v="Списание с расчетного счета 00БП-009117 от 08.12.2025 1:54:01"/>
    <s v="08.12.25"/>
    <n v="161919248.72"/>
    <m/>
    <n v="1"/>
    <d v="2025-12-08T00:00:00"/>
    <n v="83"/>
    <x v="1"/>
    <x v="1"/>
    <x v="0"/>
    <x v="0"/>
    <m/>
    <m/>
    <m/>
  </r>
  <r>
    <s v="60.02"/>
    <x v="97"/>
    <x v="222"/>
    <s v="Списание с расчетного счета 00БП-009233 от 18.12.2025 17:20:47"/>
    <s v="18.12.25"/>
    <n v="236250"/>
    <m/>
    <n v="1"/>
    <d v="2025-12-18T00:00:00"/>
    <n v="73"/>
    <x v="1"/>
    <x v="1"/>
    <x v="0"/>
    <x v="0"/>
    <d v="2026-03-18T00:00:00"/>
    <m/>
    <m/>
  </r>
  <r>
    <s v="60.02"/>
    <x v="97"/>
    <x v="223"/>
    <s v="Списание с расчетного счета 00БП-003511 от 09.06.2025 17:56:00"/>
    <s v="09.06.25"/>
    <n v="1181250"/>
    <m/>
    <n v="1"/>
    <d v="2025-06-09T00:00:00"/>
    <n v="265"/>
    <x v="3"/>
    <x v="1"/>
    <x v="0"/>
    <x v="0"/>
    <d v="2026-03-18T00:00:00"/>
    <m/>
    <m/>
  </r>
  <r>
    <s v="60.02"/>
    <x v="97"/>
    <x v="223"/>
    <s v="Списание с расчетного счета 00БП-009158 от 11.12.2025 10:37:33"/>
    <s v="11.12.25"/>
    <n v="236250"/>
    <m/>
    <n v="1"/>
    <d v="2025-12-11T00:00:00"/>
    <n v="80"/>
    <x v="1"/>
    <x v="1"/>
    <x v="0"/>
    <x v="0"/>
    <d v="2026-03-18T00:00:00"/>
    <m/>
    <m/>
  </r>
  <r>
    <s v="60.02"/>
    <x v="98"/>
    <x v="224"/>
    <s v="Списание с расчетного счета 00БП-002981 от 22.05.2025 18:45:24"/>
    <s v="22.05.25"/>
    <n v="6869.56"/>
    <m/>
    <n v="1"/>
    <d v="2025-05-22T00:00:00"/>
    <n v="283"/>
    <x v="6"/>
    <x v="1"/>
    <x v="0"/>
    <x v="8"/>
    <m/>
    <m/>
    <m/>
  </r>
  <r>
    <s v="60.02"/>
    <x v="98"/>
    <x v="225"/>
    <s v="Списание с расчетного счета 00БП-002894 от 19.05.2025 18:19:38"/>
    <s v="19.05.25"/>
    <n v="16930"/>
    <m/>
    <n v="1"/>
    <d v="2025-05-19T00:00:00"/>
    <n v="286"/>
    <x v="6"/>
    <x v="1"/>
    <x v="0"/>
    <x v="8"/>
    <m/>
    <m/>
    <m/>
  </r>
  <r>
    <s v="60.02"/>
    <x v="98"/>
    <x v="226"/>
    <s v="Списание с расчетного счета 00БП-006181 от 06.09.2024 17:41:01"/>
    <s v="06.09.24"/>
    <n v="2163.48"/>
    <m/>
    <n v="1"/>
    <d v="2024-09-06T00:00:00"/>
    <n v="541"/>
    <x v="5"/>
    <x v="1"/>
    <x v="0"/>
    <x v="8"/>
    <m/>
    <m/>
    <m/>
  </r>
  <r>
    <s v="60.02"/>
    <x v="98"/>
    <x v="227"/>
    <s v="Списание с расчетного счета 00БП-002958 от 21.05.2025 20:10:49"/>
    <s v="21.05.25"/>
    <n v="35983.96"/>
    <m/>
    <n v="1"/>
    <d v="2025-05-21T00:00:00"/>
    <n v="284"/>
    <x v="6"/>
    <x v="1"/>
    <x v="0"/>
    <x v="8"/>
    <m/>
    <m/>
    <m/>
  </r>
  <r>
    <s v="60.02"/>
    <x v="98"/>
    <x v="228"/>
    <s v="Списание с расчетного счета 00БП-004340 от 01.07.2025 20:38:11"/>
    <s v="01.07.25"/>
    <n v="3413.74"/>
    <m/>
    <n v="1"/>
    <d v="2025-07-01T00:00:00"/>
    <n v="243"/>
    <x v="3"/>
    <x v="1"/>
    <x v="0"/>
    <x v="8"/>
    <m/>
    <m/>
    <m/>
  </r>
  <r>
    <s v="60.02"/>
    <x v="99"/>
    <x v="229"/>
    <s v="Списание с расчетного счета 00БП-009287 от 25.12.2025 12:00:11"/>
    <s v="25.12.25"/>
    <n v="2223000"/>
    <m/>
    <n v="1"/>
    <d v="2025-12-25T00:00:00"/>
    <n v="66"/>
    <x v="1"/>
    <x v="1"/>
    <x v="0"/>
    <x v="0"/>
    <m/>
    <m/>
    <m/>
  </r>
  <r>
    <s v="60.02"/>
    <x v="99"/>
    <x v="229"/>
    <s v="Списание с расчетного счета 00БП-000275 от 09.02.2026 16:00:03"/>
    <s v="09.02.26"/>
    <n v="123500"/>
    <m/>
    <n v="1"/>
    <d v="2026-02-09T00:00:00"/>
    <n v="20"/>
    <x v="2"/>
    <x v="1"/>
    <x v="0"/>
    <x v="0"/>
    <m/>
    <m/>
    <m/>
  </r>
  <r>
    <s v="60.02"/>
    <x v="99"/>
    <x v="229"/>
    <s v="Списание с расчетного счета 00БП-000276 от 09.02.2026 16:00:04"/>
    <s v="09.02.26"/>
    <n v="5187000"/>
    <m/>
    <n v="1"/>
    <d v="2026-02-09T00:00:00"/>
    <n v="20"/>
    <x v="2"/>
    <x v="1"/>
    <x v="0"/>
    <x v="0"/>
    <m/>
    <m/>
    <m/>
  </r>
  <r>
    <s v="60.02"/>
    <x v="100"/>
    <x v="230"/>
    <s v="Списание с расчетного счета 00БП-007569 от 15.10.2024 19:25:20"/>
    <s v="15.10.24"/>
    <n v="2798.49"/>
    <m/>
    <n v="1"/>
    <d v="2024-10-15T00:00:00"/>
    <n v="502"/>
    <x v="5"/>
    <x v="1"/>
    <x v="0"/>
    <x v="0"/>
    <m/>
    <m/>
    <m/>
  </r>
  <r>
    <s v="60.02"/>
    <x v="101"/>
    <x v="231"/>
    <s v="Списание с расчетного счета 00БП-000293 от 11.02.2026 17:01:49"/>
    <s v="11.02.26"/>
    <n v="2778000"/>
    <m/>
    <n v="1"/>
    <d v="2026-02-11T00:00:00"/>
    <n v="18"/>
    <x v="2"/>
    <x v="1"/>
    <x v="0"/>
    <x v="0"/>
    <m/>
    <m/>
    <m/>
  </r>
  <r>
    <s v="60.02"/>
    <x v="102"/>
    <x v="232"/>
    <s v="Списание с расчетного счета 00БП-000234 от 04.02.2026 16:35:13"/>
    <s v="04.02.26"/>
    <n v="130000"/>
    <m/>
    <n v="1"/>
    <d v="2026-02-04T00:00:00"/>
    <n v="25"/>
    <x v="2"/>
    <x v="1"/>
    <x v="0"/>
    <x v="0"/>
    <m/>
    <m/>
    <m/>
  </r>
  <r>
    <s v="60.02"/>
    <x v="103"/>
    <x v="233"/>
    <s v="Списание с расчетного счета 00БП-000381 от 16.02.2026 17:22:05"/>
    <s v="16.02.26"/>
    <n v="500"/>
    <m/>
    <n v="1"/>
    <d v="2026-02-16T00:00:00"/>
    <n v="13"/>
    <x v="2"/>
    <x v="1"/>
    <x v="0"/>
    <x v="0"/>
    <m/>
    <m/>
    <m/>
  </r>
  <r>
    <s v="60.02"/>
    <x v="104"/>
    <x v="234"/>
    <s v="Списание с расчетного счета 00БП-003058 от 26.05.2025 22:23:12"/>
    <s v="26.05.25"/>
    <n v="0.3"/>
    <m/>
    <n v="1"/>
    <d v="2025-05-26T00:00:00"/>
    <n v="279"/>
    <x v="6"/>
    <x v="1"/>
    <x v="0"/>
    <x v="0"/>
    <m/>
    <m/>
    <m/>
  </r>
  <r>
    <s v="60.02"/>
    <x v="105"/>
    <x v="235"/>
    <s v="Списание с расчетного счета 00БП-001305 от 04.04.2025 19:33:54"/>
    <s v="04.04.25"/>
    <n v="1425"/>
    <m/>
    <n v="1"/>
    <d v="2025-04-04T00:00:00"/>
    <n v="331"/>
    <x v="6"/>
    <x v="1"/>
    <x v="0"/>
    <x v="14"/>
    <m/>
    <m/>
    <m/>
  </r>
  <r>
    <s v="60.02"/>
    <x v="106"/>
    <x v="236"/>
    <s v="Корректировка поступления 00БП-000016 от 17.06.2025 17:44:56"/>
    <s v="17.06.25"/>
    <n v="163072"/>
    <m/>
    <n v="1"/>
    <d v="2025-06-17T00:00:00"/>
    <n v="257"/>
    <x v="3"/>
    <x v="1"/>
    <x v="0"/>
    <x v="2"/>
    <m/>
    <m/>
    <m/>
  </r>
  <r>
    <s v="60.02"/>
    <x v="107"/>
    <x v="237"/>
    <s v="Списание с расчетного счета 00БП-005899 от 19.08.2025 21:00:42"/>
    <s v="19.08.25"/>
    <n v="11240"/>
    <m/>
    <n v="1"/>
    <d v="2025-08-19T00:00:00"/>
    <n v="194"/>
    <x v="3"/>
    <x v="1"/>
    <x v="0"/>
    <x v="0"/>
    <m/>
    <m/>
    <m/>
  </r>
  <r>
    <s v="60.02"/>
    <x v="108"/>
    <x v="238"/>
    <s v="Списание с расчетного счета 00БП-009160 от 11.12.2025 10:37:35"/>
    <s v="11.12.25"/>
    <n v="460100"/>
    <m/>
    <n v="1"/>
    <d v="2025-12-11T00:00:00"/>
    <n v="80"/>
    <x v="1"/>
    <x v="1"/>
    <x v="0"/>
    <x v="0"/>
    <m/>
    <m/>
    <m/>
  </r>
  <r>
    <s v="60.02"/>
    <x v="109"/>
    <x v="239"/>
    <s v="Списание с расчетного счета 00БП-006900 от 03.11.2022 17:21:29"/>
    <s v="03.11.22"/>
    <n v="196.02"/>
    <m/>
    <n v="1"/>
    <d v="2022-11-03T00:00:00"/>
    <n v="1214"/>
    <x v="5"/>
    <x v="1"/>
    <x v="0"/>
    <x v="8"/>
    <m/>
    <m/>
    <m/>
  </r>
  <r>
    <s v="60.02"/>
    <x v="110"/>
    <x v="240"/>
    <s v="Списание с расчетного счета 00БП-000406 от 18.02.2026 12:00:08"/>
    <s v="18.02.26"/>
    <n v="1819352.97"/>
    <m/>
    <n v="1"/>
    <d v="2026-02-18T00:00:00"/>
    <n v="11"/>
    <x v="2"/>
    <x v="1"/>
    <x v="0"/>
    <x v="0"/>
    <m/>
    <m/>
    <m/>
  </r>
  <r>
    <s v="60.02"/>
    <x v="111"/>
    <x v="241"/>
    <s v="Списание с расчетного счета 00БП-000218 от 03.02.2026 14:13:50"/>
    <s v="03.02.26"/>
    <n v="12083389.800000001"/>
    <m/>
    <n v="1"/>
    <d v="2026-02-03T00:00:00"/>
    <n v="26"/>
    <x v="2"/>
    <x v="1"/>
    <x v="0"/>
    <x v="0"/>
    <m/>
    <m/>
    <m/>
  </r>
  <r>
    <s v="60.02"/>
    <x v="111"/>
    <x v="242"/>
    <s v="Списание с расчетного счета 00БП-000236 от 04.02.2026 16:35:15"/>
    <s v="04.02.26"/>
    <n v="1446946.5"/>
    <m/>
    <n v="1"/>
    <d v="2026-02-04T00:00:00"/>
    <n v="25"/>
    <x v="2"/>
    <x v="1"/>
    <x v="0"/>
    <x v="0"/>
    <m/>
    <m/>
    <m/>
  </r>
  <r>
    <s v="60.02"/>
    <x v="111"/>
    <x v="243"/>
    <s v="Списание с расчетного счета 00БП-000324 от 12.02.2026 15:36:55"/>
    <s v="12.02.26"/>
    <n v="895000"/>
    <m/>
    <n v="1"/>
    <d v="2026-02-12T00:00:00"/>
    <n v="17"/>
    <x v="2"/>
    <x v="1"/>
    <x v="0"/>
    <x v="0"/>
    <m/>
    <m/>
    <m/>
  </r>
  <r>
    <s v="60.02"/>
    <x v="111"/>
    <x v="244"/>
    <s v="Списание с расчетного счета 00БП-006826 от 19.09.2025 17:32:22"/>
    <s v="19.09.25"/>
    <n v="60000"/>
    <m/>
    <n v="1"/>
    <d v="2025-09-19T00:00:00"/>
    <n v="163"/>
    <x v="0"/>
    <x v="1"/>
    <x v="0"/>
    <x v="0"/>
    <m/>
    <m/>
    <m/>
  </r>
  <r>
    <s v="60.02"/>
    <x v="112"/>
    <x v="245"/>
    <s v="Списание с расчетного счета 00БП-007146 от 24.11.2022 12:50:24"/>
    <s v="24.11.22"/>
    <n v="650"/>
    <m/>
    <n v="1"/>
    <d v="2022-11-24T00:00:00"/>
    <n v="1193"/>
    <x v="5"/>
    <x v="1"/>
    <x v="0"/>
    <x v="8"/>
    <m/>
    <m/>
    <m/>
  </r>
  <r>
    <s v="60.02"/>
    <x v="113"/>
    <x v="246"/>
    <s v="Списание с расчетного счета 00БП-009047 от 02.12.2025 15:08:42"/>
    <s v="02.12.25"/>
    <n v="64916"/>
    <m/>
    <n v="1"/>
    <d v="2025-12-02T00:00:00"/>
    <n v="89"/>
    <x v="1"/>
    <x v="1"/>
    <x v="0"/>
    <x v="0"/>
    <m/>
    <m/>
    <m/>
  </r>
  <r>
    <s v="60.02"/>
    <x v="114"/>
    <x v="247"/>
    <s v="Списание с расчетного счета 00БП-005942 от 21.08.2025 17:24:54"/>
    <s v="21.08.25"/>
    <n v="1117.75"/>
    <m/>
    <n v="1"/>
    <d v="2025-08-21T00:00:00"/>
    <n v="192"/>
    <x v="3"/>
    <x v="1"/>
    <x v="0"/>
    <x v="0"/>
    <m/>
    <m/>
    <m/>
  </r>
  <r>
    <s v="60.02"/>
    <x v="115"/>
    <x v="248"/>
    <s v="Списание с расчетного счета 00БП-003974 от 19.06.2025 19:28:37"/>
    <s v="19.06.25"/>
    <n v="8840"/>
    <m/>
    <n v="1"/>
    <d v="2025-06-19T00:00:00"/>
    <n v="255"/>
    <x v="3"/>
    <x v="1"/>
    <x v="0"/>
    <x v="8"/>
    <m/>
    <m/>
    <m/>
  </r>
  <r>
    <s v="60.02"/>
    <x v="115"/>
    <x v="249"/>
    <s v="Списание с расчетного счета 00БП-000283 от 10.02.2026 17:01:18"/>
    <s v="10.02.26"/>
    <n v="192230"/>
    <m/>
    <n v="1"/>
    <d v="2026-02-10T00:00:00"/>
    <n v="19"/>
    <x v="2"/>
    <x v="1"/>
    <x v="0"/>
    <x v="0"/>
    <m/>
    <m/>
    <m/>
  </r>
  <r>
    <s v="60.02"/>
    <x v="115"/>
    <x v="250"/>
    <s v="Списание с расчетного счета 00БП-000352 от 13.02.2026 17:04:21"/>
    <s v="13.02.26"/>
    <n v="850000"/>
    <m/>
    <n v="1"/>
    <d v="2026-02-13T00:00:00"/>
    <n v="16"/>
    <x v="2"/>
    <x v="1"/>
    <x v="0"/>
    <x v="0"/>
    <m/>
    <m/>
    <m/>
  </r>
  <r>
    <s v="60.02"/>
    <x v="115"/>
    <x v="251"/>
    <s v="Списание с расчетного счета 00БП-000351 от 13.02.2026 17:04:20"/>
    <s v="13.02.26"/>
    <n v="850000"/>
    <m/>
    <n v="1"/>
    <d v="2026-02-13T00:00:00"/>
    <n v="16"/>
    <x v="2"/>
    <x v="1"/>
    <x v="0"/>
    <x v="0"/>
    <m/>
    <m/>
    <m/>
  </r>
  <r>
    <s v="60.02"/>
    <x v="115"/>
    <x v="252"/>
    <s v="Списание с расчетного счета 00БП-000404 от 18.02.2026 12:00:06"/>
    <s v="18.02.26"/>
    <n v="850000"/>
    <m/>
    <n v="1"/>
    <d v="2026-02-18T00:00:00"/>
    <n v="11"/>
    <x v="2"/>
    <x v="1"/>
    <x v="0"/>
    <x v="0"/>
    <m/>
    <m/>
    <m/>
  </r>
  <r>
    <s v="60.02"/>
    <x v="115"/>
    <x v="253"/>
    <s v="Списание с расчетного счета 00БП-000445 от 24.02.2026 17:53:01"/>
    <s v="24.02.26"/>
    <n v="850000"/>
    <m/>
    <n v="1"/>
    <d v="2026-02-24T00:00:00"/>
    <n v="5"/>
    <x v="2"/>
    <x v="1"/>
    <x v="0"/>
    <x v="0"/>
    <m/>
    <m/>
    <m/>
  </r>
  <r>
    <s v="60.02"/>
    <x v="115"/>
    <x v="254"/>
    <s v="Списание с расчетного счета 00БП-006898 от 24.09.2025 18:36:00"/>
    <s v="24.09.25"/>
    <n v="56500"/>
    <m/>
    <n v="1"/>
    <d v="2025-09-24T00:00:00"/>
    <n v="158"/>
    <x v="0"/>
    <x v="1"/>
    <x v="0"/>
    <x v="8"/>
    <m/>
    <m/>
    <m/>
  </r>
  <r>
    <s v="60.02"/>
    <x v="115"/>
    <x v="255"/>
    <s v="Списание с расчетного счета 00БП-008458 от 14.11.2025 15:50:55"/>
    <s v="14.11.25"/>
    <n v="500000"/>
    <m/>
    <n v="1"/>
    <d v="2025-11-14T00:00:00"/>
    <n v="107"/>
    <x v="4"/>
    <x v="1"/>
    <x v="0"/>
    <x v="15"/>
    <m/>
    <m/>
    <m/>
  </r>
  <r>
    <s v="60.02"/>
    <x v="115"/>
    <x v="256"/>
    <s v="Списание с расчетного счета 00БП-008863 от 20.11.2025 17:08:38"/>
    <s v="20.11.25"/>
    <n v="132000"/>
    <m/>
    <n v="1"/>
    <d v="2025-11-20T00:00:00"/>
    <n v="101"/>
    <x v="4"/>
    <x v="1"/>
    <x v="0"/>
    <x v="15"/>
    <m/>
    <m/>
    <m/>
  </r>
  <r>
    <s v="60.02"/>
    <x v="115"/>
    <x v="257"/>
    <s v="Списание с расчетного счета 00БП-009199 от 15.12.2025 12:52:28"/>
    <s v="15.12.25"/>
    <n v="36000"/>
    <m/>
    <n v="1"/>
    <d v="2025-12-15T00:00:00"/>
    <n v="76"/>
    <x v="1"/>
    <x v="1"/>
    <x v="0"/>
    <x v="0"/>
    <m/>
    <m/>
    <m/>
  </r>
  <r>
    <s v="60.02"/>
    <x v="116"/>
    <x v="258"/>
    <s v="Списание с расчетного счета 00БП-003861 от 16.06.2025 18:31:26"/>
    <s v="16.06.25"/>
    <n v="1.8"/>
    <m/>
    <n v="1"/>
    <d v="2025-06-16T00:00:00"/>
    <n v="258"/>
    <x v="3"/>
    <x v="1"/>
    <x v="0"/>
    <x v="0"/>
    <m/>
    <m/>
    <m/>
  </r>
  <r>
    <s v="60.02"/>
    <x v="117"/>
    <x v="259"/>
    <s v="Списание с расчетного счета 00БП-000262 от 05.02.2026 22:16:21"/>
    <s v="05.02.26"/>
    <n v="21362245.34"/>
    <m/>
    <n v="1"/>
    <d v="2026-02-05T00:00:00"/>
    <n v="24"/>
    <x v="2"/>
    <x v="1"/>
    <x v="0"/>
    <x v="0"/>
    <m/>
    <m/>
    <m/>
  </r>
  <r>
    <s v="60.02"/>
    <x v="118"/>
    <x v="260"/>
    <s v="Списание с расчетного счета 00БП-006932 от 25.09.2025 17:23:28"/>
    <s v="25.09.25"/>
    <n v="21420"/>
    <m/>
    <n v="1"/>
    <d v="2025-09-25T00:00:00"/>
    <n v="157"/>
    <x v="0"/>
    <x v="1"/>
    <x v="0"/>
    <x v="0"/>
    <m/>
    <m/>
    <m/>
  </r>
  <r>
    <s v="60.02"/>
    <x v="118"/>
    <x v="261"/>
    <s v="Списание с расчетного счета 00БП-006934 от 25.09.2025 17:23:30"/>
    <s v="25.09.25"/>
    <n v="26000"/>
    <m/>
    <n v="1"/>
    <d v="2025-09-25T00:00:00"/>
    <n v="157"/>
    <x v="0"/>
    <x v="1"/>
    <x v="0"/>
    <x v="0"/>
    <m/>
    <m/>
    <m/>
  </r>
  <r>
    <s v="60.02"/>
    <x v="119"/>
    <x v="262"/>
    <s v="Списание с расчетного счета 00БП-005868 от 01.10.2023 17:17:54"/>
    <s v="01.10.23"/>
    <n v="11834"/>
    <m/>
    <n v="1"/>
    <d v="2023-10-01T00:00:00"/>
    <n v="882"/>
    <x v="5"/>
    <x v="1"/>
    <x v="0"/>
    <x v="8"/>
    <m/>
    <m/>
    <m/>
  </r>
  <r>
    <s v="60.02"/>
    <x v="120"/>
    <x v="263"/>
    <s v="Списание с расчетного счета 00БП-000212 от 03.02.2026 14:13:44"/>
    <s v="03.02.26"/>
    <n v="47390"/>
    <m/>
    <n v="1"/>
    <d v="2026-02-03T00:00:00"/>
    <n v="26"/>
    <x v="2"/>
    <x v="1"/>
    <x v="0"/>
    <x v="0"/>
    <m/>
    <m/>
    <m/>
  </r>
  <r>
    <s v="60.02"/>
    <x v="121"/>
    <x v="264"/>
    <s v="Списание с расчетного счета 00БП-000148 от 28.01.2026 12:00:04"/>
    <s v="28.01.26"/>
    <n v="157500"/>
    <m/>
    <n v="1"/>
    <d v="2026-01-28T00:00:00"/>
    <n v="32"/>
    <x v="1"/>
    <x v="1"/>
    <x v="0"/>
    <x v="0"/>
    <m/>
    <m/>
    <m/>
  </r>
  <r>
    <s v="60.02"/>
    <x v="122"/>
    <x v="265"/>
    <s v="Списание с расчетного счета 00БП-005897 от 19.08.2025 21:00:40"/>
    <s v="19.08.25"/>
    <n v="3000"/>
    <m/>
    <n v="1"/>
    <d v="2025-08-19T00:00:00"/>
    <n v="194"/>
    <x v="3"/>
    <x v="1"/>
    <x v="0"/>
    <x v="0"/>
    <m/>
    <m/>
    <m/>
  </r>
  <r>
    <s v="60.02"/>
    <x v="122"/>
    <x v="266"/>
    <s v="Списание с расчетного счета 00БП-003521 от 03.07.2023 19:02:19"/>
    <s v="03.07.23"/>
    <n v="9250"/>
    <m/>
    <n v="1"/>
    <d v="2023-07-03T00:00:00"/>
    <n v="972"/>
    <x v="5"/>
    <x v="1"/>
    <x v="0"/>
    <x v="8"/>
    <m/>
    <m/>
    <m/>
  </r>
  <r>
    <s v="60.02"/>
    <x v="122"/>
    <x v="267"/>
    <s v="Списание с расчетного счета 00БП-005527 от 18.09.2023 19:05:35"/>
    <s v="18.09.23"/>
    <n v="4996"/>
    <m/>
    <n v="1"/>
    <d v="2023-09-18T00:00:00"/>
    <n v="895"/>
    <x v="5"/>
    <x v="1"/>
    <x v="0"/>
    <x v="8"/>
    <m/>
    <m/>
    <m/>
  </r>
  <r>
    <s v="60.02"/>
    <x v="122"/>
    <x v="268"/>
    <s v="Списание с расчетного счета 00БП-003633 от 13.06.2024 19:28:05"/>
    <s v="13.06.24"/>
    <n v="3100"/>
    <m/>
    <n v="1"/>
    <d v="2024-06-13T00:00:00"/>
    <n v="626"/>
    <x v="5"/>
    <x v="1"/>
    <x v="0"/>
    <x v="8"/>
    <m/>
    <m/>
    <m/>
  </r>
  <r>
    <s v="60.02"/>
    <x v="122"/>
    <x v="269"/>
    <s v="Списание с расчетного счета 00БП-007285 от 22.11.2023 15:47:11"/>
    <s v="22.11.23"/>
    <n v="2640"/>
    <m/>
    <n v="1"/>
    <d v="2023-11-22T00:00:00"/>
    <n v="830"/>
    <x v="5"/>
    <x v="1"/>
    <x v="0"/>
    <x v="8"/>
    <m/>
    <m/>
    <m/>
  </r>
  <r>
    <s v="60.02"/>
    <x v="122"/>
    <x v="270"/>
    <s v="Списание с расчетного счета 00БП-000253 от 05.02.2026 22:16:12"/>
    <s v="05.02.26"/>
    <n v="71968"/>
    <m/>
    <n v="1"/>
    <d v="2026-02-05T00:00:00"/>
    <n v="24"/>
    <x v="2"/>
    <x v="1"/>
    <x v="0"/>
    <x v="0"/>
    <m/>
    <m/>
    <m/>
  </r>
  <r>
    <s v="60.02"/>
    <x v="122"/>
    <x v="271"/>
    <s v="Списание с расчетного счета 00БП-000255 от 05.02.2026 22:16:14"/>
    <s v="05.02.26"/>
    <n v="129179"/>
    <m/>
    <n v="1"/>
    <d v="2026-02-05T00:00:00"/>
    <n v="24"/>
    <x v="2"/>
    <x v="1"/>
    <x v="0"/>
    <x v="0"/>
    <m/>
    <m/>
    <m/>
  </r>
  <r>
    <s v="60.02"/>
    <x v="122"/>
    <x v="272"/>
    <s v="Списание с расчетного счета 00БП-000254 от 05.02.2026 22:16:13"/>
    <s v="05.02.26"/>
    <n v="120800"/>
    <m/>
    <n v="1"/>
    <d v="2026-02-05T00:00:00"/>
    <n v="24"/>
    <x v="2"/>
    <x v="1"/>
    <x v="0"/>
    <x v="0"/>
    <m/>
    <m/>
    <m/>
  </r>
  <r>
    <s v="60.02"/>
    <x v="122"/>
    <x v="273"/>
    <s v="Списание с расчетного счета 00БП-000249 от 05.02.2026 22:16:08"/>
    <s v="05.02.26"/>
    <n v="13490"/>
    <m/>
    <n v="1"/>
    <d v="2026-02-05T00:00:00"/>
    <n v="24"/>
    <x v="2"/>
    <x v="1"/>
    <x v="0"/>
    <x v="0"/>
    <m/>
    <m/>
    <m/>
  </r>
  <r>
    <s v="60.02"/>
    <x v="122"/>
    <x v="274"/>
    <s v="Списание с расчетного счета 00БП-000282 от 10.02.2026 17:01:17"/>
    <s v="10.02.26"/>
    <n v="53809"/>
    <m/>
    <n v="1"/>
    <d v="2026-02-10T00:00:00"/>
    <n v="19"/>
    <x v="2"/>
    <x v="1"/>
    <x v="0"/>
    <x v="0"/>
    <m/>
    <m/>
    <m/>
  </r>
  <r>
    <s v="60.02"/>
    <x v="122"/>
    <x v="275"/>
    <s v="Списание с расчетного счета 00БП-000382 от 16.02.2026 17:22:06"/>
    <s v="16.02.26"/>
    <n v="7200"/>
    <m/>
    <n v="1"/>
    <d v="2026-02-16T00:00:00"/>
    <n v="13"/>
    <x v="2"/>
    <x v="1"/>
    <x v="0"/>
    <x v="0"/>
    <m/>
    <m/>
    <m/>
  </r>
  <r>
    <s v="60.02"/>
    <x v="122"/>
    <x v="276"/>
    <s v="Списание с расчетного счета 00БП-000469 от 25.02.2026 17:39:32"/>
    <s v="25.02.26"/>
    <n v="52079"/>
    <m/>
    <n v="1"/>
    <d v="2026-02-25T00:00:00"/>
    <n v="4"/>
    <x v="2"/>
    <x v="1"/>
    <x v="0"/>
    <x v="0"/>
    <m/>
    <m/>
    <m/>
  </r>
  <r>
    <s v="60.02"/>
    <x v="122"/>
    <x v="277"/>
    <s v="Списание с расчетного счета 00БП-002403 от 06.05.2025 20:09:56"/>
    <s v="06.05.25"/>
    <n v="22290"/>
    <m/>
    <n v="1"/>
    <d v="2025-05-06T00:00:00"/>
    <n v="299"/>
    <x v="6"/>
    <x v="1"/>
    <x v="0"/>
    <x v="8"/>
    <m/>
    <m/>
    <m/>
  </r>
  <r>
    <s v="60.02"/>
    <x v="122"/>
    <x v="277"/>
    <s v="Корректировка поступления 00БП-000026 от 30.09.2025 10:00:00"/>
    <s v="30.09.25"/>
    <n v="2000"/>
    <m/>
    <n v="1"/>
    <d v="2025-09-30T00:00:00"/>
    <n v="152"/>
    <x v="0"/>
    <x v="1"/>
    <x v="0"/>
    <x v="0"/>
    <m/>
    <m/>
    <m/>
  </r>
  <r>
    <s v="60.02"/>
    <x v="122"/>
    <x v="277"/>
    <s v="Корректировка поступления 00БП-000033 от 01.12.2025 20:43:05"/>
    <s v="01.12.25"/>
    <n v="4100"/>
    <m/>
    <n v="1"/>
    <d v="2025-12-01T00:00:00"/>
    <n v="90"/>
    <x v="1"/>
    <x v="1"/>
    <x v="0"/>
    <x v="0"/>
    <m/>
    <m/>
    <m/>
  </r>
  <r>
    <s v="60.02"/>
    <x v="122"/>
    <x v="278"/>
    <s v="Списание с расчетного счета 00БП-005980 от 25.08.2025 20:08:28"/>
    <s v="25.08.25"/>
    <n v="3000"/>
    <m/>
    <n v="1"/>
    <d v="2025-08-25T00:00:00"/>
    <n v="188"/>
    <x v="3"/>
    <x v="1"/>
    <x v="0"/>
    <x v="0"/>
    <m/>
    <m/>
    <m/>
  </r>
  <r>
    <s v="60.02"/>
    <x v="122"/>
    <x v="279"/>
    <s v="Списание с расчетного счета 00БП-006199 от 29.08.2025 23:56:43"/>
    <s v="29.08.25"/>
    <n v="29300"/>
    <m/>
    <n v="1"/>
    <d v="2025-08-29T00:00:00"/>
    <n v="184"/>
    <x v="3"/>
    <x v="1"/>
    <x v="0"/>
    <x v="0"/>
    <m/>
    <m/>
    <m/>
  </r>
  <r>
    <s v="60.02"/>
    <x v="123"/>
    <x v="280"/>
    <s v="Списание с расчетного счета 00БП-001303 от 06.04.2023 19:01:54"/>
    <s v="06.04.23"/>
    <n v="2400"/>
    <m/>
    <n v="1"/>
    <d v="2023-04-06T00:00:00"/>
    <n v="1060"/>
    <x v="5"/>
    <x v="1"/>
    <x v="0"/>
    <x v="8"/>
    <m/>
    <m/>
    <m/>
  </r>
  <r>
    <s v="60.02"/>
    <x v="123"/>
    <x v="281"/>
    <s v="Списание с расчетного счета 00БП-005944 от 04.10.2023 23:59:59"/>
    <s v="04.10.23"/>
    <n v="22029"/>
    <m/>
    <n v="1"/>
    <d v="2023-10-04T00:00:00"/>
    <n v="879"/>
    <x v="5"/>
    <x v="1"/>
    <x v="0"/>
    <x v="8"/>
    <m/>
    <m/>
    <m/>
  </r>
  <r>
    <s v="60.02"/>
    <x v="124"/>
    <x v="238"/>
    <s v="Списание с расчетного счета 00БП-003627 от 02.08.2019 16:20:39"/>
    <s v="02.08.19"/>
    <n v="270"/>
    <m/>
    <n v="1"/>
    <d v="2019-08-02T00:00:00"/>
    <n v="2403"/>
    <x v="5"/>
    <x v="1"/>
    <x v="0"/>
    <x v="8"/>
    <m/>
    <m/>
    <m/>
  </r>
  <r>
    <s v="60.02"/>
    <x v="125"/>
    <x v="282"/>
    <s v="Списание с расчетного счета 00БП-006359 от 09.09.2025 23:59:59"/>
    <s v="09.09.25"/>
    <n v="479100"/>
    <m/>
    <n v="1"/>
    <d v="2025-09-09T00:00:00"/>
    <n v="173"/>
    <x v="0"/>
    <x v="1"/>
    <x v="0"/>
    <x v="0"/>
    <m/>
    <m/>
    <m/>
  </r>
  <r>
    <s v="60.02"/>
    <x v="125"/>
    <x v="283"/>
    <s v="Списание с расчетного счета 00БП-007633 от 13.10.2025 18:15:50"/>
    <s v="13.10.25"/>
    <n v="855000"/>
    <m/>
    <n v="1"/>
    <d v="2025-10-13T00:00:00"/>
    <n v="139"/>
    <x v="0"/>
    <x v="1"/>
    <x v="0"/>
    <x v="0"/>
    <m/>
    <m/>
    <m/>
  </r>
  <r>
    <s v="60.02"/>
    <x v="125"/>
    <x v="284"/>
    <s v="Списание с расчетного счета 00БП-000151 от 28.01.2026 12:00:07"/>
    <s v="28.01.26"/>
    <n v="4479987"/>
    <m/>
    <n v="1"/>
    <d v="2026-01-28T00:00:00"/>
    <n v="32"/>
    <x v="1"/>
    <x v="1"/>
    <x v="0"/>
    <x v="0"/>
    <m/>
    <m/>
    <m/>
  </r>
  <r>
    <s v="60.02"/>
    <x v="126"/>
    <x v="285"/>
    <s v="Списание с расчетного счета 00БП-000183 от 29.01.2026 11:53:14"/>
    <s v="29.01.26"/>
    <n v="207200"/>
    <m/>
    <n v="1"/>
    <d v="2026-01-29T00:00:00"/>
    <n v="31"/>
    <x v="1"/>
    <x v="1"/>
    <x v="0"/>
    <x v="0"/>
    <m/>
    <m/>
    <m/>
  </r>
  <r>
    <s v="60.02"/>
    <x v="127"/>
    <x v="286"/>
    <s v="Списание с расчетного счета 00БП-007823 от 21.10.2025 17:30:34"/>
    <s v="21.10.25"/>
    <n v="380000"/>
    <m/>
    <n v="1"/>
    <d v="2025-10-21T00:00:00"/>
    <n v="131"/>
    <x v="0"/>
    <x v="1"/>
    <x v="0"/>
    <x v="0"/>
    <m/>
    <m/>
    <m/>
  </r>
  <r>
    <s v="60.02"/>
    <x v="127"/>
    <x v="287"/>
    <s v="Корректировка долга 00БП-000037 от 10.04.2024 10:00:00"/>
    <s v="10.04.24"/>
    <n v="37500"/>
    <m/>
    <n v="1"/>
    <d v="2024-04-10T00:00:00"/>
    <n v="690"/>
    <x v="5"/>
    <x v="1"/>
    <x v="0"/>
    <x v="2"/>
    <m/>
    <m/>
    <m/>
  </r>
  <r>
    <s v="60.02"/>
    <x v="127"/>
    <x v="288"/>
    <s v="Списание с расчетного счета 00БП-000260 от 05.02.2026 22:16:19"/>
    <s v="05.02.26"/>
    <n v="6402046.9900000002"/>
    <m/>
    <n v="1"/>
    <d v="2026-02-05T00:00:00"/>
    <n v="24"/>
    <x v="2"/>
    <x v="1"/>
    <x v="0"/>
    <x v="0"/>
    <m/>
    <m/>
    <m/>
  </r>
  <r>
    <s v="60.02"/>
    <x v="127"/>
    <x v="289"/>
    <s v="Списание с расчетного счета 00БП-009162 от 11.12.2025 10:37:37"/>
    <s v="11.12.25"/>
    <n v="10495159.01"/>
    <m/>
    <n v="1"/>
    <d v="2025-12-11T00:00:00"/>
    <n v="80"/>
    <x v="1"/>
    <x v="1"/>
    <x v="0"/>
    <x v="0"/>
    <m/>
    <m/>
    <m/>
  </r>
  <r>
    <s v="60.02"/>
    <x v="128"/>
    <x v="290"/>
    <s v="Списание с расчетного счета 00БП-007249 от 02.10.2025 17:21:04"/>
    <s v="02.10.25"/>
    <n v="700232.5"/>
    <m/>
    <n v="1"/>
    <d v="2025-10-02T00:00:00"/>
    <n v="150"/>
    <x v="0"/>
    <x v="1"/>
    <x v="0"/>
    <x v="0"/>
    <m/>
    <m/>
    <m/>
  </r>
  <r>
    <s v="60.02"/>
    <x v="128"/>
    <x v="290"/>
    <s v="Списание с расчетного счета 00БП-009213 от 16.12.2025 12:00:04"/>
    <s v="16.12.25"/>
    <n v="700232.5"/>
    <m/>
    <n v="1"/>
    <d v="2025-12-16T00:00:00"/>
    <n v="75"/>
    <x v="1"/>
    <x v="1"/>
    <x v="0"/>
    <x v="0"/>
    <m/>
    <m/>
    <m/>
  </r>
  <r>
    <s v="60.02"/>
    <x v="128"/>
    <x v="290"/>
    <s v="Списание с расчетного счета 00БП-000116 от 26.01.2026 12:00:03"/>
    <s v="26.01.26"/>
    <n v="1017148"/>
    <m/>
    <n v="1"/>
    <d v="2026-01-26T00:00:00"/>
    <n v="34"/>
    <x v="1"/>
    <x v="1"/>
    <x v="0"/>
    <x v="0"/>
    <m/>
    <m/>
    <m/>
  </r>
  <r>
    <s v="60.02"/>
    <x v="129"/>
    <x v="291"/>
    <s v="Списание с расчетного счета 00БП-000192 от 30.01.2026 12:00:04"/>
    <s v="30.01.26"/>
    <n v="585500"/>
    <m/>
    <n v="1"/>
    <d v="2026-01-30T00:00:00"/>
    <n v="30"/>
    <x v="2"/>
    <x v="1"/>
    <x v="0"/>
    <x v="0"/>
    <m/>
    <m/>
    <m/>
  </r>
  <r>
    <s v="60.02"/>
    <x v="129"/>
    <x v="291"/>
    <s v="Списание с расчетного счета 00БП-000384 от 16.02.2026 17:22:08"/>
    <s v="16.02.26"/>
    <n v="585500"/>
    <m/>
    <n v="1"/>
    <d v="2026-02-16T00:00:00"/>
    <n v="13"/>
    <x v="2"/>
    <x v="1"/>
    <x v="0"/>
    <x v="0"/>
    <m/>
    <m/>
    <m/>
  </r>
  <r>
    <s v="60.02"/>
    <x v="130"/>
    <x v="292"/>
    <s v="Списание с расчетного счета 00БП-006936 от 25.09.2025 17:23:32"/>
    <s v="25.09.25"/>
    <n v="38030"/>
    <m/>
    <n v="1"/>
    <d v="2025-09-25T00:00:00"/>
    <n v="157"/>
    <x v="0"/>
    <x v="1"/>
    <x v="0"/>
    <x v="0"/>
    <m/>
    <m/>
    <m/>
  </r>
  <r>
    <s v="60.02"/>
    <x v="130"/>
    <x v="293"/>
    <s v="Списание с расчетного счета 00БП-007196 от 01.10.2025 20:24:06"/>
    <s v="01.10.25"/>
    <n v="25650"/>
    <m/>
    <n v="1"/>
    <d v="2025-10-01T00:00:00"/>
    <n v="151"/>
    <x v="0"/>
    <x v="1"/>
    <x v="0"/>
    <x v="0"/>
    <m/>
    <m/>
    <m/>
  </r>
  <r>
    <s v="60.02"/>
    <x v="130"/>
    <x v="294"/>
    <s v="Списание с расчетного счета 00БП-000115 от 26.01.2026 12:00:02"/>
    <s v="26.01.26"/>
    <n v="91850"/>
    <m/>
    <n v="1"/>
    <d v="2026-01-26T00:00:00"/>
    <n v="34"/>
    <x v="1"/>
    <x v="1"/>
    <x v="0"/>
    <x v="0"/>
    <m/>
    <m/>
    <m/>
  </r>
  <r>
    <s v="60.02"/>
    <x v="130"/>
    <x v="295"/>
    <s v="Списание с расчетного счета 00БП-001221 от 02.04.2025 17:47:06"/>
    <s v="02.04.25"/>
    <n v="14000"/>
    <m/>
    <n v="1"/>
    <d v="2025-04-02T00:00:00"/>
    <n v="333"/>
    <x v="6"/>
    <x v="1"/>
    <x v="0"/>
    <x v="2"/>
    <m/>
    <m/>
    <m/>
  </r>
  <r>
    <s v="60.02"/>
    <x v="131"/>
    <x v="296"/>
    <s v="Списание с расчетного счета 00БП-008819 от 19.11.2025 18:05:01"/>
    <s v="19.11.25"/>
    <n v="2000"/>
    <m/>
    <n v="1"/>
    <d v="2025-11-19T00:00:00"/>
    <n v="102"/>
    <x v="4"/>
    <x v="1"/>
    <x v="0"/>
    <x v="0"/>
    <m/>
    <m/>
    <m/>
  </r>
  <r>
    <s v="60.02"/>
    <x v="132"/>
    <x v="297"/>
    <s v="Списание с расчетного счета 00БП-000251 от 05.02.2026 22:16:10"/>
    <s v="05.02.26"/>
    <n v="37607.5"/>
    <m/>
    <n v="1"/>
    <d v="2026-02-05T00:00:00"/>
    <n v="24"/>
    <x v="2"/>
    <x v="1"/>
    <x v="0"/>
    <x v="0"/>
    <m/>
    <m/>
    <m/>
  </r>
  <r>
    <s v="60.02"/>
    <x v="132"/>
    <x v="298"/>
    <s v="Списание с расчетного счета 00БП-000257 от 05.02.2026 22:16:16"/>
    <s v="05.02.26"/>
    <n v="313445"/>
    <m/>
    <n v="1"/>
    <d v="2026-02-05T00:00:00"/>
    <n v="24"/>
    <x v="2"/>
    <x v="1"/>
    <x v="0"/>
    <x v="0"/>
    <m/>
    <m/>
    <m/>
  </r>
  <r>
    <s v="60.02"/>
    <x v="133"/>
    <x v="299"/>
    <s v="Списание с расчетного счета 00БП-000187 от 29.01.2026 11:53:18"/>
    <s v="29.01.26"/>
    <n v="3115745.29"/>
    <m/>
    <n v="1"/>
    <d v="2026-01-29T00:00:00"/>
    <n v="31"/>
    <x v="1"/>
    <x v="1"/>
    <x v="0"/>
    <x v="0"/>
    <m/>
    <m/>
    <m/>
  </r>
  <r>
    <s v="60.02"/>
    <x v="134"/>
    <x v="300"/>
    <s v="Списание с расчетного счета 00БП-000259 от 05.02.2026 22:16:18"/>
    <s v="05.02.26"/>
    <n v="6244997.5"/>
    <m/>
    <n v="1"/>
    <d v="2026-02-05T00:00:00"/>
    <n v="24"/>
    <x v="2"/>
    <x v="1"/>
    <x v="0"/>
    <x v="0"/>
    <m/>
    <m/>
    <m/>
  </r>
  <r>
    <s v="60.02"/>
    <x v="135"/>
    <x v="301"/>
    <s v="Списание с расчетного счета 00БП-000496 от 26.02.2026 17:17:26"/>
    <s v="26.02.26"/>
    <n v="53800"/>
    <m/>
    <n v="1"/>
    <d v="2026-02-26T00:00:00"/>
    <n v="3"/>
    <x v="2"/>
    <x v="1"/>
    <x v="0"/>
    <x v="0"/>
    <m/>
    <m/>
    <m/>
  </r>
  <r>
    <s v="60.02"/>
    <x v="136"/>
    <x v="302"/>
    <s v="Списание с расчетного счета 00БП-000191 от 30.01.2026 12:00:03"/>
    <s v="30.01.26"/>
    <n v="561194"/>
    <m/>
    <n v="1"/>
    <d v="2026-01-30T00:00:00"/>
    <n v="30"/>
    <x v="2"/>
    <x v="1"/>
    <x v="0"/>
    <x v="0"/>
    <m/>
    <m/>
    <m/>
  </r>
  <r>
    <s v="60.02"/>
    <x v="137"/>
    <x v="303"/>
    <s v="Списание с расчетного счета 00БП-000703 от 13.03.2025 18:55:48"/>
    <s v="13.03.25"/>
    <n v="252667.4"/>
    <m/>
    <n v="1"/>
    <d v="2025-03-13T00:00:00"/>
    <n v="353"/>
    <x v="6"/>
    <x v="1"/>
    <x v="0"/>
    <x v="16"/>
    <m/>
    <m/>
    <m/>
  </r>
  <r>
    <s v="60.02"/>
    <x v="138"/>
    <x v="304"/>
    <m/>
    <m/>
    <n v="400000"/>
    <m/>
    <n v="1"/>
    <d v="1899-12-30T00:00:00"/>
    <n v="46082"/>
    <x v="5"/>
    <x v="1"/>
    <x v="0"/>
    <x v="17"/>
    <m/>
    <s v="Геологический отдел"/>
    <m/>
  </r>
  <r>
    <s v="60.02"/>
    <x v="139"/>
    <x v="305"/>
    <s v="Списание с расчетного счета 00БП-008191 от 05.11.2025 17:00:33"/>
    <s v="05.11.25"/>
    <n v="225706.72"/>
    <m/>
    <n v="1"/>
    <d v="2025-11-05T00:00:00"/>
    <n v="116"/>
    <x v="4"/>
    <x v="1"/>
    <x v="0"/>
    <x v="0"/>
    <m/>
    <m/>
    <m/>
  </r>
  <r>
    <s v="60.02"/>
    <x v="139"/>
    <x v="306"/>
    <s v="Списание с расчетного счета 00БП-008184 от 05.11.2025 17:00:26"/>
    <s v="05.11.25"/>
    <n v="154485.6"/>
    <m/>
    <n v="1"/>
    <d v="2025-11-05T00:00:00"/>
    <n v="116"/>
    <x v="4"/>
    <x v="1"/>
    <x v="0"/>
    <x v="0"/>
    <m/>
    <m/>
    <m/>
  </r>
  <r>
    <s v="60.02"/>
    <x v="140"/>
    <x v="307"/>
    <s v="Списание с расчетного счета 00БП-000142 от 27.01.2026 15:05:20"/>
    <s v="27.01.26"/>
    <n v="2403856.33"/>
    <m/>
    <n v="1"/>
    <d v="2026-01-27T00:00:00"/>
    <n v="33"/>
    <x v="1"/>
    <x v="1"/>
    <x v="0"/>
    <x v="0"/>
    <m/>
    <m/>
    <m/>
  </r>
  <r>
    <s v="60.02"/>
    <x v="141"/>
    <x v="308"/>
    <s v="Списание с расчетного счета 00БП-001386 от 08.04.2025 23:49:32"/>
    <s v="08.04.25"/>
    <n v="31000"/>
    <m/>
    <n v="1"/>
    <d v="2025-04-08T00:00:00"/>
    <n v="327"/>
    <x v="6"/>
    <x v="1"/>
    <x v="0"/>
    <x v="8"/>
    <m/>
    <m/>
    <m/>
  </r>
  <r>
    <s v="60.02"/>
    <x v="142"/>
    <x v="309"/>
    <s v="Списание с расчетного счета 00БП-001145 от 31.03.2025 23:59:59"/>
    <s v="31.03.25"/>
    <n v="32000"/>
    <m/>
    <n v="1"/>
    <d v="2025-03-31T00:00:00"/>
    <n v="335"/>
    <x v="6"/>
    <x v="1"/>
    <x v="0"/>
    <x v="8"/>
    <m/>
    <m/>
    <m/>
  </r>
  <r>
    <s v="60.02"/>
    <x v="143"/>
    <x v="310"/>
    <s v="Списание с расчетного счета 00БП-006763 от 17.09.2025 19:43:15"/>
    <s v="17.09.25"/>
    <n v="214283.5"/>
    <m/>
    <n v="1"/>
    <d v="2025-09-17T00:00:00"/>
    <n v="165"/>
    <x v="0"/>
    <x v="1"/>
    <x v="0"/>
    <x v="0"/>
    <m/>
    <m/>
    <m/>
  </r>
  <r>
    <s v="60.02"/>
    <x v="144"/>
    <x v="311"/>
    <s v="Списание с расчетного счета 00БП-000930 от 25.03.2025 17:52:15"/>
    <s v="25.03.25"/>
    <n v="20740"/>
    <m/>
    <n v="1"/>
    <d v="2025-03-25T00:00:00"/>
    <n v="341"/>
    <x v="6"/>
    <x v="1"/>
    <x v="0"/>
    <x v="2"/>
    <m/>
    <m/>
    <m/>
  </r>
  <r>
    <s v="60.02"/>
    <x v="145"/>
    <x v="312"/>
    <s v="Списание с расчетного счета 00БП-006058 от 30.08.2024 18:05:51"/>
    <s v="30.08.24"/>
    <n v="401.24"/>
    <m/>
    <n v="1"/>
    <d v="2024-08-30T00:00:00"/>
    <n v="548"/>
    <x v="5"/>
    <x v="1"/>
    <x v="0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n v="1"/>
    <d v="2024-10-08T00:00:00"/>
    <n v="509"/>
    <x v="5"/>
    <x v="1"/>
    <x v="0"/>
    <x v="18"/>
    <m/>
    <s v="Экологический отдел"/>
    <m/>
  </r>
  <r>
    <s v="60.02"/>
    <x v="146"/>
    <x v="314"/>
    <s v="Списание с расчетного счета 00БП-000184 от 29.01.2026 11:53:15"/>
    <s v="29.01.26"/>
    <n v="298776"/>
    <m/>
    <n v="1"/>
    <d v="2026-01-29T00:00:00"/>
    <n v="31"/>
    <x v="1"/>
    <x v="1"/>
    <x v="0"/>
    <x v="0"/>
    <m/>
    <m/>
    <m/>
  </r>
  <r>
    <s v="60.02"/>
    <x v="147"/>
    <x v="315"/>
    <s v="Списание с расчетного счета 00БП-000256 от 05.02.2026 22:16:15"/>
    <s v="05.02.26"/>
    <n v="215488"/>
    <m/>
    <n v="1"/>
    <d v="2026-02-05T00:00:00"/>
    <n v="24"/>
    <x v="2"/>
    <x v="1"/>
    <x v="0"/>
    <x v="0"/>
    <m/>
    <m/>
    <m/>
  </r>
  <r>
    <s v="60.02"/>
    <x v="148"/>
    <x v="238"/>
    <s v="Списание с расчетного счета 00БП-005685 от 15.08.2024 20:47:50"/>
    <s v="15.08.24"/>
    <n v="0.1"/>
    <m/>
    <n v="1"/>
    <d v="2024-08-15T00:00:00"/>
    <n v="563"/>
    <x v="5"/>
    <x v="1"/>
    <x v="0"/>
    <x v="0"/>
    <m/>
    <m/>
    <m/>
  </r>
  <r>
    <s v="60.02"/>
    <x v="149"/>
    <x v="316"/>
    <s v="Корректировка поступления 00БП-000018 от 25.10.2023 14:58:39"/>
    <s v="25.10.23"/>
    <n v="0.01"/>
    <m/>
    <n v="1"/>
    <d v="2023-10-25T00:00:00"/>
    <n v="858"/>
    <x v="5"/>
    <x v="1"/>
    <x v="0"/>
    <x v="0"/>
    <m/>
    <m/>
    <m/>
  </r>
  <r>
    <s v="60.02"/>
    <x v="149"/>
    <x v="317"/>
    <s v="Списание с расчетного счета 00БП-002336 от 05.05.2025 19:41:05"/>
    <s v="05.05.25"/>
    <n v="12461.79"/>
    <m/>
    <n v="1"/>
    <d v="2025-05-05T00:00:00"/>
    <n v="300"/>
    <x v="6"/>
    <x v="1"/>
    <x v="0"/>
    <x v="16"/>
    <m/>
    <s v="Экологический отдел"/>
    <m/>
  </r>
  <r>
    <s v="60.02"/>
    <x v="150"/>
    <x v="318"/>
    <s v="Списание с расчетного счета 00БП-000528 от 27.02.2026 17:35:37"/>
    <s v="27.02.26"/>
    <n v="162000"/>
    <m/>
    <n v="1"/>
    <d v="2026-02-27T00:00:00"/>
    <n v="2"/>
    <x v="2"/>
    <x v="1"/>
    <x v="0"/>
    <x v="0"/>
    <m/>
    <m/>
    <m/>
  </r>
  <r>
    <s v="60.02"/>
    <x v="151"/>
    <x v="319"/>
    <s v="Списание с расчетного счета 00БП-000655 от 12.03.2025 18:04:03"/>
    <s v="12.03.25"/>
    <n v="47400"/>
    <m/>
    <n v="1"/>
    <d v="2025-03-12T00:00:00"/>
    <n v="354"/>
    <x v="6"/>
    <x v="1"/>
    <x v="0"/>
    <x v="19"/>
    <m/>
    <m/>
    <m/>
  </r>
  <r>
    <s v="60.02"/>
    <x v="152"/>
    <x v="320"/>
    <s v="Списание с расчетного счета 00БП-006060 от 27.08.2025 18:30:27"/>
    <s v="27.08.25"/>
    <n v="22500"/>
    <m/>
    <n v="1"/>
    <d v="2025-08-27T00:00:00"/>
    <n v="186"/>
    <x v="3"/>
    <x v="1"/>
    <x v="0"/>
    <x v="0"/>
    <m/>
    <m/>
    <m/>
  </r>
  <r>
    <s v="60.02"/>
    <x v="153"/>
    <x v="321"/>
    <s v="Списание с расчетного счета 00БП-003382 от 04.06.2025 18:58:23"/>
    <s v="04.06.25"/>
    <n v="60000"/>
    <m/>
    <n v="1"/>
    <d v="2025-06-04T00:00:00"/>
    <n v="270"/>
    <x v="3"/>
    <x v="1"/>
    <x v="0"/>
    <x v="8"/>
    <m/>
    <m/>
    <m/>
  </r>
  <r>
    <s v="60.02"/>
    <x v="153"/>
    <x v="321"/>
    <s v="Списание с расчетного счета 00БП-008902 от 24.11.2025 16:33:52"/>
    <s v="24.11.25"/>
    <n v="140000"/>
    <m/>
    <n v="1"/>
    <d v="2025-11-24T00:00:00"/>
    <n v="97"/>
    <x v="4"/>
    <x v="1"/>
    <x v="0"/>
    <x v="0"/>
    <m/>
    <m/>
    <m/>
  </r>
  <r>
    <s v="60.02"/>
    <x v="153"/>
    <x v="322"/>
    <s v="Списание с расчетного счета 00БП-003379 от 04.06.2025 18:58:20"/>
    <s v="04.06.25"/>
    <n v="40500"/>
    <m/>
    <n v="1"/>
    <d v="2025-06-04T00:00:00"/>
    <n v="270"/>
    <x v="3"/>
    <x v="1"/>
    <x v="0"/>
    <x v="8"/>
    <m/>
    <m/>
    <m/>
  </r>
  <r>
    <s v="60.02"/>
    <x v="153"/>
    <x v="322"/>
    <s v="Списание с расчетного счета 00БП-007748 от 17.10.2025 19:36:05"/>
    <s v="17.10.25"/>
    <n v="74250"/>
    <m/>
    <n v="1"/>
    <d v="2025-10-17T00:00:00"/>
    <n v="135"/>
    <x v="0"/>
    <x v="1"/>
    <x v="0"/>
    <x v="0"/>
    <m/>
    <m/>
    <m/>
  </r>
  <r>
    <s v="60.02"/>
    <x v="153"/>
    <x v="322"/>
    <s v="Списание с расчетного счета 00БП-008900 от 24.11.2025 16:33:50"/>
    <s v="24.11.25"/>
    <n v="20250"/>
    <m/>
    <n v="1"/>
    <d v="2025-11-24T00:00:00"/>
    <n v="97"/>
    <x v="4"/>
    <x v="1"/>
    <x v="0"/>
    <x v="0"/>
    <m/>
    <m/>
    <m/>
  </r>
  <r>
    <s v="60.02"/>
    <x v="153"/>
    <x v="323"/>
    <s v="Списание с расчетного счета 00БП-004063 от 23.06.2025 18:09:41"/>
    <s v="23.06.25"/>
    <n v="90000"/>
    <m/>
    <n v="1"/>
    <d v="2025-06-23T00:00:00"/>
    <n v="251"/>
    <x v="3"/>
    <x v="1"/>
    <x v="0"/>
    <x v="8"/>
    <m/>
    <m/>
    <m/>
  </r>
  <r>
    <s v="60.02"/>
    <x v="153"/>
    <x v="323"/>
    <s v="Списание с расчетного счета 00БП-008925 от 25.11.2025 15:31:08"/>
    <s v="25.11.25"/>
    <n v="165000"/>
    <m/>
    <n v="1"/>
    <d v="2025-11-25T00:00:00"/>
    <n v="96"/>
    <x v="4"/>
    <x v="1"/>
    <x v="0"/>
    <x v="0"/>
    <m/>
    <m/>
    <m/>
  </r>
  <r>
    <s v="60.02"/>
    <x v="153"/>
    <x v="324"/>
    <s v="Списание с расчетного счета 00БП-004062 от 23.06.2025 18:09:40"/>
    <s v="23.06.25"/>
    <n v="84000"/>
    <m/>
    <n v="1"/>
    <d v="2025-06-23T00:00:00"/>
    <n v="251"/>
    <x v="3"/>
    <x v="1"/>
    <x v="0"/>
    <x v="8"/>
    <m/>
    <m/>
    <m/>
  </r>
  <r>
    <s v="60.02"/>
    <x v="154"/>
    <x v="325"/>
    <s v="Списание с расчетного счета 00БП-003903 от 17.06.2025 22:58:29"/>
    <s v="17.06.25"/>
    <n v="1165"/>
    <m/>
    <n v="1"/>
    <d v="2025-06-17T00:00:00"/>
    <n v="257"/>
    <x v="3"/>
    <x v="1"/>
    <x v="0"/>
    <x v="20"/>
    <m/>
    <m/>
    <m/>
  </r>
  <r>
    <s v="60.02"/>
    <x v="155"/>
    <x v="326"/>
    <s v="Списание с расчетного счета 00БП-005054 от 23.07.2025 20:44:19"/>
    <s v="23.07.25"/>
    <n v="9000"/>
    <m/>
    <n v="1"/>
    <d v="2025-07-23T00:00:00"/>
    <n v="221"/>
    <x v="3"/>
    <x v="1"/>
    <x v="0"/>
    <x v="8"/>
    <m/>
    <m/>
    <m/>
  </r>
  <r>
    <s v="60.02"/>
    <x v="156"/>
    <x v="327"/>
    <s v="Списание с расчетного счета 00БП-001173 от 01.04.2025 17:50:04"/>
    <s v="01.04.25"/>
    <n v="86800"/>
    <m/>
    <n v="1"/>
    <d v="2025-04-01T00:00:00"/>
    <n v="334"/>
    <x v="6"/>
    <x v="1"/>
    <x v="0"/>
    <x v="8"/>
    <m/>
    <m/>
    <m/>
  </r>
  <r>
    <s v="60.02"/>
    <x v="157"/>
    <x v="328"/>
    <s v="Списание с расчетного счета 00БП-009095 от 05.12.2025 12:00:10"/>
    <s v="05.12.25"/>
    <n v="10000000"/>
    <m/>
    <n v="1"/>
    <d v="2025-12-05T00:00:00"/>
    <n v="86"/>
    <x v="1"/>
    <x v="1"/>
    <x v="0"/>
    <x v="0"/>
    <m/>
    <m/>
    <m/>
  </r>
  <r>
    <s v="60.02"/>
    <x v="157"/>
    <x v="328"/>
    <s v="Списание с расчетного счета 00БП-000237 от 04.02.2026 16:35:16"/>
    <s v="04.02.26"/>
    <n v="20000000"/>
    <m/>
    <n v="1"/>
    <d v="2026-02-04T00:00:00"/>
    <n v="25"/>
    <x v="2"/>
    <x v="1"/>
    <x v="0"/>
    <x v="0"/>
    <m/>
    <m/>
    <m/>
  </r>
  <r>
    <s v="60.02"/>
    <x v="158"/>
    <x v="329"/>
    <s v="Списание с расчетного счета 00БП-000529 от 27.02.2026 17:35:38"/>
    <s v="27.02.26"/>
    <n v="657833.19999999995"/>
    <m/>
    <n v="1"/>
    <d v="2026-02-27T00:00:00"/>
    <n v="2"/>
    <x v="2"/>
    <x v="1"/>
    <x v="0"/>
    <x v="0"/>
    <m/>
    <m/>
    <m/>
  </r>
  <r>
    <s v="60.02"/>
    <x v="159"/>
    <x v="330"/>
    <s v="Списание с расчетного счета 00БП-000052 от 15.01.2026 14:53:19"/>
    <s v="15.01.26"/>
    <n v="819000"/>
    <m/>
    <n v="1"/>
    <d v="2026-01-15T00:00:00"/>
    <n v="45"/>
    <x v="1"/>
    <x v="1"/>
    <x v="0"/>
    <x v="0"/>
    <m/>
    <m/>
    <m/>
  </r>
  <r>
    <s v="60.02"/>
    <x v="160"/>
    <x v="331"/>
    <s v="Списание с расчетного счета 00БП-007407 от 09.10.2025 16:57:54"/>
    <s v="09.10.25"/>
    <n v="244320"/>
    <m/>
    <n v="1"/>
    <d v="2025-10-09T00:00:00"/>
    <n v="143"/>
    <x v="0"/>
    <x v="1"/>
    <x v="0"/>
    <x v="0"/>
    <m/>
    <m/>
    <m/>
  </r>
  <r>
    <s v="60.02"/>
    <x v="161"/>
    <x v="73"/>
    <s v="Авансовый отчет 00БП-000339 от 24.11.2025 12:03:37"/>
    <s v="24.11.25"/>
    <n v="3630"/>
    <m/>
    <n v="1"/>
    <d v="2025-11-24T00:00:00"/>
    <n v="97"/>
    <x v="4"/>
    <x v="1"/>
    <x v="0"/>
    <x v="0"/>
    <m/>
    <m/>
    <m/>
  </r>
  <r>
    <s v="60.02"/>
    <x v="162"/>
    <x v="332"/>
    <s v="Списание с расчетного счета 00БП-006742 от 26.10.2022 17:19:37"/>
    <s v="26.10.22"/>
    <n v="4"/>
    <m/>
    <n v="1"/>
    <d v="2022-10-26T00:00:00"/>
    <n v="1222"/>
    <x v="5"/>
    <x v="1"/>
    <x v="0"/>
    <x v="21"/>
    <m/>
    <m/>
    <m/>
  </r>
  <r>
    <s v="60.02"/>
    <x v="163"/>
    <x v="333"/>
    <s v="Списание с расчетного счета 00БП-005938 от 21.08.2025 17:24:50"/>
    <s v="21.08.25"/>
    <n v="11631.14"/>
    <m/>
    <n v="1"/>
    <d v="2025-08-21T00:00:00"/>
    <n v="192"/>
    <x v="3"/>
    <x v="1"/>
    <x v="0"/>
    <x v="0"/>
    <m/>
    <m/>
    <m/>
  </r>
  <r>
    <s v="60.02"/>
    <x v="164"/>
    <x v="334"/>
    <s v="Корректировка долга 00БП-000094 от 25.09.2025 17:23:53"/>
    <s v="25.09.25"/>
    <n v="52780.5"/>
    <m/>
    <n v="1"/>
    <d v="2025-09-25T00:00:00"/>
    <n v="157"/>
    <x v="0"/>
    <x v="1"/>
    <x v="0"/>
    <x v="0"/>
    <m/>
    <m/>
    <m/>
  </r>
  <r>
    <s v="60.02"/>
    <x v="165"/>
    <x v="335"/>
    <s v="Списание с расчетного счета 00БП-005475 от 07.08.2025 19:08:49"/>
    <s v="07.08.25"/>
    <n v="96000"/>
    <m/>
    <n v="1"/>
    <d v="2025-08-07T00:00:00"/>
    <n v="206"/>
    <x v="3"/>
    <x v="1"/>
    <x v="0"/>
    <x v="0"/>
    <m/>
    <m/>
    <m/>
  </r>
  <r>
    <s v="60.32"/>
    <x v="166"/>
    <x v="336"/>
    <s v="Списание с расчетного счета 00БП-004562 от 09.07.2025 20:21:45"/>
    <s v="09.07.25"/>
    <n v="126099.22"/>
    <m/>
    <n v="1"/>
    <d v="2025-07-09T00:00:00"/>
    <n v="235"/>
    <x v="3"/>
    <x v="1"/>
    <x v="0"/>
    <x v="0"/>
    <m/>
    <m/>
    <m/>
  </r>
  <r>
    <s v="60.32"/>
    <x v="167"/>
    <x v="337"/>
    <s v="Списание с расчетного счета 00БП-000024 от 14.01.2026 16:45:17"/>
    <s v="14.01.26"/>
    <n v="2819920.72"/>
    <m/>
    <n v="1"/>
    <d v="2026-01-14T00:00:00"/>
    <n v="46"/>
    <x v="1"/>
    <x v="1"/>
    <x v="0"/>
    <x v="0"/>
    <m/>
    <m/>
    <m/>
  </r>
  <r>
    <s v="60.32"/>
    <x v="167"/>
    <x v="338"/>
    <s v="Списание с расчетного счета 00БП-006625 от 19.09.2024 18:14:26"/>
    <s v="19.09.24"/>
    <n v="35421.75"/>
    <m/>
    <n v="1"/>
    <d v="2024-09-19T00:00:00"/>
    <n v="528"/>
    <x v="5"/>
    <x v="1"/>
    <x v="0"/>
    <x v="13"/>
    <m/>
    <m/>
    <m/>
  </r>
  <r>
    <s v="60.32"/>
    <x v="38"/>
    <x v="339"/>
    <s v="Списание с расчетного счета 00БП-006941 от 25.09.2025 17:23:37"/>
    <s v="25.09.25"/>
    <n v="4103412.84"/>
    <m/>
    <n v="1"/>
    <d v="2025-09-25T00:00:00"/>
    <n v="157"/>
    <x v="0"/>
    <x v="1"/>
    <x v="0"/>
    <x v="0"/>
    <m/>
    <m/>
    <m/>
  </r>
  <r>
    <s v="60.32"/>
    <x v="38"/>
    <x v="340"/>
    <s v="Списание с расчетного счета 00БП-007817 от 21.10.2025 17:30:28"/>
    <s v="21.10.25"/>
    <n v="81774.75"/>
    <m/>
    <n v="1"/>
    <d v="2025-10-21T00:00:00"/>
    <n v="131"/>
    <x v="0"/>
    <x v="1"/>
    <x v="0"/>
    <x v="0"/>
    <m/>
    <m/>
    <m/>
  </r>
  <r>
    <s v="60.32"/>
    <x v="38"/>
    <x v="340"/>
    <s v="Списание с расчетного счета 00БП-007824 от 21.10.2025 17:30:35"/>
    <s v="21.10.25"/>
    <n v="381299.85"/>
    <m/>
    <n v="1"/>
    <d v="2025-10-21T00:00:00"/>
    <n v="131"/>
    <x v="0"/>
    <x v="1"/>
    <x v="0"/>
    <x v="0"/>
    <m/>
    <m/>
    <m/>
  </r>
  <r>
    <s v="60.32"/>
    <x v="38"/>
    <x v="340"/>
    <s v="Списание с расчетного счета 00БП-008864 от 20.11.2025 17:08:39"/>
    <s v="20.11.25"/>
    <n v="242292.07"/>
    <m/>
    <n v="1"/>
    <d v="2025-11-20T00:00:00"/>
    <n v="101"/>
    <x v="4"/>
    <x v="1"/>
    <x v="0"/>
    <x v="0"/>
    <m/>
    <m/>
    <m/>
  </r>
  <r>
    <s v="60.32"/>
    <x v="38"/>
    <x v="340"/>
    <s v="Списание с расчетного счета 00БП-008877 от 21.11.2025 18:51:04"/>
    <s v="21.11.25"/>
    <n v="9195.39"/>
    <m/>
    <n v="1"/>
    <d v="2025-11-21T00:00:00"/>
    <n v="100"/>
    <x v="4"/>
    <x v="1"/>
    <x v="0"/>
    <x v="0"/>
    <m/>
    <m/>
    <m/>
  </r>
  <r>
    <s v="60.32"/>
    <x v="38"/>
    <x v="340"/>
    <s v="Списание с расчетного счета 00БП-008880 от 21.11.2025 18:51:07"/>
    <s v="21.11.25"/>
    <n v="96959.25"/>
    <m/>
    <n v="1"/>
    <d v="2025-11-21T00:00:00"/>
    <n v="100"/>
    <x v="4"/>
    <x v="1"/>
    <x v="0"/>
    <x v="0"/>
    <m/>
    <m/>
    <m/>
  </r>
  <r>
    <s v="60.32"/>
    <x v="38"/>
    <x v="341"/>
    <s v="Списание с расчетного счета 00БП-000325 от 12.02.2026 15:36:56"/>
    <s v="12.02.26"/>
    <n v="1472469.51"/>
    <m/>
    <n v="1"/>
    <d v="2026-02-12T00:00:00"/>
    <n v="17"/>
    <x v="2"/>
    <x v="1"/>
    <x v="0"/>
    <x v="0"/>
    <m/>
    <m/>
    <m/>
  </r>
  <r>
    <s v="60.32"/>
    <x v="38"/>
    <x v="342"/>
    <s v="Списание с расчетного счета 00БП-007402 от 09.10.2025 16:57:49"/>
    <s v="09.10.25"/>
    <n v="17940.52"/>
    <m/>
    <n v="1"/>
    <d v="2025-10-09T00:00:00"/>
    <n v="143"/>
    <x v="0"/>
    <x v="1"/>
    <x v="0"/>
    <x v="0"/>
    <m/>
    <m/>
    <m/>
  </r>
  <r>
    <s v="60.32"/>
    <x v="38"/>
    <x v="343"/>
    <s v="Списание с расчетного счета 00БП-009293 от 25.12.2025 12:00:17"/>
    <s v="25.12.25"/>
    <n v="42558293.729999997"/>
    <m/>
    <n v="1"/>
    <d v="2025-12-25T00:00:00"/>
    <n v="66"/>
    <x v="1"/>
    <x v="1"/>
    <x v="0"/>
    <x v="0"/>
    <m/>
    <m/>
    <m/>
  </r>
  <r>
    <s v="60.32"/>
    <x v="78"/>
    <x v="344"/>
    <s v="Списание с расчетного счета 00БП-009029 от 01.12.2025 15:42:24"/>
    <s v="01.12.25"/>
    <n v="100541017.20999999"/>
    <m/>
    <n v="1"/>
    <d v="2025-12-01T00:00:00"/>
    <n v="90"/>
    <x v="1"/>
    <x v="1"/>
    <x v="0"/>
    <x v="0"/>
    <m/>
    <m/>
    <m/>
  </r>
  <r>
    <s v="60.32"/>
    <x v="78"/>
    <x v="345"/>
    <s v="Списание с расчетного счета 00БП-000532 от 27.02.2026 17:35:41"/>
    <s v="27.02.26"/>
    <n v="10023164.039999999"/>
    <m/>
    <n v="1"/>
    <d v="2026-02-27T00:00:00"/>
    <n v="2"/>
    <x v="2"/>
    <x v="1"/>
    <x v="0"/>
    <x v="0"/>
    <m/>
    <m/>
    <m/>
  </r>
  <r>
    <s v="60.32"/>
    <x v="78"/>
    <x v="346"/>
    <s v="Списание с расчетного счета 00БП-000875 от 21.03.2025 17:21:00"/>
    <s v="21.03.25"/>
    <n v="4.22"/>
    <m/>
    <n v="1"/>
    <d v="2025-03-21T00:00:00"/>
    <n v="345"/>
    <x v="6"/>
    <x v="1"/>
    <x v="0"/>
    <x v="0"/>
    <m/>
    <m/>
    <m/>
  </r>
  <r>
    <s v="60.32"/>
    <x v="78"/>
    <x v="347"/>
    <s v="Списание с расчетного счета 00БП-008463 от 14.11.2025 15:51:00"/>
    <s v="14.11.25"/>
    <n v="19041986.25"/>
    <m/>
    <n v="1"/>
    <d v="2025-11-14T00:00:00"/>
    <n v="107"/>
    <x v="4"/>
    <x v="1"/>
    <x v="0"/>
    <x v="0"/>
    <m/>
    <m/>
    <m/>
  </r>
  <r>
    <s v="60.32"/>
    <x v="78"/>
    <x v="348"/>
    <s v="Списание с расчетного счета 00БП-007312 от 06.10.2025 18:16:22"/>
    <s v="06.10.25"/>
    <n v="832127.38"/>
    <m/>
    <n v="1"/>
    <d v="2025-10-06T00:00:00"/>
    <n v="146"/>
    <x v="0"/>
    <x v="1"/>
    <x v="0"/>
    <x v="0"/>
    <m/>
    <m/>
    <m/>
  </r>
  <r>
    <s v="60.32"/>
    <x v="78"/>
    <x v="349"/>
    <s v="Списание с расчетного счета 00БП-007338 от 07.10.2025 17:57:46"/>
    <s v="07.10.25"/>
    <n v="19608750"/>
    <m/>
    <n v="1"/>
    <d v="2025-10-07T00:00:00"/>
    <n v="145"/>
    <x v="0"/>
    <x v="1"/>
    <x v="0"/>
    <x v="0"/>
    <m/>
    <m/>
    <m/>
  </r>
  <r>
    <s v="60.32"/>
    <x v="78"/>
    <x v="350"/>
    <s v="Списание с расчетного счета 00БП-007683 от 14.10.2025 17:30:20"/>
    <s v="14.10.25"/>
    <n v="8521724.8000000007"/>
    <m/>
    <n v="1"/>
    <d v="2025-10-14T00:00:00"/>
    <n v="138"/>
    <x v="0"/>
    <x v="1"/>
    <x v="0"/>
    <x v="0"/>
    <m/>
    <m/>
    <m/>
  </r>
  <r>
    <s v="60.32"/>
    <x v="78"/>
    <x v="351"/>
    <s v="Списание с расчетного счета 00БП-007684 от 14.10.2025 17:30:21"/>
    <s v="14.10.25"/>
    <n v="565552.64000000001"/>
    <m/>
    <n v="1"/>
    <d v="2025-10-14T00:00:00"/>
    <n v="138"/>
    <x v="0"/>
    <x v="1"/>
    <x v="0"/>
    <x v="0"/>
    <m/>
    <m/>
    <m/>
  </r>
  <r>
    <s v="60.32"/>
    <x v="168"/>
    <x v="352"/>
    <s v="Списание с расчетного счета 00БП-009269 от 24.12.2025 11:37:20"/>
    <s v="24.12.25"/>
    <n v="595854"/>
    <m/>
    <n v="1"/>
    <d v="2025-12-24T00:00:00"/>
    <n v="67"/>
    <x v="1"/>
    <x v="1"/>
    <x v="0"/>
    <x v="0"/>
    <m/>
    <m/>
    <m/>
  </r>
  <r>
    <s v="60.32"/>
    <x v="168"/>
    <x v="352"/>
    <s v="Списание с расчетного счета 00БП-009288 от 25.12.2025 12:00:12"/>
    <s v="25.12.25"/>
    <n v="3400245.12"/>
    <m/>
    <n v="1"/>
    <d v="2025-12-25T00:00:00"/>
    <n v="66"/>
    <x v="1"/>
    <x v="1"/>
    <x v="0"/>
    <x v="0"/>
    <m/>
    <m/>
    <m/>
  </r>
  <r>
    <s v="60.32"/>
    <x v="169"/>
    <x v="353"/>
    <s v="Списание с расчетного счета 00БП-000270 от 06.02.2026 12:00:07"/>
    <s v="06.02.26"/>
    <n v="100427453.63"/>
    <m/>
    <n v="1"/>
    <d v="2026-02-06T00:00:00"/>
    <n v="23"/>
    <x v="2"/>
    <x v="1"/>
    <x v="0"/>
    <x v="0"/>
    <m/>
    <m/>
    <m/>
  </r>
  <r>
    <s v="60.32"/>
    <x v="106"/>
    <x v="354"/>
    <s v="Списание с расчетного счета 00БП-000143 от 27.01.2026 15:05:21"/>
    <s v="27.01.26"/>
    <n v="5895177.5800000001"/>
    <m/>
    <n v="1"/>
    <d v="2026-01-27T00:00:00"/>
    <n v="33"/>
    <x v="1"/>
    <x v="1"/>
    <x v="0"/>
    <x v="0"/>
    <m/>
    <m/>
    <m/>
  </r>
  <r>
    <s v="60.32"/>
    <x v="106"/>
    <x v="354"/>
    <s v="Списание с расчетного счета 00БП-000479 от 25.02.2026 17:39:42"/>
    <s v="25.02.26"/>
    <n v="6661076.0499999998"/>
    <m/>
    <n v="1"/>
    <d v="2026-02-25T00:00:00"/>
    <n v="4"/>
    <x v="2"/>
    <x v="1"/>
    <x v="0"/>
    <x v="0"/>
    <m/>
    <m/>
    <m/>
  </r>
  <r>
    <s v="60.32"/>
    <x v="170"/>
    <x v="355"/>
    <s v="Списание с расчетного счета 00БП-000067 от 16.01.2026 17:13:35"/>
    <s v="16.01.26"/>
    <n v="2080992"/>
    <m/>
    <n v="1"/>
    <d v="2026-01-16T00:00:00"/>
    <n v="44"/>
    <x v="1"/>
    <x v="1"/>
    <x v="0"/>
    <x v="0"/>
    <m/>
    <m/>
    <m/>
  </r>
  <r>
    <s v="60.32"/>
    <x v="170"/>
    <x v="356"/>
    <s v="Списание с расчетного счета 00БП-000068 от 16.01.2026 17:13:36"/>
    <s v="16.01.26"/>
    <n v="2080992"/>
    <m/>
    <n v="1"/>
    <d v="2026-01-16T00:00:00"/>
    <n v="44"/>
    <x v="1"/>
    <x v="1"/>
    <x v="0"/>
    <x v="0"/>
    <m/>
    <m/>
    <m/>
  </r>
  <r>
    <s v="60.32"/>
    <x v="170"/>
    <x v="357"/>
    <s v="Списание с расчетного счета 00БП-000066 от 16.01.2026 17:13:34"/>
    <s v="16.01.26"/>
    <n v="1978905.6000000001"/>
    <m/>
    <n v="1"/>
    <d v="2026-01-16T00:00:00"/>
    <n v="44"/>
    <x v="1"/>
    <x v="1"/>
    <x v="0"/>
    <x v="0"/>
    <m/>
    <m/>
    <m/>
  </r>
  <r>
    <s v="60.32"/>
    <x v="127"/>
    <x v="358"/>
    <s v="Списание с расчетного счета 00БП-009356 от 30.12.2025 12:00:18"/>
    <s v="30.12.25"/>
    <n v="948672.83"/>
    <m/>
    <n v="1"/>
    <d v="2025-12-30T00:00:00"/>
    <n v="61"/>
    <x v="1"/>
    <x v="1"/>
    <x v="0"/>
    <x v="0"/>
    <m/>
    <m/>
    <m/>
  </r>
  <r>
    <s v="60.02"/>
    <x v="0"/>
    <x v="0"/>
    <s v="Списание с расчетного счета 00БП-007871 от 23.10.2025 18:50:57"/>
    <s v="23.10.25"/>
    <n v="17000"/>
    <m/>
    <m/>
    <d v="2025-10-23T00:00:00"/>
    <n v="101"/>
    <x v="4"/>
    <x v="2"/>
    <x v="0"/>
    <x v="0"/>
    <m/>
    <m/>
    <m/>
  </r>
  <r>
    <s v="60.02"/>
    <x v="1"/>
    <x v="1"/>
    <s v="Списание с расчетного счета 00БП-000102 от 22.01.2026 6:54:22"/>
    <s v="22.01.26"/>
    <n v="21271"/>
    <m/>
    <m/>
    <d v="2026-01-22T00:00:00"/>
    <n v="10"/>
    <x v="2"/>
    <x v="2"/>
    <x v="0"/>
    <x v="0"/>
    <m/>
    <m/>
    <m/>
  </r>
  <r>
    <s v="60.02"/>
    <x v="2"/>
    <x v="2"/>
    <s v="Списание с расчетного счета 00БП-009273 от 24.12.2025 11:37:26"/>
    <s v="24.12.25"/>
    <n v="11000000"/>
    <m/>
    <m/>
    <d v="2025-12-24T00:00:00"/>
    <n v="39"/>
    <x v="1"/>
    <x v="2"/>
    <x v="0"/>
    <x v="0"/>
    <m/>
    <m/>
    <m/>
  </r>
  <r>
    <s v="60.02"/>
    <x v="3"/>
    <x v="3"/>
    <s v="Списание с расчетного счета 00БП-000026 от 14.01.2026 16:45:19"/>
    <s v="14.01.26"/>
    <n v="10657877.73"/>
    <m/>
    <m/>
    <d v="2026-01-14T00:00:00"/>
    <n v="18"/>
    <x v="2"/>
    <x v="2"/>
    <x v="0"/>
    <x v="0"/>
    <m/>
    <m/>
    <m/>
  </r>
  <r>
    <s v="60.02"/>
    <x v="3"/>
    <x v="4"/>
    <s v="Списание с расчетного счета 00БП-000025 от 14.01.2026 16:45:18"/>
    <s v="14.01.26"/>
    <n v="5963831.3700000001"/>
    <m/>
    <m/>
    <d v="2026-01-14T00:00:00"/>
    <n v="18"/>
    <x v="2"/>
    <x v="2"/>
    <x v="0"/>
    <x v="0"/>
    <m/>
    <m/>
    <m/>
  </r>
  <r>
    <s v="60.02"/>
    <x v="4"/>
    <x v="5"/>
    <s v="Списание с расчетного счета 00БП-007373 от 08.10.2025 18:26:41"/>
    <s v="08.10.25"/>
    <n v="30900000"/>
    <m/>
    <m/>
    <d v="2025-10-08T00:00:00"/>
    <n v="116"/>
    <x v="4"/>
    <x v="2"/>
    <x v="0"/>
    <x v="0"/>
    <m/>
    <m/>
    <m/>
  </r>
  <r>
    <s v="60.02"/>
    <x v="4"/>
    <x v="7"/>
    <s v="Списание с расчетного счета 00БП-007408 от 09.10.2025 16:57:55"/>
    <s v="09.10.25"/>
    <n v="603882"/>
    <m/>
    <m/>
    <d v="2025-10-09T00:00:00"/>
    <n v="115"/>
    <x v="4"/>
    <x v="2"/>
    <x v="0"/>
    <x v="0"/>
    <m/>
    <m/>
    <m/>
  </r>
  <r>
    <s v="60.02"/>
    <x v="5"/>
    <x v="9"/>
    <s v="Списание с расчетного счета 00БП-000090 от 21.01.2026 11:45:50"/>
    <s v="21.01.26"/>
    <n v="663150"/>
    <m/>
    <m/>
    <d v="2026-01-21T00:00:00"/>
    <n v="11"/>
    <x v="2"/>
    <x v="2"/>
    <x v="0"/>
    <x v="0"/>
    <m/>
    <m/>
    <m/>
  </r>
  <r>
    <s v="60.02"/>
    <x v="5"/>
    <x v="11"/>
    <s v="Списание с расчетного счета 00БП-006009 от 26.08.2025 19:15:04"/>
    <s v="26.08.25"/>
    <n v="75000"/>
    <m/>
    <m/>
    <d v="2025-08-26T00:00:00"/>
    <n v="159"/>
    <x v="0"/>
    <x v="2"/>
    <x v="0"/>
    <x v="0"/>
    <m/>
    <m/>
    <m/>
  </r>
  <r>
    <s v="60.02"/>
    <x v="5"/>
    <x v="359"/>
    <s v="Списание с расчетного счета 00БП-000110 от 23.01.2026 9:40:13"/>
    <s v="23.01.26"/>
    <n v="23600"/>
    <m/>
    <m/>
    <d v="2026-01-23T00:00:00"/>
    <n v="9"/>
    <x v="2"/>
    <x v="2"/>
    <x v="0"/>
    <x v="0"/>
    <m/>
    <m/>
    <m/>
  </r>
  <r>
    <s v="60.02"/>
    <x v="5"/>
    <x v="12"/>
    <s v="Списание с расчетного счета 00БП-008786 от 18.11.2025 23:05:28"/>
    <s v="18.11.25"/>
    <n v="661131"/>
    <m/>
    <m/>
    <d v="2025-11-18T00:00:00"/>
    <n v="75"/>
    <x v="1"/>
    <x v="2"/>
    <x v="0"/>
    <x v="0"/>
    <m/>
    <m/>
    <m/>
  </r>
  <r>
    <s v="60.02"/>
    <x v="5"/>
    <x v="360"/>
    <s v="Списание с расчетного счета 00БП-007299 от 06.10.2025 18:16:09"/>
    <s v="06.10.25"/>
    <n v="4754"/>
    <m/>
    <m/>
    <d v="2025-10-06T00:00:00"/>
    <n v="118"/>
    <x v="4"/>
    <x v="2"/>
    <x v="0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1003"/>
    <x v="5"/>
    <x v="2"/>
    <x v="0"/>
    <x v="0"/>
    <m/>
    <m/>
    <m/>
  </r>
  <r>
    <s v="60.02"/>
    <x v="7"/>
    <x v="14"/>
    <s v="Списание с расчетного счета 00БП-009292 от 25.12.2025 12:00:16"/>
    <s v="25.12.25"/>
    <n v="28800000"/>
    <m/>
    <m/>
    <d v="2025-12-25T00:00:00"/>
    <n v="38"/>
    <x v="1"/>
    <x v="2"/>
    <x v="0"/>
    <x v="0"/>
    <m/>
    <m/>
    <m/>
  </r>
  <r>
    <s v="60.02"/>
    <x v="8"/>
    <x v="15"/>
    <s v="Списание с расчетного счета 00БП-008834 от 19.11.2025 18:05:16"/>
    <s v="19.11.25"/>
    <n v="1984080"/>
    <m/>
    <m/>
    <d v="2025-11-19T00:00:00"/>
    <n v="74"/>
    <x v="1"/>
    <x v="2"/>
    <x v="0"/>
    <x v="0"/>
    <m/>
    <m/>
    <m/>
  </r>
  <r>
    <s v="60.02"/>
    <x v="9"/>
    <x v="16"/>
    <s v="Списание с расчетного счета 00БП-004852 от 14.07.2025 17:54:02"/>
    <s v="14.07.25"/>
    <n v="4985"/>
    <m/>
    <m/>
    <d v="2025-07-14T00:00:00"/>
    <n v="202"/>
    <x v="3"/>
    <x v="2"/>
    <x v="0"/>
    <x v="0"/>
    <m/>
    <m/>
    <m/>
  </r>
  <r>
    <s v="60.02"/>
    <x v="10"/>
    <x v="17"/>
    <s v="Списание с расчетного счета 00БП-009342 от 29.12.2025 17:48:57"/>
    <s v="29.12.25"/>
    <n v="124374672.66"/>
    <m/>
    <m/>
    <d v="2025-12-29T00:00:00"/>
    <n v="34"/>
    <x v="1"/>
    <x v="2"/>
    <x v="0"/>
    <x v="0"/>
    <m/>
    <m/>
    <m/>
  </r>
  <r>
    <s v="60.02"/>
    <x v="11"/>
    <x v="18"/>
    <s v="Списание с расчетного счета 00БП-000549 от 07.03.2025 17:21:16"/>
    <s v="07.03.25"/>
    <n v="198000"/>
    <m/>
    <m/>
    <d v="2025-03-07T00:00:00"/>
    <n v="331"/>
    <x v="6"/>
    <x v="2"/>
    <x v="0"/>
    <x v="1"/>
    <m/>
    <m/>
    <m/>
  </r>
  <r>
    <s v="60.02"/>
    <x v="12"/>
    <x v="19"/>
    <s v="Списание с расчетного счета 00БП-005478 от 07.08.2025 19:08:52"/>
    <s v="07.08.25"/>
    <n v="17955.38"/>
    <m/>
    <m/>
    <d v="2025-08-07T00:00:00"/>
    <n v="178"/>
    <x v="0"/>
    <x v="2"/>
    <x v="0"/>
    <x v="2"/>
    <m/>
    <m/>
    <m/>
  </r>
  <r>
    <s v="60.02"/>
    <x v="12"/>
    <x v="20"/>
    <s v="Списание с расчетного счета 00БП-005479 от 07.08.2025 19:08:53"/>
    <s v="07.08.25"/>
    <n v="67008.2"/>
    <m/>
    <m/>
    <d v="2025-08-07T00:00:00"/>
    <n v="178"/>
    <x v="0"/>
    <x v="2"/>
    <x v="0"/>
    <x v="3"/>
    <m/>
    <m/>
    <m/>
  </r>
  <r>
    <s v="60.02"/>
    <x v="12"/>
    <x v="20"/>
    <s v="Корректировка поступления 00БП-000024 от 05.09.2025 16:20:03"/>
    <s v="05.09.25"/>
    <n v="8599.8700000000008"/>
    <m/>
    <m/>
    <d v="2025-09-05T00:00:00"/>
    <n v="149"/>
    <x v="0"/>
    <x v="2"/>
    <x v="0"/>
    <x v="3"/>
    <m/>
    <m/>
    <m/>
  </r>
  <r>
    <s v="60.02"/>
    <x v="171"/>
    <x v="361"/>
    <s v="Списание с расчетного счета 00БП-000088 от 21.01.2026 11:45:48"/>
    <s v="21.01.26"/>
    <n v="408122"/>
    <m/>
    <m/>
    <d v="2026-01-21T00:00:00"/>
    <n v="11"/>
    <x v="2"/>
    <x v="2"/>
    <x v="0"/>
    <x v="0"/>
    <m/>
    <m/>
    <m/>
  </r>
  <r>
    <s v="60.02"/>
    <x v="13"/>
    <x v="21"/>
    <s v="Списание с расчетного счета 00БП-000092 от 21.01.2026 11:45:52"/>
    <s v="21.01.26"/>
    <n v="21107760"/>
    <m/>
    <m/>
    <d v="2026-01-21T00:00:00"/>
    <n v="11"/>
    <x v="2"/>
    <x v="2"/>
    <x v="0"/>
    <x v="0"/>
    <m/>
    <m/>
    <m/>
  </r>
  <r>
    <s v="60.02"/>
    <x v="13"/>
    <x v="22"/>
    <s v="Списание с расчетного счета 00БП-009316 от 26.12.2025 12:00:22"/>
    <s v="26.12.25"/>
    <n v="1833304"/>
    <m/>
    <m/>
    <d v="2025-12-26T00:00:00"/>
    <n v="37"/>
    <x v="1"/>
    <x v="2"/>
    <x v="0"/>
    <x v="0"/>
    <m/>
    <m/>
    <m/>
  </r>
  <r>
    <s v="60.02"/>
    <x v="172"/>
    <x v="362"/>
    <s v="Списание с расчетного счета 00БП-007892 от 24.10.2025 17:29:34"/>
    <s v="24.10.25"/>
    <n v="11000"/>
    <m/>
    <m/>
    <d v="2025-10-24T00:00:00"/>
    <n v="100"/>
    <x v="4"/>
    <x v="2"/>
    <x v="0"/>
    <x v="0"/>
    <m/>
    <m/>
    <m/>
  </r>
  <r>
    <s v="60.02"/>
    <x v="15"/>
    <x v="24"/>
    <s v="Списание с расчетного счета 00БП-009234 от 18.12.2025 17:20:48"/>
    <s v="18.12.25"/>
    <n v="613440"/>
    <m/>
    <m/>
    <d v="2025-12-18T00:00:00"/>
    <n v="45"/>
    <x v="1"/>
    <x v="2"/>
    <x v="0"/>
    <x v="0"/>
    <m/>
    <m/>
    <m/>
  </r>
  <r>
    <s v="60.02"/>
    <x v="17"/>
    <x v="26"/>
    <s v="Списание с расчетного счета 00БП-008784 от 18.11.2025 23:05:26"/>
    <s v="18.11.25"/>
    <n v="350000"/>
    <m/>
    <m/>
    <d v="2025-11-18T00:00:00"/>
    <n v="75"/>
    <x v="1"/>
    <x v="2"/>
    <x v="0"/>
    <x v="0"/>
    <m/>
    <m/>
    <m/>
  </r>
  <r>
    <s v="60.02"/>
    <x v="18"/>
    <x v="27"/>
    <s v="Списание с расчетного счета 00БП-002345 от 05.05.2025 19:41:14"/>
    <s v="05.05.25"/>
    <n v="691600"/>
    <m/>
    <m/>
    <d v="2025-05-05T00:00:00"/>
    <n v="272"/>
    <x v="6"/>
    <x v="2"/>
    <x v="0"/>
    <x v="5"/>
    <m/>
    <m/>
    <m/>
  </r>
  <r>
    <s v="60.02"/>
    <x v="19"/>
    <x v="28"/>
    <s v="Списание с расчетного счета 00БП-000049 от 15.01.2026 14:53:16"/>
    <s v="15.01.26"/>
    <n v="66000"/>
    <m/>
    <m/>
    <d v="2026-01-15T00:00:00"/>
    <n v="17"/>
    <x v="2"/>
    <x v="2"/>
    <x v="0"/>
    <x v="0"/>
    <m/>
    <m/>
    <m/>
  </r>
  <r>
    <s v="60.02"/>
    <x v="20"/>
    <x v="29"/>
    <s v="Списание с расчетного счета 00БП-007195 от 01.10.2025 20:24:05"/>
    <s v="01.10.25"/>
    <n v="400000"/>
    <m/>
    <m/>
    <d v="2025-10-01T00:00:00"/>
    <n v="123"/>
    <x v="0"/>
    <x v="2"/>
    <x v="0"/>
    <x v="6"/>
    <d v="2025-11-20T00:00:00"/>
    <s v="Геологический отдел"/>
    <m/>
  </r>
  <r>
    <s v="60.02"/>
    <x v="20"/>
    <x v="30"/>
    <s v="Списание с расчетного счета 00БП-004986 от 18.07.2025 20:39:46"/>
    <s v="18.07.25"/>
    <n v="1600000"/>
    <m/>
    <m/>
    <d v="2025-07-18T00:00:00"/>
    <n v="198"/>
    <x v="3"/>
    <x v="2"/>
    <x v="0"/>
    <x v="7"/>
    <d v="2026-02-15T00:00:00"/>
    <s v="Геологический отдел"/>
    <m/>
  </r>
  <r>
    <s v="60.02"/>
    <x v="20"/>
    <x v="30"/>
    <s v="Списание с расчетного счета 00БП-009315 от 26.12.2025 12:00:21"/>
    <s v="26.12.25"/>
    <n v="1200000"/>
    <m/>
    <m/>
    <d v="2025-12-26T00:00:00"/>
    <n v="37"/>
    <x v="1"/>
    <x v="2"/>
    <x v="0"/>
    <x v="0"/>
    <m/>
    <m/>
    <m/>
  </r>
  <r>
    <s v="60.02"/>
    <x v="20"/>
    <x v="31"/>
    <s v="Списание с расчетного счета 00БП-007194 от 01.10.2025 20:24:04"/>
    <s v="01.10.25"/>
    <n v="400000"/>
    <m/>
    <m/>
    <d v="2025-10-01T00:00:00"/>
    <n v="123"/>
    <x v="0"/>
    <x v="2"/>
    <x v="0"/>
    <x v="6"/>
    <d v="2025-11-20T00:00:00"/>
    <s v="Геологический отдел"/>
    <m/>
  </r>
  <r>
    <s v="60.02"/>
    <x v="20"/>
    <x v="32"/>
    <s v="Списание с расчетного счета 00БП-006765 от 17.09.2025 19:43:17"/>
    <s v="17.09.25"/>
    <n v="250000"/>
    <m/>
    <m/>
    <d v="2025-09-17T00:00:00"/>
    <n v="137"/>
    <x v="0"/>
    <x v="2"/>
    <x v="0"/>
    <x v="6"/>
    <d v="2025-11-25T00:00:00"/>
    <s v="Геологический отдел"/>
    <m/>
  </r>
  <r>
    <s v="60.02"/>
    <x v="20"/>
    <x v="33"/>
    <s v="Списание с расчетного счета 00БП-006764 от 17.09.2025 19:43:16"/>
    <s v="17.09.25"/>
    <n v="250000"/>
    <m/>
    <m/>
    <d v="2025-09-17T00:00:00"/>
    <n v="137"/>
    <x v="0"/>
    <x v="2"/>
    <x v="0"/>
    <x v="6"/>
    <d v="2025-11-25T00:00:00"/>
    <s v="Геологический отдел"/>
    <m/>
  </r>
  <r>
    <s v="60.02"/>
    <x v="21"/>
    <x v="34"/>
    <s v="Списание с расчетного счета 00БП-004292 от 30.06.2025 23:59:59"/>
    <s v="30.06.25"/>
    <n v="7000"/>
    <m/>
    <m/>
    <d v="2025-06-30T00:00:00"/>
    <n v="216"/>
    <x v="3"/>
    <x v="2"/>
    <x v="0"/>
    <x v="8"/>
    <m/>
    <m/>
    <m/>
  </r>
  <r>
    <s v="60.02"/>
    <x v="23"/>
    <x v="37"/>
    <s v="Списание с расчетного счета 00БП-000181 от 29.01.2026 11:53:12"/>
    <s v="29.01.26"/>
    <n v="0.01"/>
    <m/>
    <m/>
    <d v="2026-01-29T00:00:00"/>
    <n v="3"/>
    <x v="2"/>
    <x v="2"/>
    <x v="0"/>
    <x v="0"/>
    <m/>
    <m/>
    <m/>
  </r>
  <r>
    <s v="60.02"/>
    <x v="24"/>
    <x v="38"/>
    <s v="Списание с расчетного счета 00БП-005940 от 21.08.2025 17:24:52"/>
    <s v="21.08.25"/>
    <n v="52154.400000000001"/>
    <m/>
    <m/>
    <d v="2025-08-21T00:00:00"/>
    <n v="164"/>
    <x v="0"/>
    <x v="2"/>
    <x v="0"/>
    <x v="0"/>
    <m/>
    <m/>
    <m/>
  </r>
  <r>
    <s v="60.02"/>
    <x v="173"/>
    <x v="363"/>
    <s v="Списание с расчетного счета 00БП-009223 от 17.12.2025 15:35:07"/>
    <s v="17.12.25"/>
    <n v="750000"/>
    <m/>
    <m/>
    <d v="2025-12-17T00:00:00"/>
    <n v="46"/>
    <x v="1"/>
    <x v="2"/>
    <x v="0"/>
    <x v="0"/>
    <m/>
    <m/>
    <m/>
  </r>
  <r>
    <s v="60.02"/>
    <x v="26"/>
    <x v="40"/>
    <s v="Списание с расчетного счета 00БП-000150 от 28.01.2026 12:00:06"/>
    <s v="28.01.26"/>
    <n v="2405000"/>
    <m/>
    <m/>
    <d v="2026-01-28T00:00:00"/>
    <n v="4"/>
    <x v="2"/>
    <x v="2"/>
    <x v="0"/>
    <x v="0"/>
    <m/>
    <m/>
    <m/>
  </r>
  <r>
    <s v="60.02"/>
    <x v="26"/>
    <x v="41"/>
    <s v="Списание с расчетного счета 00БП-000149 от 28.01.2026 12:00:05"/>
    <s v="28.01.26"/>
    <n v="1150000"/>
    <m/>
    <m/>
    <d v="2026-01-28T00:00:00"/>
    <n v="4"/>
    <x v="2"/>
    <x v="2"/>
    <x v="0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655"/>
    <x v="5"/>
    <x v="2"/>
    <x v="0"/>
    <x v="9"/>
    <m/>
    <m/>
    <m/>
  </r>
  <r>
    <s v="60.02"/>
    <x v="174"/>
    <x v="364"/>
    <s v="Списание с расчетного счета 00БП-006591 от 12.09.2025 17:33:13"/>
    <s v="12.09.25"/>
    <n v="496840"/>
    <m/>
    <m/>
    <d v="2025-09-12T00:00:00"/>
    <n v="142"/>
    <x v="0"/>
    <x v="2"/>
    <x v="0"/>
    <x v="0"/>
    <m/>
    <m/>
    <m/>
  </r>
  <r>
    <s v="60.02"/>
    <x v="28"/>
    <x v="43"/>
    <s v="Списание с расчетного счета 00БП-008947 от 26.11.2025 14:57:07"/>
    <s v="26.11.25"/>
    <n v="92350"/>
    <m/>
    <m/>
    <d v="2025-11-26T00:00:00"/>
    <n v="67"/>
    <x v="1"/>
    <x v="2"/>
    <x v="0"/>
    <x v="0"/>
    <m/>
    <m/>
    <m/>
  </r>
  <r>
    <s v="60.02"/>
    <x v="29"/>
    <x v="44"/>
    <s v="Списание с расчетного счета 00БП-003512 от 09.06.2025 17:56:01"/>
    <s v="09.06.25"/>
    <n v="14178"/>
    <m/>
    <m/>
    <d v="2025-06-09T00:00:00"/>
    <n v="237"/>
    <x v="3"/>
    <x v="2"/>
    <x v="0"/>
    <x v="2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583"/>
    <x v="5"/>
    <x v="2"/>
    <x v="0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587"/>
    <x v="5"/>
    <x v="2"/>
    <x v="0"/>
    <x v="0"/>
    <m/>
    <m/>
    <m/>
  </r>
  <r>
    <s v="60.02"/>
    <x v="30"/>
    <x v="48"/>
    <s v="Списание с расчетного счета 00БП-006739 от 16.09.2025 17:34:57"/>
    <s v="16.09.25"/>
    <n v="25000"/>
    <m/>
    <m/>
    <d v="2025-09-16T00:00:00"/>
    <n v="138"/>
    <x v="0"/>
    <x v="2"/>
    <x v="0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615"/>
    <x v="5"/>
    <x v="2"/>
    <x v="0"/>
    <x v="0"/>
    <m/>
    <m/>
    <m/>
  </r>
  <r>
    <s v="60.02"/>
    <x v="30"/>
    <x v="50"/>
    <s v="Списание с расчетного счета 00БП-003005 от 23.05.2025 20:52:15"/>
    <s v="23.05.25"/>
    <n v="6600"/>
    <m/>
    <m/>
    <d v="2025-05-23T00:00:00"/>
    <n v="254"/>
    <x v="3"/>
    <x v="2"/>
    <x v="0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573"/>
    <x v="5"/>
    <x v="2"/>
    <x v="0"/>
    <x v="0"/>
    <m/>
    <m/>
    <m/>
  </r>
  <r>
    <s v="60.02"/>
    <x v="30"/>
    <x v="52"/>
    <s v="Списание с расчетного счета 00БП-006217 от 01.09.2025 18:18:38"/>
    <s v="01.09.25"/>
    <n v="25000"/>
    <m/>
    <m/>
    <d v="2025-09-01T00:00:00"/>
    <n v="153"/>
    <x v="0"/>
    <x v="2"/>
    <x v="0"/>
    <x v="0"/>
    <m/>
    <m/>
    <m/>
  </r>
  <r>
    <s v="60.02"/>
    <x v="30"/>
    <x v="365"/>
    <s v="Списание с расчетного счета 00БП-006329 от 08.09.2025 18:50:19"/>
    <s v="08.09.25"/>
    <n v="25000"/>
    <m/>
    <m/>
    <d v="2025-09-08T00:00:00"/>
    <n v="146"/>
    <x v="0"/>
    <x v="2"/>
    <x v="0"/>
    <x v="0"/>
    <m/>
    <m/>
    <m/>
  </r>
  <r>
    <s v="60.02"/>
    <x v="32"/>
    <x v="54"/>
    <s v="Списание с расчетного счета 00БП-007131 от 29.09.2025 19:12:04"/>
    <s v="29.09.25"/>
    <n v="1750000"/>
    <m/>
    <m/>
    <d v="2025-09-29T00:00:00"/>
    <n v="125"/>
    <x v="0"/>
    <x v="2"/>
    <x v="0"/>
    <x v="0"/>
    <m/>
    <m/>
    <m/>
  </r>
  <r>
    <s v="60.02"/>
    <x v="32"/>
    <x v="55"/>
    <s v="Списание с расчетного счета 00БП-007756 от 17.10.2025 19:36:13"/>
    <s v="17.10.25"/>
    <n v="1750000"/>
    <m/>
    <m/>
    <d v="2025-10-17T00:00:00"/>
    <n v="107"/>
    <x v="4"/>
    <x v="2"/>
    <x v="0"/>
    <x v="0"/>
    <m/>
    <m/>
    <m/>
  </r>
  <r>
    <s v="60.02"/>
    <x v="32"/>
    <x v="56"/>
    <s v="Списание с расчетного счета 00БП-007130 от 29.09.2025 19:12:03"/>
    <s v="29.09.25"/>
    <n v="1750000"/>
    <m/>
    <m/>
    <d v="2025-09-29T00:00:00"/>
    <n v="125"/>
    <x v="0"/>
    <x v="2"/>
    <x v="0"/>
    <x v="0"/>
    <m/>
    <m/>
    <m/>
  </r>
  <r>
    <s v="60.02"/>
    <x v="32"/>
    <x v="57"/>
    <s v="Списание с расчетного счета 00БП-007755 от 17.10.2025 19:36:12"/>
    <s v="17.10.25"/>
    <n v="1750000"/>
    <m/>
    <m/>
    <d v="2025-10-17T00:00:00"/>
    <n v="107"/>
    <x v="4"/>
    <x v="2"/>
    <x v="0"/>
    <x v="0"/>
    <m/>
    <m/>
    <m/>
  </r>
  <r>
    <s v="60.02"/>
    <x v="32"/>
    <x v="58"/>
    <s v="Списание с расчетного счета 00БП-007129 от 29.09.2025 19:12:02"/>
    <s v="29.09.25"/>
    <n v="1750000"/>
    <m/>
    <m/>
    <d v="2025-09-29T00:00:00"/>
    <n v="125"/>
    <x v="0"/>
    <x v="2"/>
    <x v="0"/>
    <x v="0"/>
    <m/>
    <m/>
    <m/>
  </r>
  <r>
    <s v="60.02"/>
    <x v="34"/>
    <x v="60"/>
    <s v="Списание с расчетного счета 00БП-009027 от 01.12.2025 15:42:22"/>
    <s v="01.12.25"/>
    <n v="2053117.29"/>
    <m/>
    <m/>
    <d v="2025-12-01T00:00:00"/>
    <n v="62"/>
    <x v="1"/>
    <x v="2"/>
    <x v="0"/>
    <x v="0"/>
    <m/>
    <m/>
    <m/>
  </r>
  <r>
    <s v="60.02"/>
    <x v="34"/>
    <x v="61"/>
    <s v="Списание с расчетного счета 00БП-009026 от 01.12.2025 15:42:21"/>
    <s v="01.12.25"/>
    <n v="1211264.99"/>
    <m/>
    <m/>
    <d v="2025-12-01T00:00:00"/>
    <n v="62"/>
    <x v="1"/>
    <x v="2"/>
    <x v="0"/>
    <x v="0"/>
    <m/>
    <m/>
    <m/>
  </r>
  <r>
    <s v="60.02"/>
    <x v="34"/>
    <x v="62"/>
    <s v="Списание с расчетного счета 00БП-009025 от 01.12.2025 15:42:20"/>
    <s v="01.12.25"/>
    <n v="512327.6"/>
    <m/>
    <m/>
    <d v="2025-12-01T00:00:00"/>
    <n v="62"/>
    <x v="1"/>
    <x v="2"/>
    <x v="0"/>
    <x v="0"/>
    <m/>
    <m/>
    <m/>
  </r>
  <r>
    <s v="60.02"/>
    <x v="34"/>
    <x v="62"/>
    <s v="Списание с расчетного счета 00БП-009090 от 05.12.2025 12:00:05"/>
    <s v="05.12.25"/>
    <n v="12000"/>
    <m/>
    <m/>
    <d v="2025-12-05T00:00:00"/>
    <n v="58"/>
    <x v="1"/>
    <x v="2"/>
    <x v="0"/>
    <x v="0"/>
    <m/>
    <m/>
    <m/>
  </r>
  <r>
    <s v="60.02"/>
    <x v="34"/>
    <x v="63"/>
    <s v="Списание с расчетного счета 00БП-009024 от 01.12.2025 15:42:19"/>
    <s v="01.12.25"/>
    <n v="438338.63"/>
    <m/>
    <m/>
    <d v="2025-12-01T00:00:00"/>
    <n v="62"/>
    <x v="1"/>
    <x v="2"/>
    <x v="0"/>
    <x v="0"/>
    <m/>
    <m/>
    <m/>
  </r>
  <r>
    <s v="60.02"/>
    <x v="35"/>
    <x v="64"/>
    <s v="Списание с расчетного счета 00БП-002965 от 21.05.2025 20:10:56"/>
    <s v="21.05.25"/>
    <n v="275272"/>
    <m/>
    <m/>
    <d v="2025-05-21T00:00:00"/>
    <n v="256"/>
    <x v="3"/>
    <x v="2"/>
    <x v="0"/>
    <x v="11"/>
    <m/>
    <m/>
    <m/>
  </r>
  <r>
    <s v="60.02"/>
    <x v="36"/>
    <x v="65"/>
    <s v="Списание с расчетного счета 00БП-000070 от 16.01.2026 17:13:38"/>
    <s v="16.01.26"/>
    <n v="26990233.25"/>
    <m/>
    <m/>
    <d v="2026-01-16T00:00:00"/>
    <n v="16"/>
    <x v="2"/>
    <x v="2"/>
    <x v="0"/>
    <x v="0"/>
    <m/>
    <m/>
    <m/>
  </r>
  <r>
    <s v="60.02"/>
    <x v="36"/>
    <x v="66"/>
    <s v="Списание с расчетного счета 00БП-000117 от 26.01.2026 12:00:04"/>
    <s v="26.01.26"/>
    <n v="23963645.800000001"/>
    <m/>
    <m/>
    <d v="2026-01-26T00:00:00"/>
    <n v="6"/>
    <x v="2"/>
    <x v="2"/>
    <x v="0"/>
    <x v="0"/>
    <m/>
    <m/>
    <m/>
  </r>
  <r>
    <s v="60.02"/>
    <x v="37"/>
    <x v="73"/>
    <s v="Списание с расчетного счета 00БП-000032 от 15.01.2026 14:52:57"/>
    <s v="15.01.26"/>
    <n v="130500"/>
    <m/>
    <m/>
    <d v="2026-01-15T00:00:00"/>
    <n v="17"/>
    <x v="2"/>
    <x v="2"/>
    <x v="0"/>
    <x v="0"/>
    <m/>
    <m/>
    <m/>
  </r>
  <r>
    <s v="60.02"/>
    <x v="38"/>
    <x v="75"/>
    <s v="Списание с расчетного счета 00БП-003987 от 19.06.2025 19:28:50"/>
    <s v="19.06.25"/>
    <n v="682568"/>
    <m/>
    <m/>
    <d v="2025-06-19T00:00:00"/>
    <n v="227"/>
    <x v="3"/>
    <x v="2"/>
    <x v="0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656"/>
    <x v="5"/>
    <x v="2"/>
    <x v="0"/>
    <x v="0"/>
    <m/>
    <m/>
    <m/>
  </r>
  <r>
    <s v="60.02"/>
    <x v="38"/>
    <x v="79"/>
    <s v="Списание с расчетного счета 00БП-000091 от 21.01.2026 11:45:51"/>
    <s v="21.01.26"/>
    <n v="2253340.15"/>
    <m/>
    <m/>
    <d v="2026-01-21T00:00:00"/>
    <n v="11"/>
    <x v="2"/>
    <x v="2"/>
    <x v="0"/>
    <x v="0"/>
    <m/>
    <m/>
    <m/>
  </r>
  <r>
    <s v="60.02"/>
    <x v="38"/>
    <x v="80"/>
    <s v="Списание с расчетного счета 00БП-000423 от 28.02.2025 23:59:59"/>
    <s v="28.02.25"/>
    <n v="29963"/>
    <m/>
    <m/>
    <d v="2025-02-28T00:00:00"/>
    <n v="338"/>
    <x v="6"/>
    <x v="2"/>
    <x v="0"/>
    <x v="2"/>
    <m/>
    <m/>
    <m/>
  </r>
  <r>
    <s v="60.02"/>
    <x v="38"/>
    <x v="81"/>
    <s v="Списание с расчетного счета 00БП-007268 от 03.10.2025 17:50:33"/>
    <s v="03.10.25"/>
    <n v="19600"/>
    <m/>
    <m/>
    <d v="2025-10-03T00:00:00"/>
    <n v="121"/>
    <x v="0"/>
    <x v="2"/>
    <x v="0"/>
    <x v="0"/>
    <m/>
    <m/>
    <m/>
  </r>
  <r>
    <s v="60.02"/>
    <x v="39"/>
    <x v="366"/>
    <s v="Списание с расчетного счета 00БП-009144 от 10.12.2025 15:32:12"/>
    <s v="10.12.25"/>
    <n v="244800"/>
    <m/>
    <m/>
    <d v="2025-12-10T00:00:00"/>
    <n v="53"/>
    <x v="1"/>
    <x v="2"/>
    <x v="0"/>
    <x v="0"/>
    <m/>
    <m/>
    <m/>
  </r>
  <r>
    <s v="60.02"/>
    <x v="39"/>
    <x v="82"/>
    <s v="Списание с расчетного счета 00БП-008971 от 27.11.2025 18:25:59"/>
    <s v="27.11.25"/>
    <n v="132000"/>
    <m/>
    <m/>
    <d v="2025-11-27T00:00:00"/>
    <n v="66"/>
    <x v="1"/>
    <x v="2"/>
    <x v="0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605"/>
    <x v="5"/>
    <x v="2"/>
    <x v="0"/>
    <x v="9"/>
    <m/>
    <m/>
    <m/>
  </r>
  <r>
    <s v="60.02"/>
    <x v="40"/>
    <x v="85"/>
    <s v="Списание с расчетного счета 00БП-009340 от 29.12.2025 17:48:55"/>
    <s v="29.12.25"/>
    <n v="53477"/>
    <m/>
    <m/>
    <d v="2025-12-29T00:00:00"/>
    <n v="34"/>
    <x v="1"/>
    <x v="2"/>
    <x v="0"/>
    <x v="0"/>
    <m/>
    <m/>
    <m/>
  </r>
  <r>
    <s v="60.02"/>
    <x v="40"/>
    <x v="86"/>
    <s v="Списание с расчетного счета 00БП-008817 от 19.11.2025 18:04:59"/>
    <s v="19.11.25"/>
    <n v="1875"/>
    <m/>
    <m/>
    <d v="2025-11-19T00:00:00"/>
    <n v="74"/>
    <x v="1"/>
    <x v="2"/>
    <x v="0"/>
    <x v="0"/>
    <m/>
    <m/>
    <m/>
  </r>
  <r>
    <s v="60.02"/>
    <x v="40"/>
    <x v="87"/>
    <s v="Списание с расчетного счета 00БП-008955 от 27.11.2025 18:25:43"/>
    <s v="27.11.25"/>
    <n v="13926"/>
    <m/>
    <m/>
    <d v="2025-11-27T00:00:00"/>
    <n v="66"/>
    <x v="1"/>
    <x v="2"/>
    <x v="0"/>
    <x v="0"/>
    <m/>
    <m/>
    <m/>
  </r>
  <r>
    <s v="60.02"/>
    <x v="40"/>
    <x v="88"/>
    <s v="Списание с расчетного счета 00БП-008055 от 30.10.2025 20:00:11"/>
    <s v="30.10.25"/>
    <n v="98480"/>
    <m/>
    <m/>
    <d v="2025-10-30T00:00:00"/>
    <n v="94"/>
    <x v="4"/>
    <x v="2"/>
    <x v="0"/>
    <x v="0"/>
    <m/>
    <m/>
    <m/>
  </r>
  <r>
    <s v="60.02"/>
    <x v="40"/>
    <x v="89"/>
    <s v="Списание с расчетного счета 00БП-005955 от 22.08.2025 17:42:38"/>
    <s v="22.08.25"/>
    <n v="39046"/>
    <m/>
    <m/>
    <d v="2025-08-22T00:00:00"/>
    <n v="163"/>
    <x v="0"/>
    <x v="2"/>
    <x v="0"/>
    <x v="0"/>
    <m/>
    <m/>
    <m/>
  </r>
  <r>
    <s v="60.02"/>
    <x v="40"/>
    <x v="367"/>
    <s v="Списание с расчетного счета 00БП-006837 от 22.09.2025 19:07:50"/>
    <s v="22.09.25"/>
    <n v="3629"/>
    <m/>
    <m/>
    <d v="2025-09-22T00:00:00"/>
    <n v="132"/>
    <x v="0"/>
    <x v="2"/>
    <x v="0"/>
    <x v="0"/>
    <m/>
    <m/>
    <m/>
  </r>
  <r>
    <s v="60.02"/>
    <x v="40"/>
    <x v="90"/>
    <s v="Списание с расчетного счета 00БП-004471 от 07.07.2025 17:53:43"/>
    <s v="07.07.25"/>
    <n v="780"/>
    <m/>
    <m/>
    <d v="2025-07-07T00:00:00"/>
    <n v="209"/>
    <x v="3"/>
    <x v="2"/>
    <x v="0"/>
    <x v="0"/>
    <m/>
    <m/>
    <m/>
  </r>
  <r>
    <s v="60.02"/>
    <x v="40"/>
    <x v="91"/>
    <s v="Списание с расчетного счета 00БП-005515 от 11.08.2025 17:47:00"/>
    <s v="11.08.25"/>
    <n v="2154"/>
    <m/>
    <m/>
    <d v="2025-08-11T00:00:00"/>
    <n v="174"/>
    <x v="0"/>
    <x v="2"/>
    <x v="0"/>
    <x v="0"/>
    <m/>
    <m/>
    <m/>
  </r>
  <r>
    <s v="60.02"/>
    <x v="40"/>
    <x v="92"/>
    <s v="Списание с расчетного счета 00БП-008818 от 19.11.2025 18:05:00"/>
    <s v="19.11.25"/>
    <n v="1948"/>
    <m/>
    <m/>
    <d v="2025-11-19T00:00:00"/>
    <n v="74"/>
    <x v="1"/>
    <x v="2"/>
    <x v="0"/>
    <x v="0"/>
    <m/>
    <m/>
    <m/>
  </r>
  <r>
    <s v="60.02"/>
    <x v="40"/>
    <x v="93"/>
    <s v="Списание с расчетного счета 00БП-007383 от 09.10.2025 16:57:30"/>
    <s v="09.10.25"/>
    <n v="3247"/>
    <m/>
    <m/>
    <d v="2025-10-09T00:00:00"/>
    <n v="115"/>
    <x v="4"/>
    <x v="2"/>
    <x v="0"/>
    <x v="0"/>
    <m/>
    <m/>
    <m/>
  </r>
  <r>
    <s v="60.02"/>
    <x v="40"/>
    <x v="94"/>
    <s v="Списание с расчетного счета 00БП-007398 от 09.10.2025 16:57:45"/>
    <s v="09.10.25"/>
    <n v="12093"/>
    <m/>
    <m/>
    <d v="2025-10-09T00:00:00"/>
    <n v="115"/>
    <x v="4"/>
    <x v="2"/>
    <x v="0"/>
    <x v="0"/>
    <m/>
    <m/>
    <m/>
  </r>
  <r>
    <s v="60.02"/>
    <x v="40"/>
    <x v="95"/>
    <s v="Списание с расчетного счета 00БП-007275 от 03.10.2025 17:50:40"/>
    <s v="03.10.25"/>
    <n v="113416"/>
    <m/>
    <m/>
    <d v="2025-10-03T00:00:00"/>
    <n v="121"/>
    <x v="0"/>
    <x v="2"/>
    <x v="0"/>
    <x v="0"/>
    <m/>
    <m/>
    <m/>
  </r>
  <r>
    <s v="60.02"/>
    <x v="40"/>
    <x v="96"/>
    <s v="Списание с расчетного счета 00БП-007294 от 06.10.2025 18:16:04"/>
    <s v="06.10.25"/>
    <n v="279"/>
    <m/>
    <m/>
    <d v="2025-10-06T00:00:00"/>
    <n v="118"/>
    <x v="4"/>
    <x v="2"/>
    <x v="0"/>
    <x v="0"/>
    <m/>
    <m/>
    <m/>
  </r>
  <r>
    <s v="60.02"/>
    <x v="40"/>
    <x v="97"/>
    <s v="Списание с расчетного счета 00БП-009261 от 24.12.2025 11:37:12"/>
    <s v="24.12.25"/>
    <n v="930"/>
    <m/>
    <m/>
    <d v="2025-12-24T00:00:00"/>
    <n v="39"/>
    <x v="1"/>
    <x v="2"/>
    <x v="0"/>
    <x v="0"/>
    <m/>
    <m/>
    <m/>
  </r>
  <r>
    <s v="60.02"/>
    <x v="40"/>
    <x v="98"/>
    <s v="Списание с расчетного счета 00БП-009260 от 24.12.2025 11:37:11"/>
    <s v="24.12.25"/>
    <n v="930"/>
    <m/>
    <m/>
    <d v="2025-12-24T00:00:00"/>
    <n v="39"/>
    <x v="1"/>
    <x v="2"/>
    <x v="0"/>
    <x v="0"/>
    <m/>
    <m/>
    <m/>
  </r>
  <r>
    <s v="60.02"/>
    <x v="40"/>
    <x v="99"/>
    <s v="Списание с расчетного счета 00БП-005289 от 29.07.2025 20:44:17"/>
    <s v="29.07.25"/>
    <n v="1140"/>
    <m/>
    <m/>
    <d v="2025-07-29T00:00:00"/>
    <n v="187"/>
    <x v="3"/>
    <x v="2"/>
    <x v="0"/>
    <x v="0"/>
    <m/>
    <m/>
    <m/>
  </r>
  <r>
    <s v="60.02"/>
    <x v="40"/>
    <x v="100"/>
    <s v="Списание с расчетного счета 00БП-008035 от 29.10.2025 17:11:11"/>
    <s v="29.10.25"/>
    <n v="14870"/>
    <m/>
    <m/>
    <d v="2025-10-29T00:00:00"/>
    <n v="95"/>
    <x v="4"/>
    <x v="2"/>
    <x v="0"/>
    <x v="0"/>
    <m/>
    <m/>
    <m/>
  </r>
  <r>
    <s v="60.02"/>
    <x v="40"/>
    <x v="101"/>
    <s v="Списание с расчетного счета 00БП-006819 от 19.09.2025 17:32:15"/>
    <s v="19.09.25"/>
    <n v="1310"/>
    <m/>
    <m/>
    <d v="2025-09-19T00:00:00"/>
    <n v="135"/>
    <x v="0"/>
    <x v="2"/>
    <x v="0"/>
    <x v="0"/>
    <m/>
    <m/>
    <m/>
  </r>
  <r>
    <s v="60.02"/>
    <x v="40"/>
    <x v="102"/>
    <s v="Списание с расчетного счета 00БП-007404 от 09.10.2025 16:57:51"/>
    <s v="09.10.25"/>
    <n v="21872"/>
    <m/>
    <m/>
    <d v="2025-10-09T00:00:00"/>
    <n v="115"/>
    <x v="4"/>
    <x v="2"/>
    <x v="0"/>
    <x v="0"/>
    <m/>
    <m/>
    <m/>
  </r>
  <r>
    <s v="60.02"/>
    <x v="40"/>
    <x v="104"/>
    <s v="Списание с расчетного счета 00БП-007912 от 27.10.2025 18:43:11"/>
    <s v="27.10.25"/>
    <n v="2373"/>
    <m/>
    <m/>
    <d v="2025-10-27T00:00:00"/>
    <n v="97"/>
    <x v="4"/>
    <x v="2"/>
    <x v="0"/>
    <x v="0"/>
    <m/>
    <m/>
    <m/>
  </r>
  <r>
    <s v="60.02"/>
    <x v="40"/>
    <x v="105"/>
    <s v="Списание с расчетного счета 00БП-009262 от 24.12.2025 11:37:13"/>
    <s v="24.12.25"/>
    <n v="943"/>
    <m/>
    <m/>
    <d v="2025-12-24T00:00:00"/>
    <n v="39"/>
    <x v="1"/>
    <x v="2"/>
    <x v="0"/>
    <x v="0"/>
    <m/>
    <m/>
    <m/>
  </r>
  <r>
    <s v="60.02"/>
    <x v="40"/>
    <x v="106"/>
    <s v="Списание с расчетного счета 00БП-007379 от 09.10.2025 16:57:26"/>
    <s v="09.10.25"/>
    <n v="279"/>
    <m/>
    <m/>
    <d v="2025-10-09T00:00:00"/>
    <n v="115"/>
    <x v="4"/>
    <x v="2"/>
    <x v="0"/>
    <x v="0"/>
    <m/>
    <m/>
    <m/>
  </r>
  <r>
    <s v="60.02"/>
    <x v="40"/>
    <x v="112"/>
    <s v="Списание с расчетного счета 00БП-000147 от 28.01.2026 12:00:03"/>
    <s v="28.01.26"/>
    <n v="105441"/>
    <m/>
    <m/>
    <d v="2026-01-28T00:00:00"/>
    <n v="4"/>
    <x v="2"/>
    <x v="2"/>
    <x v="0"/>
    <x v="0"/>
    <m/>
    <m/>
    <m/>
  </r>
  <r>
    <s v="60.02"/>
    <x v="40"/>
    <x v="114"/>
    <s v="Списание с расчетного счета 00БП-000021 от 14.01.2026 16:45:14"/>
    <s v="14.01.26"/>
    <n v="33606"/>
    <m/>
    <m/>
    <d v="2026-01-14T00:00:00"/>
    <n v="18"/>
    <x v="2"/>
    <x v="2"/>
    <x v="0"/>
    <x v="0"/>
    <m/>
    <m/>
    <m/>
  </r>
  <r>
    <s v="60.02"/>
    <x v="40"/>
    <x v="115"/>
    <s v="Списание с расчетного счета 00БП-000041 от 15.01.2026 14:53:08"/>
    <s v="15.01.26"/>
    <n v="1331"/>
    <m/>
    <m/>
    <d v="2026-01-15T00:00:00"/>
    <n v="17"/>
    <x v="2"/>
    <x v="2"/>
    <x v="0"/>
    <x v="0"/>
    <m/>
    <m/>
    <m/>
  </r>
  <r>
    <s v="60.02"/>
    <x v="41"/>
    <x v="304"/>
    <s v="Списание с расчетного счета 00БП-009286 от 25.12.2025 12:00:10"/>
    <s v="25.12.25"/>
    <n v="728811"/>
    <m/>
    <m/>
    <d v="2025-12-25T00:00:00"/>
    <n v="38"/>
    <x v="1"/>
    <x v="2"/>
    <x v="0"/>
    <x v="0"/>
    <m/>
    <m/>
    <m/>
  </r>
  <r>
    <s v="60.02"/>
    <x v="44"/>
    <x v="119"/>
    <s v="Списание с расчетного счета 00БП-007851 от 22.10.2025 18:47:36"/>
    <s v="22.10.25"/>
    <n v="97121"/>
    <m/>
    <m/>
    <d v="2025-10-22T00:00:00"/>
    <n v="102"/>
    <x v="4"/>
    <x v="2"/>
    <x v="0"/>
    <x v="0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1281"/>
    <x v="5"/>
    <x v="2"/>
    <x v="0"/>
    <x v="2"/>
    <m/>
    <m/>
    <m/>
  </r>
  <r>
    <s v="60.02"/>
    <x v="48"/>
    <x v="124"/>
    <s v="Списание с расчетного счета 00БП-009245 от 19.12.2025 12:51:13"/>
    <s v="19.12.25"/>
    <n v="6883200"/>
    <m/>
    <m/>
    <d v="2025-12-19T00:00:00"/>
    <n v="44"/>
    <x v="1"/>
    <x v="2"/>
    <x v="0"/>
    <x v="0"/>
    <m/>
    <m/>
    <m/>
  </r>
  <r>
    <s v="60.02"/>
    <x v="50"/>
    <x v="126"/>
    <s v="Списание с расчетного счета 00БП-004119 от 25.06.2025 20:39:20"/>
    <s v="25.06.25"/>
    <n v="0.04"/>
    <m/>
    <m/>
    <d v="2025-06-25T00:00:00"/>
    <n v="221"/>
    <x v="3"/>
    <x v="2"/>
    <x v="0"/>
    <x v="0"/>
    <m/>
    <m/>
    <m/>
  </r>
  <r>
    <s v="60.02"/>
    <x v="51"/>
    <x v="127"/>
    <s v="Списание с расчетного счета 00БП-005812 от 14.08.2025 18:36:40"/>
    <s v="14.08.25"/>
    <n v="5478"/>
    <m/>
    <m/>
    <d v="2025-08-14T00:00:00"/>
    <n v="171"/>
    <x v="0"/>
    <x v="2"/>
    <x v="0"/>
    <x v="0"/>
    <m/>
    <m/>
    <m/>
  </r>
  <r>
    <s v="60.02"/>
    <x v="51"/>
    <x v="368"/>
    <s v="Списание с расчетного счета 00БП-008357 от 11.11.2025 18:13:36"/>
    <s v="11.11.25"/>
    <n v="12205"/>
    <m/>
    <m/>
    <d v="2025-11-11T00:00:00"/>
    <n v="82"/>
    <x v="1"/>
    <x v="2"/>
    <x v="0"/>
    <x v="0"/>
    <m/>
    <m/>
    <m/>
  </r>
  <r>
    <s v="60.02"/>
    <x v="51"/>
    <x v="128"/>
    <s v="Списание с расчетного счета 00БП-008347 от 11.11.2025 18:13:26"/>
    <s v="11.11.25"/>
    <n v="11518"/>
    <m/>
    <m/>
    <d v="2025-11-11T00:00:00"/>
    <n v="82"/>
    <x v="1"/>
    <x v="2"/>
    <x v="0"/>
    <x v="0"/>
    <m/>
    <m/>
    <m/>
  </r>
  <r>
    <s v="60.02"/>
    <x v="51"/>
    <x v="129"/>
    <s v="Списание с расчетного счета 00БП-008352 от 11.11.2025 18:13:31"/>
    <s v="11.11.25"/>
    <n v="65989"/>
    <m/>
    <m/>
    <d v="2025-11-11T00:00:00"/>
    <n v="82"/>
    <x v="1"/>
    <x v="2"/>
    <x v="0"/>
    <x v="0"/>
    <m/>
    <m/>
    <m/>
  </r>
  <r>
    <s v="60.02"/>
    <x v="52"/>
    <x v="130"/>
    <s v="Списание с расчетного счета 00БП-004118 от 25.06.2025 20:39:19"/>
    <s v="25.06.25"/>
    <n v="52500"/>
    <m/>
    <m/>
    <d v="2025-06-25T00:00:00"/>
    <n v="221"/>
    <x v="3"/>
    <x v="2"/>
    <x v="0"/>
    <x v="0"/>
    <m/>
    <m/>
    <m/>
  </r>
  <r>
    <s v="60.02"/>
    <x v="52"/>
    <x v="130"/>
    <s v="Списание с расчетного счета 00БП-006164 от 28.08.2025 19:12:06"/>
    <s v="28.08.25"/>
    <n v="297500"/>
    <m/>
    <m/>
    <d v="2025-08-28T00:00:00"/>
    <n v="157"/>
    <x v="0"/>
    <x v="2"/>
    <x v="0"/>
    <x v="0"/>
    <m/>
    <m/>
    <m/>
  </r>
  <r>
    <s v="60.02"/>
    <x v="175"/>
    <x v="369"/>
    <s v="Списание с расчетного счета 00БП-006381 от 10.09.2025 18:06:43"/>
    <s v="10.09.25"/>
    <n v="207900"/>
    <m/>
    <m/>
    <d v="2025-09-10T00:00:00"/>
    <n v="144"/>
    <x v="0"/>
    <x v="2"/>
    <x v="0"/>
    <x v="0"/>
    <m/>
    <m/>
    <m/>
  </r>
  <r>
    <s v="60.02"/>
    <x v="175"/>
    <x v="369"/>
    <s v="Списание с расчетного счета 00БП-007705 от 15.10.2025 22:57:01"/>
    <s v="15.10.25"/>
    <n v="207900"/>
    <m/>
    <m/>
    <d v="2025-10-15T00:00:00"/>
    <n v="109"/>
    <x v="4"/>
    <x v="2"/>
    <x v="0"/>
    <x v="0"/>
    <m/>
    <m/>
    <m/>
  </r>
  <r>
    <s v="60.02"/>
    <x v="53"/>
    <x v="134"/>
    <s v="Списание с расчетного счета 00БП-008361 от 11.11.2025 18:13:40"/>
    <s v="11.11.25"/>
    <n v="40216000"/>
    <m/>
    <m/>
    <d v="2025-11-11T00:00:00"/>
    <n v="82"/>
    <x v="1"/>
    <x v="2"/>
    <x v="0"/>
    <x v="0"/>
    <m/>
    <m/>
    <m/>
  </r>
  <r>
    <s v="60.02"/>
    <x v="54"/>
    <x v="135"/>
    <s v="Списание с расчетного счета 00БП-009290 от 25.12.2025 12:00:14"/>
    <s v="25.12.25"/>
    <n v="13872940.5"/>
    <m/>
    <m/>
    <d v="2025-12-25T00:00:00"/>
    <n v="38"/>
    <x v="1"/>
    <x v="2"/>
    <x v="0"/>
    <x v="0"/>
    <m/>
    <m/>
    <m/>
  </r>
  <r>
    <s v="60.02"/>
    <x v="55"/>
    <x v="136"/>
    <s v="Списание с расчетного счета 00БП-007364 от 08.10.2025 18:26:32"/>
    <s v="08.10.25"/>
    <n v="168000"/>
    <m/>
    <m/>
    <d v="2025-10-08T00:00:00"/>
    <n v="116"/>
    <x v="4"/>
    <x v="2"/>
    <x v="0"/>
    <x v="0"/>
    <m/>
    <m/>
    <m/>
  </r>
  <r>
    <s v="60.02"/>
    <x v="56"/>
    <x v="137"/>
    <s v="Списание с расчетного счета 00БП-005850 от 15.08.2025 19:11:20"/>
    <s v="15.08.25"/>
    <n v="7941"/>
    <m/>
    <m/>
    <d v="2025-08-15T00:00:00"/>
    <n v="170"/>
    <x v="0"/>
    <x v="2"/>
    <x v="0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859"/>
    <x v="5"/>
    <x v="2"/>
    <x v="0"/>
    <x v="0"/>
    <m/>
    <m/>
    <m/>
  </r>
  <r>
    <s v="60.02"/>
    <x v="58"/>
    <x v="140"/>
    <s v="Списание с расчетного счета 00БП-007707 от 15.10.2025 22:57:03"/>
    <s v="15.10.25"/>
    <n v="102545"/>
    <m/>
    <m/>
    <d v="2025-10-15T00:00:00"/>
    <n v="109"/>
    <x v="4"/>
    <x v="2"/>
    <x v="0"/>
    <x v="0"/>
    <m/>
    <m/>
    <m/>
  </r>
  <r>
    <s v="60.02"/>
    <x v="59"/>
    <x v="141"/>
    <s v="Списание с расчетного счета 00БП-008927 от 25.11.2025 15:31:10"/>
    <s v="25.11.25"/>
    <n v="2760000"/>
    <m/>
    <m/>
    <d v="2025-11-25T00:00:00"/>
    <n v="68"/>
    <x v="1"/>
    <x v="2"/>
    <x v="0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503"/>
    <x v="5"/>
    <x v="2"/>
    <x v="0"/>
    <x v="0"/>
    <m/>
    <m/>
    <m/>
  </r>
  <r>
    <s v="60.02"/>
    <x v="61"/>
    <x v="143"/>
    <s v="Списание с расчетного счета 00БП-006163 от 28.08.2025 19:12:05"/>
    <s v="28.08.25"/>
    <n v="25866"/>
    <m/>
    <m/>
    <d v="2025-08-28T00:00:00"/>
    <n v="157"/>
    <x v="0"/>
    <x v="2"/>
    <x v="0"/>
    <x v="0"/>
    <m/>
    <m/>
    <m/>
  </r>
  <r>
    <s v="60.02"/>
    <x v="62"/>
    <x v="144"/>
    <s v="Списание с расчетного счета 00БП-001959 от 19.04.2024 20:35:31"/>
    <s v="19.04.24"/>
    <n v="300"/>
    <m/>
    <m/>
    <d v="2024-04-19T00:00:00"/>
    <n v="653"/>
    <x v="5"/>
    <x v="2"/>
    <x v="0"/>
    <x v="0"/>
    <m/>
    <m/>
    <m/>
  </r>
  <r>
    <s v="60.02"/>
    <x v="63"/>
    <x v="145"/>
    <s v="Списание с расчетного счета 00БП-009289 от 25.12.2025 12:00:13"/>
    <s v="25.12.25"/>
    <n v="6293600"/>
    <m/>
    <m/>
    <d v="2025-12-25T00:00:00"/>
    <n v="38"/>
    <x v="1"/>
    <x v="2"/>
    <x v="0"/>
    <x v="0"/>
    <m/>
    <m/>
    <m/>
  </r>
  <r>
    <s v="60.02"/>
    <x v="64"/>
    <x v="146"/>
    <s v="Списание с расчетного счета 00БП-008785 от 18.11.2025 23:05:27"/>
    <s v="18.11.25"/>
    <n v="0.02"/>
    <m/>
    <m/>
    <d v="2025-11-18T00:00:00"/>
    <n v="75"/>
    <x v="1"/>
    <x v="2"/>
    <x v="0"/>
    <x v="0"/>
    <m/>
    <m/>
    <m/>
  </r>
  <r>
    <s v="60.02"/>
    <x v="64"/>
    <x v="147"/>
    <s v="Списание с расчетного счета 00БП-004591 от 10.07.2025 16:07:40"/>
    <s v="10.07.25"/>
    <n v="0.01"/>
    <m/>
    <m/>
    <d v="2025-07-10T00:00:00"/>
    <n v="206"/>
    <x v="3"/>
    <x v="2"/>
    <x v="0"/>
    <x v="0"/>
    <m/>
    <m/>
    <m/>
  </r>
  <r>
    <s v="60.02"/>
    <x v="65"/>
    <x v="148"/>
    <s v="Списание с расчетного счета 00БП-009153 от 05.12.2024 12:53:23"/>
    <s v="05.12.24"/>
    <n v="299500"/>
    <m/>
    <m/>
    <d v="2024-12-05T00:00:00"/>
    <n v="423"/>
    <x v="5"/>
    <x v="2"/>
    <x v="0"/>
    <x v="12"/>
    <m/>
    <m/>
    <m/>
  </r>
  <r>
    <s v="60.02"/>
    <x v="67"/>
    <x v="150"/>
    <s v="Списание с расчетного счета 00БП-005457 от 06.08.2025 19:15:12"/>
    <s v="06.08.25"/>
    <n v="23544"/>
    <m/>
    <m/>
    <d v="2025-08-06T00:00:00"/>
    <n v="179"/>
    <x v="0"/>
    <x v="2"/>
    <x v="0"/>
    <x v="0"/>
    <m/>
    <m/>
    <m/>
  </r>
  <r>
    <s v="60.02"/>
    <x v="68"/>
    <x v="151"/>
    <s v="Списание с расчетного счета 00БП-007543 от 10.10.2025 17:09:37"/>
    <s v="10.10.25"/>
    <n v="28000"/>
    <m/>
    <m/>
    <d v="2025-10-10T00:00:00"/>
    <n v="114"/>
    <x v="4"/>
    <x v="2"/>
    <x v="0"/>
    <x v="0"/>
    <m/>
    <m/>
    <m/>
  </r>
  <r>
    <s v="60.02"/>
    <x v="69"/>
    <x v="152"/>
    <s v="Списание с расчетного счета 00БП-007816 от 22.10.2024 18:07:30"/>
    <s v="22.10.24"/>
    <n v="1334.4"/>
    <m/>
    <m/>
    <d v="2024-10-22T00:00:00"/>
    <n v="467"/>
    <x v="5"/>
    <x v="2"/>
    <x v="0"/>
    <x v="2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461"/>
    <x v="5"/>
    <x v="2"/>
    <x v="0"/>
    <x v="2"/>
    <m/>
    <m/>
    <m/>
  </r>
  <r>
    <s v="60.02"/>
    <x v="70"/>
    <x v="154"/>
    <s v="Списание с расчетного счета 00БП-008783 от 18.11.2025 23:05:25"/>
    <s v="18.11.25"/>
    <n v="300000"/>
    <m/>
    <m/>
    <d v="2025-11-18T00:00:00"/>
    <n v="75"/>
    <x v="1"/>
    <x v="2"/>
    <x v="0"/>
    <x v="0"/>
    <m/>
    <m/>
    <m/>
  </r>
  <r>
    <s v="60.02"/>
    <x v="71"/>
    <x v="155"/>
    <s v="Списание с расчетного счета 00БП-003507 от 09.06.2025 17:55:56"/>
    <s v="09.06.25"/>
    <n v="24500"/>
    <m/>
    <m/>
    <d v="2025-06-09T00:00:00"/>
    <n v="237"/>
    <x v="3"/>
    <x v="2"/>
    <x v="0"/>
    <x v="0"/>
    <m/>
    <m/>
    <m/>
  </r>
  <r>
    <s v="60.02"/>
    <x v="71"/>
    <x v="156"/>
    <s v="Списание с расчетного счета 00БП-002932 от 20.05.2025 20:02:05"/>
    <s v="20.05.25"/>
    <n v="58485"/>
    <m/>
    <m/>
    <d v="2025-05-20T00:00:00"/>
    <n v="257"/>
    <x v="3"/>
    <x v="2"/>
    <x v="0"/>
    <x v="0"/>
    <m/>
    <m/>
    <m/>
  </r>
  <r>
    <s v="60.02"/>
    <x v="71"/>
    <x v="157"/>
    <s v="Списание с расчетного счета 00БП-003349 от 03.06.2025 17:39:01"/>
    <s v="03.06.25"/>
    <n v="2690"/>
    <m/>
    <m/>
    <d v="2025-06-03T00:00:00"/>
    <n v="243"/>
    <x v="3"/>
    <x v="2"/>
    <x v="0"/>
    <x v="0"/>
    <m/>
    <m/>
    <m/>
  </r>
  <r>
    <s v="60.02"/>
    <x v="71"/>
    <x v="158"/>
    <s v="Списание с расчетного счета 00БП-004858 от 14.07.2025 17:54:08"/>
    <s v="14.07.25"/>
    <n v="16020"/>
    <m/>
    <m/>
    <d v="2025-07-14T00:00:00"/>
    <n v="202"/>
    <x v="3"/>
    <x v="2"/>
    <x v="0"/>
    <x v="0"/>
    <m/>
    <m/>
    <m/>
  </r>
  <r>
    <s v="60.02"/>
    <x v="71"/>
    <x v="159"/>
    <s v="Списание с расчетного счета 00БП-007893 от 24.10.2025 17:29:35"/>
    <s v="24.10.25"/>
    <n v="29748"/>
    <m/>
    <m/>
    <d v="2025-10-24T00:00:00"/>
    <n v="100"/>
    <x v="4"/>
    <x v="2"/>
    <x v="0"/>
    <x v="0"/>
    <m/>
    <m/>
    <m/>
  </r>
  <r>
    <s v="60.02"/>
    <x v="72"/>
    <x v="73"/>
    <s v="Списание с расчетного счета 00БП-008907 от 24.11.2025 16:33:57"/>
    <s v="24.11.25"/>
    <n v="3135726.34"/>
    <m/>
    <m/>
    <d v="2025-11-24T00:00:00"/>
    <n v="69"/>
    <x v="1"/>
    <x v="2"/>
    <x v="0"/>
    <x v="0"/>
    <m/>
    <m/>
    <m/>
  </r>
  <r>
    <s v="60.02"/>
    <x v="73"/>
    <x v="160"/>
    <s v="Списание с расчетного счета 00БП-003413 от 05.06.2025 19:44:02"/>
    <s v="05.06.25"/>
    <n v="5900"/>
    <m/>
    <m/>
    <d v="2025-06-05T00:00:00"/>
    <n v="241"/>
    <x v="3"/>
    <x v="2"/>
    <x v="0"/>
    <x v="0"/>
    <m/>
    <m/>
    <m/>
  </r>
  <r>
    <s v="60.02"/>
    <x v="73"/>
    <x v="161"/>
    <s v="Списание с расчетного счета 00БП-002901 от 19.05.2025 18:19:45"/>
    <s v="19.05.25"/>
    <n v="76000"/>
    <m/>
    <m/>
    <d v="2025-05-19T00:00:00"/>
    <n v="258"/>
    <x v="3"/>
    <x v="2"/>
    <x v="0"/>
    <x v="0"/>
    <m/>
    <m/>
    <m/>
  </r>
  <r>
    <s v="60.02"/>
    <x v="74"/>
    <x v="162"/>
    <s v="Списание с расчетного счета 00БП-000535 от 07.03.2025 17:21:02"/>
    <s v="07.03.25"/>
    <n v="9000"/>
    <m/>
    <m/>
    <d v="2025-03-07T00:00:00"/>
    <n v="331"/>
    <x v="6"/>
    <x v="2"/>
    <x v="0"/>
    <x v="8"/>
    <m/>
    <m/>
    <m/>
  </r>
  <r>
    <s v="60.02"/>
    <x v="75"/>
    <x v="163"/>
    <s v="Списание с расчетного счета 00БП-009339 от 29.12.2025 17:48:54"/>
    <s v="29.12.25"/>
    <n v="23320"/>
    <m/>
    <m/>
    <d v="2025-12-29T00:00:00"/>
    <n v="34"/>
    <x v="1"/>
    <x v="2"/>
    <x v="0"/>
    <x v="0"/>
    <m/>
    <m/>
    <m/>
  </r>
  <r>
    <s v="60.02"/>
    <x v="75"/>
    <x v="164"/>
    <s v="Списание с расчетного счета 00БП-007854 от 22.10.2025 18:47:39"/>
    <s v="22.10.25"/>
    <n v="427500"/>
    <m/>
    <m/>
    <d v="2025-10-22T00:00:00"/>
    <n v="102"/>
    <x v="4"/>
    <x v="2"/>
    <x v="0"/>
    <x v="0"/>
    <m/>
    <m/>
    <m/>
  </r>
  <r>
    <s v="60.02"/>
    <x v="76"/>
    <x v="165"/>
    <s v="Списание с расчетного счета 00БП-008910 от 24.11.2025 16:34:00"/>
    <s v="24.11.25"/>
    <n v="5088000"/>
    <m/>
    <m/>
    <d v="2025-11-24T00:00:00"/>
    <n v="69"/>
    <x v="1"/>
    <x v="2"/>
    <x v="0"/>
    <x v="0"/>
    <m/>
    <m/>
    <m/>
  </r>
  <r>
    <s v="60.02"/>
    <x v="76"/>
    <x v="166"/>
    <s v="Списание с расчетного счета 00БП-008909 от 24.11.2025 16:33:59"/>
    <s v="24.11.25"/>
    <n v="4563000"/>
    <m/>
    <m/>
    <d v="2025-11-24T00:00:00"/>
    <n v="69"/>
    <x v="1"/>
    <x v="2"/>
    <x v="0"/>
    <x v="0"/>
    <m/>
    <m/>
    <m/>
  </r>
  <r>
    <s v="60.02"/>
    <x v="76"/>
    <x v="167"/>
    <s v="Списание с расчетного счета 00БП-008905 от 24.11.2025 16:33:55"/>
    <s v="24.11.25"/>
    <n v="492000"/>
    <m/>
    <m/>
    <d v="2025-11-24T00:00:00"/>
    <n v="69"/>
    <x v="1"/>
    <x v="2"/>
    <x v="0"/>
    <x v="0"/>
    <m/>
    <m/>
    <m/>
  </r>
  <r>
    <s v="60.02"/>
    <x v="76"/>
    <x v="168"/>
    <s v="Списание с расчетного счета 00БП-008911 от 24.11.2025 16:34:01"/>
    <s v="24.11.25"/>
    <n v="8808000"/>
    <m/>
    <m/>
    <d v="2025-11-24T00:00:00"/>
    <n v="69"/>
    <x v="1"/>
    <x v="2"/>
    <x v="0"/>
    <x v="0"/>
    <m/>
    <m/>
    <m/>
  </r>
  <r>
    <s v="60.02"/>
    <x v="176"/>
    <x v="370"/>
    <s v="Списание с расчетного счета 00БП-008350 от 11.11.2025 18:13:29"/>
    <s v="11.11.25"/>
    <n v="19446.7"/>
    <m/>
    <m/>
    <d v="2025-11-11T00:00:00"/>
    <n v="82"/>
    <x v="1"/>
    <x v="2"/>
    <x v="0"/>
    <x v="0"/>
    <m/>
    <m/>
    <m/>
  </r>
  <r>
    <s v="60.02"/>
    <x v="77"/>
    <x v="171"/>
    <s v="Списание с расчетного счета 00БП-003223 от 28.05.2025 21:55:54"/>
    <s v="28.05.25"/>
    <n v="39502.11"/>
    <m/>
    <m/>
    <d v="2025-05-28T00:00:00"/>
    <n v="249"/>
    <x v="3"/>
    <x v="2"/>
    <x v="0"/>
    <x v="0"/>
    <m/>
    <m/>
    <m/>
  </r>
  <r>
    <s v="60.02"/>
    <x v="78"/>
    <x v="172"/>
    <s v="Списание с расчетного счета 00БП-009274 от 24.12.2025 11:37:27"/>
    <s v="24.12.25"/>
    <n v="59150000"/>
    <m/>
    <m/>
    <d v="2025-12-24T00:00:00"/>
    <n v="39"/>
    <x v="1"/>
    <x v="2"/>
    <x v="0"/>
    <x v="0"/>
    <m/>
    <m/>
    <m/>
  </r>
  <r>
    <s v="60.02"/>
    <x v="78"/>
    <x v="173"/>
    <s v="Списание с расчетного счета 00БП-004325 от 08.07.2024 18:29:59"/>
    <s v="08.07.24"/>
    <n v="31.2"/>
    <m/>
    <m/>
    <d v="2024-07-08T00:00:00"/>
    <n v="573"/>
    <x v="5"/>
    <x v="2"/>
    <x v="0"/>
    <x v="0"/>
    <m/>
    <m/>
    <m/>
  </r>
  <r>
    <s v="60.02"/>
    <x v="78"/>
    <x v="173"/>
    <s v="Списание с расчетного счета 00БП-004331 от 08.07.2024 18:30:05"/>
    <s v="08.07.24"/>
    <n v="995281.85"/>
    <m/>
    <m/>
    <d v="2024-07-08T00:00:00"/>
    <n v="573"/>
    <x v="5"/>
    <x v="2"/>
    <x v="0"/>
    <x v="0"/>
    <m/>
    <m/>
    <m/>
  </r>
  <r>
    <s v="60.02"/>
    <x v="78"/>
    <x v="173"/>
    <s v="Списание с расчетного счета 00БП-005804 от 23.08.2024 17:14:33"/>
    <s v="23.08.24"/>
    <n v="395493.5"/>
    <m/>
    <m/>
    <d v="2024-08-23T00:00:00"/>
    <n v="527"/>
    <x v="5"/>
    <x v="2"/>
    <x v="0"/>
    <x v="0"/>
    <m/>
    <m/>
    <m/>
  </r>
  <r>
    <s v="60.02"/>
    <x v="78"/>
    <x v="174"/>
    <s v="Списание с расчетного счета 00БП-007827 от 21.10.2025 17:30:38"/>
    <s v="21.10.25"/>
    <n v="969720.57"/>
    <m/>
    <m/>
    <d v="2025-10-21T00:00:00"/>
    <n v="103"/>
    <x v="4"/>
    <x v="2"/>
    <x v="0"/>
    <x v="0"/>
    <m/>
    <m/>
    <m/>
  </r>
  <r>
    <s v="60.02"/>
    <x v="78"/>
    <x v="174"/>
    <s v="Списание с расчетного счета 00БП-007894 от 24.10.2025 17:29:36"/>
    <s v="24.10.25"/>
    <n v="389696.13"/>
    <m/>
    <m/>
    <d v="2025-10-24T00:00:00"/>
    <n v="100"/>
    <x v="4"/>
    <x v="2"/>
    <x v="0"/>
    <x v="0"/>
    <m/>
    <m/>
    <m/>
  </r>
  <r>
    <s v="60.02"/>
    <x v="78"/>
    <x v="174"/>
    <s v="Списание с расчетного счета 00БП-007896 от 24.10.2025 17:29:38"/>
    <s v="24.10.25"/>
    <n v="1002946.15"/>
    <m/>
    <m/>
    <d v="2025-10-24T00:00:00"/>
    <n v="100"/>
    <x v="4"/>
    <x v="2"/>
    <x v="0"/>
    <x v="0"/>
    <m/>
    <m/>
    <m/>
  </r>
  <r>
    <s v="60.02"/>
    <x v="78"/>
    <x v="179"/>
    <s v="Списание с расчетного счета 00БП-009318 от 26.12.2025 12:00:24"/>
    <s v="26.12.25"/>
    <n v="3536597.4"/>
    <m/>
    <m/>
    <d v="2025-12-26T00:00:00"/>
    <n v="37"/>
    <x v="1"/>
    <x v="2"/>
    <x v="0"/>
    <x v="0"/>
    <m/>
    <m/>
    <m/>
  </r>
  <r>
    <s v="60.02"/>
    <x v="78"/>
    <x v="180"/>
    <s v="Списание с расчетного счета 00БП-009317 от 26.12.2025 12:00:23"/>
    <s v="26.12.25"/>
    <n v="1857916.08"/>
    <m/>
    <m/>
    <d v="2025-12-26T00:00:00"/>
    <n v="37"/>
    <x v="1"/>
    <x v="2"/>
    <x v="0"/>
    <x v="0"/>
    <m/>
    <m/>
    <m/>
  </r>
  <r>
    <s v="60.02"/>
    <x v="78"/>
    <x v="181"/>
    <s v="Списание с расчетного счета 00БП-009243 от 19.12.2025 12:51:11"/>
    <s v="19.12.25"/>
    <n v="4806964.25"/>
    <m/>
    <m/>
    <d v="2025-12-19T00:00:00"/>
    <n v="44"/>
    <x v="1"/>
    <x v="2"/>
    <x v="0"/>
    <x v="0"/>
    <m/>
    <m/>
    <m/>
  </r>
  <r>
    <s v="60.02"/>
    <x v="79"/>
    <x v="182"/>
    <s v="Списание с расчетного счета 00БП-008210 от 05.11.2025 17:00:56"/>
    <s v="05.11.25"/>
    <n v="1480.72"/>
    <m/>
    <m/>
    <d v="2025-11-05T00:00:00"/>
    <n v="88"/>
    <x v="1"/>
    <x v="2"/>
    <x v="0"/>
    <x v="0"/>
    <m/>
    <m/>
    <m/>
  </r>
  <r>
    <s v="60.02"/>
    <x v="79"/>
    <x v="183"/>
    <s v="Списание с расчетного счета 00БП-008212 от 05.11.2025 17:00:58"/>
    <s v="05.11.25"/>
    <n v="538.94000000000005"/>
    <m/>
    <m/>
    <d v="2025-11-05T00:00:00"/>
    <n v="88"/>
    <x v="1"/>
    <x v="2"/>
    <x v="0"/>
    <x v="0"/>
    <m/>
    <m/>
    <m/>
  </r>
  <r>
    <s v="60.02"/>
    <x v="79"/>
    <x v="184"/>
    <s v="Списание с расчетного счета 00БП-005423 от 04.08.2025 21:25:15"/>
    <s v="04.08.25"/>
    <n v="6206.65"/>
    <m/>
    <m/>
    <d v="2025-08-04T00:00:00"/>
    <n v="181"/>
    <x v="3"/>
    <x v="2"/>
    <x v="0"/>
    <x v="0"/>
    <m/>
    <m/>
    <m/>
  </r>
  <r>
    <s v="60.02"/>
    <x v="79"/>
    <x v="184"/>
    <s v="Списание с расчетного счета 00БП-008213 от 05.11.2025 17:00:59"/>
    <s v="05.11.25"/>
    <n v="5000"/>
    <m/>
    <m/>
    <d v="2025-11-05T00:00:00"/>
    <n v="88"/>
    <x v="1"/>
    <x v="2"/>
    <x v="0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494"/>
    <x v="5"/>
    <x v="2"/>
    <x v="0"/>
    <x v="0"/>
    <m/>
    <m/>
    <m/>
  </r>
  <r>
    <s v="60.02"/>
    <x v="79"/>
    <x v="186"/>
    <s v="Списание с расчетного счета 00БП-008215 от 05.11.2025 17:01:01"/>
    <s v="05.11.25"/>
    <n v="3032.56"/>
    <m/>
    <m/>
    <d v="2025-11-05T00:00:00"/>
    <n v="88"/>
    <x v="1"/>
    <x v="2"/>
    <x v="0"/>
    <x v="0"/>
    <m/>
    <m/>
    <m/>
  </r>
  <r>
    <s v="60.02"/>
    <x v="79"/>
    <x v="187"/>
    <s v="Списание с расчетного счета 00БП-005417 от 04.08.2025 21:25:09"/>
    <s v="04.08.25"/>
    <n v="358.13"/>
    <m/>
    <m/>
    <d v="2025-08-04T00:00:00"/>
    <n v="181"/>
    <x v="3"/>
    <x v="2"/>
    <x v="0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821"/>
    <x v="5"/>
    <x v="2"/>
    <x v="0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719"/>
    <x v="5"/>
    <x v="2"/>
    <x v="0"/>
    <x v="0"/>
    <m/>
    <m/>
    <m/>
  </r>
  <r>
    <s v="60.02"/>
    <x v="79"/>
    <x v="189"/>
    <s v="Списание с расчетного счета 00БП-008216 от 05.11.2025 17:01:02"/>
    <s v="05.11.25"/>
    <n v="3268.17"/>
    <m/>
    <m/>
    <d v="2025-11-05T00:00:00"/>
    <n v="88"/>
    <x v="1"/>
    <x v="2"/>
    <x v="0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586"/>
    <x v="5"/>
    <x v="2"/>
    <x v="0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553"/>
    <x v="5"/>
    <x v="2"/>
    <x v="0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2237"/>
    <x v="5"/>
    <x v="2"/>
    <x v="0"/>
    <x v="0"/>
    <m/>
    <m/>
    <m/>
  </r>
  <r>
    <s v="60.02"/>
    <x v="79"/>
    <x v="191"/>
    <m/>
    <m/>
    <n v="68.27"/>
    <m/>
    <m/>
    <d v="1899-12-30T00:00:00"/>
    <n v="46054"/>
    <x v="5"/>
    <x v="2"/>
    <x v="0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625"/>
    <x v="5"/>
    <x v="2"/>
    <x v="0"/>
    <x v="0"/>
    <m/>
    <m/>
    <m/>
  </r>
  <r>
    <s v="60.02"/>
    <x v="79"/>
    <x v="193"/>
    <s v="Списание с расчетного счета 00БП-005424 от 04.08.2025 21:25:16"/>
    <s v="04.08.25"/>
    <n v="4710.0600000000004"/>
    <m/>
    <m/>
    <d v="2025-08-04T00:00:00"/>
    <n v="181"/>
    <x v="3"/>
    <x v="2"/>
    <x v="0"/>
    <x v="0"/>
    <m/>
    <m/>
    <m/>
  </r>
  <r>
    <s v="60.02"/>
    <x v="79"/>
    <x v="193"/>
    <s v="Списание с расчетного счета 00БП-008214 от 05.11.2025 17:01:00"/>
    <s v="05.11.25"/>
    <n v="5000"/>
    <m/>
    <m/>
    <d v="2025-11-05T00:00:00"/>
    <n v="88"/>
    <x v="1"/>
    <x v="2"/>
    <x v="0"/>
    <x v="0"/>
    <m/>
    <m/>
    <m/>
  </r>
  <r>
    <s v="60.02"/>
    <x v="79"/>
    <x v="194"/>
    <s v="Списание с расчетного счета 00БП-008914 от 24.11.2025 16:34:06"/>
    <s v="24.11.25"/>
    <n v="800"/>
    <m/>
    <m/>
    <d v="2025-11-24T00:00:00"/>
    <n v="69"/>
    <x v="1"/>
    <x v="2"/>
    <x v="0"/>
    <x v="0"/>
    <m/>
    <m/>
    <m/>
  </r>
  <r>
    <s v="60.02"/>
    <x v="80"/>
    <x v="195"/>
    <s v="Списание с расчетного счета 00БП-006379 от 10.09.2025 18:06:41"/>
    <s v="10.09.25"/>
    <n v="45000"/>
    <m/>
    <m/>
    <d v="2025-09-10T00:00:00"/>
    <n v="144"/>
    <x v="0"/>
    <x v="2"/>
    <x v="0"/>
    <x v="0"/>
    <m/>
    <m/>
    <m/>
  </r>
  <r>
    <s v="60.02"/>
    <x v="177"/>
    <x v="371"/>
    <s v="Списание с расчетного счета 00БП-005300 от 29.07.2025 20:44:28"/>
    <s v="29.07.25"/>
    <n v="170820"/>
    <m/>
    <m/>
    <d v="2025-07-29T00:00:00"/>
    <n v="187"/>
    <x v="3"/>
    <x v="2"/>
    <x v="0"/>
    <x v="0"/>
    <m/>
    <m/>
    <m/>
  </r>
  <r>
    <s v="60.02"/>
    <x v="81"/>
    <x v="196"/>
    <s v="Списание с расчетного счета 00БП-009285 от 25.12.2025 12:00:09"/>
    <s v="25.12.25"/>
    <n v="411323.77"/>
    <m/>
    <m/>
    <d v="2025-12-25T00:00:00"/>
    <n v="38"/>
    <x v="1"/>
    <x v="2"/>
    <x v="0"/>
    <x v="0"/>
    <m/>
    <m/>
    <m/>
  </r>
  <r>
    <s v="60.02"/>
    <x v="83"/>
    <x v="199"/>
    <s v="Списание с расчетного счета 00БП-000103 от 22.01.2026 6:54:23"/>
    <s v="22.01.26"/>
    <n v="9237364.1999999993"/>
    <m/>
    <m/>
    <d v="2026-01-22T00:00:00"/>
    <n v="10"/>
    <x v="2"/>
    <x v="2"/>
    <x v="0"/>
    <x v="0"/>
    <m/>
    <m/>
    <m/>
  </r>
  <r>
    <s v="60.02"/>
    <x v="83"/>
    <x v="201"/>
    <s v="Списание с расчетного счета 00БП-008314 от 10.11.2025 19:46:19"/>
    <s v="10.11.25"/>
    <n v="456108"/>
    <m/>
    <m/>
    <d v="2025-11-10T00:00:00"/>
    <n v="83"/>
    <x v="1"/>
    <x v="2"/>
    <x v="0"/>
    <x v="0"/>
    <m/>
    <m/>
    <m/>
  </r>
  <r>
    <s v="60.02"/>
    <x v="178"/>
    <x v="372"/>
    <s v="Списание с расчетного счета 00БП-007874 от 23.10.2025 18:51:00"/>
    <s v="23.10.25"/>
    <n v="1088160"/>
    <m/>
    <m/>
    <d v="2025-10-23T00:00:00"/>
    <n v="101"/>
    <x v="4"/>
    <x v="2"/>
    <x v="0"/>
    <x v="0"/>
    <m/>
    <m/>
    <m/>
  </r>
  <r>
    <s v="60.02"/>
    <x v="178"/>
    <x v="372"/>
    <s v="Списание с расчетного счета 00БП-008429 от 13.11.2025 17:26:12"/>
    <s v="13.11.25"/>
    <n v="1088160"/>
    <m/>
    <m/>
    <d v="2025-11-13T00:00:00"/>
    <n v="80"/>
    <x v="1"/>
    <x v="2"/>
    <x v="0"/>
    <x v="0"/>
    <m/>
    <m/>
    <m/>
  </r>
  <r>
    <s v="60.02"/>
    <x v="84"/>
    <x v="202"/>
    <s v="Списание с расчетного счета 00БП-000193 от 30.01.2026 12:00:05"/>
    <s v="30.01.26"/>
    <n v="2210602"/>
    <m/>
    <m/>
    <d v="2026-01-30T00:00:00"/>
    <n v="2"/>
    <x v="2"/>
    <x v="2"/>
    <x v="0"/>
    <x v="0"/>
    <m/>
    <m/>
    <m/>
  </r>
  <r>
    <s v="60.02"/>
    <x v="85"/>
    <x v="204"/>
    <s v="Списание с расчетного счета 00БП-007233 от 02.10.2025 17:20:48"/>
    <s v="02.10.25"/>
    <n v="7568"/>
    <m/>
    <m/>
    <d v="2025-10-02T00:00:00"/>
    <n v="122"/>
    <x v="0"/>
    <x v="2"/>
    <x v="0"/>
    <x v="0"/>
    <m/>
    <m/>
    <m/>
  </r>
  <r>
    <s v="60.02"/>
    <x v="86"/>
    <x v="205"/>
    <s v="Списание с расчетного счета 00БП-008774 от 18.11.2025 23:05:16"/>
    <s v="18.11.25"/>
    <n v="9550"/>
    <m/>
    <m/>
    <d v="2025-11-18T00:00:00"/>
    <n v="75"/>
    <x v="1"/>
    <x v="2"/>
    <x v="0"/>
    <x v="0"/>
    <m/>
    <m/>
    <m/>
  </r>
  <r>
    <s v="60.02"/>
    <x v="87"/>
    <x v="206"/>
    <s v="Списание с расчетного счета 00БП-007167 от 30.09.2025 23:59:59"/>
    <s v="30.09.25"/>
    <n v="25035"/>
    <m/>
    <m/>
    <d v="2025-09-30T00:00:00"/>
    <n v="124"/>
    <x v="0"/>
    <x v="2"/>
    <x v="0"/>
    <x v="0"/>
    <m/>
    <m/>
    <m/>
  </r>
  <r>
    <s v="60.02"/>
    <x v="88"/>
    <x v="207"/>
    <s v="Списание с расчетного счета 00БП-002240 от 28.04.2025 18:34:44"/>
    <s v="28.04.25"/>
    <n v="114.79"/>
    <m/>
    <m/>
    <d v="2025-04-28T00:00:00"/>
    <n v="279"/>
    <x v="6"/>
    <x v="2"/>
    <x v="0"/>
    <x v="0"/>
    <m/>
    <m/>
    <m/>
  </r>
  <r>
    <s v="60.02"/>
    <x v="90"/>
    <x v="209"/>
    <s v="Списание с расчетного счета 00БП-009092 от 05.12.2025 12:00:07"/>
    <s v="05.12.25"/>
    <n v="0.01"/>
    <m/>
    <m/>
    <d v="2025-12-05T00:00:00"/>
    <n v="58"/>
    <x v="1"/>
    <x v="2"/>
    <x v="0"/>
    <x v="0"/>
    <m/>
    <m/>
    <m/>
  </r>
  <r>
    <s v="60.02"/>
    <x v="91"/>
    <x v="210"/>
    <s v="Списание с расчетного счета 00БП-001175 от 01.04.2025 17:50:06"/>
    <s v="01.04.25"/>
    <n v="51478.94"/>
    <m/>
    <m/>
    <d v="2025-04-01T00:00:00"/>
    <n v="306"/>
    <x v="6"/>
    <x v="2"/>
    <x v="0"/>
    <x v="0"/>
    <m/>
    <m/>
    <m/>
  </r>
  <r>
    <s v="60.02"/>
    <x v="92"/>
    <x v="211"/>
    <s v="Списание с расчетного счета 00БП-002041 от 24.04.2025 18:07:53"/>
    <s v="24.04.25"/>
    <n v="469639.56"/>
    <m/>
    <m/>
    <d v="2025-04-24T00:00:00"/>
    <n v="283"/>
    <x v="6"/>
    <x v="2"/>
    <x v="0"/>
    <x v="0"/>
    <m/>
    <m/>
    <m/>
  </r>
  <r>
    <s v="60.02"/>
    <x v="92"/>
    <x v="212"/>
    <s v="Списание с расчетного счета 00БП-005992 от 25.08.2025 20:08:40"/>
    <s v="25.08.25"/>
    <n v="590584.65"/>
    <m/>
    <m/>
    <d v="2025-08-25T00:00:00"/>
    <n v="160"/>
    <x v="0"/>
    <x v="2"/>
    <x v="0"/>
    <x v="0"/>
    <m/>
    <m/>
    <m/>
  </r>
  <r>
    <s v="60.02"/>
    <x v="92"/>
    <x v="212"/>
    <s v="Списание с расчетного счета 00БП-006768 от 17.09.2025 19:43:20"/>
    <s v="17.09.25"/>
    <n v="750186.92"/>
    <m/>
    <m/>
    <d v="2025-09-17T00:00:00"/>
    <n v="137"/>
    <x v="0"/>
    <x v="2"/>
    <x v="0"/>
    <x v="0"/>
    <m/>
    <m/>
    <m/>
  </r>
  <r>
    <s v="60.02"/>
    <x v="92"/>
    <x v="212"/>
    <s v="Списание с расчетного счета 00БП-008010 от 28.10.2025 17:26:32"/>
    <s v="28.10.25"/>
    <n v="1449154.95"/>
    <m/>
    <m/>
    <d v="2025-10-28T00:00:00"/>
    <n v="96"/>
    <x v="4"/>
    <x v="2"/>
    <x v="0"/>
    <x v="0"/>
    <m/>
    <m/>
    <m/>
  </r>
  <r>
    <s v="60.02"/>
    <x v="92"/>
    <x v="212"/>
    <s v="Списание с расчетного счета 00БП-008883 от 21.11.2025 18:51:10"/>
    <s v="21.11.25"/>
    <n v="623307.19999999995"/>
    <m/>
    <m/>
    <d v="2025-11-21T00:00:00"/>
    <n v="72"/>
    <x v="1"/>
    <x v="2"/>
    <x v="0"/>
    <x v="0"/>
    <m/>
    <m/>
    <m/>
  </r>
  <r>
    <s v="60.02"/>
    <x v="92"/>
    <x v="213"/>
    <s v="Списание с расчетного счета 00БП-000186 от 29.01.2026 11:53:17"/>
    <s v="29.01.26"/>
    <n v="662388"/>
    <m/>
    <m/>
    <d v="2026-01-29T00:00:00"/>
    <n v="3"/>
    <x v="2"/>
    <x v="2"/>
    <x v="0"/>
    <x v="0"/>
    <m/>
    <m/>
    <m/>
  </r>
  <r>
    <s v="60.02"/>
    <x v="92"/>
    <x v="214"/>
    <s v="Списание с расчетного счета 00БП-007752 от 17.10.2025 19:36:09"/>
    <s v="17.10.25"/>
    <n v="140313"/>
    <m/>
    <m/>
    <d v="2025-10-17T00:00:00"/>
    <n v="107"/>
    <x v="4"/>
    <x v="2"/>
    <x v="0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836"/>
    <x v="5"/>
    <x v="2"/>
    <x v="0"/>
    <x v="13"/>
    <m/>
    <m/>
    <m/>
  </r>
  <r>
    <s v="60.02"/>
    <x v="92"/>
    <x v="216"/>
    <s v="Списание с расчетного счета 00БП-007634 от 13.10.2025 18:15:51"/>
    <s v="13.10.25"/>
    <n v="1192763"/>
    <m/>
    <m/>
    <d v="2025-10-13T00:00:00"/>
    <n v="111"/>
    <x v="4"/>
    <x v="2"/>
    <x v="0"/>
    <x v="0"/>
    <m/>
    <m/>
    <m/>
  </r>
  <r>
    <s v="60.02"/>
    <x v="92"/>
    <x v="373"/>
    <s v="Списание с расчетного счета 00БП-006937 от 25.09.2025 17:23:33"/>
    <s v="25.09.25"/>
    <n v="28590"/>
    <m/>
    <m/>
    <d v="2025-09-25T00:00:00"/>
    <n v="129"/>
    <x v="0"/>
    <x v="2"/>
    <x v="0"/>
    <x v="0"/>
    <m/>
    <m/>
    <m/>
  </r>
  <r>
    <s v="60.02"/>
    <x v="92"/>
    <x v="217"/>
    <s v="Списание с расчетного счета 00БП-007632 от 13.10.2025 18:15:49"/>
    <s v="13.10.25"/>
    <n v="546480"/>
    <m/>
    <m/>
    <d v="2025-10-13T00:00:00"/>
    <n v="111"/>
    <x v="4"/>
    <x v="2"/>
    <x v="0"/>
    <x v="0"/>
    <m/>
    <m/>
    <m/>
  </r>
  <r>
    <s v="60.02"/>
    <x v="93"/>
    <x v="218"/>
    <s v="Списание с расчетного счета 00БП-008787 от 18.11.2025 23:05:29"/>
    <s v="18.11.25"/>
    <n v="876000"/>
    <m/>
    <m/>
    <d v="2025-11-18T00:00:00"/>
    <n v="75"/>
    <x v="1"/>
    <x v="2"/>
    <x v="0"/>
    <x v="0"/>
    <m/>
    <m/>
    <m/>
  </r>
  <r>
    <s v="60.02"/>
    <x v="95"/>
    <x v="220"/>
    <s v="Списание с расчетного счета 00БП-000089 от 21.01.2026 11:45:49"/>
    <s v="21.01.26"/>
    <n v="500000"/>
    <m/>
    <m/>
    <d v="2026-01-21T00:00:00"/>
    <n v="11"/>
    <x v="2"/>
    <x v="2"/>
    <x v="0"/>
    <x v="0"/>
    <m/>
    <m/>
    <m/>
  </r>
  <r>
    <s v="60.02"/>
    <x v="96"/>
    <x v="221"/>
    <s v="Списание с расчетного счета 00БП-009117 от 08.12.2025 1:54:01"/>
    <s v="08.12.25"/>
    <n v="161919248.72"/>
    <m/>
    <m/>
    <d v="2025-12-08T00:00:00"/>
    <n v="55"/>
    <x v="1"/>
    <x v="2"/>
    <x v="0"/>
    <x v="0"/>
    <m/>
    <m/>
    <m/>
  </r>
  <r>
    <s v="60.02"/>
    <x v="97"/>
    <x v="222"/>
    <s v="Списание с расчетного счета 00БП-009233 от 18.12.2025 17:20:47"/>
    <s v="18.12.25"/>
    <n v="236250"/>
    <m/>
    <m/>
    <d v="2025-12-18T00:00:00"/>
    <n v="45"/>
    <x v="1"/>
    <x v="2"/>
    <x v="0"/>
    <x v="0"/>
    <d v="2026-03-18T00:00:00"/>
    <m/>
    <m/>
  </r>
  <r>
    <s v="60.02"/>
    <x v="97"/>
    <x v="223"/>
    <s v="Списание с расчетного счета 00БП-003511 от 09.06.2025 17:56:00"/>
    <s v="09.06.25"/>
    <n v="1181250"/>
    <m/>
    <m/>
    <d v="2025-06-09T00:00:00"/>
    <n v="237"/>
    <x v="3"/>
    <x v="2"/>
    <x v="0"/>
    <x v="0"/>
    <d v="2026-03-18T00:00:00"/>
    <m/>
    <m/>
  </r>
  <r>
    <s v="60.02"/>
    <x v="97"/>
    <x v="223"/>
    <s v="Списание с расчетного счета 00БП-009158 от 11.12.2025 10:37:33"/>
    <s v="11.12.25"/>
    <n v="236250"/>
    <m/>
    <m/>
    <d v="2025-12-11T00:00:00"/>
    <n v="52"/>
    <x v="1"/>
    <x v="2"/>
    <x v="0"/>
    <x v="0"/>
    <d v="2026-03-18T00:00:00"/>
    <m/>
    <m/>
  </r>
  <r>
    <s v="60.02"/>
    <x v="98"/>
    <x v="224"/>
    <s v="Списание с расчетного счета 00БП-002981 от 22.05.2025 18:45:24"/>
    <s v="22.05.25"/>
    <n v="6869.56"/>
    <m/>
    <m/>
    <d v="2025-05-22T00:00:00"/>
    <n v="255"/>
    <x v="3"/>
    <x v="2"/>
    <x v="0"/>
    <x v="8"/>
    <m/>
    <m/>
    <m/>
  </r>
  <r>
    <s v="60.02"/>
    <x v="98"/>
    <x v="225"/>
    <s v="Списание с расчетного счета 00БП-002894 от 19.05.2025 18:19:38"/>
    <s v="19.05.25"/>
    <n v="16930"/>
    <m/>
    <m/>
    <d v="2025-05-19T00:00:00"/>
    <n v="258"/>
    <x v="3"/>
    <x v="2"/>
    <x v="0"/>
    <x v="8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513"/>
    <x v="5"/>
    <x v="2"/>
    <x v="0"/>
    <x v="8"/>
    <m/>
    <m/>
    <m/>
  </r>
  <r>
    <s v="60.02"/>
    <x v="98"/>
    <x v="227"/>
    <s v="Списание с расчетного счета 00БП-002958 от 21.05.2025 20:10:49"/>
    <s v="21.05.25"/>
    <n v="35983.96"/>
    <m/>
    <m/>
    <d v="2025-05-21T00:00:00"/>
    <n v="256"/>
    <x v="3"/>
    <x v="2"/>
    <x v="0"/>
    <x v="8"/>
    <m/>
    <m/>
    <m/>
  </r>
  <r>
    <s v="60.02"/>
    <x v="98"/>
    <x v="228"/>
    <s v="Списание с расчетного счета 00БП-004340 от 01.07.2025 20:38:11"/>
    <s v="01.07.25"/>
    <n v="3413.74"/>
    <m/>
    <m/>
    <d v="2025-07-01T00:00:00"/>
    <n v="215"/>
    <x v="3"/>
    <x v="2"/>
    <x v="0"/>
    <x v="8"/>
    <m/>
    <m/>
    <m/>
  </r>
  <r>
    <s v="60.02"/>
    <x v="99"/>
    <x v="304"/>
    <s v="Списание с расчетного счета 00БП-009287 от 25.12.2025 12:00:11"/>
    <s v="25.12.25"/>
    <n v="2223000"/>
    <m/>
    <m/>
    <d v="2025-12-25T00:00:00"/>
    <n v="38"/>
    <x v="1"/>
    <x v="2"/>
    <x v="0"/>
    <x v="0"/>
    <m/>
    <m/>
    <m/>
  </r>
  <r>
    <s v="60.02"/>
    <x v="100"/>
    <x v="230"/>
    <s v="Списание с расчетного счета 00БП-007569 от 15.10.2024 19:25:20"/>
    <s v="15.10.24"/>
    <n v="2798.49"/>
    <m/>
    <m/>
    <d v="2024-10-15T00:00:00"/>
    <n v="474"/>
    <x v="5"/>
    <x v="2"/>
    <x v="0"/>
    <x v="0"/>
    <m/>
    <m/>
    <m/>
  </r>
  <r>
    <s v="60.02"/>
    <x v="104"/>
    <x v="234"/>
    <s v="Списание с расчетного счета 00БП-003058 от 26.05.2025 22:23:12"/>
    <s v="26.05.25"/>
    <n v="0.3"/>
    <m/>
    <m/>
    <d v="2025-05-26T00:00:00"/>
    <n v="251"/>
    <x v="3"/>
    <x v="2"/>
    <x v="0"/>
    <x v="0"/>
    <m/>
    <m/>
    <m/>
  </r>
  <r>
    <s v="60.02"/>
    <x v="105"/>
    <x v="235"/>
    <s v="Списание с расчетного счета 00БП-001305 от 04.04.2025 19:33:54"/>
    <s v="04.04.25"/>
    <n v="74670"/>
    <m/>
    <m/>
    <d v="2025-04-04T00:00:00"/>
    <n v="303"/>
    <x v="6"/>
    <x v="2"/>
    <x v="0"/>
    <x v="0"/>
    <m/>
    <m/>
    <m/>
  </r>
  <r>
    <s v="60.02"/>
    <x v="106"/>
    <x v="236"/>
    <s v="Корректировка поступления 00БП-000016 от 17.06.2025 17:44:56"/>
    <s v="17.06.25"/>
    <n v="163072"/>
    <m/>
    <m/>
    <d v="2025-06-17T00:00:00"/>
    <n v="229"/>
    <x v="3"/>
    <x v="2"/>
    <x v="0"/>
    <x v="2"/>
    <m/>
    <m/>
    <m/>
  </r>
  <r>
    <s v="60.02"/>
    <x v="107"/>
    <x v="237"/>
    <s v="Списание с расчетного счета 00БП-005899 от 19.08.2025 21:00:42"/>
    <s v="19.08.25"/>
    <n v="11240"/>
    <m/>
    <m/>
    <d v="2025-08-19T00:00:00"/>
    <n v="166"/>
    <x v="0"/>
    <x v="2"/>
    <x v="0"/>
    <x v="0"/>
    <m/>
    <m/>
    <m/>
  </r>
  <r>
    <s v="60.02"/>
    <x v="108"/>
    <x v="238"/>
    <s v="Списание с расчетного счета 00БП-009160 от 11.12.2025 10:37:35"/>
    <s v="11.12.25"/>
    <n v="460100"/>
    <m/>
    <m/>
    <d v="2025-12-11T00:00:00"/>
    <n v="52"/>
    <x v="1"/>
    <x v="2"/>
    <x v="0"/>
    <x v="0"/>
    <m/>
    <m/>
    <m/>
  </r>
  <r>
    <s v="60.02"/>
    <x v="179"/>
    <x v="374"/>
    <s v="Списание с расчетного счета 00БП-004571 от 09.07.2025 20:21:54"/>
    <s v="09.07.25"/>
    <n v="205088"/>
    <m/>
    <m/>
    <d v="2025-07-09T00:00:00"/>
    <n v="207"/>
    <x v="3"/>
    <x v="2"/>
    <x v="0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1186"/>
    <x v="5"/>
    <x v="2"/>
    <x v="0"/>
    <x v="8"/>
    <m/>
    <m/>
    <m/>
  </r>
  <r>
    <s v="60.02"/>
    <x v="111"/>
    <x v="244"/>
    <s v="Списание с расчетного счета 00БП-006826 от 19.09.2025 17:32:22"/>
    <s v="19.09.25"/>
    <n v="60000"/>
    <m/>
    <m/>
    <d v="2025-09-19T00:00:00"/>
    <n v="135"/>
    <x v="0"/>
    <x v="2"/>
    <x v="0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1165"/>
    <x v="5"/>
    <x v="2"/>
    <x v="0"/>
    <x v="8"/>
    <m/>
    <m/>
    <m/>
  </r>
  <r>
    <s v="60.02"/>
    <x v="113"/>
    <x v="246"/>
    <s v="Списание с расчетного счета 00БП-009047 от 02.12.2025 15:08:42"/>
    <s v="02.12.25"/>
    <n v="427887.5"/>
    <m/>
    <m/>
    <d v="2025-12-02T00:00:00"/>
    <n v="61"/>
    <x v="1"/>
    <x v="2"/>
    <x v="0"/>
    <x v="0"/>
    <m/>
    <m/>
    <m/>
  </r>
  <r>
    <s v="60.02"/>
    <x v="114"/>
    <x v="247"/>
    <s v="Списание с расчетного счета 00БП-005942 от 21.08.2025 17:24:54"/>
    <s v="21.08.25"/>
    <n v="1117.75"/>
    <m/>
    <m/>
    <d v="2025-08-21T00:00:00"/>
    <n v="164"/>
    <x v="0"/>
    <x v="2"/>
    <x v="0"/>
    <x v="0"/>
    <m/>
    <m/>
    <m/>
  </r>
  <r>
    <s v="60.02"/>
    <x v="115"/>
    <x v="248"/>
    <s v="Списание с расчетного счета 00БП-003974 от 19.06.2025 19:28:37"/>
    <s v="19.06.25"/>
    <n v="8840"/>
    <m/>
    <m/>
    <d v="2025-06-19T00:00:00"/>
    <n v="227"/>
    <x v="3"/>
    <x v="2"/>
    <x v="0"/>
    <x v="0"/>
    <m/>
    <m/>
    <m/>
  </r>
  <r>
    <s v="60.02"/>
    <x v="115"/>
    <x v="254"/>
    <s v="Списание с расчетного счета 00БП-006898 от 24.09.2025 18:36:00"/>
    <s v="24.09.25"/>
    <n v="56500"/>
    <m/>
    <m/>
    <d v="2025-09-24T00:00:00"/>
    <n v="130"/>
    <x v="0"/>
    <x v="2"/>
    <x v="0"/>
    <x v="0"/>
    <m/>
    <m/>
    <m/>
  </r>
  <r>
    <s v="60.02"/>
    <x v="115"/>
    <x v="255"/>
    <s v="Списание с расчетного счета 00БП-008458 от 14.11.2025 15:50:55"/>
    <s v="14.11.25"/>
    <n v="500000"/>
    <m/>
    <m/>
    <d v="2025-11-14T00:00:00"/>
    <n v="79"/>
    <x v="1"/>
    <x v="2"/>
    <x v="0"/>
    <x v="0"/>
    <m/>
    <m/>
    <m/>
  </r>
  <r>
    <s v="60.02"/>
    <x v="115"/>
    <x v="256"/>
    <s v="Списание с расчетного счета 00БП-008863 от 20.11.2025 17:08:38"/>
    <s v="20.11.25"/>
    <n v="132000"/>
    <m/>
    <m/>
    <d v="2025-11-20T00:00:00"/>
    <n v="73"/>
    <x v="1"/>
    <x v="2"/>
    <x v="0"/>
    <x v="0"/>
    <m/>
    <m/>
    <m/>
  </r>
  <r>
    <s v="60.02"/>
    <x v="115"/>
    <x v="257"/>
    <s v="Списание с расчетного счета 00БП-009199 от 15.12.2025 12:52:28"/>
    <s v="15.12.25"/>
    <n v="36000"/>
    <m/>
    <m/>
    <d v="2025-12-15T00:00:00"/>
    <n v="48"/>
    <x v="1"/>
    <x v="2"/>
    <x v="0"/>
    <x v="0"/>
    <m/>
    <m/>
    <m/>
  </r>
  <r>
    <s v="60.02"/>
    <x v="116"/>
    <x v="258"/>
    <s v="Списание с расчетного счета 00БП-003861 от 16.06.2025 18:31:26"/>
    <s v="16.06.25"/>
    <n v="1.8"/>
    <m/>
    <m/>
    <d v="2025-06-16T00:00:00"/>
    <n v="230"/>
    <x v="3"/>
    <x v="2"/>
    <x v="0"/>
    <x v="0"/>
    <m/>
    <m/>
    <m/>
  </r>
  <r>
    <s v="60.02"/>
    <x v="118"/>
    <x v="260"/>
    <s v="Списание с расчетного счета 00БП-006932 от 25.09.2025 17:23:28"/>
    <s v="25.09.25"/>
    <n v="21420"/>
    <m/>
    <m/>
    <d v="2025-09-25T00:00:00"/>
    <n v="129"/>
    <x v="0"/>
    <x v="2"/>
    <x v="0"/>
    <x v="0"/>
    <m/>
    <m/>
    <m/>
  </r>
  <r>
    <s v="60.02"/>
    <x v="118"/>
    <x v="261"/>
    <s v="Списание с расчетного счета 00БП-006934 от 25.09.2025 17:23:30"/>
    <s v="25.09.25"/>
    <n v="26000"/>
    <m/>
    <m/>
    <d v="2025-09-25T00:00:00"/>
    <n v="129"/>
    <x v="0"/>
    <x v="2"/>
    <x v="0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854"/>
    <x v="5"/>
    <x v="2"/>
    <x v="0"/>
    <x v="8"/>
    <m/>
    <m/>
    <m/>
  </r>
  <r>
    <s v="60.02"/>
    <x v="121"/>
    <x v="264"/>
    <s v="Списание с расчетного счета 00БП-000148 от 28.01.2026 12:00:04"/>
    <s v="28.01.26"/>
    <n v="157500"/>
    <m/>
    <m/>
    <d v="2026-01-28T00:00:00"/>
    <n v="4"/>
    <x v="2"/>
    <x v="2"/>
    <x v="0"/>
    <x v="0"/>
    <m/>
    <m/>
    <m/>
  </r>
  <r>
    <s v="60.02"/>
    <x v="122"/>
    <x v="265"/>
    <s v="Списание с расчетного счета 00БП-005897 от 19.08.2025 21:00:40"/>
    <s v="19.08.25"/>
    <n v="3000"/>
    <m/>
    <m/>
    <d v="2025-08-19T00:00:00"/>
    <n v="166"/>
    <x v="0"/>
    <x v="2"/>
    <x v="0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944"/>
    <x v="5"/>
    <x v="2"/>
    <x v="0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867"/>
    <x v="5"/>
    <x v="2"/>
    <x v="0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598"/>
    <x v="5"/>
    <x v="2"/>
    <x v="0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802"/>
    <x v="5"/>
    <x v="2"/>
    <x v="0"/>
    <x v="8"/>
    <m/>
    <m/>
    <m/>
  </r>
  <r>
    <s v="60.02"/>
    <x v="122"/>
    <x v="277"/>
    <s v="Списание с расчетного счета 00БП-002403 от 06.05.2025 20:09:56"/>
    <s v="06.05.25"/>
    <n v="22290"/>
    <m/>
    <m/>
    <d v="2025-05-06T00:00:00"/>
    <n v="271"/>
    <x v="6"/>
    <x v="2"/>
    <x v="0"/>
    <x v="8"/>
    <m/>
    <m/>
    <m/>
  </r>
  <r>
    <s v="60.02"/>
    <x v="122"/>
    <x v="277"/>
    <s v="Корректировка поступления 00БП-000026 от 30.09.2025 10:00:00"/>
    <s v="30.09.25"/>
    <n v="2000"/>
    <m/>
    <m/>
    <d v="2025-09-30T00:00:00"/>
    <n v="124"/>
    <x v="0"/>
    <x v="2"/>
    <x v="0"/>
    <x v="0"/>
    <m/>
    <m/>
    <m/>
  </r>
  <r>
    <s v="60.02"/>
    <x v="122"/>
    <x v="277"/>
    <s v="Корректировка поступления 00БП-000033 от 01.12.2025 20:43:05"/>
    <s v="01.12.25"/>
    <n v="4100"/>
    <m/>
    <m/>
    <d v="2025-12-01T00:00:00"/>
    <n v="62"/>
    <x v="1"/>
    <x v="2"/>
    <x v="0"/>
    <x v="0"/>
    <m/>
    <m/>
    <m/>
  </r>
  <r>
    <s v="60.02"/>
    <x v="122"/>
    <x v="278"/>
    <s v="Списание с расчетного счета 00БП-005980 от 25.08.2025 20:08:28"/>
    <s v="25.08.25"/>
    <n v="3000"/>
    <m/>
    <m/>
    <d v="2025-08-25T00:00:00"/>
    <n v="160"/>
    <x v="0"/>
    <x v="2"/>
    <x v="0"/>
    <x v="0"/>
    <m/>
    <m/>
    <m/>
  </r>
  <r>
    <s v="60.02"/>
    <x v="122"/>
    <x v="279"/>
    <s v="Списание с расчетного счета 00БП-006199 от 29.08.2025 23:56:43"/>
    <s v="29.08.25"/>
    <n v="29300"/>
    <m/>
    <m/>
    <d v="2025-08-29T00:00:00"/>
    <n v="156"/>
    <x v="0"/>
    <x v="2"/>
    <x v="0"/>
    <x v="0"/>
    <m/>
    <m/>
    <m/>
  </r>
  <r>
    <s v="60.02"/>
    <x v="122"/>
    <x v="375"/>
    <s v="Списание с расчетного счета 00БП-007158 от 30.09.2025 23:59:59"/>
    <s v="30.09.25"/>
    <n v="7108"/>
    <m/>
    <m/>
    <d v="2025-09-30T00:00:00"/>
    <n v="124"/>
    <x v="0"/>
    <x v="2"/>
    <x v="0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1032"/>
    <x v="5"/>
    <x v="2"/>
    <x v="0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851"/>
    <x v="5"/>
    <x v="2"/>
    <x v="0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2375"/>
    <x v="5"/>
    <x v="2"/>
    <x v="0"/>
    <x v="8"/>
    <m/>
    <m/>
    <m/>
  </r>
  <r>
    <s v="60.02"/>
    <x v="125"/>
    <x v="282"/>
    <s v="Списание с расчетного счета 00БП-006359 от 09.09.2025 23:59:59"/>
    <s v="09.09.25"/>
    <n v="479100"/>
    <m/>
    <m/>
    <d v="2025-09-09T00:00:00"/>
    <n v="145"/>
    <x v="0"/>
    <x v="2"/>
    <x v="0"/>
    <x v="0"/>
    <m/>
    <m/>
    <m/>
  </r>
  <r>
    <s v="60.02"/>
    <x v="125"/>
    <x v="283"/>
    <s v="Списание с расчетного счета 00БП-007633 от 13.10.2025 18:15:50"/>
    <s v="13.10.25"/>
    <n v="855000"/>
    <m/>
    <m/>
    <d v="2025-10-13T00:00:00"/>
    <n v="111"/>
    <x v="4"/>
    <x v="2"/>
    <x v="0"/>
    <x v="0"/>
    <m/>
    <m/>
    <m/>
  </r>
  <r>
    <s v="60.02"/>
    <x v="125"/>
    <x v="284"/>
    <s v="Списание с расчетного счета 00БП-000151 от 28.01.2026 12:00:07"/>
    <s v="28.01.26"/>
    <n v="4479987"/>
    <m/>
    <m/>
    <d v="2026-01-28T00:00:00"/>
    <n v="4"/>
    <x v="2"/>
    <x v="2"/>
    <x v="0"/>
    <x v="0"/>
    <m/>
    <m/>
    <m/>
  </r>
  <r>
    <s v="60.02"/>
    <x v="126"/>
    <x v="285"/>
    <s v="Списание с расчетного счета 00БП-000183 от 29.01.2026 11:53:14"/>
    <s v="29.01.26"/>
    <n v="207200"/>
    <m/>
    <m/>
    <d v="2026-01-29T00:00:00"/>
    <n v="3"/>
    <x v="2"/>
    <x v="2"/>
    <x v="0"/>
    <x v="0"/>
    <m/>
    <m/>
    <m/>
  </r>
  <r>
    <s v="60.02"/>
    <x v="127"/>
    <x v="286"/>
    <s v="Списание с расчетного счета 00БП-007823 от 21.10.2025 17:30:34"/>
    <s v="21.10.25"/>
    <n v="380000"/>
    <m/>
    <m/>
    <d v="2025-10-21T00:00:00"/>
    <n v="103"/>
    <x v="4"/>
    <x v="2"/>
    <x v="0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662"/>
    <x v="5"/>
    <x v="2"/>
    <x v="0"/>
    <x v="2"/>
    <m/>
    <m/>
    <m/>
  </r>
  <r>
    <s v="60.02"/>
    <x v="127"/>
    <x v="289"/>
    <s v="Списание с расчетного счета 00БП-009162 от 11.12.2025 10:37:37"/>
    <s v="11.12.25"/>
    <n v="10495159.01"/>
    <m/>
    <m/>
    <d v="2025-12-11T00:00:00"/>
    <n v="52"/>
    <x v="1"/>
    <x v="2"/>
    <x v="0"/>
    <x v="0"/>
    <m/>
    <m/>
    <m/>
  </r>
  <r>
    <s v="60.02"/>
    <x v="128"/>
    <x v="290"/>
    <s v="Списание с расчетного счета 00БП-007249 от 02.10.2025 17:21:04"/>
    <s v="02.10.25"/>
    <n v="700232.5"/>
    <m/>
    <m/>
    <d v="2025-10-02T00:00:00"/>
    <n v="122"/>
    <x v="0"/>
    <x v="2"/>
    <x v="0"/>
    <x v="0"/>
    <m/>
    <m/>
    <m/>
  </r>
  <r>
    <s v="60.02"/>
    <x v="128"/>
    <x v="290"/>
    <s v="Списание с расчетного счета 00БП-009213 от 16.12.2025 12:00:04"/>
    <s v="16.12.25"/>
    <n v="700232.5"/>
    <m/>
    <m/>
    <d v="2025-12-16T00:00:00"/>
    <n v="47"/>
    <x v="1"/>
    <x v="2"/>
    <x v="0"/>
    <x v="0"/>
    <m/>
    <m/>
    <m/>
  </r>
  <r>
    <s v="60.02"/>
    <x v="128"/>
    <x v="290"/>
    <s v="Списание с расчетного счета 00БП-000116 от 26.01.2026 12:00:03"/>
    <s v="26.01.26"/>
    <n v="1017148"/>
    <m/>
    <m/>
    <d v="2026-01-26T00:00:00"/>
    <n v="6"/>
    <x v="2"/>
    <x v="2"/>
    <x v="0"/>
    <x v="0"/>
    <m/>
    <m/>
    <m/>
  </r>
  <r>
    <s v="60.02"/>
    <x v="129"/>
    <x v="291"/>
    <s v="Списание с расчетного счета 00БП-000192 от 30.01.2026 12:00:04"/>
    <s v="30.01.26"/>
    <n v="585500"/>
    <m/>
    <m/>
    <d v="2026-01-30T00:00:00"/>
    <n v="2"/>
    <x v="2"/>
    <x v="2"/>
    <x v="0"/>
    <x v="0"/>
    <m/>
    <m/>
    <m/>
  </r>
  <r>
    <s v="60.02"/>
    <x v="130"/>
    <x v="376"/>
    <s v="Списание с расчетного счета 00БП-006307 от 05.09.2025 18:19:31"/>
    <s v="05.09.25"/>
    <n v="42000"/>
    <m/>
    <m/>
    <d v="2025-09-05T00:00:00"/>
    <n v="149"/>
    <x v="0"/>
    <x v="2"/>
    <x v="0"/>
    <x v="0"/>
    <m/>
    <m/>
    <m/>
  </r>
  <r>
    <s v="60.02"/>
    <x v="130"/>
    <x v="292"/>
    <s v="Списание с расчетного счета 00БП-006936 от 25.09.2025 17:23:32"/>
    <s v="25.09.25"/>
    <n v="67040"/>
    <m/>
    <m/>
    <d v="2025-09-25T00:00:00"/>
    <n v="129"/>
    <x v="0"/>
    <x v="2"/>
    <x v="0"/>
    <x v="0"/>
    <m/>
    <m/>
    <m/>
  </r>
  <r>
    <s v="60.02"/>
    <x v="130"/>
    <x v="377"/>
    <s v="Списание с расчетного счета 00БП-006948 от 26.09.2025 18:42:56"/>
    <s v="26.09.25"/>
    <n v="2000"/>
    <m/>
    <m/>
    <d v="2025-09-26T00:00:00"/>
    <n v="128"/>
    <x v="0"/>
    <x v="2"/>
    <x v="0"/>
    <x v="0"/>
    <m/>
    <m/>
    <m/>
  </r>
  <r>
    <s v="60.02"/>
    <x v="130"/>
    <x v="293"/>
    <s v="Списание с расчетного счета 00БП-007196 от 01.10.2025 20:24:06"/>
    <s v="01.10.25"/>
    <n v="424000"/>
    <m/>
    <m/>
    <d v="2025-10-01T00:00:00"/>
    <n v="123"/>
    <x v="0"/>
    <x v="2"/>
    <x v="0"/>
    <x v="0"/>
    <m/>
    <m/>
    <m/>
  </r>
  <r>
    <s v="60.02"/>
    <x v="130"/>
    <x v="378"/>
    <s v="Списание с расчетного счета 00БП-007240 от 02.10.2025 17:20:55"/>
    <s v="02.10.25"/>
    <n v="62000"/>
    <m/>
    <m/>
    <d v="2025-10-02T00:00:00"/>
    <n v="122"/>
    <x v="0"/>
    <x v="2"/>
    <x v="0"/>
    <x v="0"/>
    <m/>
    <m/>
    <m/>
  </r>
  <r>
    <s v="60.02"/>
    <x v="130"/>
    <x v="379"/>
    <s v="Списание с расчетного счета 00БП-007271 от 03.10.2025 17:50:36"/>
    <s v="03.10.25"/>
    <n v="34750"/>
    <m/>
    <m/>
    <d v="2025-10-03T00:00:00"/>
    <n v="121"/>
    <x v="0"/>
    <x v="2"/>
    <x v="0"/>
    <x v="0"/>
    <m/>
    <m/>
    <m/>
  </r>
  <r>
    <s v="60.02"/>
    <x v="130"/>
    <x v="294"/>
    <s v="Списание с расчетного счета 00БП-000115 от 26.01.2026 12:00:02"/>
    <s v="26.01.26"/>
    <n v="91850"/>
    <m/>
    <m/>
    <d v="2026-01-26T00:00:00"/>
    <n v="6"/>
    <x v="2"/>
    <x v="2"/>
    <x v="0"/>
    <x v="0"/>
    <m/>
    <m/>
    <m/>
  </r>
  <r>
    <s v="60.02"/>
    <x v="130"/>
    <x v="295"/>
    <s v="Списание с расчетного счета 00БП-001221 от 02.04.2025 17:47:06"/>
    <s v="02.04.25"/>
    <n v="14000"/>
    <m/>
    <m/>
    <d v="2025-04-02T00:00:00"/>
    <n v="305"/>
    <x v="6"/>
    <x v="2"/>
    <x v="0"/>
    <x v="2"/>
    <m/>
    <m/>
    <m/>
  </r>
  <r>
    <s v="60.02"/>
    <x v="131"/>
    <x v="296"/>
    <s v="Списание с расчетного счета 00БП-008819 от 19.11.2025 18:05:01"/>
    <s v="19.11.25"/>
    <n v="2000"/>
    <m/>
    <m/>
    <d v="2025-11-19T00:00:00"/>
    <n v="74"/>
    <x v="1"/>
    <x v="2"/>
    <x v="0"/>
    <x v="0"/>
    <m/>
    <m/>
    <m/>
  </r>
  <r>
    <s v="60.02"/>
    <x v="133"/>
    <x v="299"/>
    <s v="Списание с расчетного счета 00БП-000187 от 29.01.2026 11:53:18"/>
    <s v="29.01.26"/>
    <n v="3115745.29"/>
    <m/>
    <m/>
    <d v="2026-01-29T00:00:00"/>
    <n v="3"/>
    <x v="2"/>
    <x v="2"/>
    <x v="0"/>
    <x v="0"/>
    <m/>
    <m/>
    <m/>
  </r>
  <r>
    <s v="60.02"/>
    <x v="180"/>
    <x v="380"/>
    <s v="Списание с расчетного счета 00БП-006382 от 10.09.2025 18:06:44"/>
    <s v="10.09.25"/>
    <n v="5852650"/>
    <m/>
    <m/>
    <d v="2025-09-10T00:00:00"/>
    <n v="144"/>
    <x v="0"/>
    <x v="2"/>
    <x v="0"/>
    <x v="0"/>
    <m/>
    <m/>
    <m/>
  </r>
  <r>
    <s v="60.02"/>
    <x v="180"/>
    <x v="380"/>
    <s v="Списание с расчетного счета 00БП-007828 от 21.10.2025 17:30:39"/>
    <s v="21.10.25"/>
    <n v="5852650"/>
    <m/>
    <m/>
    <d v="2025-10-21T00:00:00"/>
    <n v="103"/>
    <x v="4"/>
    <x v="2"/>
    <x v="0"/>
    <x v="0"/>
    <m/>
    <m/>
    <m/>
  </r>
  <r>
    <s v="60.02"/>
    <x v="136"/>
    <x v="302"/>
    <s v="Списание с расчетного счета 00БП-000191 от 30.01.2026 12:00:03"/>
    <s v="30.01.26"/>
    <n v="561194"/>
    <m/>
    <m/>
    <d v="2026-01-30T00:00:00"/>
    <n v="2"/>
    <x v="2"/>
    <x v="2"/>
    <x v="0"/>
    <x v="0"/>
    <m/>
    <m/>
    <m/>
  </r>
  <r>
    <s v="60.02"/>
    <x v="137"/>
    <x v="303"/>
    <s v="Списание с расчетного счета 00БП-000703 от 13.03.2025 18:55:48"/>
    <s v="13.03.25"/>
    <n v="252667.4"/>
    <m/>
    <m/>
    <d v="2025-03-13T00:00:00"/>
    <n v="325"/>
    <x v="6"/>
    <x v="2"/>
    <x v="0"/>
    <x v="16"/>
    <m/>
    <m/>
    <m/>
  </r>
  <r>
    <s v="60.02"/>
    <x v="138"/>
    <x v="304"/>
    <m/>
    <m/>
    <n v="200000"/>
    <m/>
    <m/>
    <d v="1899-12-30T00:00:00"/>
    <n v="46054"/>
    <x v="5"/>
    <x v="2"/>
    <x v="0"/>
    <x v="0"/>
    <m/>
    <s v="Геологический отдел"/>
    <m/>
  </r>
  <r>
    <s v="60.02"/>
    <x v="139"/>
    <x v="305"/>
    <s v="Списание с расчетного счета 00БП-008191 от 05.11.2025 17:00:33"/>
    <s v="05.11.25"/>
    <n v="225706.72"/>
    <m/>
    <m/>
    <d v="2025-11-05T00:00:00"/>
    <n v="88"/>
    <x v="1"/>
    <x v="2"/>
    <x v="0"/>
    <x v="0"/>
    <m/>
    <m/>
    <m/>
  </r>
  <r>
    <s v="60.02"/>
    <x v="139"/>
    <x v="306"/>
    <s v="Списание с расчетного счета 00БП-008184 от 05.11.2025 17:00:26"/>
    <s v="05.11.25"/>
    <n v="154485.6"/>
    <m/>
    <m/>
    <d v="2025-11-05T00:00:00"/>
    <n v="88"/>
    <x v="1"/>
    <x v="2"/>
    <x v="0"/>
    <x v="0"/>
    <m/>
    <m/>
    <m/>
  </r>
  <r>
    <s v="60.02"/>
    <x v="140"/>
    <x v="307"/>
    <s v="Списание с расчетного счета 00БП-000142 от 27.01.2026 15:05:20"/>
    <s v="27.01.26"/>
    <n v="2403856.33"/>
    <m/>
    <m/>
    <d v="2026-01-27T00:00:00"/>
    <n v="5"/>
    <x v="2"/>
    <x v="2"/>
    <x v="0"/>
    <x v="0"/>
    <m/>
    <m/>
    <m/>
  </r>
  <r>
    <s v="60.02"/>
    <x v="141"/>
    <x v="308"/>
    <s v="Списание с расчетного счета 00БП-001386 от 08.04.2025 23:49:32"/>
    <s v="08.04.25"/>
    <n v="31000"/>
    <m/>
    <m/>
    <d v="2025-04-08T00:00:00"/>
    <n v="299"/>
    <x v="6"/>
    <x v="2"/>
    <x v="0"/>
    <x v="8"/>
    <m/>
    <m/>
    <m/>
  </r>
  <r>
    <s v="60.02"/>
    <x v="142"/>
    <x v="309"/>
    <s v="Списание с расчетного счета 00БП-001145 от 31.03.2025 23:59:59"/>
    <s v="31.03.25"/>
    <n v="32000"/>
    <m/>
    <m/>
    <d v="2025-03-31T00:00:00"/>
    <n v="307"/>
    <x v="6"/>
    <x v="2"/>
    <x v="0"/>
    <x v="8"/>
    <m/>
    <m/>
    <m/>
  </r>
  <r>
    <s v="60.02"/>
    <x v="143"/>
    <x v="310"/>
    <s v="Списание с расчетного счета 00БП-006763 от 17.09.2025 19:43:15"/>
    <s v="17.09.25"/>
    <n v="214283.5"/>
    <m/>
    <m/>
    <d v="2025-09-17T00:00:00"/>
    <n v="137"/>
    <x v="0"/>
    <x v="2"/>
    <x v="0"/>
    <x v="0"/>
    <m/>
    <m/>
    <m/>
  </r>
  <r>
    <s v="60.02"/>
    <x v="144"/>
    <x v="311"/>
    <s v="Списание с расчетного счета 00БП-000930 от 25.03.2025 17:52:15"/>
    <s v="25.03.25"/>
    <n v="20740"/>
    <m/>
    <m/>
    <d v="2025-03-25T00:00:00"/>
    <n v="313"/>
    <x v="6"/>
    <x v="2"/>
    <x v="0"/>
    <x v="2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520"/>
    <x v="5"/>
    <x v="2"/>
    <x v="0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481"/>
    <x v="5"/>
    <x v="2"/>
    <x v="0"/>
    <x v="18"/>
    <m/>
    <s v="Экологический отдел"/>
    <m/>
  </r>
  <r>
    <s v="60.02"/>
    <x v="181"/>
    <x v="381"/>
    <s v="Списание с расчетного счета 00БП-007160 от 30.09.2025 23:59:59"/>
    <s v="30.09.25"/>
    <n v="10500"/>
    <m/>
    <m/>
    <d v="2025-09-30T00:00:00"/>
    <n v="124"/>
    <x v="0"/>
    <x v="2"/>
    <x v="0"/>
    <x v="0"/>
    <m/>
    <m/>
    <m/>
  </r>
  <r>
    <s v="60.02"/>
    <x v="146"/>
    <x v="314"/>
    <s v="Списание с расчетного счета 00БП-000184 от 29.01.2026 11:53:15"/>
    <s v="29.01.26"/>
    <n v="298776"/>
    <m/>
    <m/>
    <d v="2026-01-29T00:00:00"/>
    <n v="3"/>
    <x v="2"/>
    <x v="2"/>
    <x v="0"/>
    <x v="0"/>
    <m/>
    <m/>
    <m/>
  </r>
  <r>
    <s v="60.02"/>
    <x v="147"/>
    <x v="382"/>
    <s v="Списание с расчетного счета 00БП-000936 от 25.03.2025 17:52:21"/>
    <s v="25.03.25"/>
    <n v="4658"/>
    <m/>
    <m/>
    <d v="2025-03-25T00:00:00"/>
    <n v="313"/>
    <x v="6"/>
    <x v="2"/>
    <x v="0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535"/>
    <x v="5"/>
    <x v="2"/>
    <x v="0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830"/>
    <x v="5"/>
    <x v="2"/>
    <x v="0"/>
    <x v="0"/>
    <m/>
    <m/>
    <m/>
  </r>
  <r>
    <s v="60.02"/>
    <x v="149"/>
    <x v="317"/>
    <s v="Списание с расчетного счета 00БП-002336 от 05.05.2025 19:41:05"/>
    <s v="05.05.25"/>
    <n v="12461.79"/>
    <m/>
    <m/>
    <d v="2025-05-05T00:00:00"/>
    <n v="272"/>
    <x v="6"/>
    <x v="2"/>
    <x v="0"/>
    <x v="16"/>
    <m/>
    <s v="Экологический отдел"/>
    <m/>
  </r>
  <r>
    <s v="60.02"/>
    <x v="151"/>
    <x v="319"/>
    <s v="Списание с расчетного счета 00БП-000655 от 12.03.2025 18:04:03"/>
    <s v="12.03.25"/>
    <n v="47400"/>
    <m/>
    <m/>
    <d v="2025-03-12T00:00:00"/>
    <n v="326"/>
    <x v="6"/>
    <x v="2"/>
    <x v="0"/>
    <x v="19"/>
    <m/>
    <m/>
    <m/>
  </r>
  <r>
    <s v="60.02"/>
    <x v="152"/>
    <x v="320"/>
    <s v="Списание с расчетного счета 00БП-006060 от 27.08.2025 18:30:27"/>
    <s v="27.08.25"/>
    <n v="22500"/>
    <m/>
    <m/>
    <d v="2025-08-27T00:00:00"/>
    <n v="158"/>
    <x v="0"/>
    <x v="2"/>
    <x v="0"/>
    <x v="0"/>
    <m/>
    <m/>
    <m/>
  </r>
  <r>
    <s v="60.02"/>
    <x v="153"/>
    <x v="321"/>
    <s v="Списание с расчетного счета 00БП-003382 от 04.06.2025 18:58:23"/>
    <s v="04.06.25"/>
    <n v="60000"/>
    <m/>
    <m/>
    <d v="2025-06-04T00:00:00"/>
    <n v="242"/>
    <x v="3"/>
    <x v="2"/>
    <x v="0"/>
    <x v="8"/>
    <m/>
    <m/>
    <m/>
  </r>
  <r>
    <s v="60.02"/>
    <x v="153"/>
    <x v="321"/>
    <s v="Списание с расчетного счета 00БП-008902 от 24.11.2025 16:33:52"/>
    <s v="24.11.25"/>
    <n v="140000"/>
    <m/>
    <m/>
    <d v="2025-11-24T00:00:00"/>
    <n v="69"/>
    <x v="1"/>
    <x v="2"/>
    <x v="0"/>
    <x v="0"/>
    <m/>
    <m/>
    <m/>
  </r>
  <r>
    <s v="60.02"/>
    <x v="153"/>
    <x v="322"/>
    <s v="Списание с расчетного счета 00БП-003379 от 04.06.2025 18:58:20"/>
    <s v="04.06.25"/>
    <n v="40500"/>
    <m/>
    <m/>
    <d v="2025-06-04T00:00:00"/>
    <n v="242"/>
    <x v="3"/>
    <x v="2"/>
    <x v="0"/>
    <x v="8"/>
    <m/>
    <m/>
    <m/>
  </r>
  <r>
    <s v="60.02"/>
    <x v="153"/>
    <x v="322"/>
    <s v="Списание с расчетного счета 00БП-007748 от 17.10.2025 19:36:05"/>
    <s v="17.10.25"/>
    <n v="74250"/>
    <m/>
    <m/>
    <d v="2025-10-17T00:00:00"/>
    <n v="107"/>
    <x v="4"/>
    <x v="2"/>
    <x v="0"/>
    <x v="0"/>
    <m/>
    <m/>
    <m/>
  </r>
  <r>
    <s v="60.02"/>
    <x v="153"/>
    <x v="322"/>
    <s v="Списание с расчетного счета 00БП-008900 от 24.11.2025 16:33:50"/>
    <s v="24.11.25"/>
    <n v="20250"/>
    <m/>
    <m/>
    <d v="2025-11-24T00:00:00"/>
    <n v="69"/>
    <x v="1"/>
    <x v="2"/>
    <x v="0"/>
    <x v="0"/>
    <m/>
    <m/>
    <m/>
  </r>
  <r>
    <s v="60.02"/>
    <x v="153"/>
    <x v="323"/>
    <s v="Списание с расчетного счета 00БП-004063 от 23.06.2025 18:09:41"/>
    <s v="23.06.25"/>
    <n v="90000"/>
    <m/>
    <m/>
    <d v="2025-06-23T00:00:00"/>
    <n v="223"/>
    <x v="3"/>
    <x v="2"/>
    <x v="0"/>
    <x v="8"/>
    <m/>
    <m/>
    <m/>
  </r>
  <r>
    <s v="60.02"/>
    <x v="153"/>
    <x v="323"/>
    <s v="Списание с расчетного счета 00БП-008925 от 25.11.2025 15:31:08"/>
    <s v="25.11.25"/>
    <n v="165000"/>
    <m/>
    <m/>
    <d v="2025-11-25T00:00:00"/>
    <n v="68"/>
    <x v="1"/>
    <x v="2"/>
    <x v="0"/>
    <x v="0"/>
    <m/>
    <m/>
    <m/>
  </r>
  <r>
    <s v="60.02"/>
    <x v="153"/>
    <x v="324"/>
    <s v="Списание с расчетного счета 00БП-004062 от 23.06.2025 18:09:40"/>
    <s v="23.06.25"/>
    <n v="84000"/>
    <m/>
    <m/>
    <d v="2025-06-23T00:00:00"/>
    <n v="223"/>
    <x v="3"/>
    <x v="2"/>
    <x v="0"/>
    <x v="8"/>
    <m/>
    <m/>
    <m/>
  </r>
  <r>
    <s v="60.02"/>
    <x v="154"/>
    <x v="325"/>
    <s v="Списание с расчетного счета 00БП-003903 от 17.06.2025 22:58:29"/>
    <s v="17.06.25"/>
    <n v="1165"/>
    <m/>
    <m/>
    <d v="2025-06-17T00:00:00"/>
    <n v="229"/>
    <x v="3"/>
    <x v="2"/>
    <x v="0"/>
    <x v="20"/>
    <m/>
    <m/>
    <m/>
  </r>
  <r>
    <s v="60.02"/>
    <x v="155"/>
    <x v="326"/>
    <s v="Списание с расчетного счета 00БП-005054 от 23.07.2025 20:44:19"/>
    <s v="23.07.25"/>
    <n v="9000"/>
    <m/>
    <m/>
    <d v="2025-07-23T00:00:00"/>
    <n v="193"/>
    <x v="3"/>
    <x v="2"/>
    <x v="0"/>
    <x v="8"/>
    <m/>
    <m/>
    <m/>
  </r>
  <r>
    <s v="60.02"/>
    <x v="156"/>
    <x v="327"/>
    <s v="Списание с расчетного счета 00БП-001173 от 01.04.2025 17:50:04"/>
    <s v="01.04.25"/>
    <n v="86800"/>
    <m/>
    <m/>
    <d v="2025-04-01T00:00:00"/>
    <n v="306"/>
    <x v="6"/>
    <x v="2"/>
    <x v="0"/>
    <x v="8"/>
    <m/>
    <m/>
    <m/>
  </r>
  <r>
    <s v="60.02"/>
    <x v="157"/>
    <x v="328"/>
    <s v="Списание с расчетного счета 00БП-009095 от 05.12.2025 12:00:10"/>
    <s v="05.12.25"/>
    <n v="10000000"/>
    <m/>
    <m/>
    <d v="2025-12-05T00:00:00"/>
    <n v="58"/>
    <x v="1"/>
    <x v="2"/>
    <x v="0"/>
    <x v="0"/>
    <m/>
    <m/>
    <m/>
  </r>
  <r>
    <s v="60.02"/>
    <x v="159"/>
    <x v="330"/>
    <s v="Списание с расчетного счета 00БП-000052 от 15.01.2026 14:53:19"/>
    <s v="15.01.26"/>
    <n v="819000"/>
    <m/>
    <m/>
    <d v="2026-01-15T00:00:00"/>
    <n v="17"/>
    <x v="2"/>
    <x v="2"/>
    <x v="0"/>
    <x v="0"/>
    <m/>
    <m/>
    <m/>
  </r>
  <r>
    <s v="60.02"/>
    <x v="160"/>
    <x v="331"/>
    <s v="Списание с расчетного счета 00БП-007407 от 09.10.2025 16:57:54"/>
    <s v="09.10.25"/>
    <n v="244320"/>
    <m/>
    <m/>
    <d v="2025-10-09T00:00:00"/>
    <n v="115"/>
    <x v="4"/>
    <x v="2"/>
    <x v="0"/>
    <x v="0"/>
    <m/>
    <m/>
    <m/>
  </r>
  <r>
    <s v="60.02"/>
    <x v="161"/>
    <x v="73"/>
    <s v="Авансовый отчет 00БП-000339 от 24.11.2025 12:03:37"/>
    <s v="24.11.25"/>
    <n v="3630"/>
    <m/>
    <m/>
    <d v="2025-11-24T00:00:00"/>
    <n v="69"/>
    <x v="1"/>
    <x v="2"/>
    <x v="0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1194"/>
    <x v="5"/>
    <x v="2"/>
    <x v="0"/>
    <x v="0"/>
    <m/>
    <m/>
    <m/>
  </r>
  <r>
    <s v="60.02"/>
    <x v="163"/>
    <x v="333"/>
    <s v="Списание с расчетного счета 00БП-005938 от 21.08.2025 17:24:50"/>
    <s v="21.08.25"/>
    <n v="11631.14"/>
    <m/>
    <m/>
    <d v="2025-08-21T00:00:00"/>
    <n v="164"/>
    <x v="0"/>
    <x v="2"/>
    <x v="0"/>
    <x v="0"/>
    <m/>
    <m/>
    <m/>
  </r>
  <r>
    <s v="60.02"/>
    <x v="164"/>
    <x v="334"/>
    <s v="Корректировка долга 00БП-000094 от 25.09.2025 17:23:53"/>
    <s v="25.09.25"/>
    <n v="73305.17"/>
    <m/>
    <m/>
    <d v="2025-09-25T00:00:00"/>
    <n v="129"/>
    <x v="0"/>
    <x v="2"/>
    <x v="0"/>
    <x v="0"/>
    <m/>
    <m/>
    <m/>
  </r>
  <r>
    <s v="60.02"/>
    <x v="165"/>
    <x v="335"/>
    <s v="Списание с расчетного счета 00БП-005475 от 07.08.2025 19:08:49"/>
    <s v="07.08.25"/>
    <n v="96000"/>
    <m/>
    <m/>
    <d v="2025-08-07T00:00:00"/>
    <n v="178"/>
    <x v="0"/>
    <x v="2"/>
    <x v="0"/>
    <x v="0"/>
    <m/>
    <m/>
    <m/>
  </r>
  <r>
    <s v="60.32"/>
    <x v="166"/>
    <x v="336"/>
    <s v="Списание с расчетного счета 00БП-004562 от 09.07.2025 20:21:45"/>
    <s v="09.07.25"/>
    <n v="126099.22"/>
    <m/>
    <m/>
    <d v="2025-07-09T00:00:00"/>
    <n v="207"/>
    <x v="3"/>
    <x v="2"/>
    <x v="0"/>
    <x v="0"/>
    <m/>
    <m/>
    <m/>
  </r>
  <r>
    <s v="60.32"/>
    <x v="167"/>
    <x v="337"/>
    <s v="Списание с расчетного счета 00БП-000024 от 14.01.2026 16:45:17"/>
    <s v="14.01.26"/>
    <n v="2819920.72"/>
    <m/>
    <m/>
    <d v="2026-01-14T00:00:00"/>
    <n v="18"/>
    <x v="2"/>
    <x v="2"/>
    <x v="0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500"/>
    <x v="5"/>
    <x v="2"/>
    <x v="0"/>
    <x v="13"/>
    <m/>
    <m/>
    <m/>
  </r>
  <r>
    <s v="60.32"/>
    <x v="38"/>
    <x v="339"/>
    <s v="Списание с расчетного счета 00БП-006941 от 25.09.2025 17:23:37"/>
    <s v="25.09.25"/>
    <n v="4103412.84"/>
    <m/>
    <m/>
    <d v="2025-09-25T00:00:00"/>
    <n v="129"/>
    <x v="0"/>
    <x v="2"/>
    <x v="0"/>
    <x v="0"/>
    <m/>
    <m/>
    <m/>
  </r>
  <r>
    <s v="60.32"/>
    <x v="38"/>
    <x v="340"/>
    <s v="Списание с расчетного счета 00БП-007817 от 21.10.2025 17:30:28"/>
    <s v="21.10.25"/>
    <n v="81774.75"/>
    <m/>
    <m/>
    <d v="2025-10-21T00:00:00"/>
    <n v="103"/>
    <x v="4"/>
    <x v="2"/>
    <x v="0"/>
    <x v="0"/>
    <m/>
    <m/>
    <m/>
  </r>
  <r>
    <s v="60.32"/>
    <x v="38"/>
    <x v="340"/>
    <s v="Списание с расчетного счета 00БП-007824 от 21.10.2025 17:30:35"/>
    <s v="21.10.25"/>
    <n v="381299.85"/>
    <m/>
    <m/>
    <d v="2025-10-21T00:00:00"/>
    <n v="103"/>
    <x v="4"/>
    <x v="2"/>
    <x v="0"/>
    <x v="0"/>
    <m/>
    <m/>
    <m/>
  </r>
  <r>
    <s v="60.32"/>
    <x v="38"/>
    <x v="340"/>
    <s v="Списание с расчетного счета 00БП-008864 от 20.11.2025 17:08:39"/>
    <s v="20.11.25"/>
    <n v="242292.07"/>
    <m/>
    <m/>
    <d v="2025-11-20T00:00:00"/>
    <n v="73"/>
    <x v="1"/>
    <x v="2"/>
    <x v="0"/>
    <x v="0"/>
    <m/>
    <m/>
    <m/>
  </r>
  <r>
    <s v="60.32"/>
    <x v="38"/>
    <x v="340"/>
    <s v="Списание с расчетного счета 00БП-008877 от 21.11.2025 18:51:04"/>
    <s v="21.11.25"/>
    <n v="9195.39"/>
    <m/>
    <m/>
    <d v="2025-11-21T00:00:00"/>
    <n v="72"/>
    <x v="1"/>
    <x v="2"/>
    <x v="0"/>
    <x v="0"/>
    <m/>
    <m/>
    <m/>
  </r>
  <r>
    <s v="60.32"/>
    <x v="38"/>
    <x v="340"/>
    <s v="Списание с расчетного счета 00БП-008880 от 21.11.2025 18:51:07"/>
    <s v="21.11.25"/>
    <n v="96959.25"/>
    <m/>
    <m/>
    <d v="2025-11-21T00:00:00"/>
    <n v="72"/>
    <x v="1"/>
    <x v="2"/>
    <x v="0"/>
    <x v="0"/>
    <m/>
    <m/>
    <m/>
  </r>
  <r>
    <s v="60.32"/>
    <x v="38"/>
    <x v="342"/>
    <s v="Списание с расчетного счета 00БП-007402 от 09.10.2025 16:57:49"/>
    <s v="09.10.25"/>
    <n v="17940.52"/>
    <m/>
    <m/>
    <d v="2025-10-09T00:00:00"/>
    <n v="115"/>
    <x v="4"/>
    <x v="2"/>
    <x v="0"/>
    <x v="0"/>
    <m/>
    <m/>
    <m/>
  </r>
  <r>
    <s v="60.32"/>
    <x v="38"/>
    <x v="343"/>
    <s v="Списание с расчетного счета 00БП-009293 от 25.12.2025 12:00:17"/>
    <s v="25.12.25"/>
    <n v="42558293.729999997"/>
    <m/>
    <m/>
    <d v="2025-12-25T00:00:00"/>
    <n v="38"/>
    <x v="1"/>
    <x v="2"/>
    <x v="0"/>
    <x v="0"/>
    <m/>
    <m/>
    <m/>
  </r>
  <r>
    <s v="60.32"/>
    <x v="78"/>
    <x v="344"/>
    <s v="Списание с расчетного счета 00БП-009029 от 01.12.2025 15:42:24"/>
    <s v="01.12.25"/>
    <n v="100541017.20999999"/>
    <m/>
    <m/>
    <d v="2025-12-01T00:00:00"/>
    <n v="62"/>
    <x v="1"/>
    <x v="2"/>
    <x v="0"/>
    <x v="0"/>
    <m/>
    <m/>
    <m/>
  </r>
  <r>
    <s v="60.32"/>
    <x v="78"/>
    <x v="346"/>
    <s v="Списание с расчетного счета 00БП-000875 от 21.03.2025 17:21:00"/>
    <s v="21.03.25"/>
    <n v="4.22"/>
    <m/>
    <m/>
    <d v="2025-03-21T00:00:00"/>
    <n v="317"/>
    <x v="6"/>
    <x v="2"/>
    <x v="0"/>
    <x v="0"/>
    <m/>
    <m/>
    <m/>
  </r>
  <r>
    <s v="60.32"/>
    <x v="78"/>
    <x v="347"/>
    <s v="Списание с расчетного счета 00БП-008463 от 14.11.2025 15:51:00"/>
    <s v="14.11.25"/>
    <n v="19041986.25"/>
    <m/>
    <m/>
    <d v="2025-11-14T00:00:00"/>
    <n v="79"/>
    <x v="1"/>
    <x v="2"/>
    <x v="0"/>
    <x v="0"/>
    <m/>
    <m/>
    <m/>
  </r>
  <r>
    <s v="60.32"/>
    <x v="78"/>
    <x v="348"/>
    <s v="Списание с расчетного счета 00БП-007312 от 06.10.2025 18:16:22"/>
    <s v="06.10.25"/>
    <n v="832127.38"/>
    <m/>
    <m/>
    <d v="2025-10-06T00:00:00"/>
    <n v="118"/>
    <x v="4"/>
    <x v="2"/>
    <x v="0"/>
    <x v="0"/>
    <m/>
    <m/>
    <m/>
  </r>
  <r>
    <s v="60.32"/>
    <x v="78"/>
    <x v="349"/>
    <s v="Списание с расчетного счета 00БП-007338 от 07.10.2025 17:57:46"/>
    <s v="07.10.25"/>
    <n v="19608750"/>
    <m/>
    <m/>
    <d v="2025-10-07T00:00:00"/>
    <n v="117"/>
    <x v="4"/>
    <x v="2"/>
    <x v="0"/>
    <x v="0"/>
    <m/>
    <m/>
    <m/>
  </r>
  <r>
    <s v="60.32"/>
    <x v="78"/>
    <x v="350"/>
    <s v="Списание с расчетного счета 00БП-007683 от 14.10.2025 17:30:20"/>
    <s v="14.10.25"/>
    <n v="8521724.8000000007"/>
    <m/>
    <m/>
    <d v="2025-10-14T00:00:00"/>
    <n v="110"/>
    <x v="4"/>
    <x v="2"/>
    <x v="0"/>
    <x v="0"/>
    <m/>
    <m/>
    <m/>
  </r>
  <r>
    <s v="60.32"/>
    <x v="78"/>
    <x v="351"/>
    <s v="Списание с расчетного счета 00БП-007684 от 14.10.2025 17:30:21"/>
    <s v="14.10.25"/>
    <n v="565552.64000000001"/>
    <m/>
    <m/>
    <d v="2025-10-14T00:00:00"/>
    <n v="110"/>
    <x v="4"/>
    <x v="2"/>
    <x v="0"/>
    <x v="0"/>
    <m/>
    <m/>
    <m/>
  </r>
  <r>
    <s v="60.32"/>
    <x v="168"/>
    <x v="352"/>
    <s v="Списание с расчетного счета 00БП-009269 от 24.12.2025 11:37:20"/>
    <s v="24.12.25"/>
    <n v="595854"/>
    <m/>
    <m/>
    <d v="2025-12-24T00:00:00"/>
    <n v="39"/>
    <x v="1"/>
    <x v="2"/>
    <x v="0"/>
    <x v="0"/>
    <m/>
    <m/>
    <m/>
  </r>
  <r>
    <s v="60.32"/>
    <x v="168"/>
    <x v="352"/>
    <s v="Списание с расчетного счета 00БП-009288 от 25.12.2025 12:00:12"/>
    <s v="25.12.25"/>
    <n v="3400245.12"/>
    <m/>
    <m/>
    <d v="2025-12-25T00:00:00"/>
    <n v="38"/>
    <x v="1"/>
    <x v="2"/>
    <x v="0"/>
    <x v="0"/>
    <m/>
    <m/>
    <m/>
  </r>
  <r>
    <s v="60.32"/>
    <x v="106"/>
    <x v="354"/>
    <s v="Списание с расчетного счета 00БП-000143 от 27.01.2026 15:05:21"/>
    <s v="27.01.26"/>
    <n v="15252049.66"/>
    <m/>
    <m/>
    <d v="2026-01-27T00:00:00"/>
    <n v="5"/>
    <x v="2"/>
    <x v="2"/>
    <x v="0"/>
    <x v="0"/>
    <m/>
    <m/>
    <m/>
  </r>
  <r>
    <s v="60.32"/>
    <x v="170"/>
    <x v="355"/>
    <s v="Списание с расчетного счета 00БП-000067 от 16.01.2026 17:13:35"/>
    <s v="16.01.26"/>
    <n v="2080992"/>
    <m/>
    <m/>
    <d v="2026-01-16T00:00:00"/>
    <n v="16"/>
    <x v="2"/>
    <x v="2"/>
    <x v="0"/>
    <x v="0"/>
    <m/>
    <m/>
    <m/>
  </r>
  <r>
    <s v="60.32"/>
    <x v="170"/>
    <x v="356"/>
    <s v="Списание с расчетного счета 00БП-000068 от 16.01.2026 17:13:36"/>
    <s v="16.01.26"/>
    <n v="2080992"/>
    <m/>
    <m/>
    <d v="2026-01-16T00:00:00"/>
    <n v="16"/>
    <x v="2"/>
    <x v="2"/>
    <x v="0"/>
    <x v="0"/>
    <m/>
    <m/>
    <m/>
  </r>
  <r>
    <s v="60.32"/>
    <x v="170"/>
    <x v="357"/>
    <s v="Списание с расчетного счета 00БП-000066 от 16.01.2026 17:13:34"/>
    <s v="16.01.26"/>
    <n v="1978905.6000000001"/>
    <m/>
    <m/>
    <d v="2026-01-16T00:00:00"/>
    <n v="16"/>
    <x v="2"/>
    <x v="2"/>
    <x v="0"/>
    <x v="0"/>
    <m/>
    <m/>
    <m/>
  </r>
  <r>
    <s v="60.32"/>
    <x v="127"/>
    <x v="358"/>
    <s v="Списание с расчетного счета 00БП-009356 от 30.12.2025 12:00:18"/>
    <s v="30.12.25"/>
    <n v="948672.83"/>
    <m/>
    <m/>
    <d v="2025-12-30T00:00:00"/>
    <n v="33"/>
    <x v="1"/>
    <x v="2"/>
    <x v="0"/>
    <x v="0"/>
    <m/>
    <m/>
    <m/>
  </r>
  <r>
    <s v="60.02"/>
    <x v="0"/>
    <x v="0"/>
    <s v="Списание с расчетного счета 00БП-007871 от 23.10.2025 18:50:57"/>
    <s v="23.10.25"/>
    <n v="17000"/>
    <m/>
    <m/>
    <d v="2025-10-23T00:00:00"/>
    <n v="70"/>
    <x v="1"/>
    <x v="3"/>
    <x v="0"/>
    <x v="0"/>
    <m/>
    <m/>
    <m/>
  </r>
  <r>
    <s v="60.02"/>
    <x v="2"/>
    <x v="2"/>
    <s v="Списание с расчетного счета 00БП-009273 от 24.12.2025 11:37:26"/>
    <s v="24.12.25"/>
    <n v="11000000"/>
    <m/>
    <m/>
    <d v="2025-12-24T00:00:00"/>
    <n v="8"/>
    <x v="2"/>
    <x v="3"/>
    <x v="0"/>
    <x v="0"/>
    <m/>
    <m/>
    <m/>
  </r>
  <r>
    <s v="60.02"/>
    <x v="4"/>
    <x v="5"/>
    <s v="Списание с расчетного счета 00БП-007373 от 08.10.2025 18:26:41"/>
    <s v="08.10.25"/>
    <n v="30900000"/>
    <m/>
    <m/>
    <d v="2025-10-08T00:00:00"/>
    <n v="85"/>
    <x v="1"/>
    <x v="3"/>
    <x v="0"/>
    <x v="0"/>
    <m/>
    <m/>
    <m/>
  </r>
  <r>
    <s v="60.02"/>
    <x v="4"/>
    <x v="7"/>
    <s v="Списание с расчетного счета 00БП-007408 от 09.10.2025 16:57:55"/>
    <s v="09.10.25"/>
    <n v="603882"/>
    <m/>
    <m/>
    <d v="2025-10-09T00:00:00"/>
    <n v="84"/>
    <x v="1"/>
    <x v="3"/>
    <x v="0"/>
    <x v="0"/>
    <m/>
    <m/>
    <m/>
  </r>
  <r>
    <s v="60.02"/>
    <x v="5"/>
    <x v="11"/>
    <s v="Списание с расчетного счета 00БП-006009 от 26.08.2025 19:15:04"/>
    <s v="26.08.25"/>
    <n v="75000"/>
    <m/>
    <m/>
    <d v="2025-08-26T00:00:00"/>
    <n v="128"/>
    <x v="0"/>
    <x v="3"/>
    <x v="0"/>
    <x v="0"/>
    <m/>
    <m/>
    <m/>
  </r>
  <r>
    <s v="60.02"/>
    <x v="5"/>
    <x v="12"/>
    <s v="Списание с расчетного счета 00БП-008786 от 18.11.2025 23:05:28"/>
    <s v="18.11.25"/>
    <n v="661131"/>
    <m/>
    <m/>
    <d v="2025-11-18T00:00:00"/>
    <n v="44"/>
    <x v="1"/>
    <x v="3"/>
    <x v="0"/>
    <x v="0"/>
    <m/>
    <m/>
    <m/>
  </r>
  <r>
    <s v="60.02"/>
    <x v="5"/>
    <x v="360"/>
    <s v="Списание с расчетного счета 00БП-007299 от 06.10.2025 18:16:09"/>
    <s v="06.10.25"/>
    <n v="4754"/>
    <m/>
    <m/>
    <d v="2025-10-06T00:00:00"/>
    <n v="87"/>
    <x v="1"/>
    <x v="3"/>
    <x v="0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972"/>
    <x v="5"/>
    <x v="3"/>
    <x v="0"/>
    <x v="0"/>
    <m/>
    <m/>
    <m/>
  </r>
  <r>
    <s v="60.02"/>
    <x v="7"/>
    <x v="14"/>
    <s v="Списание с расчетного счета 00БП-009292 от 25.12.2025 12:00:16"/>
    <s v="25.12.25"/>
    <n v="28800000"/>
    <m/>
    <m/>
    <d v="2025-12-25T00:00:00"/>
    <n v="7"/>
    <x v="2"/>
    <x v="3"/>
    <x v="0"/>
    <x v="0"/>
    <m/>
    <m/>
    <m/>
  </r>
  <r>
    <s v="60.02"/>
    <x v="8"/>
    <x v="15"/>
    <s v="Списание с расчетного счета 00БП-008834 от 19.11.2025 18:05:16"/>
    <s v="19.11.25"/>
    <n v="1984080"/>
    <m/>
    <m/>
    <d v="2025-11-19T00:00:00"/>
    <n v="43"/>
    <x v="1"/>
    <x v="3"/>
    <x v="0"/>
    <x v="0"/>
    <m/>
    <m/>
    <m/>
  </r>
  <r>
    <s v="60.02"/>
    <x v="9"/>
    <x v="16"/>
    <s v="Списание с расчетного счета 00БП-004852 от 14.07.2025 17:54:02"/>
    <s v="14.07.25"/>
    <n v="4985"/>
    <m/>
    <m/>
    <d v="2025-07-14T00:00:00"/>
    <n v="171"/>
    <x v="0"/>
    <x v="3"/>
    <x v="0"/>
    <x v="0"/>
    <m/>
    <m/>
    <m/>
  </r>
  <r>
    <s v="60.02"/>
    <x v="10"/>
    <x v="17"/>
    <s v="Списание с расчетного счета 00БП-009342 от 29.12.2025 17:48:57"/>
    <s v="29.12.25"/>
    <n v="124374672.66"/>
    <m/>
    <m/>
    <d v="2025-12-29T00:00:00"/>
    <n v="3"/>
    <x v="2"/>
    <x v="3"/>
    <x v="0"/>
    <x v="0"/>
    <m/>
    <m/>
    <m/>
  </r>
  <r>
    <s v="60.02"/>
    <x v="11"/>
    <x v="18"/>
    <s v="Списание с расчетного счета 00БП-000549 от 07.03.2025 17:21:16"/>
    <s v="07.03.25"/>
    <n v="198000"/>
    <m/>
    <m/>
    <d v="2025-03-07T00:00:00"/>
    <n v="300"/>
    <x v="6"/>
    <x v="3"/>
    <x v="0"/>
    <x v="1"/>
    <m/>
    <m/>
    <m/>
  </r>
  <r>
    <s v="60.02"/>
    <x v="12"/>
    <x v="19"/>
    <s v="Списание с расчетного счета 00БП-005478 от 07.08.2025 19:08:52"/>
    <s v="07.08.25"/>
    <n v="17955.38"/>
    <m/>
    <m/>
    <d v="2025-08-07T00:00:00"/>
    <n v="147"/>
    <x v="0"/>
    <x v="3"/>
    <x v="0"/>
    <x v="2"/>
    <m/>
    <m/>
    <m/>
  </r>
  <r>
    <s v="60.02"/>
    <x v="12"/>
    <x v="20"/>
    <s v="Списание с расчетного счета 00БП-005479 от 07.08.2025 19:08:53"/>
    <s v="07.08.25"/>
    <n v="67008.2"/>
    <m/>
    <m/>
    <d v="2025-08-07T00:00:00"/>
    <n v="147"/>
    <x v="0"/>
    <x v="3"/>
    <x v="0"/>
    <x v="3"/>
    <m/>
    <m/>
    <m/>
  </r>
  <r>
    <s v="60.02"/>
    <x v="12"/>
    <x v="20"/>
    <s v="Корректировка поступления 00БП-000024 от 05.09.2025 16:20:03"/>
    <s v="05.09.25"/>
    <n v="8599.8700000000008"/>
    <m/>
    <m/>
    <d v="2025-09-05T00:00:00"/>
    <n v="118"/>
    <x v="4"/>
    <x v="3"/>
    <x v="0"/>
    <x v="3"/>
    <m/>
    <m/>
    <m/>
  </r>
  <r>
    <s v="60.02"/>
    <x v="13"/>
    <x v="22"/>
    <s v="Списание с расчетного счета 00БП-009316 от 26.12.2025 12:00:22"/>
    <s v="26.12.25"/>
    <n v="1833304"/>
    <m/>
    <m/>
    <d v="2025-12-26T00:00:00"/>
    <n v="6"/>
    <x v="2"/>
    <x v="3"/>
    <x v="0"/>
    <x v="0"/>
    <m/>
    <m/>
    <m/>
  </r>
  <r>
    <s v="60.02"/>
    <x v="172"/>
    <x v="362"/>
    <s v="Списание с расчетного счета 00БП-007892 от 24.10.2025 17:29:34"/>
    <s v="24.10.25"/>
    <n v="11000"/>
    <m/>
    <m/>
    <d v="2025-10-24T00:00:00"/>
    <n v="69"/>
    <x v="1"/>
    <x v="3"/>
    <x v="0"/>
    <x v="0"/>
    <m/>
    <m/>
    <m/>
  </r>
  <r>
    <s v="60.02"/>
    <x v="15"/>
    <x v="24"/>
    <s v="Списание с расчетного счета 00БП-009234 от 18.12.2025 17:20:48"/>
    <s v="18.12.25"/>
    <n v="613440"/>
    <m/>
    <m/>
    <d v="2025-12-18T00:00:00"/>
    <n v="14"/>
    <x v="2"/>
    <x v="3"/>
    <x v="0"/>
    <x v="0"/>
    <m/>
    <m/>
    <m/>
  </r>
  <r>
    <s v="60.02"/>
    <x v="17"/>
    <x v="26"/>
    <s v="Списание с расчетного счета 00БП-008784 от 18.11.2025 23:05:26"/>
    <s v="18.11.25"/>
    <n v="350000"/>
    <m/>
    <m/>
    <d v="2025-11-18T00:00:00"/>
    <n v="44"/>
    <x v="1"/>
    <x v="3"/>
    <x v="0"/>
    <x v="0"/>
    <m/>
    <m/>
    <m/>
  </r>
  <r>
    <s v="60.02"/>
    <x v="18"/>
    <x v="27"/>
    <s v="Списание с расчетного счета 00БП-002345 от 05.05.2025 19:41:14"/>
    <s v="05.05.25"/>
    <n v="691600"/>
    <m/>
    <m/>
    <d v="2025-05-05T00:00:00"/>
    <n v="241"/>
    <x v="3"/>
    <x v="3"/>
    <x v="0"/>
    <x v="5"/>
    <m/>
    <m/>
    <m/>
  </r>
  <r>
    <s v="60.02"/>
    <x v="20"/>
    <x v="29"/>
    <s v="Списание с расчетного счета 00БП-007195 от 01.10.2025 20:24:05"/>
    <s v="01.10.25"/>
    <n v="400000"/>
    <m/>
    <m/>
    <d v="2025-10-01T00:00:00"/>
    <n v="92"/>
    <x v="4"/>
    <x v="3"/>
    <x v="0"/>
    <x v="6"/>
    <d v="2025-11-20T00:00:00"/>
    <s v="Геологический отдел"/>
    <m/>
  </r>
  <r>
    <s v="60.02"/>
    <x v="20"/>
    <x v="30"/>
    <s v="Списание с расчетного счета 00БП-004986 от 18.07.2025 20:39:46"/>
    <s v="18.07.25"/>
    <n v="1600000"/>
    <m/>
    <m/>
    <d v="2025-07-18T00:00:00"/>
    <n v="167"/>
    <x v="0"/>
    <x v="3"/>
    <x v="0"/>
    <x v="7"/>
    <d v="2026-02-15T00:00:00"/>
    <s v="Геологический отдел"/>
    <m/>
  </r>
  <r>
    <s v="60.02"/>
    <x v="20"/>
    <x v="30"/>
    <s v="Списание с расчетного счета 00БП-009315 от 26.12.2025 12:00:21"/>
    <s v="26.12.25"/>
    <n v="1200000"/>
    <m/>
    <m/>
    <d v="2025-12-26T00:00:00"/>
    <n v="6"/>
    <x v="2"/>
    <x v="3"/>
    <x v="0"/>
    <x v="0"/>
    <m/>
    <m/>
    <m/>
  </r>
  <r>
    <s v="60.02"/>
    <x v="20"/>
    <x v="31"/>
    <s v="Списание с расчетного счета 00БП-007194 от 01.10.2025 20:24:04"/>
    <s v="01.10.25"/>
    <n v="400000"/>
    <m/>
    <m/>
    <d v="2025-10-01T00:00:00"/>
    <n v="92"/>
    <x v="4"/>
    <x v="3"/>
    <x v="0"/>
    <x v="6"/>
    <d v="2025-11-20T00:00:00"/>
    <s v="Геологический отдел"/>
    <m/>
  </r>
  <r>
    <s v="60.02"/>
    <x v="20"/>
    <x v="32"/>
    <s v="Списание с расчетного счета 00БП-006765 от 17.09.2025 19:43:17"/>
    <s v="17.09.25"/>
    <n v="250000"/>
    <m/>
    <m/>
    <d v="2025-09-17T00:00:00"/>
    <n v="106"/>
    <x v="4"/>
    <x v="3"/>
    <x v="0"/>
    <x v="6"/>
    <d v="2025-11-25T00:00:00"/>
    <s v="Геологический отдел"/>
    <m/>
  </r>
  <r>
    <s v="60.02"/>
    <x v="20"/>
    <x v="33"/>
    <s v="Списание с расчетного счета 00БП-006764 от 17.09.2025 19:43:16"/>
    <s v="17.09.25"/>
    <n v="250000"/>
    <m/>
    <m/>
    <d v="2025-09-17T00:00:00"/>
    <n v="106"/>
    <x v="4"/>
    <x v="3"/>
    <x v="0"/>
    <x v="6"/>
    <d v="2025-11-25T00:00:00"/>
    <s v="Геологический отдел"/>
    <m/>
  </r>
  <r>
    <s v="60.02"/>
    <x v="21"/>
    <x v="34"/>
    <s v="Списание с расчетного счета 00БП-004292 от 30.06.2025 23:59:59"/>
    <s v="30.06.25"/>
    <n v="7000"/>
    <m/>
    <m/>
    <d v="2025-06-30T00:00:00"/>
    <n v="185"/>
    <x v="3"/>
    <x v="3"/>
    <x v="0"/>
    <x v="8"/>
    <m/>
    <m/>
    <m/>
  </r>
  <r>
    <s v="60.02"/>
    <x v="24"/>
    <x v="38"/>
    <s v="Списание с расчетного счета 00БП-005940 от 21.08.2025 17:24:52"/>
    <s v="21.08.25"/>
    <n v="52154.400000000001"/>
    <m/>
    <m/>
    <d v="2025-08-21T00:00:00"/>
    <n v="133"/>
    <x v="0"/>
    <x v="3"/>
    <x v="0"/>
    <x v="0"/>
    <m/>
    <m/>
    <m/>
  </r>
  <r>
    <s v="60.02"/>
    <x v="173"/>
    <x v="363"/>
    <s v="Списание с расчетного счета 00БП-009223 от 17.12.2025 15:35:07"/>
    <s v="17.12.25"/>
    <n v="750000"/>
    <m/>
    <m/>
    <d v="2025-12-17T00:00:00"/>
    <n v="15"/>
    <x v="2"/>
    <x v="3"/>
    <x v="0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624"/>
    <x v="5"/>
    <x v="3"/>
    <x v="0"/>
    <x v="9"/>
    <m/>
    <m/>
    <m/>
  </r>
  <r>
    <s v="60.02"/>
    <x v="174"/>
    <x v="364"/>
    <s v="Списание с расчетного счета 00БП-006591 от 12.09.2025 17:33:13"/>
    <s v="12.09.25"/>
    <n v="496840"/>
    <m/>
    <m/>
    <d v="2025-09-12T00:00:00"/>
    <n v="111"/>
    <x v="4"/>
    <x v="3"/>
    <x v="0"/>
    <x v="0"/>
    <m/>
    <m/>
    <m/>
  </r>
  <r>
    <s v="60.02"/>
    <x v="28"/>
    <x v="43"/>
    <s v="Списание с расчетного счета 00БП-008947 от 26.11.2025 14:57:07"/>
    <s v="26.11.25"/>
    <n v="92350"/>
    <m/>
    <m/>
    <d v="2025-11-26T00:00:00"/>
    <n v="36"/>
    <x v="1"/>
    <x v="3"/>
    <x v="0"/>
    <x v="0"/>
    <m/>
    <m/>
    <m/>
  </r>
  <r>
    <s v="60.02"/>
    <x v="29"/>
    <x v="44"/>
    <s v="Списание с расчетного счета 00БП-003512 от 09.06.2025 17:56:01"/>
    <s v="09.06.25"/>
    <n v="14178"/>
    <m/>
    <m/>
    <d v="2025-06-09T00:00:00"/>
    <n v="206"/>
    <x v="3"/>
    <x v="3"/>
    <x v="0"/>
    <x v="2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552"/>
    <x v="5"/>
    <x v="3"/>
    <x v="0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556"/>
    <x v="5"/>
    <x v="3"/>
    <x v="0"/>
    <x v="0"/>
    <m/>
    <m/>
    <m/>
  </r>
  <r>
    <s v="60.02"/>
    <x v="30"/>
    <x v="48"/>
    <s v="Списание с расчетного счета 00БП-006739 от 16.09.2025 17:34:57"/>
    <s v="16.09.25"/>
    <n v="25000"/>
    <m/>
    <m/>
    <d v="2025-09-16T00:00:00"/>
    <n v="107"/>
    <x v="4"/>
    <x v="3"/>
    <x v="0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584"/>
    <x v="5"/>
    <x v="3"/>
    <x v="0"/>
    <x v="0"/>
    <m/>
    <m/>
    <m/>
  </r>
  <r>
    <s v="60.02"/>
    <x v="30"/>
    <x v="50"/>
    <s v="Списание с расчетного счета 00БП-003005 от 23.05.2025 20:52:15"/>
    <s v="23.05.25"/>
    <n v="6600"/>
    <m/>
    <m/>
    <d v="2025-05-23T00:00:00"/>
    <n v="223"/>
    <x v="3"/>
    <x v="3"/>
    <x v="0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542"/>
    <x v="5"/>
    <x v="3"/>
    <x v="0"/>
    <x v="0"/>
    <m/>
    <m/>
    <m/>
  </r>
  <r>
    <s v="60.02"/>
    <x v="30"/>
    <x v="52"/>
    <s v="Списание с расчетного счета 00БП-006217 от 01.09.2025 18:18:38"/>
    <s v="01.09.25"/>
    <n v="25000"/>
    <m/>
    <m/>
    <d v="2025-09-01T00:00:00"/>
    <n v="122"/>
    <x v="0"/>
    <x v="3"/>
    <x v="0"/>
    <x v="0"/>
    <m/>
    <m/>
    <m/>
  </r>
  <r>
    <s v="60.02"/>
    <x v="30"/>
    <x v="365"/>
    <s v="Списание с расчетного счета 00БП-006329 от 08.09.2025 18:50:19"/>
    <s v="08.09.25"/>
    <n v="25000"/>
    <m/>
    <m/>
    <d v="2025-09-08T00:00:00"/>
    <n v="115"/>
    <x v="4"/>
    <x v="3"/>
    <x v="0"/>
    <x v="0"/>
    <m/>
    <m/>
    <m/>
  </r>
  <r>
    <s v="60.02"/>
    <x v="182"/>
    <x v="383"/>
    <s v="Списание с расчетного счета 00БП-008353 от 11.11.2025 18:13:32"/>
    <s v="11.11.25"/>
    <n v="120000"/>
    <m/>
    <m/>
    <d v="2025-11-11T00:00:00"/>
    <n v="51"/>
    <x v="1"/>
    <x v="3"/>
    <x v="0"/>
    <x v="0"/>
    <m/>
    <m/>
    <m/>
  </r>
  <r>
    <s v="60.02"/>
    <x v="182"/>
    <x v="384"/>
    <s v="Списание с расчетного счета 00БП-006204 от 29.08.2025 23:56:48"/>
    <s v="29.08.25"/>
    <n v="600000"/>
    <m/>
    <m/>
    <d v="2025-08-29T00:00:00"/>
    <n v="125"/>
    <x v="0"/>
    <x v="3"/>
    <x v="0"/>
    <x v="0"/>
    <m/>
    <m/>
    <m/>
  </r>
  <r>
    <s v="60.02"/>
    <x v="182"/>
    <x v="384"/>
    <s v="Списание с расчетного счета 00БП-009313 от 26.12.2025 12:00:19"/>
    <s v="26.12.25"/>
    <n v="360000"/>
    <m/>
    <m/>
    <d v="2025-12-26T00:00:00"/>
    <n v="6"/>
    <x v="2"/>
    <x v="3"/>
    <x v="0"/>
    <x v="0"/>
    <m/>
    <m/>
    <m/>
  </r>
  <r>
    <s v="60.02"/>
    <x v="32"/>
    <x v="54"/>
    <s v="Списание с расчетного счета 00БП-007131 от 29.09.2025 19:12:04"/>
    <s v="29.09.25"/>
    <n v="1750000"/>
    <m/>
    <m/>
    <d v="2025-09-29T00:00:00"/>
    <n v="94"/>
    <x v="4"/>
    <x v="3"/>
    <x v="0"/>
    <x v="0"/>
    <m/>
    <m/>
    <m/>
  </r>
  <r>
    <s v="60.02"/>
    <x v="32"/>
    <x v="55"/>
    <s v="Списание с расчетного счета 00БП-007756 от 17.10.2025 19:36:13"/>
    <s v="17.10.25"/>
    <n v="1750000"/>
    <m/>
    <m/>
    <d v="2025-10-17T00:00:00"/>
    <n v="76"/>
    <x v="1"/>
    <x v="3"/>
    <x v="0"/>
    <x v="0"/>
    <m/>
    <m/>
    <m/>
  </r>
  <r>
    <s v="60.02"/>
    <x v="32"/>
    <x v="56"/>
    <s v="Списание с расчетного счета 00БП-007130 от 29.09.2025 19:12:03"/>
    <s v="29.09.25"/>
    <n v="1750000"/>
    <m/>
    <m/>
    <d v="2025-09-29T00:00:00"/>
    <n v="94"/>
    <x v="4"/>
    <x v="3"/>
    <x v="0"/>
    <x v="0"/>
    <m/>
    <m/>
    <m/>
  </r>
  <r>
    <s v="60.02"/>
    <x v="32"/>
    <x v="57"/>
    <s v="Списание с расчетного счета 00БП-007755 от 17.10.2025 19:36:12"/>
    <s v="17.10.25"/>
    <n v="1750000"/>
    <m/>
    <m/>
    <d v="2025-10-17T00:00:00"/>
    <n v="76"/>
    <x v="1"/>
    <x v="3"/>
    <x v="0"/>
    <x v="0"/>
    <m/>
    <m/>
    <m/>
  </r>
  <r>
    <s v="60.02"/>
    <x v="32"/>
    <x v="58"/>
    <s v="Списание с расчетного счета 00БП-007129 от 29.09.2025 19:12:02"/>
    <s v="29.09.25"/>
    <n v="1750000"/>
    <m/>
    <m/>
    <d v="2025-09-29T00:00:00"/>
    <n v="94"/>
    <x v="4"/>
    <x v="3"/>
    <x v="0"/>
    <x v="0"/>
    <m/>
    <m/>
    <m/>
  </r>
  <r>
    <s v="60.02"/>
    <x v="34"/>
    <x v="60"/>
    <s v="Списание с расчетного счета 00БП-009027 от 01.12.2025 15:42:22"/>
    <s v="01.12.25"/>
    <n v="2053117.29"/>
    <m/>
    <m/>
    <d v="2025-12-01T00:00:00"/>
    <n v="31"/>
    <x v="1"/>
    <x v="3"/>
    <x v="0"/>
    <x v="0"/>
    <m/>
    <m/>
    <m/>
  </r>
  <r>
    <s v="60.02"/>
    <x v="34"/>
    <x v="61"/>
    <s v="Списание с расчетного счета 00БП-009026 от 01.12.2025 15:42:21"/>
    <s v="01.12.25"/>
    <n v="1211264.99"/>
    <m/>
    <m/>
    <d v="2025-12-01T00:00:00"/>
    <n v="31"/>
    <x v="1"/>
    <x v="3"/>
    <x v="0"/>
    <x v="0"/>
    <m/>
    <m/>
    <m/>
  </r>
  <r>
    <s v="60.02"/>
    <x v="34"/>
    <x v="62"/>
    <s v="Списание с расчетного счета 00БП-009025 от 01.12.2025 15:42:20"/>
    <s v="01.12.25"/>
    <n v="512327.6"/>
    <m/>
    <m/>
    <d v="2025-12-01T00:00:00"/>
    <n v="31"/>
    <x v="1"/>
    <x v="3"/>
    <x v="0"/>
    <x v="0"/>
    <m/>
    <m/>
    <m/>
  </r>
  <r>
    <s v="60.02"/>
    <x v="34"/>
    <x v="62"/>
    <s v="Списание с расчетного счета 00БП-009090 от 05.12.2025 12:00:05"/>
    <s v="05.12.25"/>
    <n v="12000"/>
    <m/>
    <m/>
    <d v="2025-12-05T00:00:00"/>
    <n v="27"/>
    <x v="2"/>
    <x v="3"/>
    <x v="0"/>
    <x v="0"/>
    <m/>
    <m/>
    <m/>
  </r>
  <r>
    <s v="60.02"/>
    <x v="34"/>
    <x v="63"/>
    <s v="Списание с расчетного счета 00БП-009024 от 01.12.2025 15:42:19"/>
    <s v="01.12.25"/>
    <n v="438338.63"/>
    <m/>
    <m/>
    <d v="2025-12-01T00:00:00"/>
    <n v="31"/>
    <x v="1"/>
    <x v="3"/>
    <x v="0"/>
    <x v="0"/>
    <m/>
    <m/>
    <m/>
  </r>
  <r>
    <s v="60.02"/>
    <x v="35"/>
    <x v="64"/>
    <s v="Списание с расчетного счета 00БП-002965 от 21.05.2025 20:10:56"/>
    <s v="21.05.25"/>
    <n v="275272"/>
    <m/>
    <m/>
    <d v="2025-05-21T00:00:00"/>
    <n v="225"/>
    <x v="3"/>
    <x v="3"/>
    <x v="0"/>
    <x v="11"/>
    <m/>
    <m/>
    <m/>
  </r>
  <r>
    <s v="60.02"/>
    <x v="38"/>
    <x v="75"/>
    <s v="Списание с расчетного счета 00БП-003987 от 19.06.2025 19:28:50"/>
    <s v="19.06.25"/>
    <n v="682568"/>
    <m/>
    <m/>
    <d v="2025-06-19T00:00:00"/>
    <n v="196"/>
    <x v="3"/>
    <x v="3"/>
    <x v="0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625"/>
    <x v="5"/>
    <x v="3"/>
    <x v="0"/>
    <x v="0"/>
    <m/>
    <m/>
    <m/>
  </r>
  <r>
    <s v="60.02"/>
    <x v="38"/>
    <x v="80"/>
    <s v="Списание с расчетного счета 00БП-000423 от 28.02.2025 23:59:59"/>
    <s v="28.02.25"/>
    <n v="29963"/>
    <m/>
    <m/>
    <d v="2025-02-28T00:00:00"/>
    <n v="307"/>
    <x v="6"/>
    <x v="3"/>
    <x v="0"/>
    <x v="2"/>
    <m/>
    <m/>
    <m/>
  </r>
  <r>
    <s v="60.02"/>
    <x v="38"/>
    <x v="81"/>
    <s v="Списание с расчетного счета 00БП-007268 от 03.10.2025 17:50:33"/>
    <s v="03.10.25"/>
    <n v="19600"/>
    <m/>
    <m/>
    <d v="2025-10-03T00:00:00"/>
    <n v="90"/>
    <x v="1"/>
    <x v="3"/>
    <x v="0"/>
    <x v="0"/>
    <m/>
    <m/>
    <m/>
  </r>
  <r>
    <s v="60.02"/>
    <x v="39"/>
    <x v="366"/>
    <s v="Списание с расчетного счета 00БП-009144 от 10.12.2025 15:32:12"/>
    <s v="10.12.25"/>
    <n v="244800"/>
    <m/>
    <m/>
    <d v="2025-12-10T00:00:00"/>
    <n v="22"/>
    <x v="2"/>
    <x v="3"/>
    <x v="0"/>
    <x v="0"/>
    <m/>
    <m/>
    <m/>
  </r>
  <r>
    <s v="60.02"/>
    <x v="39"/>
    <x v="82"/>
    <s v="Списание с расчетного счета 00БП-008971 от 27.11.2025 18:25:59"/>
    <s v="27.11.25"/>
    <n v="132000"/>
    <m/>
    <m/>
    <d v="2025-11-27T00:00:00"/>
    <n v="35"/>
    <x v="1"/>
    <x v="3"/>
    <x v="0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574"/>
    <x v="5"/>
    <x v="3"/>
    <x v="0"/>
    <x v="9"/>
    <m/>
    <m/>
    <m/>
  </r>
  <r>
    <s v="60.02"/>
    <x v="40"/>
    <x v="85"/>
    <s v="Списание с расчетного счета 00БП-009340 от 29.12.2025 17:48:55"/>
    <s v="29.12.25"/>
    <n v="53477"/>
    <m/>
    <m/>
    <d v="2025-12-29T00:00:00"/>
    <n v="3"/>
    <x v="2"/>
    <x v="3"/>
    <x v="0"/>
    <x v="0"/>
    <m/>
    <m/>
    <m/>
  </r>
  <r>
    <s v="60.02"/>
    <x v="40"/>
    <x v="86"/>
    <s v="Списание с расчетного счета 00БП-008817 от 19.11.2025 18:04:59"/>
    <s v="19.11.25"/>
    <n v="1875"/>
    <m/>
    <m/>
    <d v="2025-11-19T00:00:00"/>
    <n v="43"/>
    <x v="1"/>
    <x v="3"/>
    <x v="0"/>
    <x v="0"/>
    <m/>
    <m/>
    <m/>
  </r>
  <r>
    <s v="60.02"/>
    <x v="40"/>
    <x v="87"/>
    <s v="Списание с расчетного счета 00БП-008955 от 27.11.2025 18:25:43"/>
    <s v="27.11.25"/>
    <n v="13926"/>
    <m/>
    <m/>
    <d v="2025-11-27T00:00:00"/>
    <n v="35"/>
    <x v="1"/>
    <x v="3"/>
    <x v="0"/>
    <x v="0"/>
    <m/>
    <m/>
    <m/>
  </r>
  <r>
    <s v="60.02"/>
    <x v="40"/>
    <x v="88"/>
    <s v="Списание с расчетного счета 00БП-008055 от 30.10.2025 20:00:11"/>
    <s v="30.10.25"/>
    <n v="98480"/>
    <m/>
    <m/>
    <d v="2025-10-30T00:00:00"/>
    <n v="63"/>
    <x v="1"/>
    <x v="3"/>
    <x v="0"/>
    <x v="0"/>
    <m/>
    <m/>
    <m/>
  </r>
  <r>
    <s v="60.02"/>
    <x v="40"/>
    <x v="89"/>
    <s v="Списание с расчетного счета 00БП-005955 от 22.08.2025 17:42:38"/>
    <s v="22.08.25"/>
    <n v="39046"/>
    <m/>
    <m/>
    <d v="2025-08-22T00:00:00"/>
    <n v="132"/>
    <x v="0"/>
    <x v="3"/>
    <x v="0"/>
    <x v="0"/>
    <m/>
    <m/>
    <m/>
  </r>
  <r>
    <s v="60.02"/>
    <x v="40"/>
    <x v="367"/>
    <s v="Списание с расчетного счета 00БП-006837 от 22.09.2025 19:07:50"/>
    <s v="22.09.25"/>
    <n v="3629"/>
    <m/>
    <m/>
    <d v="2025-09-22T00:00:00"/>
    <n v="101"/>
    <x v="4"/>
    <x v="3"/>
    <x v="0"/>
    <x v="0"/>
    <m/>
    <m/>
    <m/>
  </r>
  <r>
    <s v="60.02"/>
    <x v="40"/>
    <x v="90"/>
    <s v="Списание с расчетного счета 00БП-004471 от 07.07.2025 17:53:43"/>
    <s v="07.07.25"/>
    <n v="780"/>
    <m/>
    <m/>
    <d v="2025-07-07T00:00:00"/>
    <n v="178"/>
    <x v="0"/>
    <x v="3"/>
    <x v="0"/>
    <x v="0"/>
    <m/>
    <m/>
    <m/>
  </r>
  <r>
    <s v="60.02"/>
    <x v="40"/>
    <x v="91"/>
    <s v="Списание с расчетного счета 00БП-005515 от 11.08.2025 17:47:00"/>
    <s v="11.08.25"/>
    <n v="2154"/>
    <m/>
    <m/>
    <d v="2025-08-11T00:00:00"/>
    <n v="143"/>
    <x v="0"/>
    <x v="3"/>
    <x v="0"/>
    <x v="0"/>
    <m/>
    <m/>
    <m/>
  </r>
  <r>
    <s v="60.02"/>
    <x v="40"/>
    <x v="92"/>
    <s v="Списание с расчетного счета 00БП-008818 от 19.11.2025 18:05:00"/>
    <s v="19.11.25"/>
    <n v="1948"/>
    <m/>
    <m/>
    <d v="2025-11-19T00:00:00"/>
    <n v="43"/>
    <x v="1"/>
    <x v="3"/>
    <x v="0"/>
    <x v="0"/>
    <m/>
    <m/>
    <m/>
  </r>
  <r>
    <s v="60.02"/>
    <x v="40"/>
    <x v="93"/>
    <s v="Списание с расчетного счета 00БП-007383 от 09.10.2025 16:57:30"/>
    <s v="09.10.25"/>
    <n v="3247"/>
    <m/>
    <m/>
    <d v="2025-10-09T00:00:00"/>
    <n v="84"/>
    <x v="1"/>
    <x v="3"/>
    <x v="0"/>
    <x v="0"/>
    <m/>
    <m/>
    <m/>
  </r>
  <r>
    <s v="60.02"/>
    <x v="40"/>
    <x v="94"/>
    <s v="Списание с расчетного счета 00БП-007398 от 09.10.2025 16:57:45"/>
    <s v="09.10.25"/>
    <n v="12093"/>
    <m/>
    <m/>
    <d v="2025-10-09T00:00:00"/>
    <n v="84"/>
    <x v="1"/>
    <x v="3"/>
    <x v="0"/>
    <x v="0"/>
    <m/>
    <m/>
    <m/>
  </r>
  <r>
    <s v="60.02"/>
    <x v="40"/>
    <x v="95"/>
    <s v="Списание с расчетного счета 00БП-007275 от 03.10.2025 17:50:40"/>
    <s v="03.10.25"/>
    <n v="113416"/>
    <m/>
    <m/>
    <d v="2025-10-03T00:00:00"/>
    <n v="90"/>
    <x v="1"/>
    <x v="3"/>
    <x v="0"/>
    <x v="0"/>
    <m/>
    <m/>
    <m/>
  </r>
  <r>
    <s v="60.02"/>
    <x v="40"/>
    <x v="96"/>
    <s v="Списание с расчетного счета 00БП-007294 от 06.10.2025 18:16:04"/>
    <s v="06.10.25"/>
    <n v="279"/>
    <m/>
    <m/>
    <d v="2025-10-06T00:00:00"/>
    <n v="87"/>
    <x v="1"/>
    <x v="3"/>
    <x v="0"/>
    <x v="0"/>
    <m/>
    <m/>
    <m/>
  </r>
  <r>
    <s v="60.02"/>
    <x v="40"/>
    <x v="97"/>
    <s v="Списание с расчетного счета 00БП-009261 от 24.12.2025 11:37:12"/>
    <s v="24.12.25"/>
    <n v="930"/>
    <m/>
    <m/>
    <d v="2025-12-24T00:00:00"/>
    <n v="8"/>
    <x v="2"/>
    <x v="3"/>
    <x v="0"/>
    <x v="0"/>
    <m/>
    <m/>
    <m/>
  </r>
  <r>
    <s v="60.02"/>
    <x v="40"/>
    <x v="98"/>
    <s v="Списание с расчетного счета 00БП-009260 от 24.12.2025 11:37:11"/>
    <s v="24.12.25"/>
    <n v="930"/>
    <m/>
    <m/>
    <d v="2025-12-24T00:00:00"/>
    <n v="8"/>
    <x v="2"/>
    <x v="3"/>
    <x v="0"/>
    <x v="0"/>
    <m/>
    <m/>
    <m/>
  </r>
  <r>
    <s v="60.02"/>
    <x v="40"/>
    <x v="99"/>
    <s v="Списание с расчетного счета 00БП-005289 от 29.07.2025 20:44:17"/>
    <s v="29.07.25"/>
    <n v="1140"/>
    <m/>
    <m/>
    <d v="2025-07-29T00:00:00"/>
    <n v="156"/>
    <x v="0"/>
    <x v="3"/>
    <x v="0"/>
    <x v="0"/>
    <m/>
    <m/>
    <m/>
  </r>
  <r>
    <s v="60.02"/>
    <x v="40"/>
    <x v="100"/>
    <s v="Списание с расчетного счета 00БП-008035 от 29.10.2025 17:11:11"/>
    <s v="29.10.25"/>
    <n v="14870"/>
    <m/>
    <m/>
    <d v="2025-10-29T00:00:00"/>
    <n v="64"/>
    <x v="1"/>
    <x v="3"/>
    <x v="0"/>
    <x v="0"/>
    <m/>
    <m/>
    <m/>
  </r>
  <r>
    <s v="60.02"/>
    <x v="40"/>
    <x v="101"/>
    <s v="Списание с расчетного счета 00БП-006819 от 19.09.2025 17:32:15"/>
    <s v="19.09.25"/>
    <n v="1310"/>
    <m/>
    <m/>
    <d v="2025-09-19T00:00:00"/>
    <n v="104"/>
    <x v="4"/>
    <x v="3"/>
    <x v="0"/>
    <x v="0"/>
    <m/>
    <m/>
    <m/>
  </r>
  <r>
    <s v="60.02"/>
    <x v="40"/>
    <x v="102"/>
    <s v="Списание с расчетного счета 00БП-007404 от 09.10.2025 16:57:51"/>
    <s v="09.10.25"/>
    <n v="21872"/>
    <m/>
    <m/>
    <d v="2025-10-09T00:00:00"/>
    <n v="84"/>
    <x v="1"/>
    <x v="3"/>
    <x v="0"/>
    <x v="0"/>
    <m/>
    <m/>
    <m/>
  </r>
  <r>
    <s v="60.02"/>
    <x v="40"/>
    <x v="104"/>
    <s v="Списание с расчетного счета 00БП-007912 от 27.10.2025 18:43:11"/>
    <s v="27.10.25"/>
    <n v="2373"/>
    <m/>
    <m/>
    <d v="2025-10-27T00:00:00"/>
    <n v="66"/>
    <x v="1"/>
    <x v="3"/>
    <x v="0"/>
    <x v="0"/>
    <m/>
    <m/>
    <m/>
  </r>
  <r>
    <s v="60.02"/>
    <x v="40"/>
    <x v="105"/>
    <s v="Списание с расчетного счета 00БП-009262 от 24.12.2025 11:37:13"/>
    <s v="24.12.25"/>
    <n v="943"/>
    <m/>
    <m/>
    <d v="2025-12-24T00:00:00"/>
    <n v="8"/>
    <x v="2"/>
    <x v="3"/>
    <x v="0"/>
    <x v="0"/>
    <m/>
    <m/>
    <m/>
  </r>
  <r>
    <s v="60.02"/>
    <x v="40"/>
    <x v="106"/>
    <s v="Списание с расчетного счета 00БП-007379 от 09.10.2025 16:57:26"/>
    <s v="09.10.25"/>
    <n v="279"/>
    <m/>
    <m/>
    <d v="2025-10-09T00:00:00"/>
    <n v="84"/>
    <x v="1"/>
    <x v="3"/>
    <x v="0"/>
    <x v="0"/>
    <m/>
    <m/>
    <m/>
  </r>
  <r>
    <s v="60.02"/>
    <x v="41"/>
    <x v="304"/>
    <s v="Списание с расчетного счета 00БП-009286 от 25.12.2025 12:00:10"/>
    <s v="25.12.25"/>
    <n v="728811"/>
    <m/>
    <m/>
    <d v="2025-12-25T00:00:00"/>
    <n v="7"/>
    <x v="2"/>
    <x v="3"/>
    <x v="0"/>
    <x v="0"/>
    <m/>
    <m/>
    <m/>
  </r>
  <r>
    <s v="60.02"/>
    <x v="183"/>
    <x v="385"/>
    <s v="Списание с расчетного счета 00БП-003906 от 17.06.2025 22:58:32"/>
    <s v="17.06.25"/>
    <n v="70000"/>
    <m/>
    <m/>
    <d v="2025-06-17T00:00:00"/>
    <n v="198"/>
    <x v="3"/>
    <x v="3"/>
    <x v="0"/>
    <x v="0"/>
    <m/>
    <m/>
    <m/>
  </r>
  <r>
    <s v="60.02"/>
    <x v="183"/>
    <x v="385"/>
    <s v="Списание с расчетного счета 00БП-004432 от 03.07.2025 18:29:09"/>
    <s v="03.07.25"/>
    <n v="180000"/>
    <m/>
    <m/>
    <d v="2025-07-03T00:00:00"/>
    <n v="182"/>
    <x v="3"/>
    <x v="3"/>
    <x v="0"/>
    <x v="0"/>
    <m/>
    <m/>
    <m/>
  </r>
  <r>
    <s v="60.02"/>
    <x v="44"/>
    <x v="119"/>
    <s v="Списание с расчетного счета 00БП-007851 от 22.10.2025 18:47:36"/>
    <s v="22.10.25"/>
    <n v="97121"/>
    <m/>
    <m/>
    <d v="2025-10-22T00:00:00"/>
    <n v="71"/>
    <x v="1"/>
    <x v="3"/>
    <x v="0"/>
    <x v="0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1250"/>
    <x v="5"/>
    <x v="3"/>
    <x v="0"/>
    <x v="2"/>
    <m/>
    <m/>
    <m/>
  </r>
  <r>
    <s v="60.02"/>
    <x v="48"/>
    <x v="124"/>
    <s v="Списание с расчетного счета 00БП-009245 от 19.12.2025 12:51:13"/>
    <s v="19.12.25"/>
    <n v="6883200"/>
    <m/>
    <m/>
    <d v="2025-12-19T00:00:00"/>
    <n v="13"/>
    <x v="2"/>
    <x v="3"/>
    <x v="0"/>
    <x v="0"/>
    <m/>
    <m/>
    <m/>
  </r>
  <r>
    <s v="60.02"/>
    <x v="50"/>
    <x v="126"/>
    <s v="Списание с расчетного счета 00БП-004119 от 25.06.2025 20:39:20"/>
    <s v="25.06.25"/>
    <n v="0.04"/>
    <m/>
    <m/>
    <d v="2025-06-25T00:00:00"/>
    <n v="190"/>
    <x v="3"/>
    <x v="3"/>
    <x v="0"/>
    <x v="0"/>
    <m/>
    <m/>
    <m/>
  </r>
  <r>
    <s v="60.02"/>
    <x v="51"/>
    <x v="127"/>
    <s v="Списание с расчетного счета 00БП-005812 от 14.08.2025 18:36:40"/>
    <s v="14.08.25"/>
    <n v="5478"/>
    <m/>
    <m/>
    <d v="2025-08-14T00:00:00"/>
    <n v="140"/>
    <x v="0"/>
    <x v="3"/>
    <x v="0"/>
    <x v="0"/>
    <m/>
    <m/>
    <m/>
  </r>
  <r>
    <s v="60.02"/>
    <x v="51"/>
    <x v="368"/>
    <s v="Списание с расчетного счета 00БП-008357 от 11.11.2025 18:13:36"/>
    <s v="11.11.25"/>
    <n v="12205"/>
    <m/>
    <m/>
    <d v="2025-11-11T00:00:00"/>
    <n v="51"/>
    <x v="1"/>
    <x v="3"/>
    <x v="0"/>
    <x v="0"/>
    <m/>
    <m/>
    <m/>
  </r>
  <r>
    <s v="60.02"/>
    <x v="51"/>
    <x v="128"/>
    <s v="Списание с расчетного счета 00БП-008347 от 11.11.2025 18:13:26"/>
    <s v="11.11.25"/>
    <n v="11518"/>
    <m/>
    <m/>
    <d v="2025-11-11T00:00:00"/>
    <n v="51"/>
    <x v="1"/>
    <x v="3"/>
    <x v="0"/>
    <x v="0"/>
    <m/>
    <m/>
    <m/>
  </r>
  <r>
    <s v="60.02"/>
    <x v="51"/>
    <x v="129"/>
    <s v="Списание с расчетного счета 00БП-008352 от 11.11.2025 18:13:31"/>
    <s v="11.11.25"/>
    <n v="65989"/>
    <m/>
    <m/>
    <d v="2025-11-11T00:00:00"/>
    <n v="51"/>
    <x v="1"/>
    <x v="3"/>
    <x v="0"/>
    <x v="0"/>
    <m/>
    <m/>
    <m/>
  </r>
  <r>
    <s v="60.02"/>
    <x v="52"/>
    <x v="130"/>
    <s v="Списание с расчетного счета 00БП-004118 от 25.06.2025 20:39:19"/>
    <s v="25.06.25"/>
    <n v="52500"/>
    <m/>
    <m/>
    <d v="2025-06-25T00:00:00"/>
    <n v="190"/>
    <x v="3"/>
    <x v="3"/>
    <x v="0"/>
    <x v="0"/>
    <m/>
    <m/>
    <m/>
  </r>
  <r>
    <s v="60.02"/>
    <x v="52"/>
    <x v="130"/>
    <s v="Списание с расчетного счета 00БП-006164 от 28.08.2025 19:12:06"/>
    <s v="28.08.25"/>
    <n v="297500"/>
    <m/>
    <m/>
    <d v="2025-08-28T00:00:00"/>
    <n v="126"/>
    <x v="0"/>
    <x v="3"/>
    <x v="0"/>
    <x v="0"/>
    <m/>
    <m/>
    <m/>
  </r>
  <r>
    <s v="60.02"/>
    <x v="175"/>
    <x v="369"/>
    <s v="Списание с расчетного счета 00БП-006381 от 10.09.2025 18:06:43"/>
    <s v="10.09.25"/>
    <n v="207900"/>
    <m/>
    <m/>
    <d v="2025-09-10T00:00:00"/>
    <n v="113"/>
    <x v="4"/>
    <x v="3"/>
    <x v="0"/>
    <x v="0"/>
    <m/>
    <m/>
    <m/>
  </r>
  <r>
    <s v="60.02"/>
    <x v="175"/>
    <x v="369"/>
    <s v="Списание с расчетного счета 00БП-007705 от 15.10.2025 22:57:01"/>
    <s v="15.10.25"/>
    <n v="207900"/>
    <m/>
    <m/>
    <d v="2025-10-15T00:00:00"/>
    <n v="78"/>
    <x v="1"/>
    <x v="3"/>
    <x v="0"/>
    <x v="0"/>
    <m/>
    <m/>
    <m/>
  </r>
  <r>
    <s v="60.02"/>
    <x v="53"/>
    <x v="134"/>
    <s v="Списание с расчетного счета 00БП-008361 от 11.11.2025 18:13:40"/>
    <s v="11.11.25"/>
    <n v="40216000"/>
    <m/>
    <m/>
    <d v="2025-11-11T00:00:00"/>
    <n v="51"/>
    <x v="1"/>
    <x v="3"/>
    <x v="0"/>
    <x v="0"/>
    <m/>
    <m/>
    <m/>
  </r>
  <r>
    <s v="60.02"/>
    <x v="54"/>
    <x v="386"/>
    <s v="Списание с расчетного счета 00БП-009263 от 24.12.2025 11:37:14"/>
    <s v="24.12.25"/>
    <n v="3532.9"/>
    <m/>
    <m/>
    <d v="2025-12-24T00:00:00"/>
    <n v="8"/>
    <x v="2"/>
    <x v="3"/>
    <x v="0"/>
    <x v="0"/>
    <m/>
    <m/>
    <m/>
  </r>
  <r>
    <s v="60.02"/>
    <x v="54"/>
    <x v="135"/>
    <s v="Списание с расчетного счета 00БП-009290 от 25.12.2025 12:00:14"/>
    <s v="25.12.25"/>
    <n v="13872940.5"/>
    <m/>
    <m/>
    <d v="2025-12-25T00:00:00"/>
    <n v="7"/>
    <x v="2"/>
    <x v="3"/>
    <x v="0"/>
    <x v="0"/>
    <m/>
    <m/>
    <m/>
  </r>
  <r>
    <s v="60.02"/>
    <x v="54"/>
    <x v="387"/>
    <s v="Списание с расчетного счета 00БП-007237 от 02.10.2025 17:20:52"/>
    <s v="02.10.25"/>
    <n v="19791"/>
    <m/>
    <m/>
    <d v="2025-10-02T00:00:00"/>
    <n v="91"/>
    <x v="4"/>
    <x v="3"/>
    <x v="0"/>
    <x v="0"/>
    <m/>
    <m/>
    <m/>
  </r>
  <r>
    <s v="60.02"/>
    <x v="54"/>
    <x v="388"/>
    <s v="Списание с расчетного счета 00БП-001343 от 07.04.2025 19:17:39"/>
    <s v="07.04.25"/>
    <n v="88390"/>
    <m/>
    <m/>
    <d v="2025-04-07T00:00:00"/>
    <n v="269"/>
    <x v="3"/>
    <x v="3"/>
    <x v="0"/>
    <x v="0"/>
    <m/>
    <m/>
    <m/>
  </r>
  <r>
    <s v="60.02"/>
    <x v="55"/>
    <x v="136"/>
    <s v="Списание с расчетного счета 00БП-007364 от 08.10.2025 18:26:32"/>
    <s v="08.10.25"/>
    <n v="168000"/>
    <m/>
    <m/>
    <d v="2025-10-08T00:00:00"/>
    <n v="85"/>
    <x v="1"/>
    <x v="3"/>
    <x v="0"/>
    <x v="0"/>
    <m/>
    <m/>
    <m/>
  </r>
  <r>
    <s v="60.02"/>
    <x v="56"/>
    <x v="137"/>
    <s v="Списание с расчетного счета 00БП-005850 от 15.08.2025 19:11:20"/>
    <s v="15.08.25"/>
    <n v="7941"/>
    <m/>
    <m/>
    <d v="2025-08-15T00:00:00"/>
    <n v="139"/>
    <x v="0"/>
    <x v="3"/>
    <x v="0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828"/>
    <x v="5"/>
    <x v="3"/>
    <x v="0"/>
    <x v="0"/>
    <m/>
    <m/>
    <m/>
  </r>
  <r>
    <s v="60.02"/>
    <x v="58"/>
    <x v="140"/>
    <s v="Списание с расчетного счета 00БП-007707 от 15.10.2025 22:57:03"/>
    <s v="15.10.25"/>
    <n v="102545"/>
    <m/>
    <m/>
    <d v="2025-10-15T00:00:00"/>
    <n v="78"/>
    <x v="1"/>
    <x v="3"/>
    <x v="0"/>
    <x v="0"/>
    <m/>
    <m/>
    <m/>
  </r>
  <r>
    <s v="60.02"/>
    <x v="59"/>
    <x v="141"/>
    <s v="Списание с расчетного счета 00БП-008927 от 25.11.2025 15:31:10"/>
    <s v="25.11.25"/>
    <n v="2760000"/>
    <m/>
    <m/>
    <d v="2025-11-25T00:00:00"/>
    <n v="37"/>
    <x v="1"/>
    <x v="3"/>
    <x v="0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472"/>
    <x v="5"/>
    <x v="3"/>
    <x v="0"/>
    <x v="0"/>
    <m/>
    <m/>
    <m/>
  </r>
  <r>
    <s v="60.02"/>
    <x v="61"/>
    <x v="143"/>
    <s v="Списание с расчетного счета 00БП-006163 от 28.08.2025 19:12:05"/>
    <s v="28.08.25"/>
    <n v="25866"/>
    <m/>
    <m/>
    <d v="2025-08-28T00:00:00"/>
    <n v="126"/>
    <x v="0"/>
    <x v="3"/>
    <x v="0"/>
    <x v="0"/>
    <m/>
    <m/>
    <m/>
  </r>
  <r>
    <s v="60.02"/>
    <x v="62"/>
    <x v="144"/>
    <s v="Списание с расчетного счета 00БП-001959 от 19.04.2024 20:35:31"/>
    <s v="19.04.24"/>
    <n v="300"/>
    <m/>
    <m/>
    <d v="2024-04-19T00:00:00"/>
    <n v="622"/>
    <x v="5"/>
    <x v="3"/>
    <x v="0"/>
    <x v="0"/>
    <m/>
    <m/>
    <m/>
  </r>
  <r>
    <s v="60.02"/>
    <x v="63"/>
    <x v="145"/>
    <s v="Списание с расчетного счета 00БП-009289 от 25.12.2025 12:00:13"/>
    <s v="25.12.25"/>
    <n v="6293600"/>
    <m/>
    <m/>
    <d v="2025-12-25T00:00:00"/>
    <n v="7"/>
    <x v="2"/>
    <x v="3"/>
    <x v="0"/>
    <x v="0"/>
    <m/>
    <m/>
    <m/>
  </r>
  <r>
    <s v="60.02"/>
    <x v="184"/>
    <x v="389"/>
    <s v="Списание с расчетного счета 00БП-006327 от 08.09.2025 18:50:17"/>
    <s v="08.09.25"/>
    <n v="14000"/>
    <m/>
    <m/>
    <d v="2025-09-08T00:00:00"/>
    <n v="115"/>
    <x v="4"/>
    <x v="3"/>
    <x v="0"/>
    <x v="0"/>
    <m/>
    <m/>
    <m/>
  </r>
  <r>
    <s v="60.02"/>
    <x v="64"/>
    <x v="146"/>
    <s v="Списание с расчетного счета 00БП-008785 от 18.11.2025 23:05:27"/>
    <s v="18.11.25"/>
    <n v="0.02"/>
    <m/>
    <m/>
    <d v="2025-11-18T00:00:00"/>
    <n v="44"/>
    <x v="1"/>
    <x v="3"/>
    <x v="0"/>
    <x v="0"/>
    <m/>
    <m/>
    <m/>
  </r>
  <r>
    <s v="60.02"/>
    <x v="64"/>
    <x v="147"/>
    <s v="Списание с расчетного счета 00БП-004591 от 10.07.2025 16:07:40"/>
    <s v="10.07.25"/>
    <n v="0.01"/>
    <m/>
    <m/>
    <d v="2025-07-10T00:00:00"/>
    <n v="175"/>
    <x v="0"/>
    <x v="3"/>
    <x v="0"/>
    <x v="0"/>
    <m/>
    <m/>
    <m/>
  </r>
  <r>
    <s v="60.02"/>
    <x v="65"/>
    <x v="148"/>
    <s v="Списание с расчетного счета 00БП-009153 от 05.12.2024 12:53:23"/>
    <s v="05.12.24"/>
    <n v="299500"/>
    <m/>
    <m/>
    <d v="2024-12-05T00:00:00"/>
    <n v="392"/>
    <x v="5"/>
    <x v="3"/>
    <x v="0"/>
    <x v="12"/>
    <m/>
    <m/>
    <m/>
  </r>
  <r>
    <s v="60.02"/>
    <x v="67"/>
    <x v="150"/>
    <s v="Списание с расчетного счета 00БП-005457 от 06.08.2025 19:15:12"/>
    <s v="06.08.25"/>
    <n v="23544"/>
    <m/>
    <m/>
    <d v="2025-08-06T00:00:00"/>
    <n v="148"/>
    <x v="0"/>
    <x v="3"/>
    <x v="0"/>
    <x v="0"/>
    <m/>
    <m/>
    <m/>
  </r>
  <r>
    <s v="60.02"/>
    <x v="68"/>
    <x v="151"/>
    <s v="Списание с расчетного счета 00БП-007543 от 10.10.2025 17:09:37"/>
    <s v="10.10.25"/>
    <n v="28000"/>
    <m/>
    <m/>
    <d v="2025-10-10T00:00:00"/>
    <n v="83"/>
    <x v="1"/>
    <x v="3"/>
    <x v="0"/>
    <x v="0"/>
    <m/>
    <m/>
    <m/>
  </r>
  <r>
    <s v="60.02"/>
    <x v="69"/>
    <x v="152"/>
    <s v="Списание с расчетного счета 00БП-007816 от 22.10.2024 18:07:30"/>
    <s v="22.10.24"/>
    <n v="1334.4"/>
    <m/>
    <m/>
    <d v="2024-10-22T00:00:00"/>
    <n v="436"/>
    <x v="5"/>
    <x v="3"/>
    <x v="0"/>
    <x v="2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430"/>
    <x v="5"/>
    <x v="3"/>
    <x v="0"/>
    <x v="2"/>
    <m/>
    <m/>
    <m/>
  </r>
  <r>
    <s v="60.02"/>
    <x v="70"/>
    <x v="154"/>
    <s v="Списание с расчетного счета 00БП-008783 от 18.11.2025 23:05:25"/>
    <s v="18.11.25"/>
    <n v="300000"/>
    <m/>
    <m/>
    <d v="2025-11-18T00:00:00"/>
    <n v="44"/>
    <x v="1"/>
    <x v="3"/>
    <x v="0"/>
    <x v="0"/>
    <m/>
    <m/>
    <m/>
  </r>
  <r>
    <s v="60.02"/>
    <x v="71"/>
    <x v="155"/>
    <s v="Списание с расчетного счета 00БП-003507 от 09.06.2025 17:55:56"/>
    <s v="09.06.25"/>
    <n v="24500"/>
    <m/>
    <m/>
    <d v="2025-06-09T00:00:00"/>
    <n v="206"/>
    <x v="3"/>
    <x v="3"/>
    <x v="0"/>
    <x v="0"/>
    <m/>
    <m/>
    <m/>
  </r>
  <r>
    <s v="60.02"/>
    <x v="71"/>
    <x v="156"/>
    <s v="Списание с расчетного счета 00БП-002932 от 20.05.2025 20:02:05"/>
    <s v="20.05.25"/>
    <n v="58485"/>
    <m/>
    <m/>
    <d v="2025-05-20T00:00:00"/>
    <n v="226"/>
    <x v="3"/>
    <x v="3"/>
    <x v="0"/>
    <x v="0"/>
    <m/>
    <m/>
    <m/>
  </r>
  <r>
    <s v="60.02"/>
    <x v="71"/>
    <x v="157"/>
    <s v="Списание с расчетного счета 00БП-003349 от 03.06.2025 17:39:01"/>
    <s v="03.06.25"/>
    <n v="2690"/>
    <m/>
    <m/>
    <d v="2025-06-03T00:00:00"/>
    <n v="212"/>
    <x v="3"/>
    <x v="3"/>
    <x v="0"/>
    <x v="0"/>
    <m/>
    <m/>
    <m/>
  </r>
  <r>
    <s v="60.02"/>
    <x v="71"/>
    <x v="158"/>
    <s v="Списание с расчетного счета 00БП-004858 от 14.07.2025 17:54:08"/>
    <s v="14.07.25"/>
    <n v="16020"/>
    <m/>
    <m/>
    <d v="2025-07-14T00:00:00"/>
    <n v="171"/>
    <x v="0"/>
    <x v="3"/>
    <x v="0"/>
    <x v="0"/>
    <m/>
    <m/>
    <m/>
  </r>
  <r>
    <s v="60.02"/>
    <x v="71"/>
    <x v="159"/>
    <s v="Списание с расчетного счета 00БП-007893 от 24.10.2025 17:29:35"/>
    <s v="24.10.25"/>
    <n v="29748"/>
    <m/>
    <m/>
    <d v="2025-10-24T00:00:00"/>
    <n v="69"/>
    <x v="1"/>
    <x v="3"/>
    <x v="0"/>
    <x v="0"/>
    <m/>
    <m/>
    <m/>
  </r>
  <r>
    <s v="60.02"/>
    <x v="72"/>
    <x v="73"/>
    <s v="Списание с расчетного счета 00БП-008321 от 10.11.2025 19:46:26"/>
    <s v="10.11.25"/>
    <n v="454565.3"/>
    <m/>
    <m/>
    <d v="2025-11-10T00:00:00"/>
    <n v="52"/>
    <x v="1"/>
    <x v="3"/>
    <x v="0"/>
    <x v="0"/>
    <m/>
    <m/>
    <m/>
  </r>
  <r>
    <s v="60.02"/>
    <x v="72"/>
    <x v="73"/>
    <s v="Списание с расчетного счета 00БП-008907 от 24.11.2025 16:33:57"/>
    <s v="24.11.25"/>
    <n v="4424160"/>
    <m/>
    <m/>
    <d v="2025-11-24T00:00:00"/>
    <n v="38"/>
    <x v="1"/>
    <x v="3"/>
    <x v="0"/>
    <x v="0"/>
    <m/>
    <m/>
    <m/>
  </r>
  <r>
    <s v="60.02"/>
    <x v="73"/>
    <x v="160"/>
    <s v="Списание с расчетного счета 00БП-003413 от 05.06.2025 19:44:02"/>
    <s v="05.06.25"/>
    <n v="5900"/>
    <m/>
    <m/>
    <d v="2025-06-05T00:00:00"/>
    <n v="210"/>
    <x v="3"/>
    <x v="3"/>
    <x v="0"/>
    <x v="0"/>
    <m/>
    <m/>
    <m/>
  </r>
  <r>
    <s v="60.02"/>
    <x v="73"/>
    <x v="161"/>
    <s v="Списание с расчетного счета 00БП-002901 от 19.05.2025 18:19:45"/>
    <s v="19.05.25"/>
    <n v="76000"/>
    <m/>
    <m/>
    <d v="2025-05-19T00:00:00"/>
    <n v="227"/>
    <x v="3"/>
    <x v="3"/>
    <x v="0"/>
    <x v="0"/>
    <m/>
    <m/>
    <m/>
  </r>
  <r>
    <s v="60.02"/>
    <x v="74"/>
    <x v="162"/>
    <s v="Списание с расчетного счета 00БП-000535 от 07.03.2025 17:21:02"/>
    <s v="07.03.25"/>
    <n v="9000"/>
    <m/>
    <m/>
    <d v="2025-03-07T00:00:00"/>
    <n v="300"/>
    <x v="6"/>
    <x v="3"/>
    <x v="0"/>
    <x v="8"/>
    <m/>
    <m/>
    <m/>
  </r>
  <r>
    <s v="60.02"/>
    <x v="75"/>
    <x v="163"/>
    <s v="Списание с расчетного счета 00БП-009339 от 29.12.2025 17:48:54"/>
    <s v="29.12.25"/>
    <n v="23320"/>
    <m/>
    <m/>
    <d v="2025-12-29T00:00:00"/>
    <n v="3"/>
    <x v="2"/>
    <x v="3"/>
    <x v="0"/>
    <x v="0"/>
    <m/>
    <m/>
    <m/>
  </r>
  <r>
    <s v="60.02"/>
    <x v="75"/>
    <x v="164"/>
    <s v="Списание с расчетного счета 00БП-007854 от 22.10.2025 18:47:39"/>
    <s v="22.10.25"/>
    <n v="427500"/>
    <m/>
    <m/>
    <d v="2025-10-22T00:00:00"/>
    <n v="71"/>
    <x v="1"/>
    <x v="3"/>
    <x v="0"/>
    <x v="0"/>
    <m/>
    <m/>
    <m/>
  </r>
  <r>
    <s v="60.02"/>
    <x v="76"/>
    <x v="165"/>
    <s v="Списание с расчетного счета 00БП-008910 от 24.11.2025 16:34:00"/>
    <s v="24.11.25"/>
    <n v="5088000"/>
    <m/>
    <m/>
    <d v="2025-11-24T00:00:00"/>
    <n v="38"/>
    <x v="1"/>
    <x v="3"/>
    <x v="0"/>
    <x v="0"/>
    <m/>
    <m/>
    <m/>
  </r>
  <r>
    <s v="60.02"/>
    <x v="76"/>
    <x v="166"/>
    <s v="Списание с расчетного счета 00БП-008909 от 24.11.2025 16:33:59"/>
    <s v="24.11.25"/>
    <n v="4563000"/>
    <m/>
    <m/>
    <d v="2025-11-24T00:00:00"/>
    <n v="38"/>
    <x v="1"/>
    <x v="3"/>
    <x v="0"/>
    <x v="0"/>
    <m/>
    <m/>
    <m/>
  </r>
  <r>
    <s v="60.02"/>
    <x v="76"/>
    <x v="167"/>
    <s v="Списание с расчетного счета 00БП-008905 от 24.11.2025 16:33:55"/>
    <s v="24.11.25"/>
    <n v="492000"/>
    <m/>
    <m/>
    <d v="2025-11-24T00:00:00"/>
    <n v="38"/>
    <x v="1"/>
    <x v="3"/>
    <x v="0"/>
    <x v="0"/>
    <m/>
    <m/>
    <m/>
  </r>
  <r>
    <s v="60.02"/>
    <x v="76"/>
    <x v="168"/>
    <s v="Списание с расчетного счета 00БП-008911 от 24.11.2025 16:34:01"/>
    <s v="24.11.25"/>
    <n v="8808000"/>
    <m/>
    <m/>
    <d v="2025-11-24T00:00:00"/>
    <n v="38"/>
    <x v="1"/>
    <x v="3"/>
    <x v="0"/>
    <x v="0"/>
    <m/>
    <m/>
    <m/>
  </r>
  <r>
    <s v="60.02"/>
    <x v="176"/>
    <x v="370"/>
    <s v="Списание с расчетного счета 00БП-008350 от 11.11.2025 18:13:29"/>
    <s v="11.11.25"/>
    <n v="19446.7"/>
    <m/>
    <m/>
    <d v="2025-11-11T00:00:00"/>
    <n v="51"/>
    <x v="1"/>
    <x v="3"/>
    <x v="0"/>
    <x v="0"/>
    <m/>
    <m/>
    <m/>
  </r>
  <r>
    <s v="60.02"/>
    <x v="77"/>
    <x v="171"/>
    <s v="Списание с расчетного счета 00БП-003223 от 28.05.2025 21:55:54"/>
    <s v="28.05.25"/>
    <n v="42563.23"/>
    <m/>
    <m/>
    <d v="2025-05-28T00:00:00"/>
    <n v="218"/>
    <x v="3"/>
    <x v="3"/>
    <x v="0"/>
    <x v="0"/>
    <m/>
    <m/>
    <m/>
  </r>
  <r>
    <s v="60.02"/>
    <x v="78"/>
    <x v="172"/>
    <s v="Списание с расчетного счета 00БП-009274 от 24.12.2025 11:37:27"/>
    <s v="24.12.25"/>
    <n v="59150000"/>
    <m/>
    <m/>
    <d v="2025-12-24T00:00:00"/>
    <n v="8"/>
    <x v="2"/>
    <x v="3"/>
    <x v="0"/>
    <x v="0"/>
    <m/>
    <m/>
    <m/>
  </r>
  <r>
    <s v="60.02"/>
    <x v="78"/>
    <x v="173"/>
    <s v="Списание с расчетного счета 00БП-004325 от 08.07.2024 18:29:59"/>
    <s v="08.07.24"/>
    <n v="31.2"/>
    <m/>
    <m/>
    <d v="2024-07-08T00:00:00"/>
    <n v="542"/>
    <x v="5"/>
    <x v="3"/>
    <x v="0"/>
    <x v="0"/>
    <m/>
    <m/>
    <m/>
  </r>
  <r>
    <s v="60.02"/>
    <x v="78"/>
    <x v="173"/>
    <s v="Списание с расчетного счета 00БП-004331 от 08.07.2024 18:30:05"/>
    <s v="08.07.24"/>
    <n v="995281.85"/>
    <m/>
    <m/>
    <d v="2024-07-08T00:00:00"/>
    <n v="542"/>
    <x v="5"/>
    <x v="3"/>
    <x v="0"/>
    <x v="0"/>
    <m/>
    <m/>
    <m/>
  </r>
  <r>
    <s v="60.02"/>
    <x v="78"/>
    <x v="173"/>
    <s v="Списание с расчетного счета 00БП-005804 от 23.08.2024 17:14:33"/>
    <s v="23.08.24"/>
    <n v="395493.5"/>
    <m/>
    <m/>
    <d v="2024-08-23T00:00:00"/>
    <n v="496"/>
    <x v="5"/>
    <x v="3"/>
    <x v="0"/>
    <x v="0"/>
    <m/>
    <m/>
    <m/>
  </r>
  <r>
    <s v="60.02"/>
    <x v="78"/>
    <x v="174"/>
    <s v="Списание с расчетного счета 00БП-007827 от 21.10.2025 17:30:38"/>
    <s v="21.10.25"/>
    <n v="969720.57"/>
    <m/>
    <m/>
    <d v="2025-10-21T00:00:00"/>
    <n v="72"/>
    <x v="1"/>
    <x v="3"/>
    <x v="0"/>
    <x v="0"/>
    <m/>
    <m/>
    <m/>
  </r>
  <r>
    <s v="60.02"/>
    <x v="78"/>
    <x v="174"/>
    <s v="Списание с расчетного счета 00БП-007894 от 24.10.2025 17:29:36"/>
    <s v="24.10.25"/>
    <n v="389696.13"/>
    <m/>
    <m/>
    <d v="2025-10-24T00:00:00"/>
    <n v="69"/>
    <x v="1"/>
    <x v="3"/>
    <x v="0"/>
    <x v="0"/>
    <m/>
    <m/>
    <m/>
  </r>
  <r>
    <s v="60.02"/>
    <x v="78"/>
    <x v="174"/>
    <s v="Списание с расчетного счета 00БП-007896 от 24.10.2025 17:29:38"/>
    <s v="24.10.25"/>
    <n v="1002946.15"/>
    <m/>
    <m/>
    <d v="2025-10-24T00:00:00"/>
    <n v="69"/>
    <x v="1"/>
    <x v="3"/>
    <x v="0"/>
    <x v="0"/>
    <m/>
    <m/>
    <m/>
  </r>
  <r>
    <s v="60.02"/>
    <x v="78"/>
    <x v="179"/>
    <s v="Списание с расчетного счета 00БП-009318 от 26.12.2025 12:00:24"/>
    <s v="26.12.25"/>
    <n v="3536597.4"/>
    <m/>
    <m/>
    <d v="2025-12-26T00:00:00"/>
    <n v="6"/>
    <x v="2"/>
    <x v="3"/>
    <x v="0"/>
    <x v="0"/>
    <m/>
    <m/>
    <m/>
  </r>
  <r>
    <s v="60.02"/>
    <x v="78"/>
    <x v="180"/>
    <s v="Списание с расчетного счета 00БП-009317 от 26.12.2025 12:00:23"/>
    <s v="26.12.25"/>
    <n v="1857916.08"/>
    <m/>
    <m/>
    <d v="2025-12-26T00:00:00"/>
    <n v="6"/>
    <x v="2"/>
    <x v="3"/>
    <x v="0"/>
    <x v="0"/>
    <m/>
    <m/>
    <m/>
  </r>
  <r>
    <s v="60.02"/>
    <x v="78"/>
    <x v="181"/>
    <s v="Списание с расчетного счета 00БП-009243 от 19.12.2025 12:51:11"/>
    <s v="19.12.25"/>
    <n v="4806964.25"/>
    <m/>
    <m/>
    <d v="2025-12-19T00:00:00"/>
    <n v="13"/>
    <x v="2"/>
    <x v="3"/>
    <x v="0"/>
    <x v="0"/>
    <m/>
    <m/>
    <m/>
  </r>
  <r>
    <s v="60.02"/>
    <x v="79"/>
    <x v="182"/>
    <s v="Списание с расчетного счета 00БП-005419 от 04.08.2025 21:25:11"/>
    <s v="04.08.25"/>
    <n v="460.72"/>
    <m/>
    <m/>
    <d v="2025-08-04T00:00:00"/>
    <n v="150"/>
    <x v="0"/>
    <x v="3"/>
    <x v="0"/>
    <x v="0"/>
    <m/>
    <m/>
    <m/>
  </r>
  <r>
    <s v="60.02"/>
    <x v="79"/>
    <x v="182"/>
    <s v="Списание с расчетного счета 00БП-008210 от 05.11.2025 17:00:56"/>
    <s v="05.11.25"/>
    <n v="1500"/>
    <m/>
    <m/>
    <d v="2025-11-05T00:00:00"/>
    <n v="57"/>
    <x v="1"/>
    <x v="3"/>
    <x v="0"/>
    <x v="0"/>
    <m/>
    <m/>
    <m/>
  </r>
  <r>
    <s v="60.02"/>
    <x v="79"/>
    <x v="183"/>
    <s v="Списание с расчетного счета 00БП-008212 от 05.11.2025 17:00:58"/>
    <s v="05.11.25"/>
    <n v="1537.99"/>
    <m/>
    <m/>
    <d v="2025-11-05T00:00:00"/>
    <n v="57"/>
    <x v="1"/>
    <x v="3"/>
    <x v="0"/>
    <x v="0"/>
    <m/>
    <m/>
    <m/>
  </r>
  <r>
    <s v="60.02"/>
    <x v="79"/>
    <x v="184"/>
    <s v="Списание с расчетного счета 00БП-005423 от 04.08.2025 21:25:15"/>
    <s v="04.08.25"/>
    <n v="8496.65"/>
    <m/>
    <m/>
    <d v="2025-08-04T00:00:00"/>
    <n v="150"/>
    <x v="0"/>
    <x v="3"/>
    <x v="0"/>
    <x v="0"/>
    <m/>
    <m/>
    <m/>
  </r>
  <r>
    <s v="60.02"/>
    <x v="79"/>
    <x v="184"/>
    <s v="Списание с расчетного счета 00БП-008213 от 05.11.2025 17:00:59"/>
    <s v="05.11.25"/>
    <n v="5000"/>
    <m/>
    <m/>
    <d v="2025-11-05T00:00:00"/>
    <n v="57"/>
    <x v="1"/>
    <x v="3"/>
    <x v="0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463"/>
    <x v="5"/>
    <x v="3"/>
    <x v="0"/>
    <x v="0"/>
    <m/>
    <m/>
    <m/>
  </r>
  <r>
    <s v="60.02"/>
    <x v="79"/>
    <x v="186"/>
    <s v="Списание с расчетного счета 00БП-008215 от 05.11.2025 17:01:01"/>
    <s v="05.11.25"/>
    <n v="4031.61"/>
    <m/>
    <m/>
    <d v="2025-11-05T00:00:00"/>
    <n v="57"/>
    <x v="1"/>
    <x v="3"/>
    <x v="0"/>
    <x v="0"/>
    <m/>
    <m/>
    <m/>
  </r>
  <r>
    <s v="60.02"/>
    <x v="79"/>
    <x v="187"/>
    <s v="Списание с расчетного счета 00БП-005417 от 04.08.2025 21:25:09"/>
    <s v="04.08.25"/>
    <n v="404.63"/>
    <m/>
    <m/>
    <d v="2025-08-04T00:00:00"/>
    <n v="150"/>
    <x v="0"/>
    <x v="3"/>
    <x v="0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790"/>
    <x v="5"/>
    <x v="3"/>
    <x v="0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688"/>
    <x v="5"/>
    <x v="3"/>
    <x v="0"/>
    <x v="0"/>
    <m/>
    <m/>
    <m/>
  </r>
  <r>
    <s v="60.02"/>
    <x v="79"/>
    <x v="189"/>
    <s v="Списание с расчетного счета 00БП-008216 от 05.11.2025 17:01:02"/>
    <s v="05.11.25"/>
    <n v="4344.17"/>
    <m/>
    <m/>
    <d v="2025-11-05T00:00:00"/>
    <n v="57"/>
    <x v="1"/>
    <x v="3"/>
    <x v="0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555"/>
    <x v="5"/>
    <x v="3"/>
    <x v="0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522"/>
    <x v="5"/>
    <x v="3"/>
    <x v="0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2206"/>
    <x v="5"/>
    <x v="3"/>
    <x v="0"/>
    <x v="0"/>
    <m/>
    <m/>
    <m/>
  </r>
  <r>
    <s v="60.02"/>
    <x v="79"/>
    <x v="191"/>
    <m/>
    <m/>
    <n v="68.27"/>
    <m/>
    <m/>
    <d v="1899-12-30T00:00:00"/>
    <n v="46023"/>
    <x v="5"/>
    <x v="3"/>
    <x v="0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594"/>
    <x v="5"/>
    <x v="3"/>
    <x v="0"/>
    <x v="0"/>
    <m/>
    <m/>
    <m/>
  </r>
  <r>
    <s v="60.02"/>
    <x v="79"/>
    <x v="193"/>
    <s v="Списание с расчетного счета 00БП-005424 от 04.08.2025 21:25:16"/>
    <s v="04.08.25"/>
    <n v="7064.06"/>
    <m/>
    <m/>
    <d v="2025-08-04T00:00:00"/>
    <n v="150"/>
    <x v="0"/>
    <x v="3"/>
    <x v="0"/>
    <x v="0"/>
    <m/>
    <m/>
    <m/>
  </r>
  <r>
    <s v="60.02"/>
    <x v="79"/>
    <x v="193"/>
    <s v="Списание с расчетного счета 00БП-008214 от 05.11.2025 17:01:00"/>
    <s v="05.11.25"/>
    <n v="5000"/>
    <m/>
    <m/>
    <d v="2025-11-05T00:00:00"/>
    <n v="57"/>
    <x v="1"/>
    <x v="3"/>
    <x v="0"/>
    <x v="0"/>
    <m/>
    <m/>
    <m/>
  </r>
  <r>
    <s v="60.02"/>
    <x v="79"/>
    <x v="194"/>
    <s v="Списание с расчетного счета 00БП-008914 от 24.11.2025 16:34:06"/>
    <s v="24.11.25"/>
    <n v="800"/>
    <m/>
    <m/>
    <d v="2025-11-24T00:00:00"/>
    <n v="38"/>
    <x v="1"/>
    <x v="3"/>
    <x v="0"/>
    <x v="0"/>
    <m/>
    <m/>
    <m/>
  </r>
  <r>
    <s v="60.02"/>
    <x v="80"/>
    <x v="195"/>
    <s v="Списание с расчетного счета 00БП-006379 от 10.09.2025 18:06:41"/>
    <s v="10.09.25"/>
    <n v="45000"/>
    <m/>
    <m/>
    <d v="2025-09-10T00:00:00"/>
    <n v="113"/>
    <x v="4"/>
    <x v="3"/>
    <x v="0"/>
    <x v="0"/>
    <m/>
    <m/>
    <m/>
  </r>
  <r>
    <s v="60.02"/>
    <x v="177"/>
    <x v="371"/>
    <s v="Списание с расчетного счета 00БП-005300 от 29.07.2025 20:44:28"/>
    <s v="29.07.25"/>
    <n v="170820"/>
    <m/>
    <m/>
    <d v="2025-07-29T00:00:00"/>
    <n v="156"/>
    <x v="0"/>
    <x v="3"/>
    <x v="0"/>
    <x v="0"/>
    <m/>
    <m/>
    <m/>
  </r>
  <r>
    <s v="60.02"/>
    <x v="81"/>
    <x v="196"/>
    <s v="Списание с расчетного счета 00БП-009285 от 25.12.2025 12:00:09"/>
    <s v="25.12.25"/>
    <n v="411323.77"/>
    <m/>
    <m/>
    <d v="2025-12-25T00:00:00"/>
    <n v="7"/>
    <x v="2"/>
    <x v="3"/>
    <x v="0"/>
    <x v="0"/>
    <m/>
    <m/>
    <m/>
  </r>
  <r>
    <s v="60.02"/>
    <x v="83"/>
    <x v="201"/>
    <s v="Списание с расчетного счета 00БП-008314 от 10.11.2025 19:46:19"/>
    <s v="10.11.25"/>
    <n v="456108"/>
    <m/>
    <m/>
    <d v="2025-11-10T00:00:00"/>
    <n v="52"/>
    <x v="1"/>
    <x v="3"/>
    <x v="0"/>
    <x v="0"/>
    <m/>
    <m/>
    <m/>
  </r>
  <r>
    <s v="60.02"/>
    <x v="178"/>
    <x v="372"/>
    <s v="Списание с расчетного счета 00БП-007874 от 23.10.2025 18:51:00"/>
    <s v="23.10.25"/>
    <n v="1088160"/>
    <m/>
    <m/>
    <d v="2025-10-23T00:00:00"/>
    <n v="70"/>
    <x v="1"/>
    <x v="3"/>
    <x v="0"/>
    <x v="0"/>
    <m/>
    <m/>
    <m/>
  </r>
  <r>
    <s v="60.02"/>
    <x v="178"/>
    <x v="372"/>
    <s v="Списание с расчетного счета 00БП-008429 от 13.11.2025 17:26:12"/>
    <s v="13.11.25"/>
    <n v="1088160"/>
    <m/>
    <m/>
    <d v="2025-11-13T00:00:00"/>
    <n v="49"/>
    <x v="1"/>
    <x v="3"/>
    <x v="0"/>
    <x v="0"/>
    <m/>
    <m/>
    <m/>
  </r>
  <r>
    <s v="60.02"/>
    <x v="85"/>
    <x v="204"/>
    <s v="Списание с расчетного счета 00БП-007233 от 02.10.2025 17:20:48"/>
    <s v="02.10.25"/>
    <n v="7568"/>
    <m/>
    <m/>
    <d v="2025-10-02T00:00:00"/>
    <n v="91"/>
    <x v="4"/>
    <x v="3"/>
    <x v="0"/>
    <x v="0"/>
    <m/>
    <m/>
    <m/>
  </r>
  <r>
    <s v="60.02"/>
    <x v="86"/>
    <x v="205"/>
    <s v="Списание с расчетного счета 00БП-008774 от 18.11.2025 23:05:16"/>
    <s v="18.11.25"/>
    <n v="9550"/>
    <m/>
    <m/>
    <d v="2025-11-18T00:00:00"/>
    <n v="44"/>
    <x v="1"/>
    <x v="3"/>
    <x v="0"/>
    <x v="0"/>
    <m/>
    <m/>
    <m/>
  </r>
  <r>
    <s v="60.02"/>
    <x v="87"/>
    <x v="206"/>
    <s v="Списание с расчетного счета 00БП-007167 от 30.09.2025 23:59:59"/>
    <s v="30.09.25"/>
    <n v="25035"/>
    <m/>
    <m/>
    <d v="2025-09-30T00:00:00"/>
    <n v="93"/>
    <x v="4"/>
    <x v="3"/>
    <x v="0"/>
    <x v="0"/>
    <m/>
    <m/>
    <m/>
  </r>
  <r>
    <s v="60.02"/>
    <x v="88"/>
    <x v="207"/>
    <s v="Списание с расчетного счета 00БП-002240 от 28.04.2025 18:34:44"/>
    <s v="28.04.25"/>
    <n v="114.79"/>
    <m/>
    <m/>
    <d v="2025-04-28T00:00:00"/>
    <n v="248"/>
    <x v="3"/>
    <x v="3"/>
    <x v="0"/>
    <x v="0"/>
    <m/>
    <m/>
    <m/>
  </r>
  <r>
    <s v="60.02"/>
    <x v="90"/>
    <x v="209"/>
    <s v="Списание с расчетного счета 00БП-009092 от 05.12.2025 12:00:07"/>
    <s v="05.12.25"/>
    <n v="0.01"/>
    <m/>
    <m/>
    <d v="2025-12-05T00:00:00"/>
    <n v="27"/>
    <x v="2"/>
    <x v="3"/>
    <x v="0"/>
    <x v="0"/>
    <m/>
    <m/>
    <m/>
  </r>
  <r>
    <s v="60.02"/>
    <x v="91"/>
    <x v="210"/>
    <s v="Списание с расчетного счета 00БП-001175 от 01.04.2025 17:50:06"/>
    <s v="01.04.25"/>
    <n v="77218.41"/>
    <m/>
    <m/>
    <d v="2025-04-01T00:00:00"/>
    <n v="275"/>
    <x v="6"/>
    <x v="3"/>
    <x v="0"/>
    <x v="0"/>
    <m/>
    <m/>
    <m/>
  </r>
  <r>
    <s v="60.02"/>
    <x v="92"/>
    <x v="211"/>
    <s v="Списание с расчетного счета 00БП-002041 от 24.04.2025 18:07:53"/>
    <s v="24.04.25"/>
    <n v="469639.56"/>
    <m/>
    <m/>
    <d v="2025-04-24T00:00:00"/>
    <n v="252"/>
    <x v="3"/>
    <x v="3"/>
    <x v="0"/>
    <x v="0"/>
    <m/>
    <m/>
    <m/>
  </r>
  <r>
    <s v="60.02"/>
    <x v="92"/>
    <x v="212"/>
    <s v="Списание с расчетного счета 00БП-005992 от 25.08.2025 20:08:40"/>
    <s v="25.08.25"/>
    <n v="590584.65"/>
    <m/>
    <m/>
    <d v="2025-08-25T00:00:00"/>
    <n v="129"/>
    <x v="0"/>
    <x v="3"/>
    <x v="0"/>
    <x v="0"/>
    <m/>
    <m/>
    <m/>
  </r>
  <r>
    <s v="60.02"/>
    <x v="92"/>
    <x v="212"/>
    <s v="Списание с расчетного счета 00БП-006768 от 17.09.2025 19:43:20"/>
    <s v="17.09.25"/>
    <n v="750186.92"/>
    <m/>
    <m/>
    <d v="2025-09-17T00:00:00"/>
    <n v="106"/>
    <x v="4"/>
    <x v="3"/>
    <x v="0"/>
    <x v="0"/>
    <m/>
    <m/>
    <m/>
  </r>
  <r>
    <s v="60.02"/>
    <x v="92"/>
    <x v="212"/>
    <s v="Списание с расчетного счета 00БП-008010 от 28.10.2025 17:26:32"/>
    <s v="28.10.25"/>
    <n v="1449154.95"/>
    <m/>
    <m/>
    <d v="2025-10-28T00:00:00"/>
    <n v="65"/>
    <x v="1"/>
    <x v="3"/>
    <x v="0"/>
    <x v="0"/>
    <m/>
    <m/>
    <m/>
  </r>
  <r>
    <s v="60.02"/>
    <x v="92"/>
    <x v="212"/>
    <s v="Списание с расчетного счета 00БП-008883 от 21.11.2025 18:51:10"/>
    <s v="21.11.25"/>
    <n v="623307.19999999995"/>
    <m/>
    <m/>
    <d v="2025-11-21T00:00:00"/>
    <n v="41"/>
    <x v="1"/>
    <x v="3"/>
    <x v="0"/>
    <x v="0"/>
    <m/>
    <m/>
    <m/>
  </r>
  <r>
    <s v="60.02"/>
    <x v="92"/>
    <x v="214"/>
    <s v="Списание с расчетного счета 00БП-007752 от 17.10.2025 19:36:09"/>
    <s v="17.10.25"/>
    <n v="140313"/>
    <m/>
    <m/>
    <d v="2025-10-17T00:00:00"/>
    <n v="76"/>
    <x v="1"/>
    <x v="3"/>
    <x v="0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805"/>
    <x v="5"/>
    <x v="3"/>
    <x v="0"/>
    <x v="13"/>
    <m/>
    <m/>
    <m/>
  </r>
  <r>
    <s v="60.02"/>
    <x v="92"/>
    <x v="216"/>
    <s v="Списание с расчетного счета 00БП-007634 от 13.10.2025 18:15:51"/>
    <s v="13.10.25"/>
    <n v="1192763"/>
    <m/>
    <m/>
    <d v="2025-10-13T00:00:00"/>
    <n v="80"/>
    <x v="1"/>
    <x v="3"/>
    <x v="0"/>
    <x v="0"/>
    <m/>
    <m/>
    <m/>
  </r>
  <r>
    <s v="60.02"/>
    <x v="92"/>
    <x v="373"/>
    <s v="Списание с расчетного счета 00БП-006937 от 25.09.2025 17:23:33"/>
    <s v="25.09.25"/>
    <n v="28590"/>
    <m/>
    <m/>
    <d v="2025-09-25T00:00:00"/>
    <n v="98"/>
    <x v="4"/>
    <x v="3"/>
    <x v="0"/>
    <x v="0"/>
    <m/>
    <m/>
    <m/>
  </r>
  <r>
    <s v="60.02"/>
    <x v="92"/>
    <x v="217"/>
    <s v="Списание с расчетного счета 00БП-007632 от 13.10.2025 18:15:49"/>
    <s v="13.10.25"/>
    <n v="546480"/>
    <m/>
    <m/>
    <d v="2025-10-13T00:00:00"/>
    <n v="80"/>
    <x v="1"/>
    <x v="3"/>
    <x v="0"/>
    <x v="0"/>
    <m/>
    <m/>
    <m/>
  </r>
  <r>
    <s v="60.02"/>
    <x v="93"/>
    <x v="218"/>
    <s v="Списание с расчетного счета 00БП-008787 от 18.11.2025 23:05:29"/>
    <s v="18.11.25"/>
    <n v="876000"/>
    <m/>
    <m/>
    <d v="2025-11-18T00:00:00"/>
    <n v="44"/>
    <x v="1"/>
    <x v="3"/>
    <x v="0"/>
    <x v="0"/>
    <m/>
    <m/>
    <m/>
  </r>
  <r>
    <s v="60.02"/>
    <x v="96"/>
    <x v="221"/>
    <s v="Списание с расчетного счета 00БП-009117 от 08.12.2025 1:54:01"/>
    <s v="08.12.25"/>
    <n v="161919248.72"/>
    <m/>
    <m/>
    <d v="2025-12-08T00:00:00"/>
    <n v="24"/>
    <x v="2"/>
    <x v="3"/>
    <x v="0"/>
    <x v="0"/>
    <m/>
    <m/>
    <m/>
  </r>
  <r>
    <s v="60.02"/>
    <x v="97"/>
    <x v="222"/>
    <s v="Списание с расчетного счета 00БП-009233 от 18.12.2025 17:20:47"/>
    <s v="18.12.25"/>
    <n v="236250"/>
    <m/>
    <m/>
    <d v="2025-12-18T00:00:00"/>
    <n v="14"/>
    <x v="2"/>
    <x v="3"/>
    <x v="0"/>
    <x v="0"/>
    <d v="2026-03-18T00:00:00"/>
    <m/>
    <m/>
  </r>
  <r>
    <s v="60.02"/>
    <x v="97"/>
    <x v="223"/>
    <s v="Списание с расчетного счета 00БП-003511 от 09.06.2025 17:56:00"/>
    <s v="09.06.25"/>
    <n v="1181250"/>
    <m/>
    <m/>
    <d v="2025-06-09T00:00:00"/>
    <n v="206"/>
    <x v="3"/>
    <x v="3"/>
    <x v="0"/>
    <x v="0"/>
    <d v="2026-03-18T00:00:00"/>
    <m/>
    <m/>
  </r>
  <r>
    <s v="60.02"/>
    <x v="97"/>
    <x v="223"/>
    <s v="Списание с расчетного счета 00БП-009158 от 11.12.2025 10:37:33"/>
    <s v="11.12.25"/>
    <n v="236250"/>
    <m/>
    <m/>
    <d v="2025-12-11T00:00:00"/>
    <n v="21"/>
    <x v="2"/>
    <x v="3"/>
    <x v="0"/>
    <x v="0"/>
    <d v="2026-03-18T00:00:00"/>
    <m/>
    <m/>
  </r>
  <r>
    <s v="60.02"/>
    <x v="98"/>
    <x v="224"/>
    <s v="Списание с расчетного счета 00БП-002981 от 22.05.2025 18:45:24"/>
    <s v="22.05.25"/>
    <n v="6869.56"/>
    <m/>
    <m/>
    <d v="2025-05-22T00:00:00"/>
    <n v="224"/>
    <x v="3"/>
    <x v="3"/>
    <x v="0"/>
    <x v="8"/>
    <m/>
    <m/>
    <m/>
  </r>
  <r>
    <s v="60.02"/>
    <x v="98"/>
    <x v="225"/>
    <s v="Списание с расчетного счета 00БП-002894 от 19.05.2025 18:19:38"/>
    <s v="19.05.25"/>
    <n v="16930"/>
    <m/>
    <m/>
    <d v="2025-05-19T00:00:00"/>
    <n v="227"/>
    <x v="3"/>
    <x v="3"/>
    <x v="0"/>
    <x v="8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482"/>
    <x v="5"/>
    <x v="3"/>
    <x v="0"/>
    <x v="8"/>
    <m/>
    <m/>
    <m/>
  </r>
  <r>
    <s v="60.02"/>
    <x v="98"/>
    <x v="227"/>
    <s v="Списание с расчетного счета 00БП-002958 от 21.05.2025 20:10:49"/>
    <s v="21.05.25"/>
    <n v="35983.96"/>
    <m/>
    <m/>
    <d v="2025-05-21T00:00:00"/>
    <n v="225"/>
    <x v="3"/>
    <x v="3"/>
    <x v="0"/>
    <x v="8"/>
    <m/>
    <m/>
    <m/>
  </r>
  <r>
    <s v="60.02"/>
    <x v="98"/>
    <x v="228"/>
    <s v="Списание с расчетного счета 00БП-004340 от 01.07.2025 20:38:11"/>
    <s v="01.07.25"/>
    <n v="3413.74"/>
    <m/>
    <m/>
    <d v="2025-07-01T00:00:00"/>
    <n v="184"/>
    <x v="3"/>
    <x v="3"/>
    <x v="0"/>
    <x v="8"/>
    <m/>
    <m/>
    <m/>
  </r>
  <r>
    <s v="60.02"/>
    <x v="99"/>
    <x v="304"/>
    <s v="Списание с расчетного счета 00БП-009287 от 25.12.2025 12:00:11"/>
    <s v="25.12.25"/>
    <n v="2223000"/>
    <m/>
    <m/>
    <d v="2025-12-25T00:00:00"/>
    <n v="7"/>
    <x v="2"/>
    <x v="3"/>
    <x v="0"/>
    <x v="0"/>
    <m/>
    <m/>
    <m/>
  </r>
  <r>
    <s v="60.02"/>
    <x v="100"/>
    <x v="230"/>
    <s v="Списание с расчетного счета 00БП-007569 от 15.10.2024 19:25:20"/>
    <s v="15.10.24"/>
    <n v="2970.16"/>
    <m/>
    <m/>
    <d v="2024-10-15T00:00:00"/>
    <n v="443"/>
    <x v="5"/>
    <x v="3"/>
    <x v="0"/>
    <x v="0"/>
    <m/>
    <m/>
    <m/>
  </r>
  <r>
    <s v="60.02"/>
    <x v="102"/>
    <x v="390"/>
    <s v="Списание с расчетного счета 00БП-008240 от 06.11.2025 17:50:40"/>
    <s v="06.11.25"/>
    <n v="40000"/>
    <m/>
    <m/>
    <d v="2025-11-06T00:00:00"/>
    <n v="56"/>
    <x v="1"/>
    <x v="3"/>
    <x v="0"/>
    <x v="0"/>
    <m/>
    <m/>
    <m/>
  </r>
  <r>
    <s v="60.02"/>
    <x v="104"/>
    <x v="234"/>
    <s v="Списание с расчетного счета 00БП-003058 от 26.05.2025 22:23:12"/>
    <s v="26.05.25"/>
    <n v="0.3"/>
    <m/>
    <m/>
    <d v="2025-05-26T00:00:00"/>
    <n v="220"/>
    <x v="3"/>
    <x v="3"/>
    <x v="0"/>
    <x v="0"/>
    <m/>
    <m/>
    <m/>
  </r>
  <r>
    <s v="60.02"/>
    <x v="105"/>
    <x v="235"/>
    <s v="Списание с расчетного счета 00БП-001305 от 04.04.2025 19:33:54"/>
    <s v="04.04.25"/>
    <n v="74670"/>
    <m/>
    <m/>
    <d v="2025-04-04T00:00:00"/>
    <n v="272"/>
    <x v="6"/>
    <x v="3"/>
    <x v="0"/>
    <x v="0"/>
    <m/>
    <m/>
    <m/>
  </r>
  <r>
    <s v="60.02"/>
    <x v="106"/>
    <x v="236"/>
    <s v="Корректировка поступления 00БП-000016 от 17.06.2025 17:44:56"/>
    <s v="17.06.25"/>
    <n v="163072"/>
    <m/>
    <m/>
    <d v="2025-06-17T00:00:00"/>
    <n v="198"/>
    <x v="3"/>
    <x v="3"/>
    <x v="0"/>
    <x v="2"/>
    <m/>
    <m/>
    <m/>
  </r>
  <r>
    <s v="60.02"/>
    <x v="107"/>
    <x v="237"/>
    <s v="Списание с расчетного счета 00БП-005899 от 19.08.2025 21:00:42"/>
    <s v="19.08.25"/>
    <n v="11240"/>
    <m/>
    <m/>
    <d v="2025-08-19T00:00:00"/>
    <n v="135"/>
    <x v="0"/>
    <x v="3"/>
    <x v="0"/>
    <x v="0"/>
    <m/>
    <m/>
    <m/>
  </r>
  <r>
    <s v="60.02"/>
    <x v="108"/>
    <x v="238"/>
    <s v="Списание с расчетного счета 00БП-009160 от 11.12.2025 10:37:35"/>
    <s v="11.12.25"/>
    <n v="460100"/>
    <m/>
    <m/>
    <d v="2025-12-11T00:00:00"/>
    <n v="21"/>
    <x v="2"/>
    <x v="3"/>
    <x v="0"/>
    <x v="0"/>
    <m/>
    <m/>
    <m/>
  </r>
  <r>
    <s v="60.02"/>
    <x v="179"/>
    <x v="374"/>
    <s v="Списание с расчетного счета 00БП-004571 от 09.07.2025 20:21:54"/>
    <s v="09.07.25"/>
    <n v="205088"/>
    <m/>
    <m/>
    <d v="2025-07-09T00:00:00"/>
    <n v="176"/>
    <x v="0"/>
    <x v="3"/>
    <x v="0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1155"/>
    <x v="5"/>
    <x v="3"/>
    <x v="0"/>
    <x v="8"/>
    <m/>
    <m/>
    <m/>
  </r>
  <r>
    <s v="60.02"/>
    <x v="111"/>
    <x v="244"/>
    <s v="Списание с расчетного счета 00БП-006826 от 19.09.2025 17:32:22"/>
    <s v="19.09.25"/>
    <n v="60000"/>
    <m/>
    <m/>
    <d v="2025-09-19T00:00:00"/>
    <n v="104"/>
    <x v="4"/>
    <x v="3"/>
    <x v="0"/>
    <x v="0"/>
    <m/>
    <m/>
    <m/>
  </r>
  <r>
    <s v="60.02"/>
    <x v="111"/>
    <x v="391"/>
    <s v="Списание с расчетного счета 00БП-009242 от 19.12.2025 12:51:10"/>
    <s v="19.12.25"/>
    <n v="600000"/>
    <m/>
    <m/>
    <d v="2025-12-19T00:00:00"/>
    <n v="13"/>
    <x v="2"/>
    <x v="3"/>
    <x v="0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1134"/>
    <x v="5"/>
    <x v="3"/>
    <x v="0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735"/>
    <x v="5"/>
    <x v="3"/>
    <x v="0"/>
    <x v="0"/>
    <m/>
    <m/>
    <m/>
  </r>
  <r>
    <s v="60.02"/>
    <x v="185"/>
    <x v="393"/>
    <s v="Списание с расчетного счета 00БП-007750 от 17.10.2025 19:36:07"/>
    <s v="17.10.25"/>
    <n v="93445.92"/>
    <m/>
    <m/>
    <d v="2025-10-17T00:00:00"/>
    <n v="76"/>
    <x v="1"/>
    <x v="3"/>
    <x v="0"/>
    <x v="0"/>
    <m/>
    <m/>
    <m/>
  </r>
  <r>
    <s v="60.02"/>
    <x v="185"/>
    <x v="394"/>
    <s v="Списание с расчетного счета 00БП-008309 от 10.11.2025 19:46:14"/>
    <s v="10.11.25"/>
    <n v="81316.39"/>
    <m/>
    <m/>
    <d v="2025-11-10T00:00:00"/>
    <n v="52"/>
    <x v="1"/>
    <x v="3"/>
    <x v="0"/>
    <x v="0"/>
    <m/>
    <m/>
    <m/>
  </r>
  <r>
    <s v="60.02"/>
    <x v="113"/>
    <x v="246"/>
    <s v="Списание с расчетного счета 00БП-009047 от 02.12.2025 15:08:42"/>
    <s v="02.12.25"/>
    <n v="427887.5"/>
    <m/>
    <m/>
    <d v="2025-12-02T00:00:00"/>
    <n v="30"/>
    <x v="2"/>
    <x v="3"/>
    <x v="0"/>
    <x v="0"/>
    <m/>
    <m/>
    <m/>
  </r>
  <r>
    <s v="60.02"/>
    <x v="114"/>
    <x v="247"/>
    <s v="Списание с расчетного счета 00БП-005942 от 21.08.2025 17:24:54"/>
    <s v="21.08.25"/>
    <n v="1117.75"/>
    <m/>
    <m/>
    <d v="2025-08-21T00:00:00"/>
    <n v="133"/>
    <x v="0"/>
    <x v="3"/>
    <x v="0"/>
    <x v="0"/>
    <m/>
    <m/>
    <m/>
  </r>
  <r>
    <s v="60.02"/>
    <x v="115"/>
    <x v="248"/>
    <s v="Списание с расчетного счета 00БП-003974 от 19.06.2025 19:28:37"/>
    <s v="19.06.25"/>
    <n v="8840"/>
    <m/>
    <m/>
    <d v="2025-06-19T00:00:00"/>
    <n v="196"/>
    <x v="3"/>
    <x v="3"/>
    <x v="0"/>
    <x v="0"/>
    <m/>
    <m/>
    <m/>
  </r>
  <r>
    <s v="60.02"/>
    <x v="115"/>
    <x v="254"/>
    <s v="Списание с расчетного счета 00БП-006898 от 24.09.2025 18:36:00"/>
    <s v="24.09.25"/>
    <n v="56500"/>
    <m/>
    <m/>
    <d v="2025-09-24T00:00:00"/>
    <n v="99"/>
    <x v="4"/>
    <x v="3"/>
    <x v="0"/>
    <x v="0"/>
    <m/>
    <m/>
    <m/>
  </r>
  <r>
    <s v="60.02"/>
    <x v="115"/>
    <x v="255"/>
    <s v="Списание с расчетного счета 00БП-008458 от 14.11.2025 15:50:55"/>
    <s v="14.11.25"/>
    <n v="500000"/>
    <m/>
    <m/>
    <d v="2025-11-14T00:00:00"/>
    <n v="48"/>
    <x v="1"/>
    <x v="3"/>
    <x v="0"/>
    <x v="0"/>
    <m/>
    <m/>
    <m/>
  </r>
  <r>
    <s v="60.02"/>
    <x v="115"/>
    <x v="256"/>
    <s v="Списание с расчетного счета 00БП-008863 от 20.11.2025 17:08:38"/>
    <s v="20.11.25"/>
    <n v="132000"/>
    <m/>
    <m/>
    <d v="2025-11-20T00:00:00"/>
    <n v="42"/>
    <x v="1"/>
    <x v="3"/>
    <x v="0"/>
    <x v="0"/>
    <m/>
    <m/>
    <m/>
  </r>
  <r>
    <s v="60.02"/>
    <x v="115"/>
    <x v="257"/>
    <s v="Списание с расчетного счета 00БП-009199 от 15.12.2025 12:52:28"/>
    <s v="15.12.25"/>
    <n v="36000"/>
    <m/>
    <m/>
    <d v="2025-12-15T00:00:00"/>
    <n v="17"/>
    <x v="2"/>
    <x v="3"/>
    <x v="0"/>
    <x v="0"/>
    <m/>
    <m/>
    <m/>
  </r>
  <r>
    <s v="60.02"/>
    <x v="116"/>
    <x v="258"/>
    <s v="Списание с расчетного счета 00БП-003861 от 16.06.2025 18:31:26"/>
    <s v="16.06.25"/>
    <n v="1.8"/>
    <m/>
    <m/>
    <d v="2025-06-16T00:00:00"/>
    <n v="199"/>
    <x v="3"/>
    <x v="3"/>
    <x v="0"/>
    <x v="0"/>
    <m/>
    <m/>
    <m/>
  </r>
  <r>
    <s v="60.02"/>
    <x v="118"/>
    <x v="260"/>
    <s v="Списание с расчетного счета 00БП-006932 от 25.09.2025 17:23:28"/>
    <s v="25.09.25"/>
    <n v="21420"/>
    <m/>
    <m/>
    <d v="2025-09-25T00:00:00"/>
    <n v="98"/>
    <x v="4"/>
    <x v="3"/>
    <x v="0"/>
    <x v="0"/>
    <m/>
    <m/>
    <m/>
  </r>
  <r>
    <s v="60.02"/>
    <x v="118"/>
    <x v="261"/>
    <s v="Списание с расчетного счета 00БП-006934 от 25.09.2025 17:23:30"/>
    <s v="25.09.25"/>
    <n v="26000"/>
    <m/>
    <m/>
    <d v="2025-09-25T00:00:00"/>
    <n v="98"/>
    <x v="4"/>
    <x v="3"/>
    <x v="0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823"/>
    <x v="5"/>
    <x v="3"/>
    <x v="0"/>
    <x v="8"/>
    <m/>
    <m/>
    <m/>
  </r>
  <r>
    <s v="60.02"/>
    <x v="122"/>
    <x v="265"/>
    <s v="Списание с расчетного счета 00БП-005897 от 19.08.2025 21:00:40"/>
    <s v="19.08.25"/>
    <n v="3000"/>
    <m/>
    <m/>
    <d v="2025-08-19T00:00:00"/>
    <n v="135"/>
    <x v="0"/>
    <x v="3"/>
    <x v="0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913"/>
    <x v="5"/>
    <x v="3"/>
    <x v="0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836"/>
    <x v="5"/>
    <x v="3"/>
    <x v="0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567"/>
    <x v="5"/>
    <x v="3"/>
    <x v="0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771"/>
    <x v="5"/>
    <x v="3"/>
    <x v="0"/>
    <x v="8"/>
    <m/>
    <m/>
    <m/>
  </r>
  <r>
    <s v="60.02"/>
    <x v="122"/>
    <x v="277"/>
    <s v="Списание с расчетного счета 00БП-002403 от 06.05.2025 20:09:56"/>
    <s v="06.05.25"/>
    <n v="22290"/>
    <m/>
    <m/>
    <d v="2025-05-06T00:00:00"/>
    <n v="240"/>
    <x v="3"/>
    <x v="3"/>
    <x v="0"/>
    <x v="8"/>
    <m/>
    <m/>
    <m/>
  </r>
  <r>
    <s v="60.02"/>
    <x v="122"/>
    <x v="277"/>
    <s v="Корректировка поступления 00БП-000026 от 30.09.2025 10:00:00"/>
    <s v="30.09.25"/>
    <n v="2000"/>
    <m/>
    <m/>
    <d v="2025-09-30T00:00:00"/>
    <n v="93"/>
    <x v="4"/>
    <x v="3"/>
    <x v="0"/>
    <x v="0"/>
    <m/>
    <m/>
    <m/>
  </r>
  <r>
    <s v="60.02"/>
    <x v="122"/>
    <x v="277"/>
    <s v="Корректировка поступления 00БП-000033 от 01.12.2025 20:43:05"/>
    <s v="01.12.25"/>
    <n v="4100"/>
    <m/>
    <m/>
    <d v="2025-12-01T00:00:00"/>
    <n v="31"/>
    <x v="1"/>
    <x v="3"/>
    <x v="0"/>
    <x v="0"/>
    <m/>
    <m/>
    <m/>
  </r>
  <r>
    <s v="60.02"/>
    <x v="122"/>
    <x v="278"/>
    <s v="Списание с расчетного счета 00БП-005980 от 25.08.2025 20:08:28"/>
    <s v="25.08.25"/>
    <n v="3000"/>
    <m/>
    <m/>
    <d v="2025-08-25T00:00:00"/>
    <n v="129"/>
    <x v="0"/>
    <x v="3"/>
    <x v="0"/>
    <x v="0"/>
    <m/>
    <m/>
    <m/>
  </r>
  <r>
    <s v="60.02"/>
    <x v="122"/>
    <x v="279"/>
    <s v="Списание с расчетного счета 00БП-006199 от 29.08.2025 23:56:43"/>
    <s v="29.08.25"/>
    <n v="29300"/>
    <m/>
    <m/>
    <d v="2025-08-29T00:00:00"/>
    <n v="125"/>
    <x v="0"/>
    <x v="3"/>
    <x v="0"/>
    <x v="0"/>
    <m/>
    <m/>
    <m/>
  </r>
  <r>
    <s v="60.02"/>
    <x v="122"/>
    <x v="375"/>
    <s v="Списание с расчетного счета 00БП-007158 от 30.09.2025 23:59:59"/>
    <s v="30.09.25"/>
    <n v="7108"/>
    <m/>
    <m/>
    <d v="2025-09-30T00:00:00"/>
    <n v="93"/>
    <x v="4"/>
    <x v="3"/>
    <x v="0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1001"/>
    <x v="5"/>
    <x v="3"/>
    <x v="0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820"/>
    <x v="5"/>
    <x v="3"/>
    <x v="0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2344"/>
    <x v="5"/>
    <x v="3"/>
    <x v="0"/>
    <x v="8"/>
    <m/>
    <m/>
    <m/>
  </r>
  <r>
    <s v="60.02"/>
    <x v="125"/>
    <x v="282"/>
    <s v="Списание с расчетного счета 00БП-006359 от 09.09.2025 23:59:59"/>
    <s v="09.09.25"/>
    <n v="479100"/>
    <m/>
    <m/>
    <d v="2025-09-09T00:00:00"/>
    <n v="114"/>
    <x v="4"/>
    <x v="3"/>
    <x v="0"/>
    <x v="0"/>
    <m/>
    <m/>
    <m/>
  </r>
  <r>
    <s v="60.02"/>
    <x v="125"/>
    <x v="283"/>
    <s v="Списание с расчетного счета 00БП-007633 от 13.10.2025 18:15:50"/>
    <s v="13.10.25"/>
    <n v="855000"/>
    <m/>
    <m/>
    <d v="2025-10-13T00:00:00"/>
    <n v="80"/>
    <x v="1"/>
    <x v="3"/>
    <x v="0"/>
    <x v="0"/>
    <m/>
    <m/>
    <m/>
  </r>
  <r>
    <s v="60.02"/>
    <x v="127"/>
    <x v="286"/>
    <s v="Списание с расчетного счета 00БП-007823 от 21.10.2025 17:30:34"/>
    <s v="21.10.25"/>
    <n v="380000"/>
    <m/>
    <m/>
    <d v="2025-10-21T00:00:00"/>
    <n v="72"/>
    <x v="1"/>
    <x v="3"/>
    <x v="0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631"/>
    <x v="5"/>
    <x v="3"/>
    <x v="0"/>
    <x v="2"/>
    <m/>
    <m/>
    <m/>
  </r>
  <r>
    <s v="60.02"/>
    <x v="127"/>
    <x v="289"/>
    <s v="Списание с расчетного счета 00БП-009162 от 11.12.2025 10:37:37"/>
    <s v="11.12.25"/>
    <n v="10495159.01"/>
    <m/>
    <m/>
    <d v="2025-12-11T00:00:00"/>
    <n v="21"/>
    <x v="2"/>
    <x v="3"/>
    <x v="0"/>
    <x v="0"/>
    <m/>
    <m/>
    <m/>
  </r>
  <r>
    <s v="60.02"/>
    <x v="128"/>
    <x v="290"/>
    <s v="Списание с расчетного счета 00БП-007249 от 02.10.2025 17:21:04"/>
    <s v="02.10.25"/>
    <n v="700232.5"/>
    <m/>
    <m/>
    <d v="2025-10-02T00:00:00"/>
    <n v="91"/>
    <x v="4"/>
    <x v="3"/>
    <x v="0"/>
    <x v="0"/>
    <m/>
    <m/>
    <m/>
  </r>
  <r>
    <s v="60.02"/>
    <x v="128"/>
    <x v="290"/>
    <s v="Списание с расчетного счета 00БП-009213 от 16.12.2025 12:00:04"/>
    <s v="16.12.25"/>
    <n v="700232.5"/>
    <m/>
    <m/>
    <d v="2025-12-16T00:00:00"/>
    <n v="16"/>
    <x v="2"/>
    <x v="3"/>
    <x v="0"/>
    <x v="0"/>
    <m/>
    <m/>
    <m/>
  </r>
  <r>
    <s v="60.02"/>
    <x v="130"/>
    <x v="376"/>
    <s v="Списание с расчетного счета 00БП-006307 от 05.09.2025 18:19:31"/>
    <s v="05.09.25"/>
    <n v="42000"/>
    <m/>
    <m/>
    <d v="2025-09-05T00:00:00"/>
    <n v="118"/>
    <x v="4"/>
    <x v="3"/>
    <x v="0"/>
    <x v="0"/>
    <m/>
    <m/>
    <m/>
  </r>
  <r>
    <s v="60.02"/>
    <x v="130"/>
    <x v="292"/>
    <s v="Списание с расчетного счета 00БП-006936 от 25.09.2025 17:23:32"/>
    <s v="25.09.25"/>
    <n v="67040"/>
    <m/>
    <m/>
    <d v="2025-09-25T00:00:00"/>
    <n v="98"/>
    <x v="4"/>
    <x v="3"/>
    <x v="0"/>
    <x v="0"/>
    <m/>
    <m/>
    <m/>
  </r>
  <r>
    <s v="60.02"/>
    <x v="130"/>
    <x v="377"/>
    <s v="Списание с расчетного счета 00БП-006948 от 26.09.2025 18:42:56"/>
    <s v="26.09.25"/>
    <n v="2000"/>
    <m/>
    <m/>
    <d v="2025-09-26T00:00:00"/>
    <n v="97"/>
    <x v="4"/>
    <x v="3"/>
    <x v="0"/>
    <x v="0"/>
    <m/>
    <m/>
    <m/>
  </r>
  <r>
    <s v="60.02"/>
    <x v="130"/>
    <x v="293"/>
    <s v="Списание с расчетного счета 00БП-007196 от 01.10.2025 20:24:06"/>
    <s v="01.10.25"/>
    <n v="424000"/>
    <m/>
    <m/>
    <d v="2025-10-01T00:00:00"/>
    <n v="92"/>
    <x v="4"/>
    <x v="3"/>
    <x v="0"/>
    <x v="0"/>
    <m/>
    <m/>
    <m/>
  </r>
  <r>
    <s v="60.02"/>
    <x v="130"/>
    <x v="378"/>
    <s v="Списание с расчетного счета 00БП-007240 от 02.10.2025 17:20:55"/>
    <s v="02.10.25"/>
    <n v="62000"/>
    <m/>
    <m/>
    <d v="2025-10-02T00:00:00"/>
    <n v="91"/>
    <x v="4"/>
    <x v="3"/>
    <x v="0"/>
    <x v="0"/>
    <m/>
    <m/>
    <m/>
  </r>
  <r>
    <s v="60.02"/>
    <x v="130"/>
    <x v="379"/>
    <s v="Списание с расчетного счета 00БП-007271 от 03.10.2025 17:50:36"/>
    <s v="03.10.25"/>
    <n v="34750"/>
    <m/>
    <m/>
    <d v="2025-10-03T00:00:00"/>
    <n v="90"/>
    <x v="1"/>
    <x v="3"/>
    <x v="0"/>
    <x v="0"/>
    <m/>
    <m/>
    <m/>
  </r>
  <r>
    <s v="60.02"/>
    <x v="130"/>
    <x v="295"/>
    <s v="Списание с расчетного счета 00БП-001221 от 02.04.2025 17:47:06"/>
    <s v="02.04.25"/>
    <n v="14000"/>
    <m/>
    <m/>
    <d v="2025-04-02T00:00:00"/>
    <n v="274"/>
    <x v="6"/>
    <x v="3"/>
    <x v="0"/>
    <x v="2"/>
    <m/>
    <m/>
    <m/>
  </r>
  <r>
    <s v="60.02"/>
    <x v="131"/>
    <x v="296"/>
    <s v="Списание с расчетного счета 00БП-008819 от 19.11.2025 18:05:01"/>
    <s v="19.11.25"/>
    <n v="2000"/>
    <m/>
    <m/>
    <d v="2025-11-19T00:00:00"/>
    <n v="43"/>
    <x v="1"/>
    <x v="3"/>
    <x v="0"/>
    <x v="0"/>
    <m/>
    <m/>
    <m/>
  </r>
  <r>
    <s v="60.02"/>
    <x v="180"/>
    <x v="380"/>
    <s v="Списание с расчетного счета 00БП-006382 от 10.09.2025 18:06:44"/>
    <s v="10.09.25"/>
    <n v="5852650"/>
    <m/>
    <m/>
    <d v="2025-09-10T00:00:00"/>
    <n v="113"/>
    <x v="4"/>
    <x v="3"/>
    <x v="0"/>
    <x v="0"/>
    <m/>
    <m/>
    <m/>
  </r>
  <r>
    <s v="60.02"/>
    <x v="180"/>
    <x v="380"/>
    <s v="Списание с расчетного счета 00БП-007828 от 21.10.2025 17:30:39"/>
    <s v="21.10.25"/>
    <n v="5852650"/>
    <m/>
    <m/>
    <d v="2025-10-21T00:00:00"/>
    <n v="72"/>
    <x v="1"/>
    <x v="3"/>
    <x v="0"/>
    <x v="0"/>
    <m/>
    <m/>
    <m/>
  </r>
  <r>
    <s v="60.02"/>
    <x v="137"/>
    <x v="303"/>
    <s v="Списание с расчетного счета 00БП-000703 от 13.03.2025 18:55:48"/>
    <s v="13.03.25"/>
    <n v="252667.4"/>
    <m/>
    <m/>
    <d v="2025-03-13T00:00:00"/>
    <n v="294"/>
    <x v="6"/>
    <x v="3"/>
    <x v="0"/>
    <x v="16"/>
    <m/>
    <m/>
    <m/>
  </r>
  <r>
    <s v="60.02"/>
    <x v="139"/>
    <x v="305"/>
    <s v="Списание с расчетного счета 00БП-008191 от 05.11.2025 17:00:33"/>
    <s v="05.11.25"/>
    <n v="225706.72"/>
    <m/>
    <m/>
    <d v="2025-11-05T00:00:00"/>
    <n v="57"/>
    <x v="1"/>
    <x v="3"/>
    <x v="0"/>
    <x v="0"/>
    <m/>
    <m/>
    <m/>
  </r>
  <r>
    <s v="60.02"/>
    <x v="139"/>
    <x v="306"/>
    <s v="Списание с расчетного счета 00БП-008184 от 05.11.2025 17:00:26"/>
    <s v="05.11.25"/>
    <n v="154485.6"/>
    <m/>
    <m/>
    <d v="2025-11-05T00:00:00"/>
    <n v="57"/>
    <x v="1"/>
    <x v="3"/>
    <x v="0"/>
    <x v="0"/>
    <m/>
    <m/>
    <m/>
  </r>
  <r>
    <s v="60.02"/>
    <x v="141"/>
    <x v="308"/>
    <s v="Списание с расчетного счета 00БП-001386 от 08.04.2025 23:49:32"/>
    <s v="08.04.25"/>
    <n v="31000"/>
    <m/>
    <m/>
    <d v="2025-04-08T00:00:00"/>
    <n v="268"/>
    <x v="3"/>
    <x v="3"/>
    <x v="0"/>
    <x v="8"/>
    <m/>
    <m/>
    <m/>
  </r>
  <r>
    <s v="60.02"/>
    <x v="142"/>
    <x v="309"/>
    <s v="Списание с расчетного счета 00БП-001145 от 31.03.2025 23:59:59"/>
    <s v="31.03.25"/>
    <n v="32000"/>
    <m/>
    <m/>
    <d v="2025-03-31T00:00:00"/>
    <n v="276"/>
    <x v="6"/>
    <x v="3"/>
    <x v="0"/>
    <x v="8"/>
    <m/>
    <m/>
    <m/>
  </r>
  <r>
    <s v="60.02"/>
    <x v="143"/>
    <x v="310"/>
    <s v="Списание с расчетного счета 00БП-006763 от 17.09.2025 19:43:15"/>
    <s v="17.09.25"/>
    <n v="214283.5"/>
    <m/>
    <m/>
    <d v="2025-09-17T00:00:00"/>
    <n v="106"/>
    <x v="4"/>
    <x v="3"/>
    <x v="0"/>
    <x v="0"/>
    <m/>
    <m/>
    <m/>
  </r>
  <r>
    <s v="60.02"/>
    <x v="144"/>
    <x v="311"/>
    <s v="Списание с расчетного счета 00БП-000930 от 25.03.2025 17:52:15"/>
    <s v="25.03.25"/>
    <n v="20740"/>
    <m/>
    <m/>
    <d v="2025-03-25T00:00:00"/>
    <n v="282"/>
    <x v="6"/>
    <x v="3"/>
    <x v="0"/>
    <x v="2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489"/>
    <x v="5"/>
    <x v="3"/>
    <x v="0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450"/>
    <x v="5"/>
    <x v="3"/>
    <x v="0"/>
    <x v="18"/>
    <m/>
    <s v="Экологический отдел"/>
    <m/>
  </r>
  <r>
    <s v="60.02"/>
    <x v="181"/>
    <x v="381"/>
    <s v="Списание с расчетного счета 00БП-007160 от 30.09.2025 23:59:59"/>
    <s v="30.09.25"/>
    <n v="10500"/>
    <m/>
    <m/>
    <d v="2025-09-30T00:00:00"/>
    <n v="93"/>
    <x v="4"/>
    <x v="3"/>
    <x v="0"/>
    <x v="0"/>
    <m/>
    <m/>
    <m/>
  </r>
  <r>
    <s v="60.02"/>
    <x v="147"/>
    <x v="382"/>
    <s v="Списание с расчетного счета 00БП-000936 от 25.03.2025 17:52:21"/>
    <s v="25.03.25"/>
    <n v="66974"/>
    <m/>
    <m/>
    <d v="2025-03-25T00:00:00"/>
    <n v="282"/>
    <x v="6"/>
    <x v="3"/>
    <x v="0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504"/>
    <x v="5"/>
    <x v="3"/>
    <x v="0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799"/>
    <x v="5"/>
    <x v="3"/>
    <x v="0"/>
    <x v="0"/>
    <m/>
    <m/>
    <m/>
  </r>
  <r>
    <s v="60.02"/>
    <x v="149"/>
    <x v="317"/>
    <s v="Списание с расчетного счета 00БП-002336 от 05.05.2025 19:41:05"/>
    <s v="05.05.25"/>
    <n v="12461.79"/>
    <m/>
    <m/>
    <d v="2025-05-05T00:00:00"/>
    <n v="241"/>
    <x v="3"/>
    <x v="3"/>
    <x v="0"/>
    <x v="16"/>
    <m/>
    <s v="Экологический отдел"/>
    <m/>
  </r>
  <r>
    <s v="60.02"/>
    <x v="150"/>
    <x v="395"/>
    <s v="Списание с расчетного счета 00БП-000608 от 11.03.2025 17:05:30"/>
    <s v="11.03.25"/>
    <n v="37500"/>
    <m/>
    <m/>
    <d v="2025-03-11T00:00:00"/>
    <n v="296"/>
    <x v="6"/>
    <x v="3"/>
    <x v="0"/>
    <x v="0"/>
    <m/>
    <m/>
    <m/>
  </r>
  <r>
    <s v="60.02"/>
    <x v="151"/>
    <x v="319"/>
    <s v="Списание с расчетного счета 00БП-000655 от 12.03.2025 18:04:03"/>
    <s v="12.03.25"/>
    <n v="47400"/>
    <m/>
    <m/>
    <d v="2025-03-12T00:00:00"/>
    <n v="295"/>
    <x v="6"/>
    <x v="3"/>
    <x v="0"/>
    <x v="19"/>
    <m/>
    <m/>
    <m/>
  </r>
  <r>
    <s v="60.02"/>
    <x v="152"/>
    <x v="320"/>
    <s v="Списание с расчетного счета 00БП-006060 от 27.08.2025 18:30:27"/>
    <s v="27.08.25"/>
    <n v="22500"/>
    <m/>
    <m/>
    <d v="2025-08-27T00:00:00"/>
    <n v="127"/>
    <x v="0"/>
    <x v="3"/>
    <x v="0"/>
    <x v="0"/>
    <m/>
    <m/>
    <m/>
  </r>
  <r>
    <s v="60.02"/>
    <x v="153"/>
    <x v="321"/>
    <s v="Списание с расчетного счета 00БП-003382 от 04.06.2025 18:58:23"/>
    <s v="04.06.25"/>
    <n v="60000"/>
    <m/>
    <m/>
    <d v="2025-06-04T00:00:00"/>
    <n v="211"/>
    <x v="3"/>
    <x v="3"/>
    <x v="0"/>
    <x v="8"/>
    <m/>
    <m/>
    <m/>
  </r>
  <r>
    <s v="60.02"/>
    <x v="153"/>
    <x v="321"/>
    <s v="Списание с расчетного счета 00БП-008902 от 24.11.2025 16:33:52"/>
    <s v="24.11.25"/>
    <n v="140000"/>
    <m/>
    <m/>
    <d v="2025-11-24T00:00:00"/>
    <n v="38"/>
    <x v="1"/>
    <x v="3"/>
    <x v="0"/>
    <x v="0"/>
    <m/>
    <m/>
    <m/>
  </r>
  <r>
    <s v="60.02"/>
    <x v="153"/>
    <x v="322"/>
    <s v="Списание с расчетного счета 00БП-003379 от 04.06.2025 18:58:20"/>
    <s v="04.06.25"/>
    <n v="40500"/>
    <m/>
    <m/>
    <d v="2025-06-04T00:00:00"/>
    <n v="211"/>
    <x v="3"/>
    <x v="3"/>
    <x v="0"/>
    <x v="8"/>
    <m/>
    <m/>
    <m/>
  </r>
  <r>
    <s v="60.02"/>
    <x v="153"/>
    <x v="322"/>
    <s v="Списание с расчетного счета 00БП-007748 от 17.10.2025 19:36:05"/>
    <s v="17.10.25"/>
    <n v="74250"/>
    <m/>
    <m/>
    <d v="2025-10-17T00:00:00"/>
    <n v="76"/>
    <x v="1"/>
    <x v="3"/>
    <x v="0"/>
    <x v="0"/>
    <m/>
    <m/>
    <m/>
  </r>
  <r>
    <s v="60.02"/>
    <x v="153"/>
    <x v="322"/>
    <s v="Списание с расчетного счета 00БП-008900 от 24.11.2025 16:33:50"/>
    <s v="24.11.25"/>
    <n v="20250"/>
    <m/>
    <m/>
    <d v="2025-11-24T00:00:00"/>
    <n v="38"/>
    <x v="1"/>
    <x v="3"/>
    <x v="0"/>
    <x v="0"/>
    <m/>
    <m/>
    <m/>
  </r>
  <r>
    <s v="60.02"/>
    <x v="153"/>
    <x v="323"/>
    <s v="Списание с расчетного счета 00БП-004063 от 23.06.2025 18:09:41"/>
    <s v="23.06.25"/>
    <n v="90000"/>
    <m/>
    <m/>
    <d v="2025-06-23T00:00:00"/>
    <n v="192"/>
    <x v="3"/>
    <x v="3"/>
    <x v="0"/>
    <x v="8"/>
    <m/>
    <m/>
    <m/>
  </r>
  <r>
    <s v="60.02"/>
    <x v="153"/>
    <x v="323"/>
    <s v="Списание с расчетного счета 00БП-008925 от 25.11.2025 15:31:08"/>
    <s v="25.11.25"/>
    <n v="165000"/>
    <m/>
    <m/>
    <d v="2025-11-25T00:00:00"/>
    <n v="37"/>
    <x v="1"/>
    <x v="3"/>
    <x v="0"/>
    <x v="0"/>
    <m/>
    <m/>
    <m/>
  </r>
  <r>
    <s v="60.02"/>
    <x v="153"/>
    <x v="324"/>
    <s v="Списание с расчетного счета 00БП-004062 от 23.06.2025 18:09:40"/>
    <s v="23.06.25"/>
    <n v="84000"/>
    <m/>
    <m/>
    <d v="2025-06-23T00:00:00"/>
    <n v="192"/>
    <x v="3"/>
    <x v="3"/>
    <x v="0"/>
    <x v="8"/>
    <m/>
    <m/>
    <m/>
  </r>
  <r>
    <s v="60.02"/>
    <x v="154"/>
    <x v="325"/>
    <s v="Списание с расчетного счета 00БП-003903 от 17.06.2025 22:58:29"/>
    <s v="17.06.25"/>
    <n v="1165"/>
    <m/>
    <m/>
    <d v="2025-06-17T00:00:00"/>
    <n v="198"/>
    <x v="3"/>
    <x v="3"/>
    <x v="0"/>
    <x v="20"/>
    <m/>
    <m/>
    <m/>
  </r>
  <r>
    <s v="60.02"/>
    <x v="155"/>
    <x v="326"/>
    <s v="Списание с расчетного счета 00БП-005054 от 23.07.2025 20:44:19"/>
    <s v="23.07.25"/>
    <n v="9000"/>
    <m/>
    <m/>
    <d v="2025-07-23T00:00:00"/>
    <n v="162"/>
    <x v="0"/>
    <x v="3"/>
    <x v="0"/>
    <x v="8"/>
    <m/>
    <m/>
    <m/>
  </r>
  <r>
    <s v="60.02"/>
    <x v="156"/>
    <x v="327"/>
    <s v="Списание с расчетного счета 00БП-001173 от 01.04.2025 17:50:04"/>
    <s v="01.04.25"/>
    <n v="86800"/>
    <m/>
    <m/>
    <d v="2025-04-01T00:00:00"/>
    <n v="275"/>
    <x v="6"/>
    <x v="3"/>
    <x v="0"/>
    <x v="8"/>
    <m/>
    <m/>
    <m/>
  </r>
  <r>
    <s v="60.02"/>
    <x v="157"/>
    <x v="328"/>
    <s v="Списание с расчетного счета 00БП-009095 от 05.12.2025 12:00:10"/>
    <s v="05.12.25"/>
    <n v="10000000"/>
    <m/>
    <m/>
    <d v="2025-12-05T00:00:00"/>
    <n v="27"/>
    <x v="2"/>
    <x v="3"/>
    <x v="0"/>
    <x v="0"/>
    <m/>
    <m/>
    <m/>
  </r>
  <r>
    <s v="60.02"/>
    <x v="160"/>
    <x v="331"/>
    <s v="Списание с расчетного счета 00БП-007407 от 09.10.2025 16:57:54"/>
    <s v="09.10.25"/>
    <n v="244320"/>
    <m/>
    <m/>
    <d v="2025-10-09T00:00:00"/>
    <n v="84"/>
    <x v="1"/>
    <x v="3"/>
    <x v="0"/>
    <x v="0"/>
    <m/>
    <m/>
    <m/>
  </r>
  <r>
    <s v="60.02"/>
    <x v="161"/>
    <x v="73"/>
    <s v="Авансовый отчет 00БП-000339 от 24.11.2025 12:03:37"/>
    <s v="24.11.25"/>
    <n v="3630"/>
    <m/>
    <m/>
    <d v="2025-11-24T00:00:00"/>
    <n v="38"/>
    <x v="1"/>
    <x v="3"/>
    <x v="0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1163"/>
    <x v="5"/>
    <x v="3"/>
    <x v="0"/>
    <x v="0"/>
    <m/>
    <m/>
    <m/>
  </r>
  <r>
    <s v="60.02"/>
    <x v="163"/>
    <x v="333"/>
    <s v="Списание с расчетного счета 00БП-005938 от 21.08.2025 17:24:50"/>
    <s v="21.08.25"/>
    <n v="11631.14"/>
    <m/>
    <m/>
    <d v="2025-08-21T00:00:00"/>
    <n v="133"/>
    <x v="0"/>
    <x v="3"/>
    <x v="0"/>
    <x v="0"/>
    <m/>
    <m/>
    <m/>
  </r>
  <r>
    <s v="60.02"/>
    <x v="164"/>
    <x v="334"/>
    <s v="Корректировка долга 00БП-000094 от 25.09.2025 17:23:53"/>
    <s v="25.09.25"/>
    <n v="93687.05"/>
    <m/>
    <m/>
    <d v="2025-09-25T00:00:00"/>
    <n v="98"/>
    <x v="4"/>
    <x v="3"/>
    <x v="0"/>
    <x v="0"/>
    <m/>
    <m/>
    <m/>
  </r>
  <r>
    <s v="60.02"/>
    <x v="165"/>
    <x v="335"/>
    <s v="Списание с расчетного счета 00БП-005475 от 07.08.2025 19:08:49"/>
    <s v="07.08.25"/>
    <n v="96000"/>
    <m/>
    <m/>
    <d v="2025-08-07T00:00:00"/>
    <n v="147"/>
    <x v="0"/>
    <x v="3"/>
    <x v="0"/>
    <x v="0"/>
    <m/>
    <m/>
    <m/>
  </r>
  <r>
    <s v="60.32"/>
    <x v="166"/>
    <x v="336"/>
    <s v="Списание с расчетного счета 00БП-004562 от 09.07.2025 20:21:45"/>
    <s v="09.07.25"/>
    <n v="126099.22"/>
    <m/>
    <m/>
    <d v="2025-07-09T00:00:00"/>
    <n v="176"/>
    <x v="0"/>
    <x v="3"/>
    <x v="0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469"/>
    <x v="5"/>
    <x v="3"/>
    <x v="0"/>
    <x v="13"/>
    <m/>
    <m/>
    <m/>
  </r>
  <r>
    <s v="60.32"/>
    <x v="38"/>
    <x v="339"/>
    <s v="Списание с расчетного счета 00БП-006941 от 25.09.2025 17:23:37"/>
    <s v="25.09.25"/>
    <n v="4103412.84"/>
    <m/>
    <m/>
    <d v="2025-09-25T00:00:00"/>
    <n v="98"/>
    <x v="4"/>
    <x v="3"/>
    <x v="0"/>
    <x v="0"/>
    <m/>
    <m/>
    <m/>
  </r>
  <r>
    <s v="60.32"/>
    <x v="38"/>
    <x v="340"/>
    <s v="Списание с расчетного счета 00БП-007817 от 21.10.2025 17:30:28"/>
    <s v="21.10.25"/>
    <n v="81774.75"/>
    <m/>
    <m/>
    <d v="2025-10-21T00:00:00"/>
    <n v="72"/>
    <x v="1"/>
    <x v="3"/>
    <x v="0"/>
    <x v="0"/>
    <m/>
    <m/>
    <m/>
  </r>
  <r>
    <s v="60.32"/>
    <x v="38"/>
    <x v="340"/>
    <s v="Списание с расчетного счета 00БП-007824 от 21.10.2025 17:30:35"/>
    <s v="21.10.25"/>
    <n v="381299.85"/>
    <m/>
    <m/>
    <d v="2025-10-21T00:00:00"/>
    <n v="72"/>
    <x v="1"/>
    <x v="3"/>
    <x v="0"/>
    <x v="0"/>
    <m/>
    <m/>
    <m/>
  </r>
  <r>
    <s v="60.32"/>
    <x v="38"/>
    <x v="340"/>
    <s v="Списание с расчетного счета 00БП-008864 от 20.11.2025 17:08:39"/>
    <s v="20.11.25"/>
    <n v="242292.07"/>
    <m/>
    <m/>
    <d v="2025-11-20T00:00:00"/>
    <n v="42"/>
    <x v="1"/>
    <x v="3"/>
    <x v="0"/>
    <x v="0"/>
    <m/>
    <m/>
    <m/>
  </r>
  <r>
    <s v="60.32"/>
    <x v="38"/>
    <x v="340"/>
    <s v="Списание с расчетного счета 00БП-008877 от 21.11.2025 18:51:04"/>
    <s v="21.11.25"/>
    <n v="9195.39"/>
    <m/>
    <m/>
    <d v="2025-11-21T00:00:00"/>
    <n v="41"/>
    <x v="1"/>
    <x v="3"/>
    <x v="0"/>
    <x v="0"/>
    <m/>
    <m/>
    <m/>
  </r>
  <r>
    <s v="60.32"/>
    <x v="38"/>
    <x v="340"/>
    <s v="Списание с расчетного счета 00БП-008880 от 21.11.2025 18:51:07"/>
    <s v="21.11.25"/>
    <n v="96959.25"/>
    <m/>
    <m/>
    <d v="2025-11-21T00:00:00"/>
    <n v="41"/>
    <x v="1"/>
    <x v="3"/>
    <x v="0"/>
    <x v="0"/>
    <m/>
    <m/>
    <m/>
  </r>
  <r>
    <s v="60.32"/>
    <x v="38"/>
    <x v="342"/>
    <s v="Списание с расчетного счета 00БП-007402 от 09.10.2025 16:57:49"/>
    <s v="09.10.25"/>
    <n v="17940.52"/>
    <m/>
    <m/>
    <d v="2025-10-09T00:00:00"/>
    <n v="84"/>
    <x v="1"/>
    <x v="3"/>
    <x v="0"/>
    <x v="0"/>
    <m/>
    <m/>
    <m/>
  </r>
  <r>
    <s v="60.32"/>
    <x v="38"/>
    <x v="343"/>
    <s v="Списание с расчетного счета 00БП-009293 от 25.12.2025 12:00:17"/>
    <s v="25.12.25"/>
    <n v="42558293.729999997"/>
    <m/>
    <m/>
    <d v="2025-12-25T00:00:00"/>
    <n v="7"/>
    <x v="2"/>
    <x v="3"/>
    <x v="0"/>
    <x v="0"/>
    <m/>
    <m/>
    <m/>
  </r>
  <r>
    <s v="60.32"/>
    <x v="78"/>
    <x v="344"/>
    <s v="Списание с расчетного счета 00БП-009029 от 01.12.2025 15:42:24"/>
    <s v="01.12.25"/>
    <n v="100541017.20999999"/>
    <m/>
    <m/>
    <d v="2025-12-01T00:00:00"/>
    <n v="31"/>
    <x v="1"/>
    <x v="3"/>
    <x v="0"/>
    <x v="0"/>
    <m/>
    <m/>
    <m/>
  </r>
  <r>
    <s v="60.32"/>
    <x v="78"/>
    <x v="346"/>
    <s v="Списание с расчетного счета 00БП-000875 от 21.03.2025 17:21:00"/>
    <s v="21.03.25"/>
    <n v="4.22"/>
    <m/>
    <m/>
    <d v="2025-03-21T00:00:00"/>
    <n v="286"/>
    <x v="6"/>
    <x v="3"/>
    <x v="0"/>
    <x v="0"/>
    <m/>
    <m/>
    <m/>
  </r>
  <r>
    <s v="60.32"/>
    <x v="78"/>
    <x v="347"/>
    <s v="Списание с расчетного счета 00БП-008463 от 14.11.2025 15:51:00"/>
    <s v="14.11.25"/>
    <n v="19041986.25"/>
    <m/>
    <m/>
    <d v="2025-11-14T00:00:00"/>
    <n v="48"/>
    <x v="1"/>
    <x v="3"/>
    <x v="0"/>
    <x v="0"/>
    <m/>
    <m/>
    <m/>
  </r>
  <r>
    <s v="60.32"/>
    <x v="78"/>
    <x v="348"/>
    <s v="Списание с расчетного счета 00БП-007312 от 06.10.2025 18:16:22"/>
    <s v="06.10.25"/>
    <n v="832127.38"/>
    <m/>
    <m/>
    <d v="2025-10-06T00:00:00"/>
    <n v="87"/>
    <x v="1"/>
    <x v="3"/>
    <x v="0"/>
    <x v="0"/>
    <m/>
    <m/>
    <m/>
  </r>
  <r>
    <s v="60.32"/>
    <x v="78"/>
    <x v="349"/>
    <s v="Списание с расчетного счета 00БП-007338 от 07.10.2025 17:57:46"/>
    <s v="07.10.25"/>
    <n v="19608750"/>
    <m/>
    <m/>
    <d v="2025-10-07T00:00:00"/>
    <n v="86"/>
    <x v="1"/>
    <x v="3"/>
    <x v="0"/>
    <x v="0"/>
    <m/>
    <m/>
    <m/>
  </r>
  <r>
    <s v="60.32"/>
    <x v="78"/>
    <x v="350"/>
    <s v="Списание с расчетного счета 00БП-007683 от 14.10.2025 17:30:20"/>
    <s v="14.10.25"/>
    <n v="8521724.8000000007"/>
    <m/>
    <m/>
    <d v="2025-10-14T00:00:00"/>
    <n v="79"/>
    <x v="1"/>
    <x v="3"/>
    <x v="0"/>
    <x v="0"/>
    <m/>
    <m/>
    <m/>
  </r>
  <r>
    <s v="60.32"/>
    <x v="78"/>
    <x v="351"/>
    <s v="Списание с расчетного счета 00БП-007684 от 14.10.2025 17:30:21"/>
    <s v="14.10.25"/>
    <n v="565552.64000000001"/>
    <m/>
    <m/>
    <d v="2025-10-14T00:00:00"/>
    <n v="79"/>
    <x v="1"/>
    <x v="3"/>
    <x v="0"/>
    <x v="0"/>
    <m/>
    <m/>
    <m/>
  </r>
  <r>
    <s v="60.32"/>
    <x v="168"/>
    <x v="352"/>
    <s v="Списание с расчетного счета 00БП-009269 от 24.12.2025 11:37:20"/>
    <s v="24.12.25"/>
    <n v="595854"/>
    <m/>
    <m/>
    <d v="2025-12-24T00:00:00"/>
    <n v="8"/>
    <x v="2"/>
    <x v="3"/>
    <x v="0"/>
    <x v="0"/>
    <m/>
    <m/>
    <m/>
  </r>
  <r>
    <s v="60.32"/>
    <x v="168"/>
    <x v="352"/>
    <s v="Списание с расчетного счета 00БП-009288 от 25.12.2025 12:00:12"/>
    <s v="25.12.25"/>
    <n v="3400245.12"/>
    <m/>
    <m/>
    <d v="2025-12-25T00:00:00"/>
    <n v="7"/>
    <x v="2"/>
    <x v="3"/>
    <x v="0"/>
    <x v="0"/>
    <m/>
    <m/>
    <m/>
  </r>
  <r>
    <s v="60.32"/>
    <x v="127"/>
    <x v="358"/>
    <s v="Списание с расчетного счета 00БП-009356 от 30.12.2025 12:00:18"/>
    <s v="30.12.25"/>
    <n v="948672.83"/>
    <m/>
    <m/>
    <d v="2025-12-30T00:00:00"/>
    <n v="2"/>
    <x v="2"/>
    <x v="3"/>
    <x v="0"/>
    <x v="0"/>
    <m/>
    <m/>
    <m/>
  </r>
  <r>
    <s v="60.02"/>
    <x v="186"/>
    <x v="396"/>
    <s v="Списание с расчетного счета 00БП-007126 от 29.09.2025 19:11:59"/>
    <s v="29.09.25"/>
    <n v="276760"/>
    <m/>
    <m/>
    <d v="2025-09-29T00:00:00"/>
    <n v="2"/>
    <x v="2"/>
    <x v="4"/>
    <x v="1"/>
    <x v="0"/>
    <m/>
    <m/>
    <m/>
  </r>
  <r>
    <s v="60.02"/>
    <x v="0"/>
    <x v="397"/>
    <s v="Списание с расчетного счета 00БП-005314 от 30.07.2025 17:47:00"/>
    <s v="30.07.25"/>
    <n v="2400"/>
    <m/>
    <m/>
    <d v="2025-07-30T00:00:00"/>
    <n v="63"/>
    <x v="1"/>
    <x v="4"/>
    <x v="1"/>
    <x v="0"/>
    <m/>
    <m/>
    <m/>
  </r>
  <r>
    <s v="60.02"/>
    <x v="187"/>
    <x v="398"/>
    <s v="Списание с расчетного счета 00БП-002956 от 21.05.2025 20:10:47"/>
    <s v="21.05.25"/>
    <n v="24000"/>
    <m/>
    <m/>
    <d v="2025-05-21T00:00:00"/>
    <n v="133"/>
    <x v="0"/>
    <x v="4"/>
    <x v="1"/>
    <x v="0"/>
    <m/>
    <m/>
    <m/>
  </r>
  <r>
    <s v="60.02"/>
    <x v="187"/>
    <x v="399"/>
    <s v="Списание с расчетного счета 00БП-003859 от 16.06.2025 18:31:24"/>
    <s v="16.06.25"/>
    <n v="731965"/>
    <m/>
    <m/>
    <d v="2025-06-16T00:00:00"/>
    <n v="107"/>
    <x v="4"/>
    <x v="4"/>
    <x v="1"/>
    <x v="0"/>
    <m/>
    <m/>
    <m/>
  </r>
  <r>
    <s v="60.02"/>
    <x v="5"/>
    <x v="11"/>
    <s v="Списание с расчетного счета 00БП-006009 от 26.08.2025 19:15:04"/>
    <s v="26.08.25"/>
    <n v="143600"/>
    <m/>
    <m/>
    <d v="2025-08-26T00:00:00"/>
    <n v="36"/>
    <x v="1"/>
    <x v="4"/>
    <x v="1"/>
    <x v="0"/>
    <m/>
    <m/>
    <m/>
  </r>
  <r>
    <s v="60.02"/>
    <x v="5"/>
    <x v="400"/>
    <s v="Списание с расчетного счета 00БП-005952 от 22.08.2025 17:42:35"/>
    <s v="22.08.25"/>
    <n v="17600"/>
    <m/>
    <m/>
    <d v="2025-08-22T00:00:00"/>
    <n v="40"/>
    <x v="1"/>
    <x v="4"/>
    <x v="1"/>
    <x v="0"/>
    <m/>
    <m/>
    <m/>
  </r>
  <r>
    <s v="60.02"/>
    <x v="188"/>
    <x v="401"/>
    <s v="Списание с расчетного счета 00БП-006734 от 16.09.2025 17:34:52"/>
    <s v="16.09.25"/>
    <n v="20000"/>
    <m/>
    <m/>
    <d v="2025-09-16T00:00:00"/>
    <n v="15"/>
    <x v="2"/>
    <x v="4"/>
    <x v="1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880"/>
    <x v="5"/>
    <x v="4"/>
    <x v="1"/>
    <x v="0"/>
    <m/>
    <m/>
    <m/>
  </r>
  <r>
    <s v="60.02"/>
    <x v="9"/>
    <x v="16"/>
    <s v="Списание с расчетного счета 00БП-004852 от 14.07.2025 17:54:02"/>
    <s v="14.07.25"/>
    <n v="15280"/>
    <m/>
    <m/>
    <d v="2025-07-14T00:00:00"/>
    <n v="79"/>
    <x v="1"/>
    <x v="4"/>
    <x v="1"/>
    <x v="0"/>
    <m/>
    <m/>
    <m/>
  </r>
  <r>
    <s v="60.02"/>
    <x v="189"/>
    <x v="402"/>
    <s v="Списание с расчетного счета 00БП-006743 от 16.09.2025 17:35:01"/>
    <s v="16.09.25"/>
    <n v="57360"/>
    <m/>
    <m/>
    <d v="2025-09-16T00:00:00"/>
    <n v="15"/>
    <x v="2"/>
    <x v="4"/>
    <x v="1"/>
    <x v="0"/>
    <m/>
    <m/>
    <m/>
  </r>
  <r>
    <s v="60.02"/>
    <x v="190"/>
    <x v="403"/>
    <s v="Списание с расчетного счета 00БП-000812 от 19.03.2025 15:53:58"/>
    <s v="19.03.25"/>
    <n v="63648"/>
    <m/>
    <m/>
    <d v="2025-03-19T00:00:00"/>
    <n v="196"/>
    <x v="3"/>
    <x v="4"/>
    <x v="1"/>
    <x v="0"/>
    <m/>
    <m/>
    <m/>
  </r>
  <r>
    <s v="60.02"/>
    <x v="190"/>
    <x v="404"/>
    <s v="Списание с расчетного счета 00БП-000811 от 19.03.2025 15:53:57"/>
    <s v="19.03.25"/>
    <n v="63648"/>
    <m/>
    <m/>
    <d v="2025-03-19T00:00:00"/>
    <n v="196"/>
    <x v="3"/>
    <x v="4"/>
    <x v="1"/>
    <x v="0"/>
    <m/>
    <m/>
    <m/>
  </r>
  <r>
    <s v="60.02"/>
    <x v="190"/>
    <x v="405"/>
    <s v="Списание с расчетного счета 00БП-000808 от 19.03.2025 15:53:54"/>
    <s v="19.03.25"/>
    <n v="33408"/>
    <m/>
    <m/>
    <d v="2025-03-19T00:00:00"/>
    <n v="196"/>
    <x v="3"/>
    <x v="4"/>
    <x v="1"/>
    <x v="0"/>
    <m/>
    <m/>
    <m/>
  </r>
  <r>
    <s v="60.02"/>
    <x v="190"/>
    <x v="406"/>
    <s v="Списание с расчетного счета 00БП-000809 от 19.03.2025 15:53:55"/>
    <s v="19.03.25"/>
    <n v="33408"/>
    <m/>
    <m/>
    <d v="2025-03-19T00:00:00"/>
    <n v="196"/>
    <x v="3"/>
    <x v="4"/>
    <x v="1"/>
    <x v="0"/>
    <m/>
    <m/>
    <m/>
  </r>
  <r>
    <s v="60.02"/>
    <x v="10"/>
    <x v="407"/>
    <s v="Списание с расчетного счета 00БП-006383 от 10.09.2025 18:06:45"/>
    <s v="10.09.25"/>
    <n v="6650362.7999999998"/>
    <m/>
    <m/>
    <d v="2025-09-10T00:00:00"/>
    <n v="21"/>
    <x v="2"/>
    <x v="4"/>
    <x v="1"/>
    <x v="0"/>
    <m/>
    <m/>
    <m/>
  </r>
  <r>
    <s v="60.02"/>
    <x v="11"/>
    <x v="18"/>
    <s v="Списание с расчетного счета 00БП-000549 от 07.03.2025 17:21:16"/>
    <s v="07.03.25"/>
    <n v="198000"/>
    <m/>
    <m/>
    <d v="2025-03-07T00:00:00"/>
    <n v="208"/>
    <x v="3"/>
    <x v="4"/>
    <x v="1"/>
    <x v="1"/>
    <m/>
    <m/>
    <m/>
  </r>
  <r>
    <s v="60.02"/>
    <x v="12"/>
    <x v="19"/>
    <s v="Списание с расчетного счета 00БП-005478 от 07.08.2025 19:08:52"/>
    <s v="07.08.25"/>
    <n v="17955.38"/>
    <m/>
    <m/>
    <d v="2025-08-07T00:00:00"/>
    <n v="55"/>
    <x v="1"/>
    <x v="4"/>
    <x v="1"/>
    <x v="2"/>
    <m/>
    <m/>
    <m/>
  </r>
  <r>
    <s v="60.02"/>
    <x v="12"/>
    <x v="20"/>
    <s v="Списание с расчетного счета 00БП-005479 от 07.08.2025 19:08:53"/>
    <s v="07.08.25"/>
    <n v="67008.2"/>
    <m/>
    <m/>
    <d v="2025-08-07T00:00:00"/>
    <n v="55"/>
    <x v="1"/>
    <x v="4"/>
    <x v="1"/>
    <x v="3"/>
    <m/>
    <m/>
    <m/>
  </r>
  <r>
    <s v="60.02"/>
    <x v="12"/>
    <x v="20"/>
    <s v="Корректировка поступления 00БП-000024 от 05.09.2025 16:20:03"/>
    <s v="05.09.25"/>
    <n v="8599.8700000000008"/>
    <m/>
    <m/>
    <d v="2025-09-05T00:00:00"/>
    <n v="26"/>
    <x v="2"/>
    <x v="4"/>
    <x v="1"/>
    <x v="3"/>
    <m/>
    <m/>
    <m/>
  </r>
  <r>
    <s v="60.02"/>
    <x v="191"/>
    <x v="73"/>
    <s v="Авансовый отчет 00БП-000269 от 26.08.2025 11:55:19"/>
    <s v="26.08.25"/>
    <n v="900"/>
    <m/>
    <m/>
    <d v="2025-08-26T00:00:00"/>
    <n v="36"/>
    <x v="1"/>
    <x v="4"/>
    <x v="1"/>
    <x v="0"/>
    <m/>
    <m/>
    <m/>
  </r>
  <r>
    <s v="60.02"/>
    <x v="192"/>
    <x v="408"/>
    <s v="Списание с расчетного счета 00БП-005635 от 12.08.2025 17:40:22"/>
    <s v="12.08.25"/>
    <n v="12000"/>
    <m/>
    <m/>
    <d v="2025-08-12T00:00:00"/>
    <n v="50"/>
    <x v="1"/>
    <x v="4"/>
    <x v="1"/>
    <x v="0"/>
    <m/>
    <m/>
    <m/>
  </r>
  <r>
    <s v="60.02"/>
    <x v="192"/>
    <x v="409"/>
    <s v="Списание с расчетного счета 00БП-003211 от 28.05.2025 21:55:42"/>
    <s v="28.05.25"/>
    <n v="19500"/>
    <m/>
    <m/>
    <d v="2025-05-28T00:00:00"/>
    <n v="126"/>
    <x v="0"/>
    <x v="4"/>
    <x v="1"/>
    <x v="0"/>
    <m/>
    <m/>
    <m/>
  </r>
  <r>
    <s v="60.02"/>
    <x v="193"/>
    <x v="410"/>
    <s v="Списание с расчетного счета 00БП-001813 от 15.04.2025 18:43:38"/>
    <s v="15.04.25"/>
    <n v="10865"/>
    <m/>
    <m/>
    <d v="2025-04-15T00:00:00"/>
    <n v="169"/>
    <x v="0"/>
    <x v="4"/>
    <x v="1"/>
    <x v="0"/>
    <m/>
    <m/>
    <m/>
  </r>
  <r>
    <s v="60.02"/>
    <x v="18"/>
    <x v="27"/>
    <s v="Списание с расчетного счета 00БП-002345 от 05.05.2025 19:41:14"/>
    <s v="05.05.25"/>
    <n v="691600"/>
    <m/>
    <m/>
    <d v="2025-05-05T00:00:00"/>
    <n v="149"/>
    <x v="0"/>
    <x v="4"/>
    <x v="1"/>
    <x v="5"/>
    <m/>
    <m/>
    <m/>
  </r>
  <r>
    <s v="60.02"/>
    <x v="19"/>
    <x v="28"/>
    <s v="Списание с расчетного счета 00БП-009249 от 13.12.2024 12:00:03"/>
    <s v="13.12.24"/>
    <n v="16500"/>
    <m/>
    <m/>
    <d v="2024-12-13T00:00:00"/>
    <n v="292"/>
    <x v="6"/>
    <x v="4"/>
    <x v="1"/>
    <x v="0"/>
    <m/>
    <m/>
    <m/>
  </r>
  <r>
    <s v="60.02"/>
    <x v="194"/>
    <x v="411"/>
    <s v="Списание с расчетного счета 00БП-007162 от 30.09.2025 23:59:59"/>
    <s v="30.09.25"/>
    <n v="15000"/>
    <m/>
    <m/>
    <d v="2025-09-30T00:00:00"/>
    <n v="1"/>
    <x v="2"/>
    <x v="4"/>
    <x v="1"/>
    <x v="0"/>
    <m/>
    <m/>
    <m/>
  </r>
  <r>
    <s v="60.02"/>
    <x v="20"/>
    <x v="30"/>
    <s v="Списание с расчетного счета 00БП-004986 от 18.07.2025 20:39:46"/>
    <s v="18.07.25"/>
    <n v="1600000"/>
    <m/>
    <m/>
    <d v="2025-07-18T00:00:00"/>
    <n v="75"/>
    <x v="1"/>
    <x v="4"/>
    <x v="1"/>
    <x v="0"/>
    <m/>
    <m/>
    <m/>
  </r>
  <r>
    <s v="60.02"/>
    <x v="20"/>
    <x v="32"/>
    <s v="Списание с расчетного счета 00БП-006765 от 17.09.2025 19:43:17"/>
    <s v="17.09.25"/>
    <n v="250000"/>
    <m/>
    <m/>
    <d v="2025-09-17T00:00:00"/>
    <n v="14"/>
    <x v="2"/>
    <x v="4"/>
    <x v="1"/>
    <x v="6"/>
    <d v="2025-11-25T00:00:00"/>
    <s v="Геологический отдел"/>
    <m/>
  </r>
  <r>
    <s v="60.02"/>
    <x v="20"/>
    <x v="33"/>
    <s v="Списание с расчетного счета 00БП-006764 от 17.09.2025 19:43:16"/>
    <s v="17.09.25"/>
    <n v="250000"/>
    <m/>
    <m/>
    <d v="2025-09-17T00:00:00"/>
    <n v="14"/>
    <x v="2"/>
    <x v="4"/>
    <x v="1"/>
    <x v="6"/>
    <d v="2025-11-25T00:00:00"/>
    <s v="Геологический отдел"/>
    <m/>
  </r>
  <r>
    <s v="60.02"/>
    <x v="195"/>
    <x v="412"/>
    <s v="Списание с расчетного счета 00БП-006879 от 23.09.2025 18:41:26"/>
    <s v="23.09.25"/>
    <n v="492685"/>
    <m/>
    <m/>
    <d v="2025-09-23T00:00:00"/>
    <n v="8"/>
    <x v="2"/>
    <x v="4"/>
    <x v="1"/>
    <x v="0"/>
    <m/>
    <m/>
    <m/>
  </r>
  <r>
    <s v="60.02"/>
    <x v="21"/>
    <x v="34"/>
    <s v="Списание с расчетного счета 00БП-004292 от 30.06.2025 23:59:59"/>
    <s v="30.06.25"/>
    <n v="7000"/>
    <m/>
    <m/>
    <d v="2025-06-30T00:00:00"/>
    <n v="93"/>
    <x v="4"/>
    <x v="4"/>
    <x v="1"/>
    <x v="8"/>
    <m/>
    <m/>
    <m/>
  </r>
  <r>
    <s v="60.02"/>
    <x v="23"/>
    <x v="413"/>
    <s v="Списание с расчетного счета 00БП-005411 от 04.08.2025 21:24:59"/>
    <s v="04.08.25"/>
    <n v="279503.82"/>
    <m/>
    <m/>
    <d v="2025-08-04T00:00:00"/>
    <n v="58"/>
    <x v="1"/>
    <x v="4"/>
    <x v="1"/>
    <x v="0"/>
    <m/>
    <m/>
    <m/>
  </r>
  <r>
    <s v="60.02"/>
    <x v="23"/>
    <x v="414"/>
    <s v="Списание с расчетного счета 00БП-000357 от 25.02.2025 17:04:16"/>
    <s v="25.02.25"/>
    <n v="97883.9"/>
    <m/>
    <m/>
    <d v="2025-02-25T00:00:00"/>
    <n v="218"/>
    <x v="3"/>
    <x v="4"/>
    <x v="1"/>
    <x v="0"/>
    <m/>
    <m/>
    <m/>
  </r>
  <r>
    <s v="60.02"/>
    <x v="23"/>
    <x v="415"/>
    <s v="Списание с расчетного счета 00БП-000153 от 30.01.2025 12:00:11"/>
    <s v="30.01.25"/>
    <n v="204925.15"/>
    <m/>
    <m/>
    <d v="2025-01-30T00:00:00"/>
    <n v="244"/>
    <x v="3"/>
    <x v="4"/>
    <x v="1"/>
    <x v="0"/>
    <m/>
    <m/>
    <m/>
  </r>
  <r>
    <s v="60.02"/>
    <x v="24"/>
    <x v="38"/>
    <s v="Списание с расчетного счета 00БП-005940 от 21.08.2025 17:24:52"/>
    <s v="21.08.25"/>
    <n v="52154.400000000001"/>
    <m/>
    <m/>
    <d v="2025-08-21T00:00:00"/>
    <n v="41"/>
    <x v="1"/>
    <x v="4"/>
    <x v="1"/>
    <x v="0"/>
    <m/>
    <m/>
    <m/>
  </r>
  <r>
    <s v="60.02"/>
    <x v="25"/>
    <x v="39"/>
    <s v="Списание с расчетного счета 00БП-005452 от 06.08.2025 19:15:07"/>
    <s v="06.08.25"/>
    <n v="4000"/>
    <m/>
    <m/>
    <d v="2025-08-06T00:00:00"/>
    <n v="56"/>
    <x v="1"/>
    <x v="4"/>
    <x v="1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532"/>
    <x v="5"/>
    <x v="4"/>
    <x v="1"/>
    <x v="9"/>
    <m/>
    <m/>
    <m/>
  </r>
  <r>
    <s v="60.02"/>
    <x v="196"/>
    <x v="73"/>
    <s v="Авансовый отчет 00БП-000265 от 12.08.2025 12:22:27"/>
    <s v="12.08.25"/>
    <n v="8800"/>
    <m/>
    <m/>
    <d v="2025-08-12T00:00:00"/>
    <n v="50"/>
    <x v="1"/>
    <x v="4"/>
    <x v="1"/>
    <x v="0"/>
    <m/>
    <m/>
    <m/>
  </r>
  <r>
    <s v="60.02"/>
    <x v="196"/>
    <x v="73"/>
    <s v="Авансовый отчет 00БП-000269 от 26.08.2025 11:55:19"/>
    <s v="26.08.25"/>
    <n v="8000"/>
    <m/>
    <m/>
    <d v="2025-08-26T00:00:00"/>
    <n v="36"/>
    <x v="1"/>
    <x v="4"/>
    <x v="1"/>
    <x v="0"/>
    <m/>
    <m/>
    <m/>
  </r>
  <r>
    <s v="60.02"/>
    <x v="196"/>
    <x v="73"/>
    <s v="Авансовый отчет 00БП-000295 от 22.09.2025 15:55:01"/>
    <s v="22.09.25"/>
    <n v="11600"/>
    <m/>
    <m/>
    <d v="2025-09-22T00:00:00"/>
    <n v="9"/>
    <x v="2"/>
    <x v="4"/>
    <x v="1"/>
    <x v="0"/>
    <m/>
    <m/>
    <m/>
  </r>
  <r>
    <s v="60.02"/>
    <x v="174"/>
    <x v="364"/>
    <s v="Списание с расчетного счета 00БП-006591 от 12.09.2025 17:33:13"/>
    <s v="12.09.25"/>
    <n v="496840"/>
    <m/>
    <m/>
    <d v="2025-09-12T00:00:00"/>
    <n v="19"/>
    <x v="2"/>
    <x v="4"/>
    <x v="1"/>
    <x v="0"/>
    <m/>
    <m/>
    <m/>
  </r>
  <r>
    <s v="60.02"/>
    <x v="29"/>
    <x v="416"/>
    <s v="Списание с расчетного счета 00БП-006896 от 24.09.2025 18:35:58"/>
    <s v="24.09.25"/>
    <n v="38009"/>
    <m/>
    <m/>
    <d v="2025-09-24T00:00:00"/>
    <n v="7"/>
    <x v="2"/>
    <x v="4"/>
    <x v="1"/>
    <x v="0"/>
    <m/>
    <m/>
    <m/>
  </r>
  <r>
    <s v="60.02"/>
    <x v="29"/>
    <x v="44"/>
    <s v="Списание с расчетного счета 00БП-003512 от 09.06.2025 17:56:01"/>
    <s v="09.06.25"/>
    <n v="14178"/>
    <m/>
    <m/>
    <d v="2025-06-09T00:00:00"/>
    <n v="114"/>
    <x v="4"/>
    <x v="4"/>
    <x v="1"/>
    <x v="2"/>
    <m/>
    <m/>
    <m/>
  </r>
  <r>
    <s v="60.02"/>
    <x v="29"/>
    <x v="417"/>
    <s v="Списание с расчетного счета 00БП-006258 от 03.09.2025 17:18:09"/>
    <s v="03.09.25"/>
    <n v="2890"/>
    <m/>
    <m/>
    <d v="2025-09-03T00:00:00"/>
    <n v="28"/>
    <x v="2"/>
    <x v="4"/>
    <x v="1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460"/>
    <x v="5"/>
    <x v="4"/>
    <x v="1"/>
    <x v="0"/>
    <m/>
    <m/>
    <m/>
  </r>
  <r>
    <s v="60.02"/>
    <x v="30"/>
    <x v="46"/>
    <s v="Списание с расчетного счета 00БП-006218 от 01.09.2025 18:18:39"/>
    <s v="01.09.25"/>
    <n v="25000"/>
    <m/>
    <m/>
    <d v="2025-09-01T00:00:00"/>
    <n v="30"/>
    <x v="2"/>
    <x v="4"/>
    <x v="1"/>
    <x v="0"/>
    <m/>
    <m/>
    <m/>
  </r>
  <r>
    <s v="60.02"/>
    <x v="30"/>
    <x v="46"/>
    <s v="Списание с расчетного счета 00БП-006929 от 25.09.2025 17:23:25"/>
    <s v="25.09.25"/>
    <n v="6600"/>
    <m/>
    <m/>
    <d v="2025-09-25T00:00:00"/>
    <n v="6"/>
    <x v="2"/>
    <x v="4"/>
    <x v="1"/>
    <x v="0"/>
    <m/>
    <m/>
    <m/>
  </r>
  <r>
    <s v="60.02"/>
    <x v="30"/>
    <x v="418"/>
    <s v="Списание с расчетного счета 00БП-003901 от 17.06.2025 22:58:27"/>
    <s v="17.06.25"/>
    <n v="6600"/>
    <m/>
    <m/>
    <d v="2025-06-17T00:00:00"/>
    <n v="106"/>
    <x v="4"/>
    <x v="4"/>
    <x v="1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464"/>
    <x v="5"/>
    <x v="4"/>
    <x v="1"/>
    <x v="0"/>
    <m/>
    <m/>
    <m/>
  </r>
  <r>
    <s v="60.02"/>
    <x v="30"/>
    <x v="419"/>
    <s v="Списание с расчетного счета 00БП-005917 от 20.08.2025 18:07:36"/>
    <s v="20.08.25"/>
    <n v="25000"/>
    <m/>
    <m/>
    <d v="2025-08-20T00:00:00"/>
    <n v="42"/>
    <x v="1"/>
    <x v="4"/>
    <x v="1"/>
    <x v="0"/>
    <m/>
    <m/>
    <m/>
  </r>
  <r>
    <s v="60.02"/>
    <x v="30"/>
    <x v="419"/>
    <s v="Списание с расчетного счета 00БП-006328 от 08.09.2025 18:50:18"/>
    <s v="08.09.25"/>
    <n v="25000"/>
    <m/>
    <m/>
    <d v="2025-09-08T00:00:00"/>
    <n v="23"/>
    <x v="2"/>
    <x v="4"/>
    <x v="1"/>
    <x v="0"/>
    <m/>
    <m/>
    <m/>
  </r>
  <r>
    <s v="60.02"/>
    <x v="30"/>
    <x v="48"/>
    <s v="Списание с расчетного счета 00БП-006739 от 16.09.2025 17:34:57"/>
    <s v="16.09.25"/>
    <n v="25000"/>
    <m/>
    <m/>
    <d v="2025-09-16T00:00:00"/>
    <n v="15"/>
    <x v="2"/>
    <x v="4"/>
    <x v="1"/>
    <x v="0"/>
    <m/>
    <m/>
    <m/>
  </r>
  <r>
    <s v="60.02"/>
    <x v="30"/>
    <x v="420"/>
    <s v="Списание с расчетного счета 00БП-005915 от 20.08.2025 18:07:34"/>
    <s v="20.08.25"/>
    <n v="6600"/>
    <m/>
    <m/>
    <d v="2025-08-20T00:00:00"/>
    <n v="42"/>
    <x v="1"/>
    <x v="4"/>
    <x v="1"/>
    <x v="0"/>
    <m/>
    <m/>
    <m/>
  </r>
  <r>
    <s v="60.02"/>
    <x v="30"/>
    <x v="421"/>
    <s v="Списание с расчетного счета 00БП-006220 от 01.09.2025 18:18:41"/>
    <s v="01.09.25"/>
    <n v="25000"/>
    <m/>
    <m/>
    <d v="2025-09-01T00:00:00"/>
    <n v="30"/>
    <x v="2"/>
    <x v="4"/>
    <x v="1"/>
    <x v="0"/>
    <m/>
    <m/>
    <m/>
  </r>
  <r>
    <s v="60.02"/>
    <x v="30"/>
    <x v="421"/>
    <s v="Списание с расчетного счета 00БП-006737 от 16.09.2025 17:34:55"/>
    <s v="16.09.25"/>
    <n v="25000"/>
    <m/>
    <m/>
    <d v="2025-09-16T00:00:00"/>
    <n v="15"/>
    <x v="2"/>
    <x v="4"/>
    <x v="1"/>
    <x v="0"/>
    <m/>
    <m/>
    <m/>
  </r>
  <r>
    <s v="60.02"/>
    <x v="30"/>
    <x v="422"/>
    <s v="Списание с расчетного счета 00БП-006735 от 16.09.2025 17:34:53"/>
    <s v="16.09.25"/>
    <n v="25000"/>
    <m/>
    <m/>
    <d v="2025-09-16T00:00:00"/>
    <n v="15"/>
    <x v="2"/>
    <x v="4"/>
    <x v="1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492"/>
    <x v="5"/>
    <x v="4"/>
    <x v="1"/>
    <x v="0"/>
    <m/>
    <m/>
    <m/>
  </r>
  <r>
    <s v="60.02"/>
    <x v="30"/>
    <x v="50"/>
    <s v="Списание с расчетного счета 00БП-003005 от 23.05.2025 20:52:15"/>
    <s v="23.05.25"/>
    <n v="6600"/>
    <m/>
    <m/>
    <d v="2025-05-23T00:00:00"/>
    <n v="131"/>
    <x v="0"/>
    <x v="4"/>
    <x v="1"/>
    <x v="0"/>
    <m/>
    <m/>
    <m/>
  </r>
  <r>
    <s v="60.02"/>
    <x v="30"/>
    <x v="423"/>
    <s v="Списание с расчетного счета 00БП-005984 от 25.08.2025 20:08:32"/>
    <s v="25.08.25"/>
    <n v="25000"/>
    <m/>
    <m/>
    <d v="2025-08-25T00:00:00"/>
    <n v="37"/>
    <x v="1"/>
    <x v="4"/>
    <x v="1"/>
    <x v="0"/>
    <m/>
    <m/>
    <m/>
  </r>
  <r>
    <s v="60.02"/>
    <x v="30"/>
    <x v="424"/>
    <s v="Списание с расчетного счета 00БП-005918 от 20.08.2025 18:07:37"/>
    <s v="20.08.25"/>
    <n v="25000"/>
    <m/>
    <m/>
    <d v="2025-08-20T00:00:00"/>
    <n v="42"/>
    <x v="1"/>
    <x v="4"/>
    <x v="1"/>
    <x v="0"/>
    <m/>
    <m/>
    <m/>
  </r>
  <r>
    <s v="60.02"/>
    <x v="30"/>
    <x v="424"/>
    <s v="Списание с расчетного счета 00БП-006219 от 01.09.2025 18:18:40"/>
    <s v="01.09.25"/>
    <n v="25000"/>
    <m/>
    <m/>
    <d v="2025-09-01T00:00:00"/>
    <n v="30"/>
    <x v="2"/>
    <x v="4"/>
    <x v="1"/>
    <x v="0"/>
    <m/>
    <m/>
    <m/>
  </r>
  <r>
    <s v="60.02"/>
    <x v="30"/>
    <x v="424"/>
    <s v="Списание с расчетного счета 00БП-006738 от 16.09.2025 17:34:56"/>
    <s v="16.09.25"/>
    <n v="25000"/>
    <m/>
    <m/>
    <d v="2025-09-16T00:00:00"/>
    <n v="15"/>
    <x v="2"/>
    <x v="4"/>
    <x v="1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450"/>
    <x v="5"/>
    <x v="4"/>
    <x v="1"/>
    <x v="0"/>
    <m/>
    <m/>
    <m/>
  </r>
  <r>
    <s v="60.02"/>
    <x v="30"/>
    <x v="425"/>
    <s v="Списание с расчетного счета 00БП-005344 от 31.07.2025 23:59:59"/>
    <s v="31.07.25"/>
    <n v="25000"/>
    <m/>
    <m/>
    <d v="2025-07-31T00:00:00"/>
    <n v="62"/>
    <x v="1"/>
    <x v="4"/>
    <x v="1"/>
    <x v="0"/>
    <m/>
    <m/>
    <m/>
  </r>
  <r>
    <s v="60.02"/>
    <x v="30"/>
    <x v="426"/>
    <s v="Списание с расчетного счета 00БП-003837 от 16.06.2025 18:31:02"/>
    <s v="16.06.25"/>
    <n v="6600"/>
    <m/>
    <m/>
    <d v="2025-06-16T00:00:00"/>
    <n v="107"/>
    <x v="4"/>
    <x v="4"/>
    <x v="1"/>
    <x v="0"/>
    <m/>
    <m/>
    <m/>
  </r>
  <r>
    <s v="60.02"/>
    <x v="30"/>
    <x v="52"/>
    <s v="Списание с расчетного счета 00БП-006217 от 01.09.2025 18:18:38"/>
    <s v="01.09.25"/>
    <n v="25000"/>
    <m/>
    <m/>
    <d v="2025-09-01T00:00:00"/>
    <n v="30"/>
    <x v="2"/>
    <x v="4"/>
    <x v="1"/>
    <x v="0"/>
    <m/>
    <m/>
    <m/>
  </r>
  <r>
    <s v="60.02"/>
    <x v="30"/>
    <x v="427"/>
    <s v="Списание с расчетного счета 00БП-003015 от 23.05.2025 20:52:25"/>
    <s v="23.05.25"/>
    <n v="6600"/>
    <m/>
    <m/>
    <d v="2025-05-23T00:00:00"/>
    <n v="131"/>
    <x v="0"/>
    <x v="4"/>
    <x v="1"/>
    <x v="0"/>
    <m/>
    <m/>
    <m/>
  </r>
  <r>
    <s v="60.02"/>
    <x v="30"/>
    <x v="428"/>
    <s v="Списание с расчетного счета 00БП-006736 от 16.09.2025 17:34:54"/>
    <s v="16.09.25"/>
    <n v="18400"/>
    <m/>
    <m/>
    <d v="2025-09-16T00:00:00"/>
    <n v="15"/>
    <x v="2"/>
    <x v="4"/>
    <x v="1"/>
    <x v="0"/>
    <m/>
    <m/>
    <m/>
  </r>
  <r>
    <s v="60.02"/>
    <x v="30"/>
    <x v="365"/>
    <s v="Списание с расчетного счета 00БП-005916 от 20.08.2025 18:07:35"/>
    <s v="20.08.25"/>
    <n v="25000"/>
    <m/>
    <m/>
    <d v="2025-08-20T00:00:00"/>
    <n v="42"/>
    <x v="1"/>
    <x v="4"/>
    <x v="1"/>
    <x v="0"/>
    <m/>
    <m/>
    <m/>
  </r>
  <r>
    <s v="60.02"/>
    <x v="30"/>
    <x v="365"/>
    <s v="Списание с расчетного счета 00БП-006221 от 01.09.2025 18:18:42"/>
    <s v="01.09.25"/>
    <n v="25000"/>
    <m/>
    <m/>
    <d v="2025-09-01T00:00:00"/>
    <n v="30"/>
    <x v="2"/>
    <x v="4"/>
    <x v="1"/>
    <x v="0"/>
    <m/>
    <m/>
    <m/>
  </r>
  <r>
    <s v="60.02"/>
    <x v="30"/>
    <x v="365"/>
    <s v="Списание с расчетного счета 00БП-006329 от 08.09.2025 18:50:19"/>
    <s v="08.09.25"/>
    <n v="25000"/>
    <m/>
    <m/>
    <d v="2025-09-08T00:00:00"/>
    <n v="23"/>
    <x v="2"/>
    <x v="4"/>
    <x v="1"/>
    <x v="0"/>
    <m/>
    <m/>
    <m/>
  </r>
  <r>
    <s v="60.02"/>
    <x v="197"/>
    <x v="429"/>
    <s v="Списание с расчетного счета 00БП-009102 от 03.12.2024 16:43:31"/>
    <s v="03.12.24"/>
    <n v="360000"/>
    <m/>
    <m/>
    <d v="2024-12-03T00:00:00"/>
    <n v="302"/>
    <x v="6"/>
    <x v="4"/>
    <x v="1"/>
    <x v="0"/>
    <m/>
    <m/>
    <m/>
  </r>
  <r>
    <s v="60.02"/>
    <x v="198"/>
    <x v="430"/>
    <s v="Списание с расчетного счета 00БП-005794 от 13.08.2025 18:01:07"/>
    <s v="13.08.25"/>
    <n v="41994"/>
    <m/>
    <m/>
    <d v="2025-08-13T00:00:00"/>
    <n v="49"/>
    <x v="1"/>
    <x v="4"/>
    <x v="1"/>
    <x v="0"/>
    <m/>
    <m/>
    <m/>
  </r>
  <r>
    <s v="60.02"/>
    <x v="182"/>
    <x v="384"/>
    <s v="Списание с расчетного счета 00БП-006204 от 29.08.2025 23:56:48"/>
    <s v="29.08.25"/>
    <n v="600000"/>
    <m/>
    <m/>
    <d v="2025-08-29T00:00:00"/>
    <n v="33"/>
    <x v="1"/>
    <x v="4"/>
    <x v="1"/>
    <x v="0"/>
    <m/>
    <m/>
    <m/>
  </r>
  <r>
    <s v="60.02"/>
    <x v="32"/>
    <x v="54"/>
    <s v="Списание с расчетного счета 00БП-007131 от 29.09.2025 19:12:04"/>
    <s v="29.09.25"/>
    <n v="1750000"/>
    <m/>
    <m/>
    <d v="2025-09-29T00:00:00"/>
    <n v="2"/>
    <x v="2"/>
    <x v="4"/>
    <x v="1"/>
    <x v="0"/>
    <m/>
    <m/>
    <m/>
  </r>
  <r>
    <s v="60.02"/>
    <x v="32"/>
    <x v="56"/>
    <s v="Списание с расчетного счета 00БП-007130 от 29.09.2025 19:12:03"/>
    <s v="29.09.25"/>
    <n v="1750000"/>
    <m/>
    <m/>
    <d v="2025-09-29T00:00:00"/>
    <n v="2"/>
    <x v="2"/>
    <x v="4"/>
    <x v="1"/>
    <x v="0"/>
    <m/>
    <m/>
    <m/>
  </r>
  <r>
    <s v="60.02"/>
    <x v="32"/>
    <x v="58"/>
    <s v="Списание с расчетного счета 00БП-007129 от 29.09.2025 19:12:02"/>
    <s v="29.09.25"/>
    <n v="1750000"/>
    <m/>
    <m/>
    <d v="2025-09-29T00:00:00"/>
    <n v="2"/>
    <x v="2"/>
    <x v="4"/>
    <x v="1"/>
    <x v="0"/>
    <m/>
    <m/>
    <m/>
  </r>
  <r>
    <s v="60.02"/>
    <x v="199"/>
    <x v="431"/>
    <s v="Списание с расчетного счета 00БП-006407 от 11.09.2025 23:41:05"/>
    <s v="11.09.25"/>
    <n v="82000"/>
    <m/>
    <m/>
    <d v="2025-09-11T00:00:00"/>
    <n v="20"/>
    <x v="2"/>
    <x v="4"/>
    <x v="1"/>
    <x v="0"/>
    <m/>
    <m/>
    <m/>
  </r>
  <r>
    <s v="60.02"/>
    <x v="35"/>
    <x v="64"/>
    <s v="Списание с расчетного счета 00БП-002965 от 21.05.2025 20:10:56"/>
    <s v="21.05.25"/>
    <n v="275272"/>
    <m/>
    <m/>
    <d v="2025-05-21T00:00:00"/>
    <n v="133"/>
    <x v="0"/>
    <x v="4"/>
    <x v="1"/>
    <x v="11"/>
    <m/>
    <m/>
    <m/>
  </r>
  <r>
    <s v="60.02"/>
    <x v="200"/>
    <x v="432"/>
    <s v="Списание с расчетного счета 00БП-003024 от 23.05.2025 20:52:34"/>
    <s v="23.05.25"/>
    <n v="114279"/>
    <m/>
    <m/>
    <d v="2025-05-23T00:00:00"/>
    <n v="131"/>
    <x v="0"/>
    <x v="4"/>
    <x v="1"/>
    <x v="0"/>
    <m/>
    <m/>
    <m/>
  </r>
  <r>
    <s v="60.02"/>
    <x v="36"/>
    <x v="433"/>
    <s v="Списание с расчетного счета 00БП-006905 от 24.09.2025 18:36:07"/>
    <s v="24.09.25"/>
    <n v="2626275"/>
    <m/>
    <m/>
    <d v="2025-09-24T00:00:00"/>
    <n v="7"/>
    <x v="2"/>
    <x v="4"/>
    <x v="1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1528"/>
    <x v="5"/>
    <x v="4"/>
    <x v="1"/>
    <x v="0"/>
    <m/>
    <m/>
    <m/>
  </r>
  <r>
    <s v="60.02"/>
    <x v="38"/>
    <x v="75"/>
    <s v="Списание с расчетного счета 00БП-003554 от 10.06.2025 19:31:45"/>
    <s v="10.06.25"/>
    <n v="13936"/>
    <m/>
    <m/>
    <d v="2025-06-10T00:00:00"/>
    <n v="113"/>
    <x v="4"/>
    <x v="4"/>
    <x v="1"/>
    <x v="0"/>
    <m/>
    <m/>
    <m/>
  </r>
  <r>
    <s v="60.02"/>
    <x v="38"/>
    <x v="75"/>
    <s v="Списание с расчетного счета 00БП-003987 от 19.06.2025 19:28:50"/>
    <s v="19.06.25"/>
    <n v="682568"/>
    <m/>
    <m/>
    <d v="2025-06-19T00:00:00"/>
    <n v="104"/>
    <x v="4"/>
    <x v="4"/>
    <x v="1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533"/>
    <x v="5"/>
    <x v="4"/>
    <x v="1"/>
    <x v="0"/>
    <m/>
    <m/>
    <m/>
  </r>
  <r>
    <s v="60.02"/>
    <x v="38"/>
    <x v="80"/>
    <s v="Списание с расчетного счета 00БП-000423 от 28.02.2025 23:59:59"/>
    <s v="28.02.25"/>
    <n v="29963"/>
    <m/>
    <m/>
    <d v="2025-02-28T00:00:00"/>
    <n v="215"/>
    <x v="3"/>
    <x v="4"/>
    <x v="1"/>
    <x v="2"/>
    <m/>
    <m/>
    <m/>
  </r>
  <r>
    <s v="60.02"/>
    <x v="38"/>
    <x v="434"/>
    <s v="Списание с расчетного счета 00БП-006897 от 24.09.2025 18:35:59"/>
    <s v="24.09.25"/>
    <n v="44000"/>
    <m/>
    <m/>
    <d v="2025-09-24T00:00:00"/>
    <n v="7"/>
    <x v="2"/>
    <x v="4"/>
    <x v="1"/>
    <x v="0"/>
    <m/>
    <m/>
    <m/>
  </r>
  <r>
    <s v="60.02"/>
    <x v="202"/>
    <x v="435"/>
    <s v="Списание с расчетного счета 00БП-006872 от 23.09.2025 18:41:19"/>
    <s v="23.09.25"/>
    <n v="17390"/>
    <m/>
    <m/>
    <d v="2025-09-23T00:00:00"/>
    <n v="8"/>
    <x v="2"/>
    <x v="4"/>
    <x v="1"/>
    <x v="0"/>
    <m/>
    <m/>
    <m/>
  </r>
  <r>
    <s v="60.02"/>
    <x v="203"/>
    <x v="436"/>
    <s v="Списание с расчетного счета 00БП-004553 от 09.07.2025 20:21:36"/>
    <s v="09.07.25"/>
    <n v="28320"/>
    <m/>
    <m/>
    <d v="2025-07-09T00:00:00"/>
    <n v="84"/>
    <x v="1"/>
    <x v="4"/>
    <x v="1"/>
    <x v="0"/>
    <m/>
    <m/>
    <m/>
  </r>
  <r>
    <s v="60.02"/>
    <x v="203"/>
    <x v="437"/>
    <s v="Списание с расчетного счета 00БП-002949 от 21.05.2025 20:10:40"/>
    <s v="21.05.25"/>
    <n v="3460"/>
    <m/>
    <m/>
    <d v="2025-05-21T00:00:00"/>
    <n v="133"/>
    <x v="0"/>
    <x v="4"/>
    <x v="1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482"/>
    <x v="5"/>
    <x v="4"/>
    <x v="1"/>
    <x v="9"/>
    <m/>
    <m/>
    <m/>
  </r>
  <r>
    <s v="60.02"/>
    <x v="40"/>
    <x v="438"/>
    <s v="Списание с расчетного счета 00БП-007113 от 29.09.2025 19:11:46"/>
    <s v="29.09.25"/>
    <n v="2178"/>
    <m/>
    <m/>
    <d v="2025-09-29T00:00:00"/>
    <n v="2"/>
    <x v="2"/>
    <x v="4"/>
    <x v="1"/>
    <x v="0"/>
    <m/>
    <m/>
    <m/>
  </r>
  <r>
    <s v="60.02"/>
    <x v="40"/>
    <x v="439"/>
    <s v="Списание с расчетного счета 00БП-006408 от 11.09.2025 23:41:06"/>
    <s v="11.09.25"/>
    <n v="177294"/>
    <m/>
    <m/>
    <d v="2025-09-11T00:00:00"/>
    <n v="20"/>
    <x v="2"/>
    <x v="4"/>
    <x v="1"/>
    <x v="0"/>
    <m/>
    <m/>
    <m/>
  </r>
  <r>
    <s v="60.02"/>
    <x v="40"/>
    <x v="440"/>
    <s v="Списание с расчетного счета 00БП-005516 от 11.08.2025 17:47:01"/>
    <s v="11.08.25"/>
    <n v="2377"/>
    <m/>
    <m/>
    <d v="2025-08-11T00:00:00"/>
    <n v="51"/>
    <x v="1"/>
    <x v="4"/>
    <x v="1"/>
    <x v="0"/>
    <m/>
    <m/>
    <m/>
  </r>
  <r>
    <s v="60.02"/>
    <x v="40"/>
    <x v="441"/>
    <s v="Списание с расчетного счета 00БП-006923 от 25.09.2025 17:23:19"/>
    <s v="25.09.25"/>
    <n v="1821"/>
    <m/>
    <m/>
    <d v="2025-09-25T00:00:00"/>
    <n v="6"/>
    <x v="2"/>
    <x v="4"/>
    <x v="1"/>
    <x v="0"/>
    <m/>
    <m/>
    <m/>
  </r>
  <r>
    <s v="60.02"/>
    <x v="40"/>
    <x v="442"/>
    <s v="Списание с расчетного счета 00БП-007153 от 30.09.2025 23:59:59"/>
    <s v="30.09.25"/>
    <n v="2347"/>
    <m/>
    <m/>
    <d v="2025-09-30T00:00:00"/>
    <n v="1"/>
    <x v="2"/>
    <x v="4"/>
    <x v="1"/>
    <x v="0"/>
    <m/>
    <m/>
    <m/>
  </r>
  <r>
    <s v="60.02"/>
    <x v="40"/>
    <x v="443"/>
    <s v="Списание с расчетного счета 00БП-006956 от 26.09.2025 18:43:04"/>
    <s v="26.09.25"/>
    <n v="21382"/>
    <m/>
    <m/>
    <d v="2025-09-26T00:00:00"/>
    <n v="5"/>
    <x v="2"/>
    <x v="4"/>
    <x v="1"/>
    <x v="0"/>
    <m/>
    <m/>
    <m/>
  </r>
  <r>
    <s v="60.02"/>
    <x v="40"/>
    <x v="444"/>
    <s v="Списание с расчетного счета 00БП-006935 от 25.09.2025 17:23:31"/>
    <s v="25.09.25"/>
    <n v="53919"/>
    <m/>
    <m/>
    <d v="2025-09-25T00:00:00"/>
    <n v="6"/>
    <x v="2"/>
    <x v="4"/>
    <x v="1"/>
    <x v="0"/>
    <m/>
    <m/>
    <m/>
  </r>
  <r>
    <s v="60.02"/>
    <x v="40"/>
    <x v="445"/>
    <s v="Списание с расчетного счета 00БП-006921 от 25.09.2025 17:23:17"/>
    <s v="25.09.25"/>
    <n v="1346"/>
    <m/>
    <m/>
    <d v="2025-09-25T00:00:00"/>
    <n v="6"/>
    <x v="2"/>
    <x v="4"/>
    <x v="1"/>
    <x v="0"/>
    <m/>
    <m/>
    <m/>
  </r>
  <r>
    <s v="60.02"/>
    <x v="40"/>
    <x v="446"/>
    <s v="Списание с расчетного счета 00БП-006423 от 12.09.2025 17:30:25"/>
    <s v="12.09.25"/>
    <n v="1966"/>
    <m/>
    <m/>
    <d v="2025-09-12T00:00:00"/>
    <n v="19"/>
    <x v="2"/>
    <x v="4"/>
    <x v="1"/>
    <x v="0"/>
    <m/>
    <m/>
    <m/>
  </r>
  <r>
    <s v="60.02"/>
    <x v="40"/>
    <x v="447"/>
    <s v="Списание с расчетного счета 00БП-006867 от 23.09.2025 18:41:14"/>
    <s v="23.09.25"/>
    <n v="4696"/>
    <m/>
    <m/>
    <d v="2025-09-23T00:00:00"/>
    <n v="8"/>
    <x v="2"/>
    <x v="4"/>
    <x v="1"/>
    <x v="0"/>
    <m/>
    <m/>
    <m/>
  </r>
  <r>
    <s v="60.02"/>
    <x v="40"/>
    <x v="89"/>
    <s v="Списание с расчетного счета 00БП-005955 от 22.08.2025 17:42:38"/>
    <s v="22.08.25"/>
    <n v="39046"/>
    <m/>
    <m/>
    <d v="2025-08-22T00:00:00"/>
    <n v="40"/>
    <x v="1"/>
    <x v="4"/>
    <x v="1"/>
    <x v="0"/>
    <m/>
    <m/>
    <m/>
  </r>
  <r>
    <s v="60.02"/>
    <x v="40"/>
    <x v="367"/>
    <s v="Списание с расчетного счета 00БП-006837 от 22.09.2025 19:07:50"/>
    <s v="22.09.25"/>
    <n v="3629"/>
    <m/>
    <m/>
    <d v="2025-09-22T00:00:00"/>
    <n v="9"/>
    <x v="2"/>
    <x v="4"/>
    <x v="1"/>
    <x v="0"/>
    <m/>
    <m/>
    <m/>
  </r>
  <r>
    <s v="60.02"/>
    <x v="40"/>
    <x v="448"/>
    <s v="Списание с расчетного счета 00БП-007118 от 29.09.2025 19:11:51"/>
    <s v="29.09.25"/>
    <n v="5509"/>
    <m/>
    <m/>
    <d v="2025-09-29T00:00:00"/>
    <n v="2"/>
    <x v="2"/>
    <x v="4"/>
    <x v="1"/>
    <x v="0"/>
    <m/>
    <m/>
    <m/>
  </r>
  <r>
    <s v="60.02"/>
    <x v="40"/>
    <x v="90"/>
    <s v="Списание с расчетного счета 00БП-004471 от 07.07.2025 17:53:43"/>
    <s v="07.07.25"/>
    <n v="780"/>
    <m/>
    <m/>
    <d v="2025-07-07T00:00:00"/>
    <n v="86"/>
    <x v="1"/>
    <x v="4"/>
    <x v="1"/>
    <x v="0"/>
    <m/>
    <m/>
    <m/>
  </r>
  <r>
    <s v="60.02"/>
    <x v="40"/>
    <x v="91"/>
    <s v="Списание с расчетного счета 00БП-005515 от 11.08.2025 17:47:00"/>
    <s v="11.08.25"/>
    <n v="2154"/>
    <m/>
    <m/>
    <d v="2025-08-11T00:00:00"/>
    <n v="51"/>
    <x v="1"/>
    <x v="4"/>
    <x v="1"/>
    <x v="0"/>
    <m/>
    <m/>
    <m/>
  </r>
  <r>
    <s v="60.02"/>
    <x v="40"/>
    <x v="449"/>
    <s v="Списание с расчетного счета 00БП-006324 от 08.09.2025 18:50:14"/>
    <s v="08.09.25"/>
    <n v="2375"/>
    <m/>
    <m/>
    <d v="2025-09-08T00:00:00"/>
    <n v="23"/>
    <x v="2"/>
    <x v="4"/>
    <x v="1"/>
    <x v="0"/>
    <m/>
    <m/>
    <m/>
  </r>
  <r>
    <s v="60.02"/>
    <x v="40"/>
    <x v="450"/>
    <s v="Списание с расчетного счета 00БП-006333 от 08.09.2025 18:50:23"/>
    <s v="08.09.25"/>
    <n v="59209"/>
    <m/>
    <m/>
    <d v="2025-09-08T00:00:00"/>
    <n v="23"/>
    <x v="2"/>
    <x v="4"/>
    <x v="1"/>
    <x v="0"/>
    <m/>
    <m/>
    <m/>
  </r>
  <r>
    <s v="60.02"/>
    <x v="40"/>
    <x v="451"/>
    <s v="Списание с расчетного счета 00БП-006404 от 11.09.2025 23:41:02"/>
    <s v="11.09.25"/>
    <n v="59988"/>
    <m/>
    <m/>
    <d v="2025-09-11T00:00:00"/>
    <n v="20"/>
    <x v="2"/>
    <x v="4"/>
    <x v="1"/>
    <x v="0"/>
    <m/>
    <m/>
    <m/>
  </r>
  <r>
    <s v="60.02"/>
    <x v="40"/>
    <x v="99"/>
    <s v="Списание с расчетного счета 00БП-005289 от 29.07.2025 20:44:17"/>
    <s v="29.07.25"/>
    <n v="1140"/>
    <m/>
    <m/>
    <d v="2025-07-29T00:00:00"/>
    <n v="64"/>
    <x v="1"/>
    <x v="4"/>
    <x v="1"/>
    <x v="0"/>
    <m/>
    <m/>
    <m/>
  </r>
  <r>
    <s v="60.02"/>
    <x v="40"/>
    <x v="452"/>
    <s v="Списание с расчетного счета 00БП-006920 от 25.09.2025 17:23:16"/>
    <s v="25.09.25"/>
    <n v="839"/>
    <m/>
    <m/>
    <d v="2025-09-25T00:00:00"/>
    <n v="6"/>
    <x v="2"/>
    <x v="4"/>
    <x v="1"/>
    <x v="0"/>
    <m/>
    <m/>
    <m/>
  </r>
  <r>
    <s v="60.02"/>
    <x v="40"/>
    <x v="101"/>
    <s v="Списание с расчетного счета 00БП-006819 от 19.09.2025 17:32:15"/>
    <s v="19.09.25"/>
    <n v="6411"/>
    <m/>
    <m/>
    <d v="2025-09-19T00:00:00"/>
    <n v="12"/>
    <x v="2"/>
    <x v="4"/>
    <x v="1"/>
    <x v="0"/>
    <m/>
    <m/>
    <m/>
  </r>
  <r>
    <s v="60.02"/>
    <x v="40"/>
    <x v="453"/>
    <s v="Списание с расчетного счета 00БП-006006 от 26.08.2025 19:15:01"/>
    <s v="26.08.25"/>
    <n v="7533"/>
    <m/>
    <m/>
    <d v="2025-08-26T00:00:00"/>
    <n v="36"/>
    <x v="1"/>
    <x v="4"/>
    <x v="1"/>
    <x v="0"/>
    <m/>
    <m/>
    <m/>
  </r>
  <r>
    <s v="60.02"/>
    <x v="42"/>
    <x v="454"/>
    <s v="Списание с расчетного счета 00БП-005489 от 08.08.2025 19:20:52"/>
    <s v="08.08.25"/>
    <n v="35398"/>
    <m/>
    <m/>
    <d v="2025-08-08T00:00:00"/>
    <n v="54"/>
    <x v="1"/>
    <x v="4"/>
    <x v="1"/>
    <x v="0"/>
    <m/>
    <m/>
    <m/>
  </r>
  <r>
    <s v="60.02"/>
    <x v="204"/>
    <x v="455"/>
    <s v="Списание с расчетного счета 00БП-006877 от 23.09.2025 18:41:24"/>
    <s v="23.09.25"/>
    <n v="68367"/>
    <m/>
    <m/>
    <d v="2025-09-23T00:00:00"/>
    <n v="8"/>
    <x v="2"/>
    <x v="4"/>
    <x v="1"/>
    <x v="0"/>
    <m/>
    <m/>
    <m/>
  </r>
  <r>
    <s v="60.02"/>
    <x v="204"/>
    <x v="456"/>
    <s v="Списание с расчетного счета 00БП-006890 от 24.09.2025 18:35:52"/>
    <s v="24.09.25"/>
    <n v="1100"/>
    <m/>
    <m/>
    <d v="2025-09-24T00:00:00"/>
    <n v="7"/>
    <x v="2"/>
    <x v="4"/>
    <x v="1"/>
    <x v="0"/>
    <m/>
    <m/>
    <m/>
  </r>
  <r>
    <s v="60.02"/>
    <x v="204"/>
    <x v="457"/>
    <s v="Списание с расчетного счета 00БП-007157 от 30.09.2025 23:59:59"/>
    <s v="30.09.25"/>
    <n v="4156"/>
    <m/>
    <m/>
    <d v="2025-09-30T00:00:00"/>
    <n v="1"/>
    <x v="2"/>
    <x v="4"/>
    <x v="1"/>
    <x v="0"/>
    <m/>
    <m/>
    <m/>
  </r>
  <r>
    <s v="60.02"/>
    <x v="204"/>
    <x v="458"/>
    <s v="Списание с расчетного счета 00БП-006895 от 24.09.2025 18:35:57"/>
    <s v="24.09.25"/>
    <n v="32535"/>
    <m/>
    <m/>
    <d v="2025-09-24T00:00:00"/>
    <n v="7"/>
    <x v="2"/>
    <x v="4"/>
    <x v="1"/>
    <x v="0"/>
    <m/>
    <m/>
    <m/>
  </r>
  <r>
    <s v="60.02"/>
    <x v="205"/>
    <x v="459"/>
    <s v="Списание с расчетного счета 00БП-006242 от 02.09.2025 18:32:28"/>
    <s v="02.09.25"/>
    <n v="10236"/>
    <m/>
    <m/>
    <d v="2025-09-02T00:00:00"/>
    <n v="29"/>
    <x v="2"/>
    <x v="4"/>
    <x v="1"/>
    <x v="0"/>
    <m/>
    <m/>
    <m/>
  </r>
  <r>
    <s v="60.02"/>
    <x v="205"/>
    <x v="459"/>
    <s v="Списание с расчетного счета 00БП-006246 от 02.09.2025 18:32:32"/>
    <s v="02.09.25"/>
    <n v="34130"/>
    <m/>
    <m/>
    <d v="2025-09-02T00:00:00"/>
    <n v="29"/>
    <x v="2"/>
    <x v="4"/>
    <x v="1"/>
    <x v="0"/>
    <m/>
    <m/>
    <m/>
  </r>
  <r>
    <s v="60.02"/>
    <x v="206"/>
    <x v="460"/>
    <s v="Корректировка поступления 00БП-000021 от 23.07.2025 16:48:30"/>
    <s v="23.07.25"/>
    <n v="90000"/>
    <m/>
    <m/>
    <d v="2025-07-23T00:00:00"/>
    <n v="70"/>
    <x v="1"/>
    <x v="4"/>
    <x v="1"/>
    <x v="0"/>
    <m/>
    <m/>
    <m/>
  </r>
  <r>
    <s v="60.02"/>
    <x v="183"/>
    <x v="385"/>
    <s v="Списание с расчетного счета 00БП-003906 от 17.06.2025 22:58:32"/>
    <s v="17.06.25"/>
    <n v="70000"/>
    <m/>
    <m/>
    <d v="2025-06-17T00:00:00"/>
    <n v="106"/>
    <x v="4"/>
    <x v="4"/>
    <x v="1"/>
    <x v="0"/>
    <m/>
    <m/>
    <m/>
  </r>
  <r>
    <s v="60.02"/>
    <x v="183"/>
    <x v="385"/>
    <s v="Списание с расчетного счета 00БП-004432 от 03.07.2025 18:29:09"/>
    <s v="03.07.25"/>
    <n v="180000"/>
    <m/>
    <m/>
    <d v="2025-07-03T00:00:00"/>
    <n v="90"/>
    <x v="1"/>
    <x v="4"/>
    <x v="1"/>
    <x v="0"/>
    <m/>
    <m/>
    <m/>
  </r>
  <r>
    <s v="60.02"/>
    <x v="207"/>
    <x v="73"/>
    <s v="Авансовый отчет 00БП-000269 от 26.08.2025 11:55:19"/>
    <s v="26.08.25"/>
    <n v="1555"/>
    <m/>
    <m/>
    <d v="2025-08-26T00:00:00"/>
    <n v="36"/>
    <x v="1"/>
    <x v="4"/>
    <x v="1"/>
    <x v="0"/>
    <m/>
    <m/>
    <m/>
  </r>
  <r>
    <s v="60.02"/>
    <x v="208"/>
    <x v="461"/>
    <s v="Списание с расчетного счета 00БП-003336 от 07.06.2024 20:17:33"/>
    <s v="07.06.24"/>
    <n v="1000"/>
    <m/>
    <m/>
    <d v="2024-06-07T00:00:00"/>
    <n v="481"/>
    <x v="5"/>
    <x v="4"/>
    <x v="1"/>
    <x v="0"/>
    <m/>
    <m/>
    <m/>
  </r>
  <r>
    <s v="60.02"/>
    <x v="209"/>
    <x v="462"/>
    <s v="Списание с расчетного счета 00БП-002146 от 25.04.2025 19:00:37"/>
    <s v="25.04.25"/>
    <n v="2000"/>
    <m/>
    <m/>
    <d v="2025-04-25T00:00:00"/>
    <n v="159"/>
    <x v="0"/>
    <x v="4"/>
    <x v="1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1331"/>
    <x v="5"/>
    <x v="4"/>
    <x v="1"/>
    <x v="8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1158"/>
    <x v="5"/>
    <x v="4"/>
    <x v="1"/>
    <x v="2"/>
    <m/>
    <m/>
    <m/>
  </r>
  <r>
    <s v="60.02"/>
    <x v="50"/>
    <x v="126"/>
    <s v="Списание с расчетного счета 00БП-004119 от 25.06.2025 20:39:20"/>
    <s v="25.06.25"/>
    <n v="298613.92"/>
    <m/>
    <m/>
    <d v="2025-06-25T00:00:00"/>
    <n v="98"/>
    <x v="4"/>
    <x v="4"/>
    <x v="1"/>
    <x v="0"/>
    <m/>
    <m/>
    <m/>
  </r>
  <r>
    <s v="60.02"/>
    <x v="51"/>
    <x v="127"/>
    <s v="Списание с расчетного счета 00БП-005812 от 14.08.2025 18:36:40"/>
    <s v="14.08.25"/>
    <n v="5478"/>
    <m/>
    <m/>
    <d v="2025-08-14T00:00:00"/>
    <n v="48"/>
    <x v="1"/>
    <x v="4"/>
    <x v="1"/>
    <x v="0"/>
    <m/>
    <m/>
    <m/>
  </r>
  <r>
    <s v="60.02"/>
    <x v="51"/>
    <x v="464"/>
    <s v="Списание с расчетного счета 00БП-006244 от 02.09.2025 18:32:30"/>
    <s v="02.09.25"/>
    <n v="11849"/>
    <m/>
    <m/>
    <d v="2025-09-02T00:00:00"/>
    <n v="29"/>
    <x v="2"/>
    <x v="4"/>
    <x v="1"/>
    <x v="0"/>
    <m/>
    <m/>
    <m/>
  </r>
  <r>
    <s v="60.02"/>
    <x v="51"/>
    <x v="465"/>
    <s v="Списание с расчетного счета 00БП-006259 от 03.09.2025 17:18:10"/>
    <s v="03.09.25"/>
    <n v="15728"/>
    <m/>
    <m/>
    <d v="2025-09-03T00:00:00"/>
    <n v="28"/>
    <x v="2"/>
    <x v="4"/>
    <x v="1"/>
    <x v="0"/>
    <m/>
    <m/>
    <m/>
  </r>
  <r>
    <s v="60.02"/>
    <x v="51"/>
    <x v="466"/>
    <s v="Списание с расчетного счета 00БП-006732 от 16.09.2025 17:34:50"/>
    <s v="16.09.25"/>
    <n v="2576"/>
    <m/>
    <m/>
    <d v="2025-09-16T00:00:00"/>
    <n v="15"/>
    <x v="2"/>
    <x v="4"/>
    <x v="1"/>
    <x v="0"/>
    <m/>
    <m/>
    <m/>
  </r>
  <r>
    <s v="60.02"/>
    <x v="51"/>
    <x v="467"/>
    <s v="Списание с расчетного счета 00БП-006257 от 03.09.2025 17:18:08"/>
    <s v="03.09.25"/>
    <n v="2037"/>
    <m/>
    <m/>
    <d v="2025-09-03T00:00:00"/>
    <n v="28"/>
    <x v="2"/>
    <x v="4"/>
    <x v="1"/>
    <x v="0"/>
    <m/>
    <m/>
    <m/>
  </r>
  <r>
    <s v="60.02"/>
    <x v="51"/>
    <x v="468"/>
    <s v="Списание с расчетного счета 00БП-006351 от 09.09.2025 23:59:59"/>
    <s v="09.09.25"/>
    <n v="27006"/>
    <m/>
    <m/>
    <d v="2025-09-09T00:00:00"/>
    <n v="22"/>
    <x v="2"/>
    <x v="4"/>
    <x v="1"/>
    <x v="0"/>
    <m/>
    <m/>
    <m/>
  </r>
  <r>
    <s v="60.02"/>
    <x v="51"/>
    <x v="469"/>
    <s v="Списание с расчетного счета 00БП-006378 от 10.09.2025 18:06:40"/>
    <s v="10.09.25"/>
    <n v="32775"/>
    <m/>
    <m/>
    <d v="2025-09-10T00:00:00"/>
    <n v="21"/>
    <x v="2"/>
    <x v="4"/>
    <x v="1"/>
    <x v="0"/>
    <m/>
    <m/>
    <m/>
  </r>
  <r>
    <s v="60.02"/>
    <x v="51"/>
    <x v="470"/>
    <s v="Списание с расчетного счета 00БП-006930 от 25.09.2025 17:23:26"/>
    <s v="25.09.25"/>
    <n v="6679"/>
    <m/>
    <m/>
    <d v="2025-09-25T00:00:00"/>
    <n v="6"/>
    <x v="2"/>
    <x v="4"/>
    <x v="1"/>
    <x v="0"/>
    <m/>
    <m/>
    <m/>
  </r>
  <r>
    <s v="60.02"/>
    <x v="51"/>
    <x v="471"/>
    <s v="Списание с расчетного счета 00БП-006925 от 25.09.2025 17:23:21"/>
    <s v="25.09.25"/>
    <n v="1989"/>
    <m/>
    <m/>
    <d v="2025-09-25T00:00:00"/>
    <n v="6"/>
    <x v="2"/>
    <x v="4"/>
    <x v="1"/>
    <x v="0"/>
    <m/>
    <m/>
    <m/>
  </r>
  <r>
    <s v="60.02"/>
    <x v="51"/>
    <x v="472"/>
    <s v="Списание с расчетного счета 00БП-007166 от 30.09.2025 23:59:59"/>
    <s v="30.09.25"/>
    <n v="23675"/>
    <m/>
    <m/>
    <d v="2025-09-30T00:00:00"/>
    <n v="1"/>
    <x v="2"/>
    <x v="4"/>
    <x v="1"/>
    <x v="0"/>
    <m/>
    <m/>
    <m/>
  </r>
  <r>
    <s v="60.02"/>
    <x v="51"/>
    <x v="473"/>
    <s v="Списание с расчетного счета 00БП-006836 от 22.09.2025 19:07:49"/>
    <s v="22.09.25"/>
    <n v="1980"/>
    <m/>
    <m/>
    <d v="2025-09-22T00:00:00"/>
    <n v="9"/>
    <x v="2"/>
    <x v="4"/>
    <x v="1"/>
    <x v="0"/>
    <m/>
    <m/>
    <m/>
  </r>
  <r>
    <s v="60.02"/>
    <x v="51"/>
    <x v="474"/>
    <s v="Списание с расчетного счета 00БП-006841 от 22.09.2025 19:07:54"/>
    <s v="22.09.25"/>
    <n v="15628"/>
    <m/>
    <m/>
    <d v="2025-09-22T00:00:00"/>
    <n v="9"/>
    <x v="2"/>
    <x v="4"/>
    <x v="1"/>
    <x v="0"/>
    <m/>
    <m/>
    <m/>
  </r>
  <r>
    <s v="60.02"/>
    <x v="51"/>
    <x v="475"/>
    <s v="Списание с расчетного счета 00БП-006874 от 23.09.2025 18:41:21"/>
    <s v="23.09.25"/>
    <n v="21250"/>
    <m/>
    <m/>
    <d v="2025-09-23T00:00:00"/>
    <n v="8"/>
    <x v="2"/>
    <x v="4"/>
    <x v="1"/>
    <x v="0"/>
    <m/>
    <m/>
    <m/>
  </r>
  <r>
    <s v="60.02"/>
    <x v="51"/>
    <x v="476"/>
    <s v="Списание с расчетного счета 00БП-006860 от 23.09.2025 18:41:07"/>
    <s v="23.09.25"/>
    <n v="1870"/>
    <m/>
    <m/>
    <d v="2025-09-23T00:00:00"/>
    <n v="8"/>
    <x v="2"/>
    <x v="4"/>
    <x v="1"/>
    <x v="0"/>
    <m/>
    <m/>
    <m/>
  </r>
  <r>
    <s v="60.02"/>
    <x v="52"/>
    <x v="130"/>
    <s v="Списание с расчетного счета 00БП-004118 от 25.06.2025 20:39:19"/>
    <s v="25.06.25"/>
    <n v="52500"/>
    <m/>
    <m/>
    <d v="2025-06-25T00:00:00"/>
    <n v="98"/>
    <x v="4"/>
    <x v="4"/>
    <x v="1"/>
    <x v="0"/>
    <m/>
    <m/>
    <m/>
  </r>
  <r>
    <s v="60.02"/>
    <x v="52"/>
    <x v="130"/>
    <s v="Списание с расчетного счета 00БП-006164 от 28.08.2025 19:12:06"/>
    <s v="28.08.25"/>
    <n v="297500"/>
    <m/>
    <m/>
    <d v="2025-08-28T00:00:00"/>
    <n v="34"/>
    <x v="1"/>
    <x v="4"/>
    <x v="1"/>
    <x v="0"/>
    <m/>
    <m/>
    <m/>
  </r>
  <r>
    <s v="60.02"/>
    <x v="211"/>
    <x v="477"/>
    <s v="Списание с расчетного счета 00БП-006824 от 19.09.2025 17:32:20"/>
    <s v="19.09.25"/>
    <n v="19500"/>
    <m/>
    <m/>
    <d v="2025-09-19T00:00:00"/>
    <n v="12"/>
    <x v="2"/>
    <x v="4"/>
    <x v="1"/>
    <x v="0"/>
    <m/>
    <m/>
    <m/>
  </r>
  <r>
    <s v="60.02"/>
    <x v="175"/>
    <x v="369"/>
    <s v="Списание с расчетного счета 00БП-006381 от 10.09.2025 18:06:43"/>
    <s v="10.09.25"/>
    <n v="207900"/>
    <m/>
    <m/>
    <d v="2025-09-10T00:00:00"/>
    <n v="21"/>
    <x v="2"/>
    <x v="4"/>
    <x v="1"/>
    <x v="0"/>
    <m/>
    <m/>
    <m/>
  </r>
  <r>
    <s v="60.02"/>
    <x v="212"/>
    <x v="478"/>
    <s v="Списание с расчетного счета 00БП-002032 от 24.04.2025 18:07:44"/>
    <s v="24.04.25"/>
    <n v="38960"/>
    <m/>
    <m/>
    <d v="2025-04-24T00:00:00"/>
    <n v="160"/>
    <x v="0"/>
    <x v="4"/>
    <x v="1"/>
    <x v="0"/>
    <m/>
    <m/>
    <m/>
  </r>
  <r>
    <s v="60.02"/>
    <x v="213"/>
    <x v="479"/>
    <s v="Списание с расчетного счета 00БП-003273 от 05.06.2024 18:44:06"/>
    <s v="05.06.24"/>
    <n v="2220000"/>
    <m/>
    <m/>
    <d v="2024-06-05T00:00:00"/>
    <n v="483"/>
    <x v="5"/>
    <x v="4"/>
    <x v="1"/>
    <x v="20"/>
    <m/>
    <m/>
    <m/>
  </r>
  <r>
    <s v="60.02"/>
    <x v="213"/>
    <x v="480"/>
    <s v="Списание с расчетного счета 00БП-007991 от 28.12.2023 15:20:52"/>
    <s v="28.12.23"/>
    <n v="352732.55"/>
    <m/>
    <m/>
    <d v="2023-12-28T00:00:00"/>
    <n v="643"/>
    <x v="5"/>
    <x v="4"/>
    <x v="1"/>
    <x v="20"/>
    <m/>
    <m/>
    <m/>
  </r>
  <r>
    <s v="60.02"/>
    <x v="54"/>
    <x v="386"/>
    <s v="Списание с расчетного счета 00БП-004098 от 24.06.2025 23:59:59"/>
    <s v="24.06.25"/>
    <n v="1586.1"/>
    <m/>
    <m/>
    <d v="2025-06-24T00:00:00"/>
    <n v="99"/>
    <x v="4"/>
    <x v="4"/>
    <x v="1"/>
    <x v="0"/>
    <m/>
    <m/>
    <m/>
  </r>
  <r>
    <s v="60.02"/>
    <x v="54"/>
    <x v="481"/>
    <s v="Списание с расчетного счета 00БП-000974 от 26.03.2025 19:28:59"/>
    <s v="26.03.25"/>
    <n v="3424"/>
    <m/>
    <m/>
    <d v="2025-03-26T00:00:00"/>
    <n v="189"/>
    <x v="3"/>
    <x v="4"/>
    <x v="1"/>
    <x v="0"/>
    <m/>
    <m/>
    <m/>
  </r>
  <r>
    <s v="60.02"/>
    <x v="54"/>
    <x v="482"/>
    <s v="Списание с расчетного счета 00БП-006761 от 17.09.2025 19:43:13"/>
    <s v="17.09.25"/>
    <n v="60"/>
    <m/>
    <m/>
    <d v="2025-09-17T00:00:00"/>
    <n v="14"/>
    <x v="2"/>
    <x v="4"/>
    <x v="1"/>
    <x v="0"/>
    <m/>
    <m/>
    <m/>
  </r>
  <r>
    <s v="60.02"/>
    <x v="54"/>
    <x v="388"/>
    <s v="Списание с расчетного счета 00БП-001343 от 07.04.2025 19:17:39"/>
    <s v="07.04.25"/>
    <n v="88390"/>
    <m/>
    <m/>
    <d v="2025-04-07T00:00:00"/>
    <n v="177"/>
    <x v="0"/>
    <x v="4"/>
    <x v="1"/>
    <x v="0"/>
    <m/>
    <m/>
    <m/>
  </r>
  <r>
    <s v="60.02"/>
    <x v="56"/>
    <x v="137"/>
    <s v="Списание с расчетного счета 00БП-005850 от 15.08.2025 19:11:20"/>
    <s v="15.08.25"/>
    <n v="7941"/>
    <m/>
    <m/>
    <d v="2025-08-15T00:00:00"/>
    <n v="47"/>
    <x v="1"/>
    <x v="4"/>
    <x v="1"/>
    <x v="0"/>
    <m/>
    <m/>
    <m/>
  </r>
  <r>
    <s v="60.02"/>
    <x v="57"/>
    <x v="138"/>
    <s v="Списание с расчетного счета 00БП-007168 от 30.09.2025 23:59:59"/>
    <s v="30.09.25"/>
    <n v="30000"/>
    <m/>
    <m/>
    <d v="2025-09-30T00:00:00"/>
    <n v="1"/>
    <x v="2"/>
    <x v="4"/>
    <x v="1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736"/>
    <x v="5"/>
    <x v="4"/>
    <x v="1"/>
    <x v="0"/>
    <m/>
    <m/>
    <m/>
  </r>
  <r>
    <s v="60.02"/>
    <x v="214"/>
    <x v="483"/>
    <s v="Списание с расчетного счета 00БП-003561 от 10.06.2025 19:31:52"/>
    <s v="10.06.25"/>
    <n v="50000000"/>
    <m/>
    <m/>
    <d v="2025-06-10T00:00:00"/>
    <n v="113"/>
    <x v="4"/>
    <x v="4"/>
    <x v="1"/>
    <x v="0"/>
    <m/>
    <m/>
    <m/>
  </r>
  <r>
    <s v="60.02"/>
    <x v="214"/>
    <x v="483"/>
    <s v="Списание с расчетного счета 00БП-005065 от 23.07.2025 20:44:30"/>
    <s v="23.07.25"/>
    <n v="35000000"/>
    <m/>
    <m/>
    <d v="2025-07-23T00:00:00"/>
    <n v="70"/>
    <x v="1"/>
    <x v="4"/>
    <x v="1"/>
    <x v="0"/>
    <m/>
    <m/>
    <m/>
  </r>
  <r>
    <s v="60.02"/>
    <x v="214"/>
    <x v="483"/>
    <s v="Списание с расчетного счета 00БП-005965 от 22.08.2025 17:42:48"/>
    <s v="22.08.25"/>
    <n v="35000000"/>
    <m/>
    <m/>
    <d v="2025-08-22T00:00:00"/>
    <n v="40"/>
    <x v="1"/>
    <x v="4"/>
    <x v="1"/>
    <x v="0"/>
    <m/>
    <m/>
    <m/>
  </r>
  <r>
    <s v="60.02"/>
    <x v="214"/>
    <x v="483"/>
    <s v="Списание с расчетного счета 00БП-006751 от 16.09.2025 17:35:09"/>
    <s v="16.09.25"/>
    <n v="35000000"/>
    <m/>
    <m/>
    <d v="2025-09-16T00:00:00"/>
    <n v="15"/>
    <x v="2"/>
    <x v="4"/>
    <x v="1"/>
    <x v="0"/>
    <m/>
    <m/>
    <m/>
  </r>
  <r>
    <s v="60.02"/>
    <x v="215"/>
    <x v="484"/>
    <s v="Корректировка долга 00БП-000058 от 01.08.2025 20:45:06"/>
    <s v="01.08.25"/>
    <n v="62909.32"/>
    <m/>
    <m/>
    <d v="2025-08-01T00:00:00"/>
    <n v="61"/>
    <x v="1"/>
    <x v="4"/>
    <x v="1"/>
    <x v="0"/>
    <m/>
    <m/>
    <m/>
  </r>
  <r>
    <s v="60.02"/>
    <x v="215"/>
    <x v="485"/>
    <s v="Списание с расчетного счета 00БП-007134 от 29.09.2025 19:12:07"/>
    <s v="29.09.25"/>
    <n v="2891892"/>
    <m/>
    <m/>
    <d v="2025-09-29T00:00:00"/>
    <n v="2"/>
    <x v="2"/>
    <x v="4"/>
    <x v="1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380"/>
    <x v="5"/>
    <x v="4"/>
    <x v="1"/>
    <x v="0"/>
    <m/>
    <m/>
    <m/>
  </r>
  <r>
    <s v="60.02"/>
    <x v="216"/>
    <x v="486"/>
    <s v="Списание с расчетного счета 00БП-006876 от 23.09.2025 18:41:23"/>
    <s v="23.09.25"/>
    <n v="63507.6"/>
    <m/>
    <m/>
    <d v="2025-09-23T00:00:00"/>
    <n v="8"/>
    <x v="2"/>
    <x v="4"/>
    <x v="1"/>
    <x v="0"/>
    <m/>
    <m/>
    <m/>
  </r>
  <r>
    <s v="60.02"/>
    <x v="61"/>
    <x v="143"/>
    <s v="Списание с расчетного счета 00БП-006163 от 28.08.2025 19:12:05"/>
    <s v="28.08.25"/>
    <n v="25866"/>
    <m/>
    <m/>
    <d v="2025-08-28T00:00:00"/>
    <n v="34"/>
    <x v="1"/>
    <x v="4"/>
    <x v="1"/>
    <x v="0"/>
    <m/>
    <m/>
    <m/>
  </r>
  <r>
    <s v="60.02"/>
    <x v="62"/>
    <x v="144"/>
    <s v="Списание с расчетного счета 00БП-001959 от 19.04.2024 20:35:31"/>
    <s v="19.04.24"/>
    <n v="8850"/>
    <m/>
    <m/>
    <d v="2024-04-19T00:00:00"/>
    <n v="530"/>
    <x v="5"/>
    <x v="4"/>
    <x v="1"/>
    <x v="0"/>
    <m/>
    <m/>
    <m/>
  </r>
  <r>
    <s v="60.02"/>
    <x v="63"/>
    <x v="487"/>
    <s v="Списание с расчетного счета 00БП-006845 от 22.09.2025 19:07:58"/>
    <s v="22.09.25"/>
    <n v="280000"/>
    <m/>
    <m/>
    <d v="2025-09-22T00:00:00"/>
    <n v="9"/>
    <x v="2"/>
    <x v="4"/>
    <x v="1"/>
    <x v="0"/>
    <m/>
    <m/>
    <m/>
  </r>
  <r>
    <s v="60.02"/>
    <x v="63"/>
    <x v="488"/>
    <s v="Списание с расчетного счета 00БП-006846 от 22.09.2025 19:07:59"/>
    <s v="22.09.25"/>
    <n v="295000"/>
    <m/>
    <m/>
    <d v="2025-09-22T00:00:00"/>
    <n v="9"/>
    <x v="2"/>
    <x v="4"/>
    <x v="1"/>
    <x v="0"/>
    <m/>
    <m/>
    <m/>
  </r>
  <r>
    <s v="60.02"/>
    <x v="63"/>
    <x v="489"/>
    <s v="Списание с расчетного счета 00БП-003489 от 09.06.2025 17:55:38"/>
    <s v="09.06.25"/>
    <n v="18000"/>
    <m/>
    <m/>
    <d v="2025-06-09T00:00:00"/>
    <n v="114"/>
    <x v="4"/>
    <x v="4"/>
    <x v="1"/>
    <x v="0"/>
    <m/>
    <m/>
    <m/>
  </r>
  <r>
    <s v="60.02"/>
    <x v="184"/>
    <x v="389"/>
    <s v="Списание с расчетного счета 00БП-006327 от 08.09.2025 18:50:17"/>
    <s v="08.09.25"/>
    <n v="14000"/>
    <m/>
    <m/>
    <d v="2025-09-08T00:00:00"/>
    <n v="23"/>
    <x v="2"/>
    <x v="4"/>
    <x v="1"/>
    <x v="0"/>
    <m/>
    <m/>
    <m/>
  </r>
  <r>
    <s v="60.02"/>
    <x v="64"/>
    <x v="147"/>
    <s v="Списание с расчетного счета 00БП-004591 от 10.07.2025 16:07:40"/>
    <s v="10.07.25"/>
    <n v="0.01"/>
    <m/>
    <m/>
    <d v="2025-07-10T00:00:00"/>
    <n v="83"/>
    <x v="1"/>
    <x v="4"/>
    <x v="1"/>
    <x v="0"/>
    <m/>
    <m/>
    <m/>
  </r>
  <r>
    <s v="60.02"/>
    <x v="65"/>
    <x v="148"/>
    <s v="Списание с расчетного счета 00БП-009153 от 05.12.2024 12:53:23"/>
    <s v="05.12.24"/>
    <n v="299500"/>
    <m/>
    <m/>
    <d v="2024-12-05T00:00:00"/>
    <n v="300"/>
    <x v="6"/>
    <x v="4"/>
    <x v="1"/>
    <x v="12"/>
    <m/>
    <m/>
    <m/>
  </r>
  <r>
    <s v="60.02"/>
    <x v="217"/>
    <x v="490"/>
    <s v="Списание с расчетного счета 00БП-006840 от 22.09.2025 19:07:53"/>
    <s v="22.09.25"/>
    <n v="6700"/>
    <m/>
    <m/>
    <d v="2025-09-22T00:00:00"/>
    <n v="9"/>
    <x v="2"/>
    <x v="4"/>
    <x v="1"/>
    <x v="0"/>
    <m/>
    <m/>
    <m/>
  </r>
  <r>
    <s v="60.02"/>
    <x v="67"/>
    <x v="150"/>
    <s v="Списание с расчетного счета 00БП-005457 от 06.08.2025 19:15:12"/>
    <s v="06.08.25"/>
    <n v="23544"/>
    <m/>
    <m/>
    <d v="2025-08-06T00:00:00"/>
    <n v="56"/>
    <x v="1"/>
    <x v="4"/>
    <x v="1"/>
    <x v="0"/>
    <m/>
    <m/>
    <m/>
  </r>
  <r>
    <s v="60.02"/>
    <x v="69"/>
    <x v="152"/>
    <s v="Списание с расчетного счета 00БП-007816 от 22.10.2024 18:07:30"/>
    <s v="22.10.24"/>
    <n v="1334.4"/>
    <m/>
    <m/>
    <d v="2024-10-22T00:00:00"/>
    <n v="344"/>
    <x v="6"/>
    <x v="4"/>
    <x v="1"/>
    <x v="2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338"/>
    <x v="6"/>
    <x v="4"/>
    <x v="1"/>
    <x v="2"/>
    <m/>
    <m/>
    <m/>
  </r>
  <r>
    <s v="60.02"/>
    <x v="71"/>
    <x v="491"/>
    <s v="Списание с расчетного счета 00БП-005884 от 18.08.2025 17:47:17"/>
    <s v="18.08.25"/>
    <n v="27420"/>
    <m/>
    <m/>
    <d v="2025-08-18T00:00:00"/>
    <n v="44"/>
    <x v="1"/>
    <x v="4"/>
    <x v="1"/>
    <x v="0"/>
    <m/>
    <m/>
    <m/>
  </r>
  <r>
    <s v="60.02"/>
    <x v="71"/>
    <x v="155"/>
    <s v="Списание с расчетного счета 00БП-003507 от 09.06.2025 17:55:56"/>
    <s v="09.06.25"/>
    <n v="24500"/>
    <m/>
    <m/>
    <d v="2025-06-09T00:00:00"/>
    <n v="114"/>
    <x v="4"/>
    <x v="4"/>
    <x v="1"/>
    <x v="0"/>
    <m/>
    <m/>
    <m/>
  </r>
  <r>
    <s v="60.02"/>
    <x v="71"/>
    <x v="156"/>
    <s v="Списание с расчетного счета 00БП-002932 от 20.05.2025 20:02:05"/>
    <s v="20.05.25"/>
    <n v="58485"/>
    <m/>
    <m/>
    <d v="2025-05-20T00:00:00"/>
    <n v="134"/>
    <x v="0"/>
    <x v="4"/>
    <x v="1"/>
    <x v="0"/>
    <m/>
    <m/>
    <m/>
  </r>
  <r>
    <s v="60.02"/>
    <x v="71"/>
    <x v="157"/>
    <s v="Списание с расчетного счета 00БП-003349 от 03.06.2025 17:39:01"/>
    <s v="03.06.25"/>
    <n v="2690"/>
    <m/>
    <m/>
    <d v="2025-06-03T00:00:00"/>
    <n v="120"/>
    <x v="4"/>
    <x v="4"/>
    <x v="1"/>
    <x v="0"/>
    <m/>
    <m/>
    <m/>
  </r>
  <r>
    <s v="60.02"/>
    <x v="71"/>
    <x v="158"/>
    <s v="Списание с расчетного счета 00БП-004858 от 14.07.2025 17:54:08"/>
    <s v="14.07.25"/>
    <n v="16020"/>
    <m/>
    <m/>
    <d v="2025-07-14T00:00:00"/>
    <n v="79"/>
    <x v="1"/>
    <x v="4"/>
    <x v="1"/>
    <x v="0"/>
    <m/>
    <m/>
    <m/>
  </r>
  <r>
    <s v="60.02"/>
    <x v="71"/>
    <x v="492"/>
    <s v="Списание с расчетного счета 00БП-004006 от 20.06.2025 19:02:29"/>
    <s v="20.06.25"/>
    <n v="9310"/>
    <m/>
    <m/>
    <d v="2025-06-20T00:00:00"/>
    <n v="103"/>
    <x v="4"/>
    <x v="4"/>
    <x v="1"/>
    <x v="0"/>
    <m/>
    <m/>
    <m/>
  </r>
  <r>
    <s v="60.02"/>
    <x v="71"/>
    <x v="493"/>
    <s v="Списание с расчетного счета 00БП-006352 от 09.09.2025 23:59:59"/>
    <s v="09.09.25"/>
    <n v="30510"/>
    <m/>
    <m/>
    <d v="2025-09-09T00:00:00"/>
    <n v="22"/>
    <x v="2"/>
    <x v="4"/>
    <x v="1"/>
    <x v="0"/>
    <m/>
    <m/>
    <m/>
  </r>
  <r>
    <s v="60.02"/>
    <x v="71"/>
    <x v="494"/>
    <s v="Списание с расчетного счета 00БП-006655 от 15.09.2025 20:00:13"/>
    <s v="15.09.25"/>
    <n v="39380"/>
    <m/>
    <m/>
    <d v="2025-09-15T00:00:00"/>
    <n v="16"/>
    <x v="2"/>
    <x v="4"/>
    <x v="1"/>
    <x v="0"/>
    <m/>
    <m/>
    <m/>
  </r>
  <r>
    <s v="60.02"/>
    <x v="71"/>
    <x v="495"/>
    <s v="Списание с расчетного счета 00БП-006652 от 15.09.2025 20:00:10"/>
    <s v="15.09.25"/>
    <n v="22500"/>
    <m/>
    <m/>
    <d v="2025-09-15T00:00:00"/>
    <n v="16"/>
    <x v="2"/>
    <x v="4"/>
    <x v="1"/>
    <x v="0"/>
    <m/>
    <m/>
    <m/>
  </r>
  <r>
    <s v="60.02"/>
    <x v="71"/>
    <x v="496"/>
    <s v="Списание с расчетного счета 00БП-006802 от 18.09.2025 17:50:44"/>
    <s v="18.09.25"/>
    <n v="78800"/>
    <m/>
    <m/>
    <d v="2025-09-18T00:00:00"/>
    <n v="13"/>
    <x v="2"/>
    <x v="4"/>
    <x v="1"/>
    <x v="0"/>
    <m/>
    <m/>
    <m/>
  </r>
  <r>
    <s v="60.02"/>
    <x v="73"/>
    <x v="160"/>
    <s v="Списание с расчетного счета 00БП-003413 от 05.06.2025 19:44:02"/>
    <s v="05.06.25"/>
    <n v="5900"/>
    <m/>
    <m/>
    <d v="2025-06-05T00:00:00"/>
    <n v="118"/>
    <x v="4"/>
    <x v="4"/>
    <x v="1"/>
    <x v="0"/>
    <m/>
    <m/>
    <m/>
  </r>
  <r>
    <s v="60.02"/>
    <x v="73"/>
    <x v="161"/>
    <s v="Списание с расчетного счета 00БП-002901 от 19.05.2025 18:19:45"/>
    <s v="19.05.25"/>
    <n v="76000"/>
    <m/>
    <m/>
    <d v="2025-05-19T00:00:00"/>
    <n v="135"/>
    <x v="0"/>
    <x v="4"/>
    <x v="1"/>
    <x v="0"/>
    <m/>
    <m/>
    <m/>
  </r>
  <r>
    <s v="60.02"/>
    <x v="74"/>
    <x v="162"/>
    <s v="Списание с расчетного счета 00БП-000535 от 07.03.2025 17:21:02"/>
    <s v="07.03.25"/>
    <n v="9000"/>
    <m/>
    <m/>
    <d v="2025-03-07T00:00:00"/>
    <n v="208"/>
    <x v="3"/>
    <x v="4"/>
    <x v="1"/>
    <x v="8"/>
    <m/>
    <m/>
    <m/>
  </r>
  <r>
    <s v="60.02"/>
    <x v="218"/>
    <x v="497"/>
    <s v="Списание с расчетного счета 00БП-002968 от 21.05.2025 20:10:59"/>
    <s v="21.05.25"/>
    <n v="1383437.71"/>
    <m/>
    <m/>
    <d v="2025-05-21T00:00:00"/>
    <n v="133"/>
    <x v="0"/>
    <x v="4"/>
    <x v="1"/>
    <x v="0"/>
    <m/>
    <m/>
    <m/>
  </r>
  <r>
    <s v="60.02"/>
    <x v="218"/>
    <x v="498"/>
    <s v="Списание с расчетного счета 00БП-006355 от 09.09.2025 23:59:59"/>
    <s v="09.09.25"/>
    <n v="193854"/>
    <m/>
    <m/>
    <d v="2025-09-09T00:00:00"/>
    <n v="22"/>
    <x v="2"/>
    <x v="4"/>
    <x v="1"/>
    <x v="0"/>
    <m/>
    <m/>
    <m/>
  </r>
  <r>
    <s v="60.02"/>
    <x v="219"/>
    <x v="499"/>
    <s v="Списание с расчетного счета 00БП-004783 от 11.07.2025 17:24:48"/>
    <s v="11.07.25"/>
    <n v="1972921"/>
    <m/>
    <m/>
    <d v="2025-07-11T00:00:00"/>
    <n v="82"/>
    <x v="1"/>
    <x v="4"/>
    <x v="1"/>
    <x v="0"/>
    <m/>
    <m/>
    <m/>
  </r>
  <r>
    <s v="60.02"/>
    <x v="220"/>
    <x v="73"/>
    <s v="Авансовый отчет 00БП-000058 от 19.03.2025 15:03:17"/>
    <s v="19.03.25"/>
    <n v="725"/>
    <m/>
    <m/>
    <d v="2025-03-19T00:00:00"/>
    <n v="196"/>
    <x v="3"/>
    <x v="4"/>
    <x v="1"/>
    <x v="0"/>
    <m/>
    <m/>
    <m/>
  </r>
  <r>
    <s v="60.02"/>
    <x v="77"/>
    <x v="171"/>
    <s v="Списание с расчетного счета 00БП-003223 от 28.05.2025 21:55:54"/>
    <s v="28.05.25"/>
    <n v="53476.3"/>
    <m/>
    <m/>
    <d v="2025-05-28T00:00:00"/>
    <n v="126"/>
    <x v="0"/>
    <x v="4"/>
    <x v="1"/>
    <x v="0"/>
    <m/>
    <m/>
    <m/>
  </r>
  <r>
    <s v="60.02"/>
    <x v="78"/>
    <x v="500"/>
    <s v="Списание с расчетного счета 00БП-007127 от 29.09.2025 19:12:00"/>
    <s v="29.09.25"/>
    <n v="321062.40000000002"/>
    <m/>
    <m/>
    <d v="2025-09-29T00:00:00"/>
    <n v="2"/>
    <x v="2"/>
    <x v="4"/>
    <x v="1"/>
    <x v="0"/>
    <m/>
    <m/>
    <m/>
  </r>
  <r>
    <s v="60.02"/>
    <x v="78"/>
    <x v="501"/>
    <s v="Списание с расчетного счета 00БП-002496 от 23.05.2023 18:50:13"/>
    <s v="23.05.23"/>
    <n v="1715565.24"/>
    <m/>
    <m/>
    <d v="2023-05-23T00:00:00"/>
    <n v="862"/>
    <x v="5"/>
    <x v="4"/>
    <x v="1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540"/>
    <x v="5"/>
    <x v="4"/>
    <x v="1"/>
    <x v="0"/>
    <m/>
    <m/>
    <m/>
  </r>
  <r>
    <s v="60.02"/>
    <x v="78"/>
    <x v="503"/>
    <s v="Списание с расчетного счета 00БП-001309 от 04.04.2025 19:33:58"/>
    <s v="04.04.25"/>
    <n v="38458.660000000003"/>
    <m/>
    <m/>
    <d v="2025-04-04T00:00:00"/>
    <n v="180"/>
    <x v="0"/>
    <x v="4"/>
    <x v="1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532"/>
    <x v="5"/>
    <x v="4"/>
    <x v="1"/>
    <x v="0"/>
    <m/>
    <m/>
    <m/>
  </r>
  <r>
    <s v="60.02"/>
    <x v="78"/>
    <x v="505"/>
    <s v="Списание с расчетного счета 00БП-001873 от 16.04.2025 19:34:09"/>
    <s v="16.04.25"/>
    <n v="42035.61"/>
    <m/>
    <m/>
    <d v="2025-04-16T00:00:00"/>
    <n v="168"/>
    <x v="0"/>
    <x v="4"/>
    <x v="1"/>
    <x v="0"/>
    <m/>
    <m/>
    <m/>
  </r>
  <r>
    <s v="60.02"/>
    <x v="78"/>
    <x v="506"/>
    <s v="Списание с расчетного счета 00БП-002445 от 07.05.2025 17:27:22"/>
    <s v="07.05.25"/>
    <n v="30.6"/>
    <m/>
    <m/>
    <d v="2025-05-07T00:00:00"/>
    <n v="147"/>
    <x v="0"/>
    <x v="4"/>
    <x v="1"/>
    <x v="0"/>
    <m/>
    <m/>
    <m/>
  </r>
  <r>
    <s v="60.02"/>
    <x v="78"/>
    <x v="507"/>
    <s v="Списание с расчетного счета 00БП-002911 от 19.05.2025 18:19:55"/>
    <s v="19.05.25"/>
    <n v="175922.59"/>
    <m/>
    <m/>
    <d v="2025-05-19T00:00:00"/>
    <n v="135"/>
    <x v="0"/>
    <x v="4"/>
    <x v="1"/>
    <x v="0"/>
    <m/>
    <m/>
    <m/>
  </r>
  <r>
    <s v="60.02"/>
    <x v="78"/>
    <x v="508"/>
    <s v="Списание с расчетного счета 00БП-003849 от 24.06.2024 17:54:34"/>
    <s v="24.06.24"/>
    <n v="6277.48"/>
    <m/>
    <m/>
    <d v="2024-06-24T00:00:00"/>
    <n v="464"/>
    <x v="5"/>
    <x v="4"/>
    <x v="1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461"/>
    <x v="5"/>
    <x v="4"/>
    <x v="1"/>
    <x v="0"/>
    <m/>
    <m/>
    <m/>
  </r>
  <r>
    <s v="60.02"/>
    <x v="78"/>
    <x v="510"/>
    <s v="Списание с расчетного счета 00БП-004331 от 08.07.2024 18:30:05"/>
    <s v="08.07.24"/>
    <n v="995281.85"/>
    <m/>
    <m/>
    <d v="2024-07-08T00:00:00"/>
    <n v="450"/>
    <x v="5"/>
    <x v="4"/>
    <x v="1"/>
    <x v="0"/>
    <m/>
    <m/>
    <m/>
  </r>
  <r>
    <s v="60.02"/>
    <x v="78"/>
    <x v="511"/>
    <s v="Списание с расчетного счета 00БП-004434 от 03.07.2025 18:29:11"/>
    <s v="03.07.25"/>
    <n v="318089.56"/>
    <m/>
    <m/>
    <d v="2025-07-03T00:00:00"/>
    <n v="90"/>
    <x v="1"/>
    <x v="4"/>
    <x v="1"/>
    <x v="0"/>
    <m/>
    <m/>
    <m/>
  </r>
  <r>
    <s v="60.02"/>
    <x v="78"/>
    <x v="512"/>
    <s v="Списание с расчетного счета 00БП-004303 от 05.07.2024 18:28:48"/>
    <s v="05.07.24"/>
    <n v="2.4"/>
    <m/>
    <m/>
    <d v="2024-07-05T00:00:00"/>
    <n v="453"/>
    <x v="5"/>
    <x v="4"/>
    <x v="1"/>
    <x v="0"/>
    <m/>
    <m/>
    <m/>
  </r>
  <r>
    <s v="60.02"/>
    <x v="78"/>
    <x v="513"/>
    <s v="Списание с расчетного счета 00БП-004325 от 08.07.2024 18:29:59"/>
    <s v="08.07.24"/>
    <n v="31.2"/>
    <m/>
    <m/>
    <d v="2024-07-08T00:00:00"/>
    <n v="450"/>
    <x v="5"/>
    <x v="4"/>
    <x v="1"/>
    <x v="0"/>
    <m/>
    <m/>
    <m/>
  </r>
  <r>
    <s v="60.02"/>
    <x v="78"/>
    <x v="514"/>
    <s v="Списание с расчетного счета 00БП-003509 от 09.06.2025 17:55:58"/>
    <s v="09.06.25"/>
    <n v="27963.83"/>
    <m/>
    <m/>
    <d v="2025-06-09T00:00:00"/>
    <n v="114"/>
    <x v="4"/>
    <x v="4"/>
    <x v="1"/>
    <x v="0"/>
    <m/>
    <m/>
    <m/>
  </r>
  <r>
    <s v="60.02"/>
    <x v="78"/>
    <x v="515"/>
    <s v="Списание с расчетного счета 00БП-004103 от 24.06.2025 23:59:59"/>
    <s v="24.06.25"/>
    <n v="341731.34"/>
    <m/>
    <m/>
    <d v="2025-06-24T00:00:00"/>
    <n v="99"/>
    <x v="4"/>
    <x v="4"/>
    <x v="1"/>
    <x v="0"/>
    <m/>
    <m/>
    <m/>
  </r>
  <r>
    <s v="60.02"/>
    <x v="78"/>
    <x v="516"/>
    <s v="Списание с расчетного счета 00БП-004007 от 20.06.2025 19:02:30"/>
    <s v="20.06.25"/>
    <n v="11481.41"/>
    <m/>
    <m/>
    <d v="2025-06-20T00:00:00"/>
    <n v="103"/>
    <x v="4"/>
    <x v="4"/>
    <x v="1"/>
    <x v="0"/>
    <m/>
    <m/>
    <m/>
  </r>
  <r>
    <s v="60.02"/>
    <x v="78"/>
    <x v="517"/>
    <s v="Списание с расчетного счета 00БП-004307 от 30.06.2025 23:59:59"/>
    <s v="30.06.25"/>
    <n v="115791.98"/>
    <m/>
    <m/>
    <d v="2025-06-30T00:00:00"/>
    <n v="93"/>
    <x v="4"/>
    <x v="4"/>
    <x v="1"/>
    <x v="0"/>
    <m/>
    <m/>
    <m/>
  </r>
  <r>
    <s v="60.02"/>
    <x v="78"/>
    <x v="518"/>
    <s v="Списание с расчетного счета 00БП-005804 от 23.08.2024 17:14:33"/>
    <s v="23.08.24"/>
    <n v="395493.5"/>
    <m/>
    <m/>
    <d v="2024-08-23T00:00:00"/>
    <n v="404"/>
    <x v="5"/>
    <x v="4"/>
    <x v="1"/>
    <x v="0"/>
    <m/>
    <m/>
    <m/>
  </r>
  <r>
    <s v="60.02"/>
    <x v="78"/>
    <x v="519"/>
    <s v="Списание с расчетного счета 00БП-004362 от 01.07.2025 20:38:33"/>
    <s v="01.07.25"/>
    <n v="673.94"/>
    <m/>
    <m/>
    <d v="2025-07-01T00:00:00"/>
    <n v="92"/>
    <x v="4"/>
    <x v="4"/>
    <x v="1"/>
    <x v="0"/>
    <m/>
    <m/>
    <m/>
  </r>
  <r>
    <s v="60.02"/>
    <x v="78"/>
    <x v="520"/>
    <s v="Списание с расчетного счета 00БП-005316 от 08.08.2024 17:52:19"/>
    <s v="08.08.24"/>
    <n v="13920"/>
    <m/>
    <m/>
    <d v="2024-08-08T00:00:00"/>
    <n v="419"/>
    <x v="5"/>
    <x v="4"/>
    <x v="1"/>
    <x v="0"/>
    <m/>
    <m/>
    <m/>
  </r>
  <r>
    <s v="60.02"/>
    <x v="78"/>
    <x v="521"/>
    <s v="Списание с расчетного счета 00БП-004561 от 09.07.2025 20:21:44"/>
    <s v="09.07.25"/>
    <n v="71248.039999999994"/>
    <m/>
    <m/>
    <d v="2025-07-09T00:00:00"/>
    <n v="84"/>
    <x v="1"/>
    <x v="4"/>
    <x v="1"/>
    <x v="0"/>
    <m/>
    <m/>
    <m/>
  </r>
  <r>
    <s v="60.02"/>
    <x v="78"/>
    <x v="522"/>
    <s v="Списание с расчетного счета 00БП-005769 от 20.08.2024 18:37:41"/>
    <s v="20.08.24"/>
    <n v="355885.99"/>
    <m/>
    <m/>
    <d v="2024-08-20T00:00:00"/>
    <n v="407"/>
    <x v="5"/>
    <x v="4"/>
    <x v="1"/>
    <x v="0"/>
    <m/>
    <m/>
    <m/>
  </r>
  <r>
    <s v="60.02"/>
    <x v="78"/>
    <x v="523"/>
    <s v="Списание с расчетного счета 00БП-005912 от 27.08.2024 17:47:21"/>
    <s v="27.08.24"/>
    <n v="21441.599999999999"/>
    <m/>
    <m/>
    <d v="2024-08-27T00:00:00"/>
    <n v="400"/>
    <x v="5"/>
    <x v="4"/>
    <x v="1"/>
    <x v="0"/>
    <m/>
    <m/>
    <m/>
  </r>
  <r>
    <s v="60.02"/>
    <x v="78"/>
    <x v="524"/>
    <s v="Списание с расчетного счета 00БП-006187 от 06.09.2024 17:41:07"/>
    <s v="06.09.24"/>
    <n v="121190.09"/>
    <m/>
    <m/>
    <d v="2024-09-06T00:00:00"/>
    <n v="390"/>
    <x v="5"/>
    <x v="4"/>
    <x v="1"/>
    <x v="0"/>
    <m/>
    <m/>
    <m/>
  </r>
  <r>
    <s v="60.02"/>
    <x v="78"/>
    <x v="525"/>
    <s v="Списание с расчетного счета 00БП-006248 от 02.09.2025 18:32:34"/>
    <s v="02.09.25"/>
    <n v="24644.9"/>
    <m/>
    <m/>
    <d v="2025-09-02T00:00:00"/>
    <n v="29"/>
    <x v="2"/>
    <x v="4"/>
    <x v="1"/>
    <x v="0"/>
    <m/>
    <m/>
    <m/>
  </r>
  <r>
    <s v="60.02"/>
    <x v="78"/>
    <x v="526"/>
    <s v="Списание с расчетного счета 00БП-006749 от 16.09.2025 17:35:07"/>
    <s v="16.09.25"/>
    <n v="3394486.59"/>
    <m/>
    <m/>
    <d v="2025-09-16T00:00:00"/>
    <n v="15"/>
    <x v="2"/>
    <x v="4"/>
    <x v="1"/>
    <x v="0"/>
    <m/>
    <m/>
    <m/>
  </r>
  <r>
    <s v="60.02"/>
    <x v="78"/>
    <x v="527"/>
    <s v="Списание с расчетного счета 00БП-006906 от 24.09.2025 18:36:08"/>
    <s v="24.09.25"/>
    <n v="1342.38"/>
    <m/>
    <m/>
    <d v="2025-09-24T00:00:00"/>
    <n v="7"/>
    <x v="2"/>
    <x v="4"/>
    <x v="1"/>
    <x v="0"/>
    <m/>
    <m/>
    <m/>
  </r>
  <r>
    <s v="60.02"/>
    <x v="78"/>
    <x v="528"/>
    <s v="Списание с расчетного счета 00БП-006247 от 02.09.2025 18:32:33"/>
    <s v="02.09.25"/>
    <n v="448315.47"/>
    <m/>
    <m/>
    <d v="2025-09-02T00:00:00"/>
    <n v="29"/>
    <x v="2"/>
    <x v="4"/>
    <x v="1"/>
    <x v="0"/>
    <m/>
    <m/>
    <m/>
  </r>
  <r>
    <s v="60.02"/>
    <x v="78"/>
    <x v="529"/>
    <s v="Списание с расчетного счета 00БП-006314 от 05.09.2025 18:19:38"/>
    <s v="05.09.25"/>
    <n v="2809058.6"/>
    <m/>
    <m/>
    <d v="2025-09-05T00:00:00"/>
    <n v="26"/>
    <x v="2"/>
    <x v="4"/>
    <x v="1"/>
    <x v="0"/>
    <m/>
    <m/>
    <m/>
  </r>
  <r>
    <s v="60.02"/>
    <x v="78"/>
    <x v="530"/>
    <s v="Списание с расчетного счета 00БП-006326 от 08.09.2025 18:50:16"/>
    <s v="08.09.25"/>
    <n v="10340.5"/>
    <m/>
    <m/>
    <d v="2025-09-08T00:00:00"/>
    <n v="23"/>
    <x v="2"/>
    <x v="4"/>
    <x v="1"/>
    <x v="0"/>
    <m/>
    <m/>
    <m/>
  </r>
  <r>
    <s v="60.02"/>
    <x v="78"/>
    <x v="531"/>
    <s v="Списание с расчетного счета 00БП-006748 от 16.09.2025 17:35:06"/>
    <s v="16.09.25"/>
    <n v="16736.59"/>
    <m/>
    <m/>
    <d v="2025-09-16T00:00:00"/>
    <n v="15"/>
    <x v="2"/>
    <x v="4"/>
    <x v="1"/>
    <x v="0"/>
    <m/>
    <m/>
    <m/>
  </r>
  <r>
    <s v="60.02"/>
    <x v="78"/>
    <x v="532"/>
    <s v="Списание с расчетного счета 00БП-006881 от 23.09.2025 18:41:28"/>
    <s v="23.09.25"/>
    <n v="16629.939999999999"/>
    <m/>
    <m/>
    <d v="2025-09-23T00:00:00"/>
    <n v="8"/>
    <x v="2"/>
    <x v="4"/>
    <x v="1"/>
    <x v="0"/>
    <m/>
    <m/>
    <m/>
  </r>
  <r>
    <s v="60.02"/>
    <x v="78"/>
    <x v="533"/>
    <s v="Списание с расчетного счета 00БП-007132 от 29.09.2025 19:12:05"/>
    <s v="29.09.25"/>
    <n v="1929755.32"/>
    <m/>
    <m/>
    <d v="2025-09-29T00:00:00"/>
    <n v="2"/>
    <x v="2"/>
    <x v="4"/>
    <x v="1"/>
    <x v="0"/>
    <m/>
    <m/>
    <m/>
  </r>
  <r>
    <s v="60.02"/>
    <x v="78"/>
    <x v="534"/>
    <s v="Списание с расчетного счета 00БП-007044 от 26.09.2025 18:44:32"/>
    <s v="26.09.25"/>
    <n v="1958397.91"/>
    <m/>
    <m/>
    <d v="2025-09-26T00:00:00"/>
    <n v="5"/>
    <x v="2"/>
    <x v="4"/>
    <x v="1"/>
    <x v="0"/>
    <m/>
    <m/>
    <m/>
  </r>
  <r>
    <s v="60.02"/>
    <x v="78"/>
    <x v="535"/>
    <s v="Списание с расчетного счета 00БП-006940 от 25.09.2025 17:23:36"/>
    <s v="25.09.25"/>
    <n v="2234381.46"/>
    <m/>
    <m/>
    <d v="2025-09-25T00:00:00"/>
    <n v="6"/>
    <x v="2"/>
    <x v="4"/>
    <x v="1"/>
    <x v="0"/>
    <m/>
    <m/>
    <m/>
  </r>
  <r>
    <s v="60.02"/>
    <x v="78"/>
    <x v="536"/>
    <s v="Списание с расчетного счета 00БП-007045 от 26.09.2025 18:44:33"/>
    <s v="26.09.25"/>
    <n v="2780806.06"/>
    <m/>
    <m/>
    <d v="2025-09-26T00:00:00"/>
    <n v="5"/>
    <x v="2"/>
    <x v="4"/>
    <x v="1"/>
    <x v="0"/>
    <m/>
    <m/>
    <m/>
  </r>
  <r>
    <s v="60.02"/>
    <x v="78"/>
    <x v="537"/>
    <s v="Списание с расчетного счета 00БП-007133 от 29.09.2025 19:12:06"/>
    <s v="29.09.25"/>
    <n v="2721499.71"/>
    <m/>
    <m/>
    <d v="2025-09-29T00:00:00"/>
    <n v="2"/>
    <x v="2"/>
    <x v="4"/>
    <x v="1"/>
    <x v="0"/>
    <m/>
    <m/>
    <m/>
  </r>
  <r>
    <s v="60.02"/>
    <x v="78"/>
    <x v="538"/>
    <s v="Списание с расчетного счета 00БП-006939 от 25.09.2025 17:23:35"/>
    <s v="25.09.25"/>
    <n v="200051.52"/>
    <m/>
    <m/>
    <d v="2025-09-25T00:00:00"/>
    <n v="6"/>
    <x v="2"/>
    <x v="4"/>
    <x v="1"/>
    <x v="0"/>
    <m/>
    <m/>
    <m/>
  </r>
  <r>
    <s v="60.02"/>
    <x v="78"/>
    <x v="539"/>
    <s v="Списание с расчетного счета 00БП-000064 от 16.01.2025 9:16:39"/>
    <s v="16.01.25"/>
    <n v="3399271.54"/>
    <m/>
    <m/>
    <d v="2025-01-16T00:00:00"/>
    <n v="258"/>
    <x v="3"/>
    <x v="4"/>
    <x v="1"/>
    <x v="0"/>
    <m/>
    <m/>
    <m/>
  </r>
  <r>
    <s v="60.02"/>
    <x v="221"/>
    <x v="540"/>
    <s v="Списание с расчетного счета 00БП-006331 от 08.09.2025 18:50:21"/>
    <s v="08.09.25"/>
    <n v="52000"/>
    <m/>
    <m/>
    <d v="2025-09-08T00:00:00"/>
    <n v="23"/>
    <x v="2"/>
    <x v="4"/>
    <x v="1"/>
    <x v="0"/>
    <m/>
    <m/>
    <m/>
  </r>
  <r>
    <s v="60.02"/>
    <x v="79"/>
    <x v="182"/>
    <s v="Списание с расчетного счета 00БП-005419 от 04.08.2025 21:25:11"/>
    <s v="04.08.25"/>
    <n v="1912.02"/>
    <m/>
    <m/>
    <d v="2025-08-04T00:00:00"/>
    <n v="58"/>
    <x v="1"/>
    <x v="4"/>
    <x v="1"/>
    <x v="0"/>
    <m/>
    <m/>
    <m/>
  </r>
  <r>
    <s v="60.02"/>
    <x v="79"/>
    <x v="183"/>
    <s v="Списание с расчетного счета 00БП-005421 от 04.08.2025 21:25:13"/>
    <s v="04.08.25"/>
    <n v="1460.14"/>
    <m/>
    <m/>
    <d v="2025-08-04T00:00:00"/>
    <n v="58"/>
    <x v="1"/>
    <x v="4"/>
    <x v="1"/>
    <x v="0"/>
    <m/>
    <m/>
    <m/>
  </r>
  <r>
    <s v="60.02"/>
    <x v="79"/>
    <x v="184"/>
    <s v="Списание с расчетного счета 00БП-003368 от 03.06.2025 17:39:22"/>
    <s v="03.06.25"/>
    <n v="405.65"/>
    <m/>
    <m/>
    <d v="2025-06-03T00:00:00"/>
    <n v="120"/>
    <x v="4"/>
    <x v="4"/>
    <x v="1"/>
    <x v="0"/>
    <m/>
    <m/>
    <m/>
  </r>
  <r>
    <s v="60.02"/>
    <x v="79"/>
    <x v="184"/>
    <s v="Списание с расчетного счета 00БП-005423 от 04.08.2025 21:25:15"/>
    <s v="04.08.25"/>
    <n v="15000"/>
    <m/>
    <m/>
    <d v="2025-08-04T00:00:00"/>
    <n v="58"/>
    <x v="1"/>
    <x v="4"/>
    <x v="1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371"/>
    <x v="5"/>
    <x v="4"/>
    <x v="1"/>
    <x v="0"/>
    <m/>
    <m/>
    <m/>
  </r>
  <r>
    <s v="60.02"/>
    <x v="79"/>
    <x v="186"/>
    <s v="Списание с расчетного счета 00БП-002372 от 05.05.2025 19:41:43"/>
    <s v="05.05.25"/>
    <n v="12.16"/>
    <m/>
    <m/>
    <d v="2025-05-05T00:00:00"/>
    <n v="149"/>
    <x v="0"/>
    <x v="4"/>
    <x v="1"/>
    <x v="0"/>
    <m/>
    <m/>
    <m/>
  </r>
  <r>
    <s v="60.02"/>
    <x v="79"/>
    <x v="186"/>
    <s v="Списание с расчетного счета 00БП-005420 от 04.08.2025 21:25:12"/>
    <s v="04.08.25"/>
    <n v="3000"/>
    <m/>
    <m/>
    <d v="2025-08-04T00:00:00"/>
    <n v="58"/>
    <x v="1"/>
    <x v="4"/>
    <x v="1"/>
    <x v="0"/>
    <m/>
    <m/>
    <m/>
  </r>
  <r>
    <s v="60.02"/>
    <x v="79"/>
    <x v="187"/>
    <s v="Списание с расчетного счета 00БП-004275 от 04.07.2024 18:48:03"/>
    <s v="04.07.24"/>
    <n v="42.63"/>
    <m/>
    <m/>
    <d v="2024-07-04T00:00:00"/>
    <n v="454"/>
    <x v="5"/>
    <x v="4"/>
    <x v="1"/>
    <x v="0"/>
    <m/>
    <m/>
    <m/>
  </r>
  <r>
    <s v="60.02"/>
    <x v="79"/>
    <x v="187"/>
    <s v="Списание с расчетного счета 00БП-005417 от 04.08.2025 21:25:09"/>
    <s v="04.08.25"/>
    <n v="500"/>
    <m/>
    <m/>
    <d v="2025-08-04T00:00:00"/>
    <n v="58"/>
    <x v="1"/>
    <x v="4"/>
    <x v="1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698"/>
    <x v="5"/>
    <x v="4"/>
    <x v="1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596"/>
    <x v="5"/>
    <x v="4"/>
    <x v="1"/>
    <x v="0"/>
    <m/>
    <m/>
    <m/>
  </r>
  <r>
    <s v="60.02"/>
    <x v="79"/>
    <x v="189"/>
    <s v="Списание с расчетного счета 00БП-002375 от 05.05.2025 19:41:46"/>
    <s v="05.05.25"/>
    <n v="920.72"/>
    <m/>
    <m/>
    <d v="2025-05-05T00:00:00"/>
    <n v="149"/>
    <x v="0"/>
    <x v="4"/>
    <x v="1"/>
    <x v="0"/>
    <m/>
    <m/>
    <m/>
  </r>
  <r>
    <s v="60.02"/>
    <x v="79"/>
    <x v="189"/>
    <s v="Списание с расчетного счета 00БП-005418 от 04.08.2025 21:25:10"/>
    <s v="04.08.25"/>
    <n v="2000"/>
    <m/>
    <m/>
    <d v="2025-08-04T00:00:00"/>
    <n v="58"/>
    <x v="1"/>
    <x v="4"/>
    <x v="1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463"/>
    <x v="5"/>
    <x v="4"/>
    <x v="1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430"/>
    <x v="5"/>
    <x v="4"/>
    <x v="1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2114"/>
    <x v="5"/>
    <x v="4"/>
    <x v="1"/>
    <x v="0"/>
    <m/>
    <m/>
    <m/>
  </r>
  <r>
    <s v="60.02"/>
    <x v="79"/>
    <x v="191"/>
    <m/>
    <m/>
    <n v="68.27"/>
    <m/>
    <m/>
    <d v="1899-12-30T00:00:00"/>
    <n v="45931"/>
    <x v="5"/>
    <x v="4"/>
    <x v="1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502"/>
    <x v="5"/>
    <x v="4"/>
    <x v="1"/>
    <x v="0"/>
    <m/>
    <m/>
    <m/>
  </r>
  <r>
    <s v="60.02"/>
    <x v="79"/>
    <x v="193"/>
    <s v="Списание с расчетного счета 00БП-005424 от 04.08.2025 21:25:16"/>
    <s v="04.08.25"/>
    <n v="14275.96"/>
    <m/>
    <m/>
    <d v="2025-08-04T00:00:00"/>
    <n v="58"/>
    <x v="1"/>
    <x v="4"/>
    <x v="1"/>
    <x v="0"/>
    <m/>
    <m/>
    <m/>
  </r>
  <r>
    <s v="60.02"/>
    <x v="80"/>
    <x v="195"/>
    <s v="Списание с расчетного счета 00БП-006379 от 10.09.2025 18:06:41"/>
    <s v="10.09.25"/>
    <n v="45000"/>
    <m/>
    <m/>
    <d v="2025-09-10T00:00:00"/>
    <n v="21"/>
    <x v="2"/>
    <x v="4"/>
    <x v="1"/>
    <x v="0"/>
    <m/>
    <m/>
    <m/>
  </r>
  <r>
    <s v="60.02"/>
    <x v="222"/>
    <x v="541"/>
    <s v="Списание с расчетного счета 00БП-006928 от 25.09.2025 17:23:24"/>
    <s v="25.09.25"/>
    <n v="6542"/>
    <m/>
    <m/>
    <d v="2025-09-25T00:00:00"/>
    <n v="6"/>
    <x v="2"/>
    <x v="4"/>
    <x v="1"/>
    <x v="0"/>
    <m/>
    <m/>
    <m/>
  </r>
  <r>
    <s v="60.02"/>
    <x v="177"/>
    <x v="371"/>
    <s v="Списание с расчетного счета 00БП-005300 от 29.07.2025 20:44:28"/>
    <s v="29.07.25"/>
    <n v="170820"/>
    <m/>
    <m/>
    <d v="2025-07-29T00:00:00"/>
    <n v="64"/>
    <x v="1"/>
    <x v="4"/>
    <x v="1"/>
    <x v="0"/>
    <m/>
    <m/>
    <m/>
  </r>
  <r>
    <s v="60.02"/>
    <x v="223"/>
    <x v="73"/>
    <s v="Авансовый отчет 00БП-000058 от 19.03.2025 15:03:17"/>
    <s v="19.03.25"/>
    <n v="6300"/>
    <m/>
    <m/>
    <d v="2025-03-19T00:00:00"/>
    <n v="196"/>
    <x v="3"/>
    <x v="4"/>
    <x v="1"/>
    <x v="0"/>
    <m/>
    <m/>
    <m/>
  </r>
  <r>
    <s v="60.02"/>
    <x v="223"/>
    <x v="73"/>
    <s v="Авансовый отчет 00БП-000061 от 21.03.2025 17:05:13"/>
    <s v="21.03.25"/>
    <n v="630"/>
    <m/>
    <m/>
    <d v="2025-03-21T00:00:00"/>
    <n v="194"/>
    <x v="3"/>
    <x v="4"/>
    <x v="1"/>
    <x v="0"/>
    <m/>
    <m/>
    <m/>
  </r>
  <r>
    <s v="60.02"/>
    <x v="223"/>
    <x v="73"/>
    <s v="Авансовый отчет 00БП-000196 от 26.05.2025 17:17:33"/>
    <s v="26.05.25"/>
    <n v="560"/>
    <m/>
    <m/>
    <d v="2025-05-26T00:00:00"/>
    <n v="128"/>
    <x v="0"/>
    <x v="4"/>
    <x v="1"/>
    <x v="0"/>
    <m/>
    <m/>
    <m/>
  </r>
  <r>
    <s v="60.02"/>
    <x v="223"/>
    <x v="73"/>
    <s v="Авансовый отчет 00БП-000231 от 25.06.2025 16:15:28"/>
    <s v="25.06.25"/>
    <n v="1800"/>
    <m/>
    <m/>
    <d v="2025-06-25T00:00:00"/>
    <n v="98"/>
    <x v="4"/>
    <x v="4"/>
    <x v="1"/>
    <x v="0"/>
    <m/>
    <m/>
    <m/>
  </r>
  <r>
    <s v="60.02"/>
    <x v="223"/>
    <x v="73"/>
    <s v="Авансовый отчет 00БП-000234 от 03.07.2025 15:38:44"/>
    <s v="03.07.25"/>
    <n v="1100"/>
    <m/>
    <m/>
    <d v="2025-07-03T00:00:00"/>
    <n v="90"/>
    <x v="1"/>
    <x v="4"/>
    <x v="1"/>
    <x v="0"/>
    <m/>
    <m/>
    <m/>
  </r>
  <r>
    <s v="60.02"/>
    <x v="223"/>
    <x v="73"/>
    <s v="Авансовый отчет 00БП-000242 от 10.07.2025 15:42:35"/>
    <s v="10.07.25"/>
    <n v="3100"/>
    <m/>
    <m/>
    <d v="2025-07-10T00:00:00"/>
    <n v="83"/>
    <x v="1"/>
    <x v="4"/>
    <x v="1"/>
    <x v="0"/>
    <m/>
    <m/>
    <m/>
  </r>
  <r>
    <s v="60.02"/>
    <x v="223"/>
    <x v="73"/>
    <s v="Авансовый отчет 00БП-000245 от 14.07.2025 17:24:30"/>
    <s v="14.07.25"/>
    <n v="1200"/>
    <m/>
    <m/>
    <d v="2025-07-14T00:00:00"/>
    <n v="79"/>
    <x v="1"/>
    <x v="4"/>
    <x v="1"/>
    <x v="0"/>
    <m/>
    <m/>
    <m/>
  </r>
  <r>
    <s v="60.02"/>
    <x v="86"/>
    <x v="542"/>
    <s v="Списание с расчетного счета 00БП-002297 от 30.04.2025 23:59:59"/>
    <s v="30.04.25"/>
    <n v="43250"/>
    <m/>
    <m/>
    <d v="2025-04-30T00:00:00"/>
    <n v="154"/>
    <x v="0"/>
    <x v="4"/>
    <x v="1"/>
    <x v="0"/>
    <m/>
    <m/>
    <m/>
  </r>
  <r>
    <s v="60.02"/>
    <x v="87"/>
    <x v="543"/>
    <s v="Списание с расчетного счета 00БП-006825 от 19.09.2025 17:32:21"/>
    <s v="19.09.25"/>
    <n v="50109"/>
    <m/>
    <m/>
    <d v="2025-09-19T00:00:00"/>
    <n v="12"/>
    <x v="2"/>
    <x v="4"/>
    <x v="1"/>
    <x v="0"/>
    <m/>
    <m/>
    <m/>
  </r>
  <r>
    <s v="60.02"/>
    <x v="87"/>
    <x v="206"/>
    <s v="Списание с расчетного счета 00БП-007167 от 30.09.2025 23:59:59"/>
    <s v="30.09.25"/>
    <n v="25035"/>
    <m/>
    <m/>
    <d v="2025-09-30T00:00:00"/>
    <n v="1"/>
    <x v="2"/>
    <x v="4"/>
    <x v="1"/>
    <x v="0"/>
    <m/>
    <m/>
    <m/>
  </r>
  <r>
    <s v="60.02"/>
    <x v="87"/>
    <x v="544"/>
    <s v="Списание с расчетного счета 00БП-007165 от 30.09.2025 23:59:59"/>
    <s v="30.09.25"/>
    <n v="20160"/>
    <m/>
    <m/>
    <d v="2025-09-30T00:00:00"/>
    <n v="1"/>
    <x v="2"/>
    <x v="4"/>
    <x v="1"/>
    <x v="0"/>
    <m/>
    <m/>
    <m/>
  </r>
  <r>
    <s v="60.02"/>
    <x v="88"/>
    <x v="207"/>
    <s v="Списание с расчетного счета 00БП-002240 от 28.04.2025 18:34:44"/>
    <s v="28.04.25"/>
    <n v="114.79"/>
    <m/>
    <m/>
    <d v="2025-04-28T00:00:00"/>
    <n v="156"/>
    <x v="0"/>
    <x v="4"/>
    <x v="1"/>
    <x v="0"/>
    <m/>
    <m/>
    <m/>
  </r>
  <r>
    <s v="60.02"/>
    <x v="224"/>
    <x v="545"/>
    <s v="Списание с расчетного счета 00БП-004099 от 24.06.2025 23:59:59"/>
    <s v="24.06.25"/>
    <n v="111117.2"/>
    <m/>
    <m/>
    <d v="2025-06-24T00:00:00"/>
    <n v="99"/>
    <x v="4"/>
    <x v="4"/>
    <x v="1"/>
    <x v="0"/>
    <m/>
    <m/>
    <m/>
  </r>
  <r>
    <s v="60.02"/>
    <x v="225"/>
    <x v="546"/>
    <s v="Списание с расчетного счета 00БП-006330 от 08.09.2025 18:50:20"/>
    <s v="08.09.25"/>
    <n v="28900"/>
    <m/>
    <m/>
    <d v="2025-09-08T00:00:00"/>
    <n v="23"/>
    <x v="2"/>
    <x v="4"/>
    <x v="1"/>
    <x v="0"/>
    <m/>
    <m/>
    <m/>
  </r>
  <r>
    <s v="60.02"/>
    <x v="225"/>
    <x v="547"/>
    <s v="Списание с расчетного счета 00БП-006334 от 08.09.2025 18:50:24"/>
    <s v="08.09.25"/>
    <n v="66100"/>
    <m/>
    <m/>
    <d v="2025-09-08T00:00:00"/>
    <n v="23"/>
    <x v="2"/>
    <x v="4"/>
    <x v="1"/>
    <x v="0"/>
    <m/>
    <m/>
    <m/>
  </r>
  <r>
    <s v="60.02"/>
    <x v="91"/>
    <x v="210"/>
    <s v="Списание с расчетного счета 00БП-001175 от 01.04.2025 17:50:06"/>
    <s v="01.04.25"/>
    <n v="128697.35"/>
    <m/>
    <m/>
    <d v="2025-04-01T00:00:00"/>
    <n v="183"/>
    <x v="3"/>
    <x v="4"/>
    <x v="1"/>
    <x v="0"/>
    <m/>
    <m/>
    <m/>
  </r>
  <r>
    <s v="60.02"/>
    <x v="92"/>
    <x v="211"/>
    <s v="Списание с расчетного счета 00БП-002041 от 24.04.2025 18:07:53"/>
    <s v="24.04.25"/>
    <n v="469639.56"/>
    <m/>
    <m/>
    <d v="2025-04-24T00:00:00"/>
    <n v="160"/>
    <x v="0"/>
    <x v="4"/>
    <x v="1"/>
    <x v="0"/>
    <m/>
    <m/>
    <m/>
  </r>
  <r>
    <s v="60.02"/>
    <x v="92"/>
    <x v="212"/>
    <s v="Списание с расчетного счета 00БП-004942 от 16.07.2025 18:27:15"/>
    <s v="16.07.25"/>
    <n v="67605.58"/>
    <m/>
    <m/>
    <d v="2025-07-16T00:00:00"/>
    <n v="77"/>
    <x v="1"/>
    <x v="4"/>
    <x v="1"/>
    <x v="0"/>
    <m/>
    <m/>
    <m/>
  </r>
  <r>
    <s v="60.02"/>
    <x v="92"/>
    <x v="212"/>
    <s v="Списание с расчетного счета 00БП-005010 от 21.07.2025 17:20:10"/>
    <s v="21.07.25"/>
    <n v="260248.8"/>
    <m/>
    <m/>
    <d v="2025-07-21T00:00:00"/>
    <n v="72"/>
    <x v="1"/>
    <x v="4"/>
    <x v="1"/>
    <x v="0"/>
    <m/>
    <m/>
    <m/>
  </r>
  <r>
    <s v="60.02"/>
    <x v="92"/>
    <x v="212"/>
    <s v="Списание с расчетного счета 00БП-005011 от 21.07.2025 17:20:11"/>
    <s v="21.07.25"/>
    <n v="532114.91"/>
    <m/>
    <m/>
    <d v="2025-07-21T00:00:00"/>
    <n v="72"/>
    <x v="1"/>
    <x v="4"/>
    <x v="1"/>
    <x v="0"/>
    <m/>
    <m/>
    <m/>
  </r>
  <r>
    <s v="60.02"/>
    <x v="92"/>
    <x v="212"/>
    <s v="Списание с расчетного счета 00БП-005986 от 25.08.2025 20:08:34"/>
    <s v="25.08.25"/>
    <n v="39738.730000000003"/>
    <m/>
    <m/>
    <d v="2025-08-25T00:00:00"/>
    <n v="37"/>
    <x v="1"/>
    <x v="4"/>
    <x v="1"/>
    <x v="0"/>
    <m/>
    <m/>
    <m/>
  </r>
  <r>
    <s v="60.02"/>
    <x v="92"/>
    <x v="212"/>
    <s v="Списание с расчетного счета 00БП-005988 от 25.08.2025 20:08:36"/>
    <s v="25.08.25"/>
    <n v="200221.08"/>
    <m/>
    <m/>
    <d v="2025-08-25T00:00:00"/>
    <n v="37"/>
    <x v="1"/>
    <x v="4"/>
    <x v="1"/>
    <x v="0"/>
    <m/>
    <m/>
    <m/>
  </r>
  <r>
    <s v="60.02"/>
    <x v="92"/>
    <x v="212"/>
    <s v="Списание с расчетного счета 00БП-005992 от 25.08.2025 20:08:40"/>
    <s v="25.08.25"/>
    <n v="2451315.77"/>
    <m/>
    <m/>
    <d v="2025-08-25T00:00:00"/>
    <n v="37"/>
    <x v="1"/>
    <x v="4"/>
    <x v="1"/>
    <x v="0"/>
    <m/>
    <m/>
    <m/>
  </r>
  <r>
    <s v="60.02"/>
    <x v="92"/>
    <x v="212"/>
    <s v="Списание с расчетного счета 00БП-006768 от 17.09.2025 19:43:20"/>
    <s v="17.09.25"/>
    <n v="750186.92"/>
    <m/>
    <m/>
    <d v="2025-09-17T00:00:00"/>
    <n v="14"/>
    <x v="2"/>
    <x v="4"/>
    <x v="1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713"/>
    <x v="5"/>
    <x v="4"/>
    <x v="1"/>
    <x v="13"/>
    <m/>
    <m/>
    <m/>
  </r>
  <r>
    <s v="60.02"/>
    <x v="92"/>
    <x v="373"/>
    <s v="Списание с расчетного счета 00БП-006937 от 25.09.2025 17:23:33"/>
    <s v="25.09.25"/>
    <n v="71475"/>
    <m/>
    <m/>
    <d v="2025-09-25T00:00:00"/>
    <n v="6"/>
    <x v="2"/>
    <x v="4"/>
    <x v="1"/>
    <x v="0"/>
    <m/>
    <m/>
    <m/>
  </r>
  <r>
    <s v="60.02"/>
    <x v="97"/>
    <x v="223"/>
    <s v="Списание с расчетного счета 00БП-003511 от 09.06.2025 17:56:00"/>
    <s v="09.06.25"/>
    <n v="1181250"/>
    <m/>
    <m/>
    <d v="2025-06-09T00:00:00"/>
    <n v="114"/>
    <x v="4"/>
    <x v="4"/>
    <x v="1"/>
    <x v="0"/>
    <d v="2026-03-18T00:00:00"/>
    <m/>
    <m/>
  </r>
  <r>
    <s v="60.02"/>
    <x v="226"/>
    <x v="548"/>
    <s v="Списание с расчетного счета 00БП-006926 от 25.09.2025 17:23:22"/>
    <s v="25.09.25"/>
    <n v="4000"/>
    <m/>
    <m/>
    <d v="2025-09-25T00:00:00"/>
    <n v="6"/>
    <x v="2"/>
    <x v="4"/>
    <x v="1"/>
    <x v="0"/>
    <m/>
    <m/>
    <m/>
  </r>
  <r>
    <s v="60.02"/>
    <x v="98"/>
    <x v="224"/>
    <s v="Списание с расчетного счета 00БП-002981 от 22.05.2025 18:45:24"/>
    <s v="22.05.25"/>
    <n v="6869.56"/>
    <m/>
    <m/>
    <d v="2025-05-22T00:00:00"/>
    <n v="132"/>
    <x v="0"/>
    <x v="4"/>
    <x v="1"/>
    <x v="8"/>
    <m/>
    <m/>
    <m/>
  </r>
  <r>
    <s v="60.02"/>
    <x v="98"/>
    <x v="225"/>
    <s v="Списание с расчетного счета 00БП-002894 от 19.05.2025 18:19:38"/>
    <s v="19.05.25"/>
    <n v="16930"/>
    <m/>
    <m/>
    <d v="2025-05-19T00:00:00"/>
    <n v="135"/>
    <x v="0"/>
    <x v="4"/>
    <x v="1"/>
    <x v="8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390"/>
    <x v="5"/>
    <x v="4"/>
    <x v="1"/>
    <x v="8"/>
    <m/>
    <m/>
    <m/>
  </r>
  <r>
    <s v="60.02"/>
    <x v="98"/>
    <x v="227"/>
    <s v="Списание с расчетного счета 00БП-002958 от 21.05.2025 20:10:49"/>
    <s v="21.05.25"/>
    <n v="35983.96"/>
    <m/>
    <m/>
    <d v="2025-05-21T00:00:00"/>
    <n v="133"/>
    <x v="0"/>
    <x v="4"/>
    <x v="1"/>
    <x v="8"/>
    <m/>
    <m/>
    <m/>
  </r>
  <r>
    <s v="60.02"/>
    <x v="98"/>
    <x v="228"/>
    <s v="Списание с расчетного счета 00БП-004340 от 01.07.2025 20:38:11"/>
    <s v="01.07.25"/>
    <n v="3413.74"/>
    <m/>
    <m/>
    <d v="2025-07-01T00:00:00"/>
    <n v="92"/>
    <x v="4"/>
    <x v="4"/>
    <x v="1"/>
    <x v="8"/>
    <m/>
    <m/>
    <m/>
  </r>
  <r>
    <s v="60.02"/>
    <x v="100"/>
    <x v="230"/>
    <s v="Списание с расчетного счета 00БП-007569 от 15.10.2024 19:25:20"/>
    <s v="15.10.24"/>
    <n v="3762.32"/>
    <m/>
    <m/>
    <d v="2024-10-15T00:00:00"/>
    <n v="351"/>
    <x v="6"/>
    <x v="4"/>
    <x v="1"/>
    <x v="0"/>
    <m/>
    <m/>
    <m/>
  </r>
  <r>
    <s v="60.02"/>
    <x v="227"/>
    <x v="549"/>
    <s v="Списание с расчетного счета 00БП-006880 от 23.09.2025 18:41:27"/>
    <s v="23.09.25"/>
    <n v="1539534.6"/>
    <m/>
    <m/>
    <d v="2025-09-23T00:00:00"/>
    <n v="8"/>
    <x v="2"/>
    <x v="4"/>
    <x v="1"/>
    <x v="0"/>
    <m/>
    <m/>
    <m/>
  </r>
  <r>
    <s v="60.02"/>
    <x v="228"/>
    <x v="550"/>
    <s v="Списание с расчетного счета 00БП-001818 от 15.04.2025 18:43:43"/>
    <s v="15.04.25"/>
    <n v="57175.43"/>
    <m/>
    <m/>
    <d v="2025-04-15T00:00:00"/>
    <n v="169"/>
    <x v="0"/>
    <x v="4"/>
    <x v="1"/>
    <x v="0"/>
    <m/>
    <m/>
    <m/>
  </r>
  <r>
    <s v="60.02"/>
    <x v="102"/>
    <x v="551"/>
    <s v="Списание с расчетного счета 00БП-005939 от 21.08.2025 17:24:51"/>
    <s v="21.08.25"/>
    <n v="10000"/>
    <m/>
    <m/>
    <d v="2025-08-21T00:00:00"/>
    <n v="41"/>
    <x v="1"/>
    <x v="4"/>
    <x v="1"/>
    <x v="0"/>
    <m/>
    <m/>
    <m/>
  </r>
  <r>
    <s v="60.02"/>
    <x v="229"/>
    <x v="552"/>
    <s v="Списание с расчетного счета 00БП-005353 от 31.07.2025 23:59:59"/>
    <s v="31.07.25"/>
    <n v="137068"/>
    <m/>
    <m/>
    <d v="2025-07-31T00:00:00"/>
    <n v="62"/>
    <x v="1"/>
    <x v="4"/>
    <x v="1"/>
    <x v="0"/>
    <m/>
    <m/>
    <m/>
  </r>
  <r>
    <s v="60.02"/>
    <x v="230"/>
    <x v="553"/>
    <s v="Списание с расчетного счета 00БП-005900 от 19.08.2025 21:00:43"/>
    <s v="19.08.25"/>
    <n v="18500"/>
    <m/>
    <m/>
    <d v="2025-08-19T00:00:00"/>
    <n v="43"/>
    <x v="1"/>
    <x v="4"/>
    <x v="1"/>
    <x v="0"/>
    <m/>
    <m/>
    <m/>
  </r>
  <r>
    <s v="60.02"/>
    <x v="104"/>
    <x v="234"/>
    <s v="Списание с расчетного счета 00БП-003058 от 26.05.2025 22:23:12"/>
    <s v="26.05.25"/>
    <n v="0.3"/>
    <m/>
    <m/>
    <d v="2025-05-26T00:00:00"/>
    <n v="128"/>
    <x v="0"/>
    <x v="4"/>
    <x v="1"/>
    <x v="0"/>
    <m/>
    <m/>
    <m/>
  </r>
  <r>
    <s v="60.02"/>
    <x v="105"/>
    <x v="235"/>
    <s v="Списание с расчетного счета 00БП-001305 от 04.04.2025 19:33:54"/>
    <s v="04.04.25"/>
    <n v="74670"/>
    <m/>
    <m/>
    <d v="2025-04-04T00:00:00"/>
    <n v="180"/>
    <x v="0"/>
    <x v="4"/>
    <x v="1"/>
    <x v="0"/>
    <m/>
    <m/>
    <m/>
  </r>
  <r>
    <s v="60.02"/>
    <x v="106"/>
    <x v="236"/>
    <s v="Корректировка поступления 00БП-000016 от 17.06.2025 17:44:56"/>
    <s v="17.06.25"/>
    <n v="163072"/>
    <m/>
    <m/>
    <d v="2025-06-17T00:00:00"/>
    <n v="106"/>
    <x v="4"/>
    <x v="4"/>
    <x v="1"/>
    <x v="2"/>
    <m/>
    <m/>
    <m/>
  </r>
  <r>
    <s v="60.02"/>
    <x v="106"/>
    <x v="554"/>
    <s v="Списание с расчетного счета 00БП-004101 от 24.06.2025 23:59:59"/>
    <s v="24.06.25"/>
    <n v="187165.8"/>
    <m/>
    <m/>
    <d v="2025-06-24T00:00:00"/>
    <n v="99"/>
    <x v="4"/>
    <x v="4"/>
    <x v="1"/>
    <x v="0"/>
    <m/>
    <m/>
    <m/>
  </r>
  <r>
    <s v="60.02"/>
    <x v="106"/>
    <x v="554"/>
    <s v="Списание с расчетного счета 00БП-004249 от 27.06.2025 17:37:22"/>
    <s v="27.06.25"/>
    <n v="345520.2"/>
    <m/>
    <m/>
    <d v="2025-06-27T00:00:00"/>
    <n v="96"/>
    <x v="4"/>
    <x v="4"/>
    <x v="1"/>
    <x v="0"/>
    <m/>
    <m/>
    <m/>
  </r>
  <r>
    <s v="60.02"/>
    <x v="106"/>
    <x v="555"/>
    <s v="Списание с расчетного счета 00БП-004097 от 24.06.2025 23:59:59"/>
    <s v="24.06.25"/>
    <n v="91200"/>
    <m/>
    <m/>
    <d v="2025-06-24T00:00:00"/>
    <n v="99"/>
    <x v="4"/>
    <x v="4"/>
    <x v="1"/>
    <x v="0"/>
    <m/>
    <m/>
    <m/>
  </r>
  <r>
    <s v="60.02"/>
    <x v="107"/>
    <x v="237"/>
    <s v="Списание с расчетного счета 00БП-005899 от 19.08.2025 21:00:42"/>
    <s v="19.08.25"/>
    <n v="11240"/>
    <m/>
    <m/>
    <d v="2025-08-19T00:00:00"/>
    <n v="43"/>
    <x v="1"/>
    <x v="4"/>
    <x v="1"/>
    <x v="0"/>
    <m/>
    <m/>
    <m/>
  </r>
  <r>
    <s v="60.02"/>
    <x v="179"/>
    <x v="374"/>
    <s v="Списание с расчетного счета 00БП-004571 от 09.07.2025 20:21:54"/>
    <s v="09.07.25"/>
    <n v="205088"/>
    <m/>
    <m/>
    <d v="2025-07-09T00:00:00"/>
    <n v="84"/>
    <x v="1"/>
    <x v="4"/>
    <x v="1"/>
    <x v="0"/>
    <m/>
    <m/>
    <m/>
  </r>
  <r>
    <s v="60.02"/>
    <x v="231"/>
    <x v="556"/>
    <s v="Списание с расчетного счета 00БП-006377 от 10.09.2025 18:06:39"/>
    <s v="10.09.25"/>
    <n v="16200"/>
    <m/>
    <m/>
    <d v="2025-09-10T00:00:00"/>
    <n v="21"/>
    <x v="2"/>
    <x v="4"/>
    <x v="1"/>
    <x v="0"/>
    <m/>
    <m/>
    <m/>
  </r>
  <r>
    <s v="60.02"/>
    <x v="232"/>
    <x v="557"/>
    <s v="Списание с расчетного счета 00БП-006857 от 23.09.2025 18:41:04"/>
    <s v="23.09.25"/>
    <n v="700"/>
    <m/>
    <m/>
    <d v="2025-09-23T00:00:00"/>
    <n v="8"/>
    <x v="2"/>
    <x v="4"/>
    <x v="1"/>
    <x v="0"/>
    <m/>
    <m/>
    <m/>
  </r>
  <r>
    <s v="60.02"/>
    <x v="233"/>
    <x v="558"/>
    <s v="Списание с расчетного счета 00БП-004248 от 27.06.2025 17:37:21"/>
    <s v="27.06.25"/>
    <n v="7500"/>
    <m/>
    <m/>
    <d v="2025-06-27T00:00:00"/>
    <n v="96"/>
    <x v="4"/>
    <x v="4"/>
    <x v="1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1063"/>
    <x v="5"/>
    <x v="4"/>
    <x v="1"/>
    <x v="8"/>
    <m/>
    <m/>
    <m/>
  </r>
  <r>
    <s v="60.02"/>
    <x v="110"/>
    <x v="559"/>
    <s v="Списание с расчетного счета 00БП-001865 от 16.04.2025 19:34:01"/>
    <s v="16.04.25"/>
    <n v="3772.34"/>
    <m/>
    <m/>
    <d v="2025-04-16T00:00:00"/>
    <n v="168"/>
    <x v="0"/>
    <x v="4"/>
    <x v="1"/>
    <x v="0"/>
    <m/>
    <m/>
    <m/>
  </r>
  <r>
    <s v="60.02"/>
    <x v="110"/>
    <x v="560"/>
    <s v="Списание с расчетного счета 00БП-006146 от 27.08.2025 18:31:53"/>
    <s v="27.08.25"/>
    <n v="118000"/>
    <m/>
    <m/>
    <d v="2025-08-27T00:00:00"/>
    <n v="35"/>
    <x v="1"/>
    <x v="4"/>
    <x v="1"/>
    <x v="0"/>
    <m/>
    <m/>
    <m/>
  </r>
  <r>
    <s v="60.02"/>
    <x v="234"/>
    <x v="561"/>
    <s v="Списание с расчетного счета 00БП-000553 от 07.03.2025 17:21:20"/>
    <s v="07.03.25"/>
    <n v="125249.76"/>
    <m/>
    <m/>
    <d v="2025-03-07T00:00:00"/>
    <n v="208"/>
    <x v="3"/>
    <x v="4"/>
    <x v="1"/>
    <x v="0"/>
    <m/>
    <m/>
    <m/>
  </r>
  <r>
    <s v="60.02"/>
    <x v="111"/>
    <x v="562"/>
    <s v="Списание с расчетного счета 00БП-005797 от 13.08.2025 18:01:10"/>
    <s v="13.08.25"/>
    <n v="4800"/>
    <m/>
    <m/>
    <d v="2025-08-13T00:00:00"/>
    <n v="49"/>
    <x v="1"/>
    <x v="4"/>
    <x v="1"/>
    <x v="0"/>
    <m/>
    <m/>
    <m/>
  </r>
  <r>
    <s v="60.02"/>
    <x v="111"/>
    <x v="563"/>
    <s v="Списание с расчетного счета 00БП-006375 от 10.09.2025 18:06:37"/>
    <s v="10.09.25"/>
    <n v="4850"/>
    <m/>
    <m/>
    <d v="2025-09-10T00:00:00"/>
    <n v="21"/>
    <x v="2"/>
    <x v="4"/>
    <x v="1"/>
    <x v="0"/>
    <m/>
    <m/>
    <m/>
  </r>
  <r>
    <s v="60.02"/>
    <x v="111"/>
    <x v="564"/>
    <s v="Списание с расчетного счета 00БП-006827 от 19.09.2025 17:32:23"/>
    <s v="19.09.25"/>
    <n v="193140"/>
    <m/>
    <m/>
    <d v="2025-09-19T00:00:00"/>
    <n v="12"/>
    <x v="2"/>
    <x v="4"/>
    <x v="1"/>
    <x v="0"/>
    <m/>
    <m/>
    <m/>
  </r>
  <r>
    <s v="60.02"/>
    <x v="111"/>
    <x v="244"/>
    <s v="Списание с расчетного счета 00БП-006826 от 19.09.2025 17:32:22"/>
    <s v="19.09.25"/>
    <n v="88350"/>
    <m/>
    <m/>
    <d v="2025-09-19T00:00:00"/>
    <n v="12"/>
    <x v="2"/>
    <x v="4"/>
    <x v="1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1042"/>
    <x v="5"/>
    <x v="4"/>
    <x v="1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643"/>
    <x v="5"/>
    <x v="4"/>
    <x v="1"/>
    <x v="0"/>
    <m/>
    <m/>
    <m/>
  </r>
  <r>
    <s v="60.02"/>
    <x v="114"/>
    <x v="247"/>
    <s v="Списание с расчетного счета 00БП-005942 от 21.08.2025 17:24:54"/>
    <s v="21.08.25"/>
    <n v="1117.75"/>
    <m/>
    <m/>
    <d v="2025-08-21T00:00:00"/>
    <n v="41"/>
    <x v="1"/>
    <x v="4"/>
    <x v="1"/>
    <x v="0"/>
    <m/>
    <m/>
    <m/>
  </r>
  <r>
    <s v="60.02"/>
    <x v="115"/>
    <x v="248"/>
    <s v="Списание с расчетного счета 00БП-003974 от 19.06.2025 19:28:37"/>
    <s v="19.06.25"/>
    <n v="8840"/>
    <m/>
    <m/>
    <d v="2025-06-19T00:00:00"/>
    <n v="104"/>
    <x v="4"/>
    <x v="4"/>
    <x v="1"/>
    <x v="0"/>
    <m/>
    <m/>
    <m/>
  </r>
  <r>
    <s v="60.02"/>
    <x v="115"/>
    <x v="254"/>
    <s v="Списание с расчетного счета 00БП-006898 от 24.09.2025 18:36:00"/>
    <s v="24.09.25"/>
    <n v="56500"/>
    <m/>
    <m/>
    <d v="2025-09-24T00:00:00"/>
    <n v="7"/>
    <x v="2"/>
    <x v="4"/>
    <x v="1"/>
    <x v="0"/>
    <m/>
    <m/>
    <m/>
  </r>
  <r>
    <s v="60.02"/>
    <x v="235"/>
    <x v="565"/>
    <s v="Списание с расчетного счета 00БП-009304 от 18.12.2024 13:07:13"/>
    <s v="18.12.24"/>
    <n v="33700"/>
    <m/>
    <m/>
    <d v="2024-12-18T00:00:00"/>
    <n v="287"/>
    <x v="6"/>
    <x v="4"/>
    <x v="1"/>
    <x v="0"/>
    <m/>
    <m/>
    <m/>
  </r>
  <r>
    <s v="60.02"/>
    <x v="235"/>
    <x v="566"/>
    <s v="Списание с расчетного счета 00БП-006395 от 11.09.2025 23:40:53"/>
    <s v="11.09.25"/>
    <n v="6700"/>
    <m/>
    <m/>
    <d v="2025-09-11T00:00:00"/>
    <n v="20"/>
    <x v="2"/>
    <x v="4"/>
    <x v="1"/>
    <x v="0"/>
    <m/>
    <m/>
    <m/>
  </r>
  <r>
    <s v="60.02"/>
    <x v="235"/>
    <x v="567"/>
    <s v="Списание с расчетного счета 00БП-006740 от 16.09.2025 17:34:58"/>
    <s v="16.09.25"/>
    <n v="36200"/>
    <m/>
    <m/>
    <d v="2025-09-16T00:00:00"/>
    <n v="15"/>
    <x v="2"/>
    <x v="4"/>
    <x v="1"/>
    <x v="0"/>
    <m/>
    <m/>
    <m/>
  </r>
  <r>
    <s v="60.02"/>
    <x v="116"/>
    <x v="258"/>
    <s v="Списание с расчетного счета 00БП-003861 от 16.06.2025 18:31:26"/>
    <s v="16.06.25"/>
    <n v="1.8"/>
    <m/>
    <m/>
    <d v="2025-06-16T00:00:00"/>
    <n v="107"/>
    <x v="4"/>
    <x v="4"/>
    <x v="1"/>
    <x v="0"/>
    <m/>
    <m/>
    <m/>
  </r>
  <r>
    <s v="60.02"/>
    <x v="118"/>
    <x v="260"/>
    <s v="Списание с расчетного счета 00БП-006932 от 25.09.2025 17:23:28"/>
    <s v="25.09.25"/>
    <n v="21420"/>
    <m/>
    <m/>
    <d v="2025-09-25T00:00:00"/>
    <n v="6"/>
    <x v="2"/>
    <x v="4"/>
    <x v="1"/>
    <x v="0"/>
    <m/>
    <m/>
    <m/>
  </r>
  <r>
    <s v="60.02"/>
    <x v="118"/>
    <x v="261"/>
    <s v="Списание с расчетного счета 00БП-006934 от 25.09.2025 17:23:30"/>
    <s v="25.09.25"/>
    <n v="26000"/>
    <m/>
    <m/>
    <d v="2025-09-25T00:00:00"/>
    <n v="6"/>
    <x v="2"/>
    <x v="4"/>
    <x v="1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731"/>
    <x v="5"/>
    <x v="4"/>
    <x v="1"/>
    <x v="8"/>
    <m/>
    <m/>
    <m/>
  </r>
  <r>
    <s v="60.02"/>
    <x v="122"/>
    <x v="265"/>
    <s v="Списание с расчетного счета 00БП-005897 от 19.08.2025 21:00:40"/>
    <s v="19.08.25"/>
    <n v="3000"/>
    <m/>
    <m/>
    <d v="2025-08-19T00:00:00"/>
    <n v="43"/>
    <x v="1"/>
    <x v="4"/>
    <x v="1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821"/>
    <x v="5"/>
    <x v="4"/>
    <x v="1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744"/>
    <x v="5"/>
    <x v="4"/>
    <x v="1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475"/>
    <x v="5"/>
    <x v="4"/>
    <x v="1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679"/>
    <x v="5"/>
    <x v="4"/>
    <x v="1"/>
    <x v="8"/>
    <m/>
    <m/>
    <m/>
  </r>
  <r>
    <s v="60.02"/>
    <x v="122"/>
    <x v="277"/>
    <s v="Списание с расчетного счета 00БП-002403 от 06.05.2025 20:09:56"/>
    <s v="06.05.25"/>
    <n v="26390"/>
    <m/>
    <m/>
    <d v="2025-05-06T00:00:00"/>
    <n v="148"/>
    <x v="0"/>
    <x v="4"/>
    <x v="1"/>
    <x v="0"/>
    <m/>
    <m/>
    <m/>
  </r>
  <r>
    <s v="60.02"/>
    <x v="122"/>
    <x v="277"/>
    <s v="Корректировка поступления 00БП-000026 от 30.09.2025 10:00:00"/>
    <s v="30.09.25"/>
    <n v="2000"/>
    <m/>
    <m/>
    <d v="2025-09-30T00:00:00"/>
    <n v="1"/>
    <x v="2"/>
    <x v="4"/>
    <x v="1"/>
    <x v="0"/>
    <m/>
    <m/>
    <m/>
  </r>
  <r>
    <s v="60.02"/>
    <x v="122"/>
    <x v="278"/>
    <s v="Списание с расчетного счета 00БП-005980 от 25.08.2025 20:08:28"/>
    <s v="25.08.25"/>
    <n v="3000"/>
    <m/>
    <m/>
    <d v="2025-08-25T00:00:00"/>
    <n v="37"/>
    <x v="1"/>
    <x v="4"/>
    <x v="1"/>
    <x v="0"/>
    <m/>
    <m/>
    <m/>
  </r>
  <r>
    <s v="60.02"/>
    <x v="122"/>
    <x v="279"/>
    <s v="Списание с расчетного счета 00БП-006199 от 29.08.2025 23:56:43"/>
    <s v="29.08.25"/>
    <n v="29300"/>
    <m/>
    <m/>
    <d v="2025-08-29T00:00:00"/>
    <n v="33"/>
    <x v="1"/>
    <x v="4"/>
    <x v="1"/>
    <x v="0"/>
    <m/>
    <m/>
    <m/>
  </r>
  <r>
    <s v="60.02"/>
    <x v="122"/>
    <x v="568"/>
    <s v="Списание с расчетного счета 00БП-006871 от 23.09.2025 18:41:18"/>
    <s v="23.09.25"/>
    <n v="15576"/>
    <m/>
    <m/>
    <d v="2025-09-23T00:00:00"/>
    <n v="8"/>
    <x v="2"/>
    <x v="4"/>
    <x v="1"/>
    <x v="0"/>
    <m/>
    <m/>
    <m/>
  </r>
  <r>
    <s v="60.02"/>
    <x v="122"/>
    <x v="569"/>
    <s v="Списание с расчетного счета 00БП-007035 от 26.09.2025 18:44:23"/>
    <s v="26.09.25"/>
    <n v="88516"/>
    <m/>
    <m/>
    <d v="2025-09-26T00:00:00"/>
    <n v="5"/>
    <x v="2"/>
    <x v="4"/>
    <x v="1"/>
    <x v="0"/>
    <m/>
    <m/>
    <m/>
  </r>
  <r>
    <s v="60.02"/>
    <x v="122"/>
    <x v="570"/>
    <s v="Списание с расчетного счета 00БП-007043 от 26.09.2025 18:44:31"/>
    <s v="26.09.25"/>
    <n v="203196"/>
    <m/>
    <m/>
    <d v="2025-09-26T00:00:00"/>
    <n v="5"/>
    <x v="2"/>
    <x v="4"/>
    <x v="1"/>
    <x v="0"/>
    <m/>
    <m/>
    <m/>
  </r>
  <r>
    <s v="60.02"/>
    <x v="122"/>
    <x v="375"/>
    <s v="Списание с расчетного счета 00БП-007158 от 30.09.2025 23:59:59"/>
    <s v="30.09.25"/>
    <n v="7108"/>
    <m/>
    <m/>
    <d v="2025-09-30T00:00:00"/>
    <n v="1"/>
    <x v="2"/>
    <x v="4"/>
    <x v="1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909"/>
    <x v="5"/>
    <x v="4"/>
    <x v="1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728"/>
    <x v="5"/>
    <x v="4"/>
    <x v="1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2252"/>
    <x v="5"/>
    <x v="4"/>
    <x v="1"/>
    <x v="8"/>
    <m/>
    <m/>
    <m/>
  </r>
  <r>
    <s v="60.02"/>
    <x v="125"/>
    <x v="282"/>
    <s v="Списание с расчетного счета 00БП-006359 от 09.09.2025 23:59:59"/>
    <s v="09.09.25"/>
    <n v="479100"/>
    <m/>
    <m/>
    <d v="2025-09-09T00:00:00"/>
    <n v="22"/>
    <x v="2"/>
    <x v="4"/>
    <x v="1"/>
    <x v="0"/>
    <m/>
    <m/>
    <m/>
  </r>
  <r>
    <s v="60.02"/>
    <x v="125"/>
    <x v="571"/>
    <s v="Списание с расчетного счета 00БП-001766 от 14.04.2025 19:30:11"/>
    <s v="14.04.25"/>
    <n v="50600"/>
    <m/>
    <m/>
    <d v="2025-04-14T00:00:00"/>
    <n v="170"/>
    <x v="0"/>
    <x v="4"/>
    <x v="1"/>
    <x v="0"/>
    <m/>
    <m/>
    <m/>
  </r>
  <r>
    <s v="60.02"/>
    <x v="236"/>
    <x v="572"/>
    <s v="Списание с расчетного счета 00БП-004389 от 02.07.2025 18:29:40"/>
    <s v="02.07.25"/>
    <n v="41290"/>
    <m/>
    <m/>
    <d v="2025-07-02T00:00:00"/>
    <n v="91"/>
    <x v="4"/>
    <x v="4"/>
    <x v="1"/>
    <x v="0"/>
    <m/>
    <m/>
    <m/>
  </r>
  <r>
    <s v="60.02"/>
    <x v="236"/>
    <x v="573"/>
    <s v="Списание с расчетного счета 00БП-004385 от 02.07.2025 18:29:36"/>
    <s v="02.07.25"/>
    <n v="4600"/>
    <m/>
    <m/>
    <d v="2025-07-02T00:00:00"/>
    <n v="91"/>
    <x v="4"/>
    <x v="4"/>
    <x v="1"/>
    <x v="0"/>
    <m/>
    <m/>
    <m/>
  </r>
  <r>
    <s v="60.02"/>
    <x v="237"/>
    <x v="574"/>
    <s v="Списание с расчетного счета 00БП-004998 от 21.07.2025 17:19:58"/>
    <s v="21.07.25"/>
    <n v="8700"/>
    <m/>
    <m/>
    <d v="2025-07-21T00:00:00"/>
    <n v="72"/>
    <x v="1"/>
    <x v="4"/>
    <x v="1"/>
    <x v="0"/>
    <m/>
    <m/>
    <m/>
  </r>
  <r>
    <s v="60.02"/>
    <x v="238"/>
    <x v="575"/>
    <s v="Списание с расчетного счета 00БП-007170 от 30.09.2025 23:59:59"/>
    <s v="30.09.25"/>
    <n v="44175"/>
    <m/>
    <m/>
    <d v="2025-09-30T00:00:00"/>
    <n v="1"/>
    <x v="2"/>
    <x v="4"/>
    <x v="1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539"/>
    <x v="5"/>
    <x v="4"/>
    <x v="1"/>
    <x v="2"/>
    <m/>
    <m/>
    <m/>
  </r>
  <r>
    <s v="60.02"/>
    <x v="239"/>
    <x v="576"/>
    <s v="Списание с расчетного счета 00БП-001079 от 28.03.2025 21:31:11"/>
    <s v="28.03.25"/>
    <n v="7010"/>
    <m/>
    <m/>
    <d v="2025-03-28T00:00:00"/>
    <n v="187"/>
    <x v="3"/>
    <x v="4"/>
    <x v="1"/>
    <x v="0"/>
    <m/>
    <m/>
    <m/>
  </r>
  <r>
    <s v="60.02"/>
    <x v="129"/>
    <x v="577"/>
    <s v="Списание с расчетного счета 00БП-006411 от 11.09.2025 23:41:09"/>
    <s v="11.09.25"/>
    <n v="743700"/>
    <m/>
    <m/>
    <d v="2025-09-11T00:00:00"/>
    <n v="20"/>
    <x v="2"/>
    <x v="4"/>
    <x v="1"/>
    <x v="0"/>
    <m/>
    <m/>
    <m/>
  </r>
  <r>
    <s v="60.02"/>
    <x v="130"/>
    <x v="376"/>
    <s v="Списание с расчетного счета 00БП-006307 от 05.09.2025 18:19:31"/>
    <s v="05.09.25"/>
    <n v="142190"/>
    <m/>
    <m/>
    <d v="2025-09-05T00:00:00"/>
    <n v="26"/>
    <x v="2"/>
    <x v="4"/>
    <x v="1"/>
    <x v="0"/>
    <m/>
    <m/>
    <m/>
  </r>
  <r>
    <s v="60.02"/>
    <x v="130"/>
    <x v="578"/>
    <s v="Списание с расчетного счета 00БП-006309 от 05.09.2025 18:19:33"/>
    <s v="05.09.25"/>
    <n v="260000"/>
    <m/>
    <m/>
    <d v="2025-09-05T00:00:00"/>
    <n v="26"/>
    <x v="2"/>
    <x v="4"/>
    <x v="1"/>
    <x v="0"/>
    <m/>
    <m/>
    <m/>
  </r>
  <r>
    <s v="60.02"/>
    <x v="130"/>
    <x v="292"/>
    <s v="Списание с расчетного счета 00БП-006936 от 25.09.2025 17:23:32"/>
    <s v="25.09.25"/>
    <n v="67040"/>
    <m/>
    <m/>
    <d v="2025-09-25T00:00:00"/>
    <n v="6"/>
    <x v="2"/>
    <x v="4"/>
    <x v="1"/>
    <x v="0"/>
    <m/>
    <m/>
    <m/>
  </r>
  <r>
    <s v="60.02"/>
    <x v="130"/>
    <x v="377"/>
    <s v="Списание с расчетного счета 00БП-006948 от 26.09.2025 18:42:56"/>
    <s v="26.09.25"/>
    <n v="2000"/>
    <m/>
    <m/>
    <d v="2025-09-26T00:00:00"/>
    <n v="5"/>
    <x v="2"/>
    <x v="4"/>
    <x v="1"/>
    <x v="0"/>
    <m/>
    <m/>
    <m/>
  </r>
  <r>
    <s v="60.02"/>
    <x v="130"/>
    <x v="295"/>
    <s v="Списание с расчетного счета 00БП-001221 от 02.04.2025 17:47:06"/>
    <s v="02.04.25"/>
    <n v="14000"/>
    <m/>
    <m/>
    <d v="2025-04-02T00:00:00"/>
    <n v="182"/>
    <x v="3"/>
    <x v="4"/>
    <x v="1"/>
    <x v="2"/>
    <m/>
    <m/>
    <m/>
  </r>
  <r>
    <s v="60.02"/>
    <x v="240"/>
    <x v="579"/>
    <s v="Списание с расчетного счета 00БП-006733 от 16.09.2025 17:34:51"/>
    <s v="16.09.25"/>
    <n v="5976"/>
    <m/>
    <m/>
    <d v="2025-09-16T00:00:00"/>
    <n v="15"/>
    <x v="2"/>
    <x v="4"/>
    <x v="1"/>
    <x v="0"/>
    <m/>
    <m/>
    <m/>
  </r>
  <r>
    <s v="60.02"/>
    <x v="241"/>
    <x v="580"/>
    <s v="Списание с расчетного счета 00БП-006873 от 23.09.2025 18:41:20"/>
    <s v="23.09.25"/>
    <n v="20176"/>
    <m/>
    <m/>
    <d v="2025-09-23T00:00:00"/>
    <n v="8"/>
    <x v="2"/>
    <x v="4"/>
    <x v="1"/>
    <x v="0"/>
    <m/>
    <m/>
    <m/>
  </r>
  <r>
    <s v="60.02"/>
    <x v="180"/>
    <x v="380"/>
    <s v="Списание с расчетного счета 00БП-006382 от 10.09.2025 18:06:44"/>
    <s v="10.09.25"/>
    <n v="5852650"/>
    <m/>
    <m/>
    <d v="2025-09-10T00:00:00"/>
    <n v="21"/>
    <x v="2"/>
    <x v="4"/>
    <x v="1"/>
    <x v="0"/>
    <m/>
    <m/>
    <m/>
  </r>
  <r>
    <s v="60.02"/>
    <x v="242"/>
    <x v="581"/>
    <s v="Списание с расчетного счета 00БП-003457 от 06.06.2025 18:48:53"/>
    <s v="06.06.25"/>
    <n v="71410"/>
    <m/>
    <m/>
    <d v="2025-06-06T00:00:00"/>
    <n v="117"/>
    <x v="4"/>
    <x v="4"/>
    <x v="1"/>
    <x v="0"/>
    <m/>
    <m/>
    <m/>
  </r>
  <r>
    <s v="60.02"/>
    <x v="243"/>
    <x v="582"/>
    <s v="Списание с расчетного счета 00БП-003544 от 10.06.2025 19:31:35"/>
    <s v="10.06.25"/>
    <n v="89060"/>
    <m/>
    <m/>
    <d v="2025-06-10T00:00:00"/>
    <n v="113"/>
    <x v="4"/>
    <x v="4"/>
    <x v="1"/>
    <x v="0"/>
    <m/>
    <m/>
    <m/>
  </r>
  <r>
    <s v="60.02"/>
    <x v="137"/>
    <x v="303"/>
    <s v="Списание с расчетного счета 00БП-000703 от 13.03.2025 18:55:48"/>
    <s v="13.03.25"/>
    <n v="252667.4"/>
    <m/>
    <m/>
    <d v="2025-03-13T00:00:00"/>
    <n v="202"/>
    <x v="3"/>
    <x v="4"/>
    <x v="1"/>
    <x v="16"/>
    <m/>
    <m/>
    <m/>
  </r>
  <r>
    <s v="60.02"/>
    <x v="141"/>
    <x v="308"/>
    <s v="Списание с расчетного счета 00БП-001386 от 08.04.2025 23:49:32"/>
    <s v="08.04.25"/>
    <n v="31000"/>
    <m/>
    <m/>
    <d v="2025-04-08T00:00:00"/>
    <n v="176"/>
    <x v="0"/>
    <x v="4"/>
    <x v="1"/>
    <x v="8"/>
    <m/>
    <m/>
    <m/>
  </r>
  <r>
    <s v="60.02"/>
    <x v="142"/>
    <x v="309"/>
    <s v="Списание с расчетного счета 00БП-001145 от 31.03.2025 23:59:59"/>
    <s v="31.03.25"/>
    <n v="32000"/>
    <m/>
    <m/>
    <d v="2025-03-31T00:00:00"/>
    <n v="184"/>
    <x v="3"/>
    <x v="4"/>
    <x v="1"/>
    <x v="8"/>
    <m/>
    <m/>
    <m/>
  </r>
  <r>
    <s v="60.02"/>
    <x v="143"/>
    <x v="310"/>
    <s v="Списание с расчетного счета 00БП-006763 от 17.09.2025 19:43:15"/>
    <s v="17.09.25"/>
    <n v="214283.5"/>
    <m/>
    <m/>
    <d v="2025-09-17T00:00:00"/>
    <n v="14"/>
    <x v="2"/>
    <x v="4"/>
    <x v="1"/>
    <x v="0"/>
    <m/>
    <m/>
    <m/>
  </r>
  <r>
    <s v="60.02"/>
    <x v="244"/>
    <x v="583"/>
    <s v="Списание с расчетного счета 00БП-004453 от 04.07.2025 21:20:07"/>
    <s v="04.07.25"/>
    <n v="135000"/>
    <m/>
    <m/>
    <d v="2025-07-04T00:00:00"/>
    <n v="89"/>
    <x v="1"/>
    <x v="4"/>
    <x v="1"/>
    <x v="0"/>
    <m/>
    <m/>
    <m/>
  </r>
  <r>
    <s v="60.02"/>
    <x v="144"/>
    <x v="311"/>
    <s v="Списание с расчетного счета 00БП-000930 от 25.03.2025 17:52:15"/>
    <s v="25.03.25"/>
    <n v="20740"/>
    <m/>
    <m/>
    <d v="2025-03-25T00:00:00"/>
    <n v="190"/>
    <x v="3"/>
    <x v="4"/>
    <x v="1"/>
    <x v="2"/>
    <m/>
    <m/>
    <m/>
  </r>
  <r>
    <s v="60.02"/>
    <x v="245"/>
    <x v="584"/>
    <s v="Списание с расчетного счета 00БП-004951 от 17.07.2025 22:01:21"/>
    <s v="17.07.25"/>
    <n v="30685"/>
    <m/>
    <m/>
    <d v="2025-07-17T00:00:00"/>
    <n v="76"/>
    <x v="1"/>
    <x v="4"/>
    <x v="1"/>
    <x v="0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397"/>
    <x v="5"/>
    <x v="4"/>
    <x v="1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358"/>
    <x v="6"/>
    <x v="4"/>
    <x v="1"/>
    <x v="18"/>
    <m/>
    <s v="Экологический отдел"/>
    <m/>
  </r>
  <r>
    <s v="60.02"/>
    <x v="181"/>
    <x v="381"/>
    <s v="Списание с расчетного счета 00БП-007160 от 30.09.2025 23:59:59"/>
    <s v="30.09.25"/>
    <n v="10500"/>
    <m/>
    <m/>
    <d v="2025-09-30T00:00:00"/>
    <n v="1"/>
    <x v="2"/>
    <x v="4"/>
    <x v="1"/>
    <x v="0"/>
    <m/>
    <m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1337"/>
    <x v="5"/>
    <x v="4"/>
    <x v="1"/>
    <x v="2"/>
    <m/>
    <m/>
    <m/>
  </r>
  <r>
    <s v="60.02"/>
    <x v="247"/>
    <x v="586"/>
    <s v="Корректировка долга 00БП-000097 от 30.09.2025 10:00:00"/>
    <s v="30.09.25"/>
    <n v="-1920"/>
    <m/>
    <m/>
    <d v="2025-09-30T00:00:00"/>
    <n v="1"/>
    <x v="2"/>
    <x v="4"/>
    <x v="1"/>
    <x v="0"/>
    <m/>
    <m/>
    <m/>
  </r>
  <r>
    <s v="60.02"/>
    <x v="247"/>
    <x v="587"/>
    <s v="Корректировка долга 00БП-000098 от 30.09.2025 23:59:59"/>
    <s v="30.09.25"/>
    <n v="-9600"/>
    <m/>
    <m/>
    <d v="2025-09-30T00:00:00"/>
    <n v="1"/>
    <x v="2"/>
    <x v="4"/>
    <x v="1"/>
    <x v="0"/>
    <m/>
    <m/>
    <m/>
  </r>
  <r>
    <s v="60.02"/>
    <x v="147"/>
    <x v="382"/>
    <s v="Списание с расчетного счета 00БП-000936 от 25.03.2025 17:52:21"/>
    <s v="25.03.25"/>
    <n v="164474"/>
    <m/>
    <m/>
    <d v="2025-03-25T00:00:00"/>
    <n v="190"/>
    <x v="3"/>
    <x v="4"/>
    <x v="1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412"/>
    <x v="5"/>
    <x v="4"/>
    <x v="1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707"/>
    <x v="5"/>
    <x v="4"/>
    <x v="1"/>
    <x v="0"/>
    <m/>
    <m/>
    <m/>
  </r>
  <r>
    <s v="60.02"/>
    <x v="149"/>
    <x v="317"/>
    <s v="Списание с расчетного счета 00БП-002336 от 05.05.2025 19:41:05"/>
    <s v="05.05.25"/>
    <n v="12461.79"/>
    <m/>
    <m/>
    <d v="2025-05-05T00:00:00"/>
    <n v="149"/>
    <x v="0"/>
    <x v="4"/>
    <x v="1"/>
    <x v="16"/>
    <m/>
    <s v="Экологический отдел"/>
    <m/>
  </r>
  <r>
    <s v="60.02"/>
    <x v="149"/>
    <x v="588"/>
    <s v="Списание с расчетного счета 00БП-002985 от 22.05.2025 18:45:28"/>
    <s v="22.05.25"/>
    <n v="10813.8"/>
    <m/>
    <m/>
    <d v="2025-05-22T00:00:00"/>
    <n v="132"/>
    <x v="0"/>
    <x v="4"/>
    <x v="1"/>
    <x v="0"/>
    <m/>
    <m/>
    <m/>
  </r>
  <r>
    <s v="60.02"/>
    <x v="150"/>
    <x v="395"/>
    <s v="Списание с расчетного счета 00БП-000608 от 11.03.2025 17:05:30"/>
    <s v="11.03.25"/>
    <n v="37500"/>
    <m/>
    <m/>
    <d v="2025-03-11T00:00:00"/>
    <n v="204"/>
    <x v="3"/>
    <x v="4"/>
    <x v="1"/>
    <x v="0"/>
    <m/>
    <m/>
    <m/>
  </r>
  <r>
    <s v="60.02"/>
    <x v="248"/>
    <x v="589"/>
    <s v="Списание с расчетного счета 00БП-002338 от 05.05.2025 19:41:07"/>
    <s v="05.05.25"/>
    <n v="12500"/>
    <m/>
    <m/>
    <d v="2025-05-05T00:00:00"/>
    <n v="149"/>
    <x v="0"/>
    <x v="4"/>
    <x v="1"/>
    <x v="0"/>
    <m/>
    <m/>
    <m/>
  </r>
  <r>
    <s v="60.02"/>
    <x v="151"/>
    <x v="319"/>
    <s v="Списание с расчетного счета 00БП-000655 от 12.03.2025 18:04:03"/>
    <s v="12.03.25"/>
    <n v="47400"/>
    <m/>
    <m/>
    <d v="2025-03-12T00:00:00"/>
    <n v="203"/>
    <x v="3"/>
    <x v="4"/>
    <x v="1"/>
    <x v="19"/>
    <m/>
    <m/>
    <m/>
  </r>
  <r>
    <s v="60.02"/>
    <x v="249"/>
    <x v="590"/>
    <s v="Списание с расчетного счета 00БП-000726 от 13.03.2025 18:56:14"/>
    <s v="13.03.25"/>
    <n v="450340.8"/>
    <m/>
    <m/>
    <d v="2025-03-13T00:00:00"/>
    <n v="202"/>
    <x v="3"/>
    <x v="4"/>
    <x v="1"/>
    <x v="0"/>
    <m/>
    <m/>
    <m/>
  </r>
  <r>
    <s v="60.02"/>
    <x v="152"/>
    <x v="320"/>
    <s v="Списание с расчетного счета 00БП-006060 от 27.08.2025 18:30:27"/>
    <s v="27.08.25"/>
    <n v="22500"/>
    <m/>
    <m/>
    <d v="2025-08-27T00:00:00"/>
    <n v="35"/>
    <x v="1"/>
    <x v="4"/>
    <x v="1"/>
    <x v="0"/>
    <m/>
    <m/>
    <m/>
  </r>
  <r>
    <s v="60.02"/>
    <x v="153"/>
    <x v="321"/>
    <s v="Списание с расчетного счета 00БП-003382 от 04.06.2025 18:58:23"/>
    <s v="04.06.25"/>
    <n v="60000"/>
    <m/>
    <m/>
    <d v="2025-06-04T00:00:00"/>
    <n v="119"/>
    <x v="4"/>
    <x v="4"/>
    <x v="1"/>
    <x v="8"/>
    <m/>
    <m/>
    <m/>
  </r>
  <r>
    <s v="60.02"/>
    <x v="153"/>
    <x v="322"/>
    <s v="Списание с расчетного счета 00БП-003379 от 04.06.2025 18:58:20"/>
    <s v="04.06.25"/>
    <n v="40500"/>
    <m/>
    <m/>
    <d v="2025-06-04T00:00:00"/>
    <n v="119"/>
    <x v="4"/>
    <x v="4"/>
    <x v="1"/>
    <x v="8"/>
    <m/>
    <m/>
    <m/>
  </r>
  <r>
    <s v="60.02"/>
    <x v="153"/>
    <x v="323"/>
    <s v="Списание с расчетного счета 00БП-004063 от 23.06.2025 18:09:41"/>
    <s v="23.06.25"/>
    <n v="90000"/>
    <m/>
    <m/>
    <d v="2025-06-23T00:00:00"/>
    <n v="100"/>
    <x v="4"/>
    <x v="4"/>
    <x v="1"/>
    <x v="8"/>
    <m/>
    <m/>
    <m/>
  </r>
  <r>
    <s v="60.02"/>
    <x v="153"/>
    <x v="324"/>
    <s v="Списание с расчетного счета 00БП-004062 от 23.06.2025 18:09:40"/>
    <s v="23.06.25"/>
    <n v="84000"/>
    <m/>
    <m/>
    <d v="2025-06-23T00:00:00"/>
    <n v="100"/>
    <x v="4"/>
    <x v="4"/>
    <x v="1"/>
    <x v="8"/>
    <m/>
    <m/>
    <m/>
  </r>
  <r>
    <s v="60.02"/>
    <x v="154"/>
    <x v="325"/>
    <s v="Списание с расчетного счета 00БП-003903 от 17.06.2025 22:58:29"/>
    <s v="17.06.25"/>
    <n v="1165"/>
    <m/>
    <m/>
    <d v="2025-06-17T00:00:00"/>
    <n v="106"/>
    <x v="4"/>
    <x v="4"/>
    <x v="1"/>
    <x v="20"/>
    <m/>
    <m/>
    <m/>
  </r>
  <r>
    <s v="60.02"/>
    <x v="154"/>
    <x v="591"/>
    <s v="Списание с расчетного счета 00БП-006842 от 22.09.2025 19:07:55"/>
    <s v="22.09.25"/>
    <n v="43300"/>
    <m/>
    <m/>
    <d v="2025-09-22T00:00:00"/>
    <n v="9"/>
    <x v="2"/>
    <x v="4"/>
    <x v="1"/>
    <x v="0"/>
    <m/>
    <m/>
    <m/>
  </r>
  <r>
    <s v="60.02"/>
    <x v="250"/>
    <x v="592"/>
    <s v="Списание с расчетного счета 00БП-006859 от 23.09.2025 18:41:06"/>
    <s v="23.09.25"/>
    <n v="960"/>
    <m/>
    <m/>
    <d v="2025-09-23T00:00:00"/>
    <n v="8"/>
    <x v="2"/>
    <x v="4"/>
    <x v="1"/>
    <x v="0"/>
    <m/>
    <m/>
    <m/>
  </r>
  <r>
    <s v="60.02"/>
    <x v="155"/>
    <x v="326"/>
    <s v="Списание с расчетного счета 00БП-005054 от 23.07.2025 20:44:19"/>
    <s v="23.07.25"/>
    <n v="9000"/>
    <m/>
    <m/>
    <d v="2025-07-23T00:00:00"/>
    <n v="70"/>
    <x v="1"/>
    <x v="4"/>
    <x v="1"/>
    <x v="8"/>
    <m/>
    <m/>
    <m/>
  </r>
  <r>
    <s v="60.02"/>
    <x v="156"/>
    <x v="327"/>
    <s v="Списание с расчетного счета 00БП-001173 от 01.04.2025 17:50:04"/>
    <s v="01.04.25"/>
    <n v="86800"/>
    <m/>
    <m/>
    <d v="2025-04-01T00:00:00"/>
    <n v="183"/>
    <x v="3"/>
    <x v="4"/>
    <x v="1"/>
    <x v="8"/>
    <m/>
    <m/>
    <m/>
  </r>
  <r>
    <s v="60.02"/>
    <x v="251"/>
    <x v="593"/>
    <s v="Списание с расчетного счета 00БП-005436 от 05.08.2025 16:29:48"/>
    <s v="05.08.25"/>
    <n v="38823.58"/>
    <m/>
    <m/>
    <d v="2025-08-05T00:00:00"/>
    <n v="57"/>
    <x v="1"/>
    <x v="4"/>
    <x v="1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1071"/>
    <x v="5"/>
    <x v="4"/>
    <x v="1"/>
    <x v="0"/>
    <m/>
    <m/>
    <m/>
  </r>
  <r>
    <s v="60.02"/>
    <x v="163"/>
    <x v="333"/>
    <s v="Списание с расчетного счета 00БП-005938 от 21.08.2025 17:24:50"/>
    <s v="21.08.25"/>
    <n v="11631.14"/>
    <m/>
    <m/>
    <d v="2025-08-21T00:00:00"/>
    <n v="41"/>
    <x v="1"/>
    <x v="4"/>
    <x v="1"/>
    <x v="0"/>
    <m/>
    <m/>
    <m/>
  </r>
  <r>
    <s v="60.02"/>
    <x v="164"/>
    <x v="334"/>
    <s v="Корректировка долга 00БП-000094 от 25.09.2025 17:23:53"/>
    <s v="25.09.25"/>
    <n v="156336.74"/>
    <m/>
    <m/>
    <d v="2025-09-25T00:00:00"/>
    <n v="6"/>
    <x v="2"/>
    <x v="4"/>
    <x v="1"/>
    <x v="0"/>
    <m/>
    <m/>
    <m/>
  </r>
  <r>
    <s v="60.02"/>
    <x v="165"/>
    <x v="335"/>
    <s v="Списание с расчетного счета 00БП-005475 от 07.08.2025 19:08:49"/>
    <s v="07.08.25"/>
    <n v="96000"/>
    <m/>
    <m/>
    <d v="2025-08-07T00:00:00"/>
    <n v="55"/>
    <x v="1"/>
    <x v="4"/>
    <x v="1"/>
    <x v="0"/>
    <m/>
    <m/>
    <m/>
  </r>
  <r>
    <s v="60.32"/>
    <x v="166"/>
    <x v="336"/>
    <s v="Списание с расчетного счета 00БП-004562 от 09.07.2025 20:21:45"/>
    <s v="09.07.25"/>
    <n v="126099.22"/>
    <m/>
    <m/>
    <d v="2025-07-09T00:00:00"/>
    <n v="84"/>
    <x v="1"/>
    <x v="4"/>
    <x v="1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377"/>
    <x v="5"/>
    <x v="4"/>
    <x v="1"/>
    <x v="13"/>
    <m/>
    <m/>
    <m/>
  </r>
  <r>
    <s v="60.32"/>
    <x v="38"/>
    <x v="339"/>
    <s v="Списание с расчетного счета 00БП-006941 от 25.09.2025 17:23:37"/>
    <s v="25.09.25"/>
    <n v="4103412.84"/>
    <m/>
    <m/>
    <d v="2025-09-25T00:00:00"/>
    <n v="6"/>
    <x v="2"/>
    <x v="4"/>
    <x v="1"/>
    <x v="0"/>
    <m/>
    <m/>
    <m/>
  </r>
  <r>
    <s v="60.32"/>
    <x v="78"/>
    <x v="346"/>
    <s v="Списание с расчетного счета 00БП-000875 от 21.03.2025 17:21:00"/>
    <s v="21.03.25"/>
    <n v="4.22"/>
    <m/>
    <m/>
    <d v="2025-03-21T00:00:00"/>
    <n v="194"/>
    <x v="3"/>
    <x v="4"/>
    <x v="1"/>
    <x v="0"/>
    <m/>
    <m/>
    <m/>
  </r>
  <r>
    <s v="60.32"/>
    <x v="78"/>
    <x v="594"/>
    <s v="Списание с расчетного счета 00БП-009059 от 02.12.2024 16:28:38"/>
    <s v="02.12.24"/>
    <n v="15618063.76"/>
    <m/>
    <m/>
    <d v="2024-12-02T00:00:00"/>
    <n v="303"/>
    <x v="6"/>
    <x v="4"/>
    <x v="1"/>
    <x v="0"/>
    <m/>
    <m/>
    <m/>
  </r>
  <r>
    <s v="60.32"/>
    <x v="106"/>
    <x v="595"/>
    <s v="Списание с расчетного счета 00БП-005176 от 31.07.2024 23:59:59"/>
    <s v="31.07.24"/>
    <n v="348705"/>
    <m/>
    <m/>
    <d v="2024-07-31T00:00:00"/>
    <n v="427"/>
    <x v="5"/>
    <x v="4"/>
    <x v="1"/>
    <x v="0"/>
    <m/>
    <m/>
    <m/>
  </r>
  <r>
    <s v="60.02"/>
    <x v="252"/>
    <x v="596"/>
    <s v="Списание с расчетного счета 00БП-003227 от 28.05.2025 21:55:58"/>
    <s v="28.05.25"/>
    <n v="170791"/>
    <m/>
    <m/>
    <d v="2025-05-28T00:00:00"/>
    <n v="34"/>
    <x v="1"/>
    <x v="5"/>
    <x v="1"/>
    <x v="0"/>
    <m/>
    <m/>
    <m/>
  </r>
  <r>
    <s v="60.02"/>
    <x v="253"/>
    <x v="597"/>
    <s v="Списание с расчетного счета 00БП-003411 от 05.06.2025 19:44:00"/>
    <s v="05.06.25"/>
    <n v="26990"/>
    <m/>
    <m/>
    <d v="2025-06-05T00:00:00"/>
    <n v="26"/>
    <x v="2"/>
    <x v="5"/>
    <x v="1"/>
    <x v="0"/>
    <m/>
    <m/>
    <m/>
  </r>
  <r>
    <s v="60.02"/>
    <x v="0"/>
    <x v="598"/>
    <s v="Списание с расчетного счета 00БП-002731 от 13.05.2025 17:36:41"/>
    <s v="13.05.25"/>
    <n v="1000"/>
    <m/>
    <m/>
    <d v="2025-05-13T00:00:00"/>
    <n v="49"/>
    <x v="1"/>
    <x v="5"/>
    <x v="1"/>
    <x v="0"/>
    <m/>
    <m/>
    <m/>
  </r>
  <r>
    <s v="60.02"/>
    <x v="254"/>
    <x v="599"/>
    <s v="Списание с расчетного счета 00БП-002892 от 19.05.2025 18:19:36"/>
    <s v="19.05.25"/>
    <n v="10300"/>
    <m/>
    <m/>
    <d v="2025-05-19T00:00:00"/>
    <n v="43"/>
    <x v="1"/>
    <x v="5"/>
    <x v="1"/>
    <x v="0"/>
    <m/>
    <m/>
    <m/>
  </r>
  <r>
    <s v="60.02"/>
    <x v="187"/>
    <x v="398"/>
    <s v="Списание с расчетного счета 00БП-002956 от 21.05.2025 20:10:47"/>
    <s v="21.05.25"/>
    <n v="24000"/>
    <m/>
    <m/>
    <d v="2025-05-21T00:00:00"/>
    <n v="41"/>
    <x v="1"/>
    <x v="5"/>
    <x v="1"/>
    <x v="0"/>
    <m/>
    <m/>
    <m/>
  </r>
  <r>
    <s v="60.02"/>
    <x v="187"/>
    <x v="600"/>
    <s v="Списание с расчетного счета 00БП-003301 от 30.05.2025 23:53:25"/>
    <s v="30.05.25"/>
    <n v="18435"/>
    <m/>
    <m/>
    <d v="2025-05-30T00:00:00"/>
    <n v="32"/>
    <x v="1"/>
    <x v="5"/>
    <x v="1"/>
    <x v="0"/>
    <m/>
    <m/>
    <m/>
  </r>
  <r>
    <s v="60.02"/>
    <x v="187"/>
    <x v="399"/>
    <s v="Списание с расчетного счета 00БП-003859 от 16.06.2025 18:31:24"/>
    <s v="16.06.25"/>
    <n v="731965"/>
    <m/>
    <m/>
    <d v="2025-06-16T00:00:00"/>
    <n v="15"/>
    <x v="2"/>
    <x v="5"/>
    <x v="1"/>
    <x v="0"/>
    <m/>
    <m/>
    <m/>
  </r>
  <r>
    <s v="60.02"/>
    <x v="187"/>
    <x v="601"/>
    <s v="Списание с расчетного счета 00БП-003973 от 19.06.2025 19:28:36"/>
    <s v="19.06.25"/>
    <n v="6940"/>
    <m/>
    <m/>
    <d v="2025-06-19T00:00:00"/>
    <n v="12"/>
    <x v="2"/>
    <x v="5"/>
    <x v="1"/>
    <x v="0"/>
    <m/>
    <m/>
    <m/>
  </r>
  <r>
    <s v="60.02"/>
    <x v="5"/>
    <x v="602"/>
    <s v="Списание с расчетного счета 00БП-000197 от 05.02.2025 12:00:05"/>
    <s v="05.02.25"/>
    <n v="173300"/>
    <m/>
    <m/>
    <d v="2025-02-05T00:00:00"/>
    <n v="146"/>
    <x v="0"/>
    <x v="5"/>
    <x v="1"/>
    <x v="0"/>
    <m/>
    <m/>
    <m/>
  </r>
  <r>
    <s v="60.02"/>
    <x v="5"/>
    <x v="603"/>
    <s v="Списание с расчетного счета 00БП-003556 от 10.06.2025 19:31:47"/>
    <s v="10.06.25"/>
    <n v="13860"/>
    <m/>
    <m/>
    <d v="2025-06-10T00:00:00"/>
    <n v="21"/>
    <x v="2"/>
    <x v="5"/>
    <x v="1"/>
    <x v="0"/>
    <m/>
    <m/>
    <m/>
  </r>
  <r>
    <s v="60.02"/>
    <x v="5"/>
    <x v="604"/>
    <s v="Списание с расчетного счета 00БП-003834 от 16.06.2025 18:30:59"/>
    <s v="16.06.25"/>
    <n v="3980"/>
    <m/>
    <m/>
    <d v="2025-06-16T00:00:00"/>
    <n v="15"/>
    <x v="2"/>
    <x v="5"/>
    <x v="1"/>
    <x v="0"/>
    <m/>
    <m/>
    <m/>
  </r>
  <r>
    <s v="60.02"/>
    <x v="5"/>
    <x v="605"/>
    <s v="Списание с расчетного счета 00БП-004009 от 20.06.2025 19:02:32"/>
    <s v="20.06.25"/>
    <n v="14100"/>
    <m/>
    <m/>
    <d v="2025-06-20T00:00:00"/>
    <n v="11"/>
    <x v="2"/>
    <x v="5"/>
    <x v="1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788"/>
    <x v="5"/>
    <x v="5"/>
    <x v="1"/>
    <x v="0"/>
    <m/>
    <m/>
    <m/>
  </r>
  <r>
    <s v="60.02"/>
    <x v="9"/>
    <x v="606"/>
    <s v="Списание с расчетного счета 00БП-004054 от 23.06.2025 18:09:32"/>
    <s v="23.06.25"/>
    <n v="9619"/>
    <m/>
    <m/>
    <d v="2025-06-23T00:00:00"/>
    <n v="8"/>
    <x v="2"/>
    <x v="5"/>
    <x v="1"/>
    <x v="0"/>
    <m/>
    <m/>
    <m/>
  </r>
  <r>
    <s v="60.02"/>
    <x v="255"/>
    <x v="607"/>
    <s v="Списание с расчетного счета 00БП-001999 от 22.04.2025 19:42:49"/>
    <s v="22.04.25"/>
    <n v="560000"/>
    <m/>
    <m/>
    <d v="2025-04-22T00:00:00"/>
    <n v="70"/>
    <x v="1"/>
    <x v="5"/>
    <x v="1"/>
    <x v="0"/>
    <m/>
    <m/>
    <m/>
  </r>
  <r>
    <s v="60.02"/>
    <x v="255"/>
    <x v="608"/>
    <s v="Списание с расчетного счета 00БП-001350 от 07.04.2025 19:17:46"/>
    <s v="07.04.25"/>
    <n v="90000"/>
    <m/>
    <m/>
    <d v="2025-04-07T00:00:00"/>
    <n v="85"/>
    <x v="1"/>
    <x v="5"/>
    <x v="1"/>
    <x v="0"/>
    <m/>
    <m/>
    <m/>
  </r>
  <r>
    <s v="60.02"/>
    <x v="255"/>
    <x v="608"/>
    <s v="Списание с расчетного счета 00БП-001394 от 08.04.2025 23:49:40"/>
    <s v="08.04.25"/>
    <n v="470000"/>
    <m/>
    <m/>
    <d v="2025-04-08T00:00:00"/>
    <n v="84"/>
    <x v="1"/>
    <x v="5"/>
    <x v="1"/>
    <x v="0"/>
    <m/>
    <m/>
    <m/>
  </r>
  <r>
    <s v="60.02"/>
    <x v="255"/>
    <x v="609"/>
    <s v="Списание с расчетного счета 00БП-001682 от 11.04.2025 19:45:28"/>
    <s v="11.04.25"/>
    <n v="235000"/>
    <m/>
    <m/>
    <d v="2025-04-11T00:00:00"/>
    <n v="81"/>
    <x v="1"/>
    <x v="5"/>
    <x v="1"/>
    <x v="0"/>
    <m/>
    <m/>
    <m/>
  </r>
  <r>
    <s v="60.02"/>
    <x v="255"/>
    <x v="609"/>
    <s v="Списание с расчетного счета 00БП-001992 от 22.04.2025 19:42:42"/>
    <s v="22.04.25"/>
    <n v="235000"/>
    <m/>
    <m/>
    <d v="2025-04-22T00:00:00"/>
    <n v="70"/>
    <x v="1"/>
    <x v="5"/>
    <x v="1"/>
    <x v="0"/>
    <m/>
    <m/>
    <m/>
  </r>
  <r>
    <s v="60.02"/>
    <x v="255"/>
    <x v="609"/>
    <s v="Списание с расчетного счета 00БП-002040 от 24.04.2025 18:07:52"/>
    <s v="24.04.25"/>
    <n v="470000"/>
    <m/>
    <m/>
    <d v="2025-04-24T00:00:00"/>
    <n v="68"/>
    <x v="1"/>
    <x v="5"/>
    <x v="1"/>
    <x v="0"/>
    <m/>
    <m/>
    <m/>
  </r>
  <r>
    <s v="60.02"/>
    <x v="190"/>
    <x v="403"/>
    <s v="Списание с расчетного счета 00БП-000812 от 19.03.2025 15:53:58"/>
    <s v="19.03.25"/>
    <n v="63648"/>
    <m/>
    <m/>
    <d v="2025-03-19T00:00:00"/>
    <n v="104"/>
    <x v="4"/>
    <x v="5"/>
    <x v="1"/>
    <x v="0"/>
    <m/>
    <m/>
    <m/>
  </r>
  <r>
    <s v="60.02"/>
    <x v="190"/>
    <x v="404"/>
    <s v="Списание с расчетного счета 00БП-000811 от 19.03.2025 15:53:57"/>
    <s v="19.03.25"/>
    <n v="63648"/>
    <m/>
    <m/>
    <d v="2025-03-19T00:00:00"/>
    <n v="104"/>
    <x v="4"/>
    <x v="5"/>
    <x v="1"/>
    <x v="0"/>
    <m/>
    <m/>
    <m/>
  </r>
  <r>
    <s v="60.02"/>
    <x v="190"/>
    <x v="405"/>
    <s v="Списание с расчетного счета 00БП-000808 от 19.03.2025 15:53:54"/>
    <s v="19.03.25"/>
    <n v="33408"/>
    <m/>
    <m/>
    <d v="2025-03-19T00:00:00"/>
    <n v="104"/>
    <x v="4"/>
    <x v="5"/>
    <x v="1"/>
    <x v="0"/>
    <m/>
    <m/>
    <m/>
  </r>
  <r>
    <s v="60.02"/>
    <x v="190"/>
    <x v="406"/>
    <s v="Списание с расчетного счета 00БП-000809 от 19.03.2025 15:53:55"/>
    <s v="19.03.25"/>
    <n v="33408"/>
    <m/>
    <m/>
    <d v="2025-03-19T00:00:00"/>
    <n v="104"/>
    <x v="4"/>
    <x v="5"/>
    <x v="1"/>
    <x v="0"/>
    <m/>
    <m/>
    <m/>
  </r>
  <r>
    <s v="60.02"/>
    <x v="11"/>
    <x v="18"/>
    <s v="Списание с расчетного счета 00БП-000549 от 07.03.2025 17:21:16"/>
    <s v="07.03.25"/>
    <n v="198000"/>
    <m/>
    <m/>
    <d v="2025-03-07T00:00:00"/>
    <n v="116"/>
    <x v="4"/>
    <x v="5"/>
    <x v="1"/>
    <x v="1"/>
    <m/>
    <m/>
    <m/>
  </r>
  <r>
    <s v="60.02"/>
    <x v="12"/>
    <x v="610"/>
    <s v="Списание с расчетного счета 00БП-004066 от 23.06.2025 18:09:44"/>
    <s v="23.06.25"/>
    <n v="541144.28"/>
    <m/>
    <m/>
    <d v="2025-06-23T00:00:00"/>
    <n v="8"/>
    <x v="2"/>
    <x v="5"/>
    <x v="1"/>
    <x v="0"/>
    <m/>
    <m/>
    <m/>
  </r>
  <r>
    <s v="60.02"/>
    <x v="256"/>
    <x v="611"/>
    <s v="Списание с расчетного счета 00БП-001759 от 14.04.2025 19:30:04"/>
    <s v="14.04.25"/>
    <n v="79200"/>
    <m/>
    <m/>
    <d v="2025-04-14T00:00:00"/>
    <n v="78"/>
    <x v="1"/>
    <x v="5"/>
    <x v="1"/>
    <x v="0"/>
    <m/>
    <m/>
    <m/>
  </r>
  <r>
    <s v="60.02"/>
    <x v="257"/>
    <x v="612"/>
    <s v="Списание с расчетного счета 00БП-003496 от 09.06.2025 17:55:45"/>
    <s v="09.06.25"/>
    <n v="57040"/>
    <m/>
    <m/>
    <d v="2025-06-09T00:00:00"/>
    <n v="22"/>
    <x v="2"/>
    <x v="5"/>
    <x v="1"/>
    <x v="0"/>
    <m/>
    <m/>
    <m/>
  </r>
  <r>
    <s v="60.02"/>
    <x v="258"/>
    <x v="73"/>
    <s v="Авансовый отчет 00БП-000084 от 07.04.2025 11:52:21"/>
    <s v="07.04.25"/>
    <n v="275"/>
    <m/>
    <m/>
    <d v="2025-04-07T00:00:00"/>
    <n v="85"/>
    <x v="1"/>
    <x v="5"/>
    <x v="1"/>
    <x v="0"/>
    <m/>
    <m/>
    <m/>
  </r>
  <r>
    <s v="60.02"/>
    <x v="258"/>
    <x v="73"/>
    <s v="Авансовый отчет 00БП-000141 от 18.04.2025 16:47:06"/>
    <s v="18.04.25"/>
    <n v="210"/>
    <m/>
    <m/>
    <d v="2025-04-18T00:00:00"/>
    <n v="74"/>
    <x v="1"/>
    <x v="5"/>
    <x v="1"/>
    <x v="0"/>
    <m/>
    <m/>
    <m/>
  </r>
  <r>
    <s v="60.02"/>
    <x v="258"/>
    <x v="73"/>
    <s v="Авансовый отчет 00БП-000185 от 13.05.2025 11:54:18"/>
    <s v="13.05.25"/>
    <n v="450"/>
    <m/>
    <m/>
    <d v="2025-05-13T00:00:00"/>
    <n v="49"/>
    <x v="1"/>
    <x v="5"/>
    <x v="1"/>
    <x v="0"/>
    <m/>
    <m/>
    <m/>
  </r>
  <r>
    <s v="60.02"/>
    <x v="259"/>
    <x v="613"/>
    <s v="Списание с расчетного счета 00БП-000694 от 13.03.2025 18:55:39"/>
    <s v="13.03.25"/>
    <n v="2940"/>
    <m/>
    <m/>
    <d v="2025-03-13T00:00:00"/>
    <n v="110"/>
    <x v="4"/>
    <x v="5"/>
    <x v="1"/>
    <x v="0"/>
    <m/>
    <m/>
    <m/>
  </r>
  <r>
    <s v="60.02"/>
    <x v="260"/>
    <x v="614"/>
    <s v="Списание с расчетного счета 00БП-002980 от 22.05.2025 18:45:23"/>
    <s v="22.05.25"/>
    <n v="6000"/>
    <m/>
    <m/>
    <d v="2025-05-22T00:00:00"/>
    <n v="40"/>
    <x v="1"/>
    <x v="5"/>
    <x v="1"/>
    <x v="0"/>
    <m/>
    <m/>
    <m/>
  </r>
  <r>
    <s v="60.02"/>
    <x v="260"/>
    <x v="615"/>
    <s v="Списание с расчетного счета 00БП-002822 от 15.05.2025 18:23:24"/>
    <s v="15.05.25"/>
    <n v="35000"/>
    <m/>
    <m/>
    <d v="2025-05-15T00:00:00"/>
    <n v="47"/>
    <x v="1"/>
    <x v="5"/>
    <x v="1"/>
    <x v="0"/>
    <m/>
    <m/>
    <m/>
  </r>
  <r>
    <s v="60.02"/>
    <x v="192"/>
    <x v="616"/>
    <s v="Списание с расчетного счета 00БП-003543 от 10.06.2025 19:31:34"/>
    <s v="10.06.25"/>
    <n v="71000"/>
    <m/>
    <m/>
    <d v="2025-06-10T00:00:00"/>
    <n v="21"/>
    <x v="2"/>
    <x v="5"/>
    <x v="1"/>
    <x v="0"/>
    <m/>
    <m/>
    <m/>
  </r>
  <r>
    <s v="60.02"/>
    <x v="192"/>
    <x v="617"/>
    <s v="Списание с расчетного счета 00БП-004303 от 30.06.2025 23:59:59"/>
    <s v="30.06.25"/>
    <n v="156250"/>
    <m/>
    <m/>
    <d v="2025-06-30T00:00:00"/>
    <n v="1"/>
    <x v="2"/>
    <x v="5"/>
    <x v="1"/>
    <x v="0"/>
    <m/>
    <m/>
    <m/>
  </r>
  <r>
    <s v="60.02"/>
    <x v="192"/>
    <x v="618"/>
    <s v="Списание с расчетного счета 00БП-002783 от 14.05.2025 17:25:59"/>
    <s v="14.05.25"/>
    <n v="26000"/>
    <m/>
    <m/>
    <d v="2025-05-14T00:00:00"/>
    <n v="48"/>
    <x v="1"/>
    <x v="5"/>
    <x v="1"/>
    <x v="0"/>
    <m/>
    <m/>
    <m/>
  </r>
  <r>
    <s v="60.02"/>
    <x v="192"/>
    <x v="619"/>
    <s v="Списание с расчетного счета 00БП-002910 от 19.05.2025 18:19:54"/>
    <s v="19.05.25"/>
    <n v="285000"/>
    <m/>
    <m/>
    <d v="2025-05-19T00:00:00"/>
    <n v="43"/>
    <x v="1"/>
    <x v="5"/>
    <x v="1"/>
    <x v="0"/>
    <m/>
    <m/>
    <m/>
  </r>
  <r>
    <s v="60.02"/>
    <x v="192"/>
    <x v="409"/>
    <s v="Списание с расчетного счета 00БП-003211 от 28.05.2025 21:55:42"/>
    <s v="28.05.25"/>
    <n v="19500"/>
    <m/>
    <m/>
    <d v="2025-05-28T00:00:00"/>
    <n v="34"/>
    <x v="1"/>
    <x v="5"/>
    <x v="1"/>
    <x v="0"/>
    <m/>
    <m/>
    <m/>
  </r>
  <r>
    <s v="60.02"/>
    <x v="193"/>
    <x v="410"/>
    <s v="Списание с расчетного счета 00БП-001813 от 15.04.2025 18:43:38"/>
    <s v="15.04.25"/>
    <n v="10865"/>
    <m/>
    <m/>
    <d v="2025-04-15T00:00:00"/>
    <n v="77"/>
    <x v="1"/>
    <x v="5"/>
    <x v="1"/>
    <x v="0"/>
    <m/>
    <m/>
    <m/>
  </r>
  <r>
    <s v="60.02"/>
    <x v="261"/>
    <x v="620"/>
    <s v="Списание с расчетного счета 00БП-004106 от 24.06.2025 23:59:59"/>
    <s v="24.06.25"/>
    <n v="1198738.3600000001"/>
    <m/>
    <m/>
    <d v="2025-06-24T00:00:00"/>
    <n v="7"/>
    <x v="2"/>
    <x v="5"/>
    <x v="1"/>
    <x v="0"/>
    <m/>
    <m/>
    <m/>
  </r>
  <r>
    <s v="60.02"/>
    <x v="16"/>
    <x v="621"/>
    <s v="Списание с расчетного счета 00БП-004020 от 20.06.2025 19:02:43"/>
    <s v="20.06.25"/>
    <n v="344735.54"/>
    <m/>
    <m/>
    <d v="2025-06-20T00:00:00"/>
    <n v="11"/>
    <x v="2"/>
    <x v="5"/>
    <x v="1"/>
    <x v="0"/>
    <m/>
    <m/>
    <m/>
  </r>
  <r>
    <s v="60.02"/>
    <x v="262"/>
    <x v="622"/>
    <s v="Списание с расчетного счета 00БП-000908 от 14.03.2024 17:41:36"/>
    <s v="14.03.24"/>
    <n v="12470"/>
    <m/>
    <m/>
    <d v="2024-03-14T00:00:00"/>
    <n v="474"/>
    <x v="5"/>
    <x v="5"/>
    <x v="1"/>
    <x v="0"/>
    <m/>
    <m/>
    <m/>
  </r>
  <r>
    <s v="60.02"/>
    <x v="18"/>
    <x v="27"/>
    <s v="Списание с расчетного счета 00БП-002345 от 05.05.2025 19:41:14"/>
    <s v="05.05.25"/>
    <n v="691600"/>
    <m/>
    <m/>
    <d v="2025-05-05T00:00:00"/>
    <n v="57"/>
    <x v="1"/>
    <x v="5"/>
    <x v="1"/>
    <x v="5"/>
    <m/>
    <m/>
    <m/>
  </r>
  <r>
    <s v="60.02"/>
    <x v="19"/>
    <x v="28"/>
    <s v="Списание с расчетного счета 00БП-009249 от 13.12.2024 12:00:03"/>
    <s v="13.12.24"/>
    <n v="33000"/>
    <m/>
    <m/>
    <d v="2024-12-13T00:00:00"/>
    <n v="200"/>
    <x v="3"/>
    <x v="5"/>
    <x v="1"/>
    <x v="0"/>
    <m/>
    <m/>
    <m/>
  </r>
  <r>
    <s v="60.02"/>
    <x v="21"/>
    <x v="34"/>
    <s v="Списание с расчетного счета 00БП-004292 от 30.06.2025 23:59:59"/>
    <s v="30.06.25"/>
    <n v="7000"/>
    <m/>
    <m/>
    <d v="2025-06-30T00:00:00"/>
    <n v="1"/>
    <x v="2"/>
    <x v="5"/>
    <x v="1"/>
    <x v="8"/>
    <m/>
    <m/>
    <m/>
  </r>
  <r>
    <s v="60.02"/>
    <x v="263"/>
    <x v="623"/>
    <s v="Списание с расчетного счета 00БП-001227 от 31.03.2023 23:59:59"/>
    <s v="31.03.23"/>
    <n v="2818"/>
    <m/>
    <m/>
    <d v="2023-03-31T00:00:00"/>
    <n v="823"/>
    <x v="5"/>
    <x v="5"/>
    <x v="1"/>
    <x v="0"/>
    <m/>
    <m/>
    <m/>
  </r>
  <r>
    <s v="60.02"/>
    <x v="264"/>
    <x v="624"/>
    <s v="Списание с расчетного счета 00БП-000541 от 07.03.2025 17:21:08"/>
    <s v="07.03.25"/>
    <n v="10800"/>
    <m/>
    <m/>
    <d v="2025-03-07T00:00:00"/>
    <n v="116"/>
    <x v="4"/>
    <x v="5"/>
    <x v="1"/>
    <x v="0"/>
    <m/>
    <m/>
    <m/>
  </r>
  <r>
    <s v="60.02"/>
    <x v="22"/>
    <x v="625"/>
    <s v="Списание с расчетного счета 00БП-000180 от 04.02.2025 12:00:03"/>
    <s v="04.02.25"/>
    <n v="297353"/>
    <m/>
    <m/>
    <d v="2025-02-04T00:00:00"/>
    <n v="147"/>
    <x v="0"/>
    <x v="5"/>
    <x v="1"/>
    <x v="0"/>
    <m/>
    <m/>
    <m/>
  </r>
  <r>
    <s v="60.02"/>
    <x v="22"/>
    <x v="626"/>
    <s v="Списание с расчетного счета 00БП-000179 от 04.02.2025 12:00:02"/>
    <s v="04.02.25"/>
    <n v="134438"/>
    <m/>
    <m/>
    <d v="2025-02-04T00:00:00"/>
    <n v="147"/>
    <x v="0"/>
    <x v="5"/>
    <x v="1"/>
    <x v="0"/>
    <m/>
    <m/>
    <m/>
  </r>
  <r>
    <s v="60.02"/>
    <x v="22"/>
    <x v="627"/>
    <s v="Списание с расчетного счета 00БП-000178 от 04.02.2025 12:00:01"/>
    <s v="04.02.25"/>
    <n v="40000"/>
    <m/>
    <m/>
    <d v="2025-02-04T00:00:00"/>
    <n v="147"/>
    <x v="0"/>
    <x v="5"/>
    <x v="1"/>
    <x v="0"/>
    <m/>
    <m/>
    <m/>
  </r>
  <r>
    <s v="60.02"/>
    <x v="23"/>
    <x v="414"/>
    <s v="Списание с расчетного счета 00БП-000357 от 25.02.2025 17:04:16"/>
    <s v="25.02.25"/>
    <n v="391535.6"/>
    <m/>
    <m/>
    <d v="2025-02-25T00:00:00"/>
    <n v="126"/>
    <x v="0"/>
    <x v="5"/>
    <x v="1"/>
    <x v="0"/>
    <m/>
    <m/>
    <m/>
  </r>
  <r>
    <s v="60.02"/>
    <x v="23"/>
    <x v="415"/>
    <s v="Списание с расчетного счета 00БП-000153 от 30.01.2025 12:00:11"/>
    <s v="30.01.25"/>
    <n v="819700.57"/>
    <m/>
    <m/>
    <d v="2025-01-30T00:00:00"/>
    <n v="152"/>
    <x v="0"/>
    <x v="5"/>
    <x v="1"/>
    <x v="0"/>
    <m/>
    <m/>
    <m/>
  </r>
  <r>
    <s v="60.02"/>
    <x v="26"/>
    <x v="628"/>
    <s v="Списание с расчетного счета 00БП-002271 от 29.04.2025 20:41:28"/>
    <s v="29.04.25"/>
    <n v="2950000"/>
    <m/>
    <m/>
    <d v="2025-04-29T00:00:00"/>
    <n v="63"/>
    <x v="1"/>
    <x v="5"/>
    <x v="1"/>
    <x v="0"/>
    <m/>
    <m/>
    <m/>
  </r>
  <r>
    <s v="60.02"/>
    <x v="265"/>
    <x v="629"/>
    <s v="Списание с расчетного счета 00БП-003498 от 09.06.2025 17:55:47"/>
    <s v="09.06.25"/>
    <n v="67920"/>
    <m/>
    <m/>
    <d v="2025-06-09T00:00:00"/>
    <n v="22"/>
    <x v="2"/>
    <x v="5"/>
    <x v="1"/>
    <x v="0"/>
    <m/>
    <m/>
    <m/>
  </r>
  <r>
    <s v="60.02"/>
    <x v="265"/>
    <x v="630"/>
    <s v="Списание с расчетного счета 00БП-003945 от 18.06.2025 21:50:52"/>
    <s v="18.06.25"/>
    <n v="307200"/>
    <m/>
    <m/>
    <d v="2025-06-18T00:00:00"/>
    <n v="13"/>
    <x v="2"/>
    <x v="5"/>
    <x v="1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440"/>
    <x v="5"/>
    <x v="5"/>
    <x v="1"/>
    <x v="9"/>
    <m/>
    <m/>
    <m/>
  </r>
  <r>
    <s v="60.02"/>
    <x v="196"/>
    <x v="73"/>
    <s v="Авансовый отчет 00БП-000039 от 11.03.2025 12:18:02"/>
    <s v="11.03.25"/>
    <n v="400"/>
    <m/>
    <m/>
    <d v="2025-03-11T00:00:00"/>
    <n v="112"/>
    <x v="4"/>
    <x v="5"/>
    <x v="1"/>
    <x v="0"/>
    <m/>
    <m/>
    <m/>
  </r>
  <r>
    <s v="60.02"/>
    <x v="196"/>
    <x v="73"/>
    <s v="Авансовый отчет 00БП-000043 от 13.03.2025 15:17:17"/>
    <s v="13.03.25"/>
    <n v="26000"/>
    <m/>
    <m/>
    <d v="2025-03-13T00:00:00"/>
    <n v="110"/>
    <x v="4"/>
    <x v="5"/>
    <x v="1"/>
    <x v="0"/>
    <m/>
    <m/>
    <m/>
  </r>
  <r>
    <s v="60.02"/>
    <x v="196"/>
    <x v="73"/>
    <s v="Авансовый отчет 00БП-000057 от 19.03.2025 12:55:19"/>
    <s v="19.03.25"/>
    <n v="2300"/>
    <m/>
    <m/>
    <d v="2025-03-19T00:00:00"/>
    <n v="104"/>
    <x v="4"/>
    <x v="5"/>
    <x v="1"/>
    <x v="0"/>
    <m/>
    <m/>
    <m/>
  </r>
  <r>
    <s v="60.02"/>
    <x v="196"/>
    <x v="73"/>
    <s v="Авансовый отчет 00БП-000084 от 07.04.2025 11:52:21"/>
    <s v="07.04.25"/>
    <n v="900"/>
    <m/>
    <m/>
    <d v="2025-04-07T00:00:00"/>
    <n v="85"/>
    <x v="1"/>
    <x v="5"/>
    <x v="1"/>
    <x v="0"/>
    <m/>
    <m/>
    <m/>
  </r>
  <r>
    <s v="60.02"/>
    <x v="196"/>
    <x v="73"/>
    <s v="Авансовый отчет 00БП-000085 от 07.04.2025 12:45:37"/>
    <s v="07.04.25"/>
    <n v="33300"/>
    <m/>
    <m/>
    <d v="2025-04-07T00:00:00"/>
    <n v="85"/>
    <x v="1"/>
    <x v="5"/>
    <x v="1"/>
    <x v="0"/>
    <m/>
    <m/>
    <m/>
  </r>
  <r>
    <s v="60.02"/>
    <x v="196"/>
    <x v="73"/>
    <s v="Авансовый отчет 00БП-000097 от 07.04.2025 19:18:05"/>
    <s v="07.04.25"/>
    <n v="21440"/>
    <m/>
    <m/>
    <d v="2025-04-07T00:00:00"/>
    <n v="85"/>
    <x v="1"/>
    <x v="5"/>
    <x v="1"/>
    <x v="0"/>
    <m/>
    <m/>
    <m/>
  </r>
  <r>
    <s v="60.02"/>
    <x v="196"/>
    <x v="73"/>
    <s v="Авансовый отчет 00БП-000131 от 15.04.2025 9:56:57"/>
    <s v="15.04.25"/>
    <n v="29950"/>
    <m/>
    <m/>
    <d v="2025-04-15T00:00:00"/>
    <n v="77"/>
    <x v="1"/>
    <x v="5"/>
    <x v="1"/>
    <x v="0"/>
    <m/>
    <m/>
    <m/>
  </r>
  <r>
    <s v="60.02"/>
    <x v="196"/>
    <x v="73"/>
    <s v="Авансовый отчет 00БП-000141 от 18.04.2025 16:47:06"/>
    <s v="18.04.25"/>
    <n v="3200"/>
    <m/>
    <m/>
    <d v="2025-04-18T00:00:00"/>
    <n v="74"/>
    <x v="1"/>
    <x v="5"/>
    <x v="1"/>
    <x v="0"/>
    <m/>
    <m/>
    <m/>
  </r>
  <r>
    <s v="60.02"/>
    <x v="196"/>
    <x v="73"/>
    <s v="Авансовый отчет 00БП-000156 от 23.04.2025 12:24:51"/>
    <s v="23.04.25"/>
    <n v="15580"/>
    <m/>
    <m/>
    <d v="2025-04-23T00:00:00"/>
    <n v="69"/>
    <x v="1"/>
    <x v="5"/>
    <x v="1"/>
    <x v="0"/>
    <m/>
    <m/>
    <m/>
  </r>
  <r>
    <s v="60.02"/>
    <x v="196"/>
    <x v="73"/>
    <s v="Авансовый отчет 00БП-000163 от 24.04.2025 16:56:23"/>
    <s v="24.04.25"/>
    <n v="9100"/>
    <m/>
    <m/>
    <d v="2025-04-24T00:00:00"/>
    <n v="68"/>
    <x v="1"/>
    <x v="5"/>
    <x v="1"/>
    <x v="0"/>
    <m/>
    <m/>
    <m/>
  </r>
  <r>
    <s v="60.02"/>
    <x v="196"/>
    <x v="73"/>
    <s v="Авансовый отчет 00БП-000167 от 28.04.2025 9:51:41"/>
    <s v="28.04.25"/>
    <n v="9750"/>
    <m/>
    <m/>
    <d v="2025-04-28T00:00:00"/>
    <n v="64"/>
    <x v="1"/>
    <x v="5"/>
    <x v="1"/>
    <x v="0"/>
    <m/>
    <m/>
    <m/>
  </r>
  <r>
    <s v="60.02"/>
    <x v="196"/>
    <x v="73"/>
    <s v="Авансовый отчет 00БП-000174 от 05.05.2025 17:46:10"/>
    <s v="05.05.25"/>
    <n v="3500"/>
    <m/>
    <m/>
    <d v="2025-05-05T00:00:00"/>
    <n v="57"/>
    <x v="1"/>
    <x v="5"/>
    <x v="1"/>
    <x v="0"/>
    <m/>
    <m/>
    <m/>
  </r>
  <r>
    <s v="60.02"/>
    <x v="196"/>
    <x v="73"/>
    <s v="Авансовый отчет 00БП-000176 от 06.05.2025 16:34:56"/>
    <s v="06.05.25"/>
    <n v="50880"/>
    <m/>
    <m/>
    <d v="2025-05-06T00:00:00"/>
    <n v="56"/>
    <x v="1"/>
    <x v="5"/>
    <x v="1"/>
    <x v="0"/>
    <m/>
    <m/>
    <m/>
  </r>
  <r>
    <s v="60.02"/>
    <x v="196"/>
    <x v="73"/>
    <s v="Авансовый отчет 00БП-000183 от 12.05.2025 11:14:18"/>
    <s v="12.05.25"/>
    <n v="23500"/>
    <m/>
    <m/>
    <d v="2025-05-12T00:00:00"/>
    <n v="50"/>
    <x v="1"/>
    <x v="5"/>
    <x v="1"/>
    <x v="0"/>
    <m/>
    <m/>
    <m/>
  </r>
  <r>
    <s v="60.02"/>
    <x v="196"/>
    <x v="73"/>
    <s v="Авансовый отчет 00БП-000185 от 13.05.2025 11:54:18"/>
    <s v="13.05.25"/>
    <n v="3400"/>
    <m/>
    <m/>
    <d v="2025-05-13T00:00:00"/>
    <n v="49"/>
    <x v="1"/>
    <x v="5"/>
    <x v="1"/>
    <x v="0"/>
    <m/>
    <m/>
    <m/>
  </r>
  <r>
    <s v="60.02"/>
    <x v="196"/>
    <x v="73"/>
    <s v="Авансовый отчет 00БП-000199 от 27.05.2025 11:57:15"/>
    <s v="27.05.25"/>
    <n v="12580"/>
    <m/>
    <m/>
    <d v="2025-05-27T00:00:00"/>
    <n v="35"/>
    <x v="1"/>
    <x v="5"/>
    <x v="1"/>
    <x v="0"/>
    <m/>
    <m/>
    <m/>
  </r>
  <r>
    <s v="60.02"/>
    <x v="196"/>
    <x v="73"/>
    <s v="Авансовый отчет 00БП-000216 от 19.06.2025 9:43:39"/>
    <s v="19.06.25"/>
    <n v="6000"/>
    <m/>
    <m/>
    <d v="2025-06-19T00:00:00"/>
    <n v="12"/>
    <x v="2"/>
    <x v="5"/>
    <x v="1"/>
    <x v="0"/>
    <m/>
    <m/>
    <m/>
  </r>
  <r>
    <s v="60.02"/>
    <x v="196"/>
    <x v="73"/>
    <s v="Авансовый отчет 00БП-000229 от 25.06.2025 11:36:45"/>
    <s v="25.06.25"/>
    <n v="3960"/>
    <m/>
    <m/>
    <d v="2025-06-25T00:00:00"/>
    <n v="6"/>
    <x v="2"/>
    <x v="5"/>
    <x v="1"/>
    <x v="0"/>
    <m/>
    <m/>
    <m/>
  </r>
  <r>
    <s v="60.02"/>
    <x v="28"/>
    <x v="631"/>
    <s v="Списание с расчетного счета 00БП-003839 от 16.06.2025 18:31:04"/>
    <s v="16.06.25"/>
    <n v="11480"/>
    <m/>
    <m/>
    <d v="2025-06-16T00:00:00"/>
    <n v="15"/>
    <x v="2"/>
    <x v="5"/>
    <x v="1"/>
    <x v="0"/>
    <m/>
    <m/>
    <m/>
  </r>
  <r>
    <s v="60.02"/>
    <x v="29"/>
    <x v="632"/>
    <s v="Списание с расчетного счета 00БП-002415 от 06.05.2025 20:10:08"/>
    <s v="06.05.25"/>
    <n v="676262"/>
    <m/>
    <m/>
    <d v="2025-05-06T00:00:00"/>
    <n v="56"/>
    <x v="1"/>
    <x v="5"/>
    <x v="1"/>
    <x v="0"/>
    <m/>
    <m/>
    <m/>
  </r>
  <r>
    <s v="60.02"/>
    <x v="29"/>
    <x v="633"/>
    <s v="Списание с расчетного счета 00БП-003843 от 16.06.2025 18:31:08"/>
    <s v="16.06.25"/>
    <n v="14559"/>
    <m/>
    <m/>
    <d v="2025-06-16T00:00:00"/>
    <n v="15"/>
    <x v="2"/>
    <x v="5"/>
    <x v="1"/>
    <x v="0"/>
    <m/>
    <m/>
    <m/>
  </r>
  <r>
    <s v="60.02"/>
    <x v="29"/>
    <x v="44"/>
    <s v="Списание с расчетного счета 00БП-003512 от 09.06.2025 17:56:01"/>
    <s v="09.06.25"/>
    <n v="1268185"/>
    <m/>
    <m/>
    <d v="2025-06-09T00:00:00"/>
    <n v="22"/>
    <x v="2"/>
    <x v="5"/>
    <x v="1"/>
    <x v="0"/>
    <m/>
    <m/>
    <m/>
  </r>
  <r>
    <s v="60.02"/>
    <x v="29"/>
    <x v="634"/>
    <s v="Списание с расчетного счета 00БП-004017 от 20.06.2025 19:02:40"/>
    <s v="20.06.25"/>
    <n v="90675"/>
    <m/>
    <m/>
    <d v="2025-06-20T00:00:00"/>
    <n v="11"/>
    <x v="2"/>
    <x v="5"/>
    <x v="1"/>
    <x v="0"/>
    <m/>
    <m/>
    <m/>
  </r>
  <r>
    <s v="60.02"/>
    <x v="29"/>
    <x v="635"/>
    <s v="Списание с расчетного счета 00БП-004021 от 20.06.2025 19:02:44"/>
    <s v="20.06.25"/>
    <n v="474297"/>
    <m/>
    <m/>
    <d v="2025-06-20T00:00:00"/>
    <n v="11"/>
    <x v="2"/>
    <x v="5"/>
    <x v="1"/>
    <x v="0"/>
    <m/>
    <m/>
    <m/>
  </r>
  <r>
    <s v="60.02"/>
    <x v="29"/>
    <x v="636"/>
    <s v="Списание с расчетного счета 00БП-004076 от 23.06.2025 18:09:54"/>
    <s v="23.06.25"/>
    <n v="2131979"/>
    <m/>
    <m/>
    <d v="2025-06-23T00:00:00"/>
    <n v="8"/>
    <x v="2"/>
    <x v="5"/>
    <x v="1"/>
    <x v="0"/>
    <m/>
    <m/>
    <m/>
  </r>
  <r>
    <s v="60.02"/>
    <x v="29"/>
    <x v="637"/>
    <s v="Списание с расчетного счета 00БП-004291 от 30.06.2025 23:59:59"/>
    <s v="30.06.25"/>
    <n v="6755"/>
    <m/>
    <m/>
    <d v="2025-06-30T00:00:00"/>
    <n v="1"/>
    <x v="2"/>
    <x v="5"/>
    <x v="1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368"/>
    <x v="5"/>
    <x v="5"/>
    <x v="1"/>
    <x v="0"/>
    <m/>
    <m/>
    <m/>
  </r>
  <r>
    <s v="60.02"/>
    <x v="30"/>
    <x v="46"/>
    <s v="Списание с расчетного счета 00БП-003007 от 23.05.2025 20:52:17"/>
    <s v="23.05.25"/>
    <n v="6600"/>
    <m/>
    <m/>
    <d v="2025-05-23T00:00:00"/>
    <n v="39"/>
    <x v="1"/>
    <x v="5"/>
    <x v="1"/>
    <x v="0"/>
    <m/>
    <m/>
    <m/>
  </r>
  <r>
    <s v="60.02"/>
    <x v="30"/>
    <x v="46"/>
    <s v="Списание с расчетного счета 00БП-003850 от 16.06.2025 18:31:15"/>
    <s v="16.06.25"/>
    <n v="25000"/>
    <m/>
    <m/>
    <d v="2025-06-16T00:00:00"/>
    <n v="15"/>
    <x v="2"/>
    <x v="5"/>
    <x v="1"/>
    <x v="0"/>
    <m/>
    <m/>
    <m/>
  </r>
  <r>
    <s v="60.02"/>
    <x v="30"/>
    <x v="46"/>
    <s v="Списание с расчетного счета 00БП-004060 от 23.06.2025 18:09:38"/>
    <s v="23.06.25"/>
    <n v="25000"/>
    <m/>
    <m/>
    <d v="2025-06-23T00:00:00"/>
    <n v="8"/>
    <x v="2"/>
    <x v="5"/>
    <x v="1"/>
    <x v="0"/>
    <m/>
    <m/>
    <m/>
  </r>
  <r>
    <s v="60.02"/>
    <x v="30"/>
    <x v="638"/>
    <s v="Списание с расчетного счета 00БП-003354 от 03.06.2025 17:39:06"/>
    <s v="03.06.25"/>
    <n v="25000"/>
    <m/>
    <m/>
    <d v="2025-06-03T00:00:00"/>
    <n v="28"/>
    <x v="2"/>
    <x v="5"/>
    <x v="1"/>
    <x v="0"/>
    <m/>
    <m/>
    <m/>
  </r>
  <r>
    <s v="60.02"/>
    <x v="30"/>
    <x v="418"/>
    <s v="Списание с расчетного счета 00БП-003901 от 17.06.2025 22:58:27"/>
    <s v="17.06.25"/>
    <n v="6600"/>
    <m/>
    <m/>
    <d v="2025-06-17T00:00:00"/>
    <n v="14"/>
    <x v="2"/>
    <x v="5"/>
    <x v="1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372"/>
    <x v="5"/>
    <x v="5"/>
    <x v="1"/>
    <x v="0"/>
    <m/>
    <m/>
    <m/>
  </r>
  <r>
    <s v="60.02"/>
    <x v="30"/>
    <x v="47"/>
    <s v="Списание с расчетного счета 00БП-003010 от 23.05.2025 20:52:20"/>
    <s v="23.05.25"/>
    <n v="6600"/>
    <m/>
    <m/>
    <d v="2025-05-23T00:00:00"/>
    <n v="39"/>
    <x v="1"/>
    <x v="5"/>
    <x v="1"/>
    <x v="0"/>
    <m/>
    <m/>
    <m/>
  </r>
  <r>
    <s v="60.02"/>
    <x v="30"/>
    <x v="47"/>
    <s v="Списание с расчетного счета 00БП-003849 от 16.06.2025 18:31:14"/>
    <s v="16.06.25"/>
    <n v="25000"/>
    <m/>
    <m/>
    <d v="2025-06-16T00:00:00"/>
    <n v="15"/>
    <x v="2"/>
    <x v="5"/>
    <x v="1"/>
    <x v="0"/>
    <m/>
    <m/>
    <m/>
  </r>
  <r>
    <s v="60.02"/>
    <x v="30"/>
    <x v="419"/>
    <s v="Списание с расчетного счета 00БП-003674 от 11.06.2025 17:42:14"/>
    <s v="11.06.25"/>
    <n v="25000"/>
    <m/>
    <m/>
    <d v="2025-06-11T00:00:00"/>
    <n v="20"/>
    <x v="2"/>
    <x v="5"/>
    <x v="1"/>
    <x v="0"/>
    <m/>
    <m/>
    <m/>
  </r>
  <r>
    <s v="60.02"/>
    <x v="30"/>
    <x v="639"/>
    <s v="Списание с расчетного счета 00БП-006495 от 13.09.2024 18:48:10"/>
    <s v="13.09.24"/>
    <n v="6600"/>
    <m/>
    <m/>
    <d v="2024-09-13T00:00:00"/>
    <n v="291"/>
    <x v="6"/>
    <x v="5"/>
    <x v="1"/>
    <x v="0"/>
    <m/>
    <m/>
    <m/>
  </r>
  <r>
    <s v="60.02"/>
    <x v="30"/>
    <x v="639"/>
    <s v="Списание с расчетного счета 00БП-003009 от 23.05.2025 20:52:19"/>
    <s v="23.05.25"/>
    <n v="6600"/>
    <m/>
    <m/>
    <d v="2025-05-23T00:00:00"/>
    <n v="39"/>
    <x v="1"/>
    <x v="5"/>
    <x v="1"/>
    <x v="0"/>
    <m/>
    <m/>
    <m/>
  </r>
  <r>
    <s v="60.02"/>
    <x v="30"/>
    <x v="639"/>
    <s v="Списание с расчетного счета 00БП-003848 от 16.06.2025 18:31:13"/>
    <s v="16.06.25"/>
    <n v="25000"/>
    <m/>
    <m/>
    <d v="2025-06-16T00:00:00"/>
    <n v="15"/>
    <x v="2"/>
    <x v="5"/>
    <x v="1"/>
    <x v="0"/>
    <m/>
    <m/>
    <m/>
  </r>
  <r>
    <s v="60.02"/>
    <x v="30"/>
    <x v="48"/>
    <s v="Списание с расчетного счета 00БП-003672 от 11.06.2025 17:42:12"/>
    <s v="11.06.25"/>
    <n v="25000"/>
    <m/>
    <m/>
    <d v="2025-06-11T00:00:00"/>
    <n v="20"/>
    <x v="2"/>
    <x v="5"/>
    <x v="1"/>
    <x v="0"/>
    <m/>
    <m/>
    <m/>
  </r>
  <r>
    <s v="60.02"/>
    <x v="30"/>
    <x v="420"/>
    <s v="Списание с расчетного счета 00БП-003836 от 16.06.2025 18:31:01"/>
    <s v="16.06.25"/>
    <n v="6600"/>
    <m/>
    <m/>
    <d v="2025-06-16T00:00:00"/>
    <n v="15"/>
    <x v="2"/>
    <x v="5"/>
    <x v="1"/>
    <x v="0"/>
    <m/>
    <m/>
    <m/>
  </r>
  <r>
    <s v="60.02"/>
    <x v="30"/>
    <x v="421"/>
    <s v="Списание с расчетного счета 00БП-003006 от 23.05.2025 20:52:16"/>
    <s v="23.05.25"/>
    <n v="6600"/>
    <m/>
    <m/>
    <d v="2025-05-23T00:00:00"/>
    <n v="39"/>
    <x v="1"/>
    <x v="5"/>
    <x v="1"/>
    <x v="0"/>
    <m/>
    <m/>
    <m/>
  </r>
  <r>
    <s v="60.02"/>
    <x v="30"/>
    <x v="421"/>
    <s v="Списание с расчетного счета 00БП-004012 от 20.06.2025 19:02:35"/>
    <s v="20.06.25"/>
    <n v="25000"/>
    <m/>
    <m/>
    <d v="2025-06-20T00:00:00"/>
    <n v="11"/>
    <x v="2"/>
    <x v="5"/>
    <x v="1"/>
    <x v="0"/>
    <m/>
    <m/>
    <m/>
  </r>
  <r>
    <s v="60.02"/>
    <x v="30"/>
    <x v="422"/>
    <s v="Списание с расчетного счета 00БП-003285 от 30.05.2025 23:53:09"/>
    <s v="30.05.25"/>
    <n v="6600"/>
    <m/>
    <m/>
    <d v="2025-05-30T00:00:00"/>
    <n v="32"/>
    <x v="1"/>
    <x v="5"/>
    <x v="1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400"/>
    <x v="5"/>
    <x v="5"/>
    <x v="1"/>
    <x v="0"/>
    <m/>
    <m/>
    <m/>
  </r>
  <r>
    <s v="60.02"/>
    <x v="30"/>
    <x v="49"/>
    <s v="Списание с расчетного счета 00БП-003900 от 17.06.2025 22:58:26"/>
    <s v="17.06.25"/>
    <n v="6600"/>
    <m/>
    <m/>
    <d v="2025-06-17T00:00:00"/>
    <n v="14"/>
    <x v="2"/>
    <x v="5"/>
    <x v="1"/>
    <x v="0"/>
    <m/>
    <m/>
    <m/>
  </r>
  <r>
    <s v="60.02"/>
    <x v="30"/>
    <x v="50"/>
    <s v="Списание с расчетного счета 00БП-003005 от 23.05.2025 20:52:15"/>
    <s v="23.05.25"/>
    <n v="6600"/>
    <m/>
    <m/>
    <d v="2025-05-23T00:00:00"/>
    <n v="39"/>
    <x v="1"/>
    <x v="5"/>
    <x v="1"/>
    <x v="0"/>
    <m/>
    <m/>
    <m/>
  </r>
  <r>
    <s v="60.02"/>
    <x v="30"/>
    <x v="423"/>
    <s v="Списание с расчетного счета 00БП-003016 от 23.05.2025 20:52:26"/>
    <s v="23.05.25"/>
    <n v="6600"/>
    <m/>
    <m/>
    <d v="2025-05-23T00:00:00"/>
    <n v="39"/>
    <x v="1"/>
    <x v="5"/>
    <x v="1"/>
    <x v="0"/>
    <m/>
    <m/>
    <m/>
  </r>
  <r>
    <s v="60.02"/>
    <x v="30"/>
    <x v="423"/>
    <s v="Списание с расчетного счета 00БП-003409 от 05.06.2025 19:43:58"/>
    <s v="05.06.25"/>
    <n v="25000"/>
    <m/>
    <m/>
    <d v="2025-06-05T00:00:00"/>
    <n v="26"/>
    <x v="2"/>
    <x v="5"/>
    <x v="1"/>
    <x v="0"/>
    <m/>
    <m/>
    <m/>
  </r>
  <r>
    <s v="60.02"/>
    <x v="30"/>
    <x v="424"/>
    <s v="Списание с расчетного счета 00БП-003008 от 23.05.2025 20:52:18"/>
    <s v="23.05.25"/>
    <n v="6600"/>
    <m/>
    <m/>
    <d v="2025-05-23T00:00:00"/>
    <n v="39"/>
    <x v="1"/>
    <x v="5"/>
    <x v="1"/>
    <x v="0"/>
    <m/>
    <m/>
    <m/>
  </r>
  <r>
    <s v="60.02"/>
    <x v="30"/>
    <x v="424"/>
    <s v="Списание с расчетного счета 00БП-003673 от 11.06.2025 17:42:13"/>
    <s v="11.06.25"/>
    <n v="25000"/>
    <m/>
    <m/>
    <d v="2025-06-11T00:00:00"/>
    <n v="20"/>
    <x v="2"/>
    <x v="5"/>
    <x v="1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358"/>
    <x v="6"/>
    <x v="5"/>
    <x v="1"/>
    <x v="0"/>
    <m/>
    <m/>
    <m/>
  </r>
  <r>
    <s v="60.02"/>
    <x v="30"/>
    <x v="425"/>
    <s v="Списание с расчетного счета 00БП-003012 от 23.05.2025 20:52:22"/>
    <s v="23.05.25"/>
    <n v="6600"/>
    <m/>
    <m/>
    <d v="2025-05-23T00:00:00"/>
    <n v="39"/>
    <x v="1"/>
    <x v="5"/>
    <x v="1"/>
    <x v="0"/>
    <m/>
    <m/>
    <m/>
  </r>
  <r>
    <s v="60.02"/>
    <x v="30"/>
    <x v="425"/>
    <s v="Списание с расчетного счета 00БП-004011 от 20.06.2025 19:02:34"/>
    <s v="20.06.25"/>
    <n v="25000"/>
    <m/>
    <m/>
    <d v="2025-06-20T00:00:00"/>
    <n v="11"/>
    <x v="2"/>
    <x v="5"/>
    <x v="1"/>
    <x v="0"/>
    <m/>
    <m/>
    <m/>
  </r>
  <r>
    <s v="60.02"/>
    <x v="30"/>
    <x v="640"/>
    <s v="Списание с расчетного счета 00БП-003376 от 04.06.2025 18:58:17"/>
    <s v="04.06.25"/>
    <n v="6800"/>
    <m/>
    <m/>
    <d v="2025-06-04T00:00:00"/>
    <n v="27"/>
    <x v="2"/>
    <x v="5"/>
    <x v="1"/>
    <x v="0"/>
    <m/>
    <m/>
    <m/>
  </r>
  <r>
    <s v="60.02"/>
    <x v="30"/>
    <x v="426"/>
    <s v="Списание с расчетного счета 00БП-003837 от 16.06.2025 18:31:02"/>
    <s v="16.06.25"/>
    <n v="6600"/>
    <m/>
    <m/>
    <d v="2025-06-16T00:00:00"/>
    <n v="15"/>
    <x v="2"/>
    <x v="5"/>
    <x v="1"/>
    <x v="0"/>
    <m/>
    <m/>
    <m/>
  </r>
  <r>
    <s v="60.02"/>
    <x v="30"/>
    <x v="52"/>
    <s v="Списание с расчетного счета 00БП-003014 от 23.05.2025 20:52:24"/>
    <s v="23.05.25"/>
    <n v="6600"/>
    <m/>
    <m/>
    <d v="2025-05-23T00:00:00"/>
    <n v="39"/>
    <x v="1"/>
    <x v="5"/>
    <x v="1"/>
    <x v="0"/>
    <m/>
    <m/>
    <m/>
  </r>
  <r>
    <s v="60.02"/>
    <x v="30"/>
    <x v="52"/>
    <s v="Списание с расчетного счета 00БП-003410 от 05.06.2025 19:43:59"/>
    <s v="05.06.25"/>
    <n v="25000"/>
    <m/>
    <m/>
    <d v="2025-06-05T00:00:00"/>
    <n v="26"/>
    <x v="2"/>
    <x v="5"/>
    <x v="1"/>
    <x v="0"/>
    <m/>
    <m/>
    <m/>
  </r>
  <r>
    <s v="60.02"/>
    <x v="30"/>
    <x v="427"/>
    <s v="Списание с расчетного счета 00БП-003015 от 23.05.2025 20:52:25"/>
    <s v="23.05.25"/>
    <n v="6600"/>
    <m/>
    <m/>
    <d v="2025-05-23T00:00:00"/>
    <n v="39"/>
    <x v="1"/>
    <x v="5"/>
    <x v="1"/>
    <x v="0"/>
    <m/>
    <m/>
    <m/>
  </r>
  <r>
    <s v="60.02"/>
    <x v="30"/>
    <x v="365"/>
    <s v="Списание с расчетного счета 00БП-003013 от 23.05.2025 20:52:23"/>
    <s v="23.05.25"/>
    <n v="6600"/>
    <m/>
    <m/>
    <d v="2025-05-23T00:00:00"/>
    <n v="39"/>
    <x v="1"/>
    <x v="5"/>
    <x v="1"/>
    <x v="0"/>
    <m/>
    <m/>
    <m/>
  </r>
  <r>
    <s v="60.02"/>
    <x v="30"/>
    <x v="365"/>
    <s v="Списание с расчетного счета 00БП-004059 от 23.06.2025 18:09:37"/>
    <s v="23.06.25"/>
    <n v="25000"/>
    <m/>
    <m/>
    <d v="2025-06-23T00:00:00"/>
    <n v="8"/>
    <x v="2"/>
    <x v="5"/>
    <x v="1"/>
    <x v="0"/>
    <m/>
    <m/>
    <m/>
  </r>
  <r>
    <s v="60.02"/>
    <x v="197"/>
    <x v="429"/>
    <s v="Списание с расчетного счета 00БП-009102 от 03.12.2024 16:43:31"/>
    <s v="03.12.24"/>
    <n v="360000"/>
    <m/>
    <m/>
    <d v="2024-12-03T00:00:00"/>
    <n v="210"/>
    <x v="3"/>
    <x v="5"/>
    <x v="1"/>
    <x v="0"/>
    <m/>
    <m/>
    <m/>
  </r>
  <r>
    <s v="60.02"/>
    <x v="35"/>
    <x v="64"/>
    <s v="Списание с расчетного счета 00БП-002965 от 21.05.2025 20:10:56"/>
    <s v="21.05.25"/>
    <n v="275272"/>
    <m/>
    <m/>
    <d v="2025-05-21T00:00:00"/>
    <n v="41"/>
    <x v="1"/>
    <x v="5"/>
    <x v="1"/>
    <x v="11"/>
    <m/>
    <m/>
    <m/>
  </r>
  <r>
    <s v="60.02"/>
    <x v="200"/>
    <x v="432"/>
    <s v="Списание с расчетного счета 00БП-003024 от 23.05.2025 20:52:34"/>
    <s v="23.05.25"/>
    <n v="114279"/>
    <m/>
    <m/>
    <d v="2025-05-23T00:00:00"/>
    <n v="39"/>
    <x v="1"/>
    <x v="5"/>
    <x v="1"/>
    <x v="0"/>
    <m/>
    <m/>
    <m/>
  </r>
  <r>
    <s v="60.02"/>
    <x v="36"/>
    <x v="641"/>
    <s v="Списание с расчетного счета 00БП-009396 от 27.12.2024 15:07:18"/>
    <s v="27.12.24"/>
    <n v="59580"/>
    <m/>
    <m/>
    <d v="2024-12-27T00:00:00"/>
    <n v="186"/>
    <x v="3"/>
    <x v="5"/>
    <x v="1"/>
    <x v="0"/>
    <m/>
    <m/>
    <m/>
  </r>
  <r>
    <s v="60.02"/>
    <x v="36"/>
    <x v="642"/>
    <s v="Списание с расчетного счета 00БП-000053 от 15.01.2025 12:46:18"/>
    <s v="15.01.25"/>
    <n v="306305.52"/>
    <m/>
    <m/>
    <d v="2025-01-15T00:00:00"/>
    <n v="167"/>
    <x v="0"/>
    <x v="5"/>
    <x v="1"/>
    <x v="0"/>
    <m/>
    <m/>
    <m/>
  </r>
  <r>
    <s v="60.02"/>
    <x v="36"/>
    <x v="643"/>
    <s v="Списание с расчетного счета 00БП-002737 от 15.05.2024 18:13:45"/>
    <s v="15.05.24"/>
    <n v="2323.89"/>
    <m/>
    <m/>
    <d v="2024-05-15T00:00:00"/>
    <n v="412"/>
    <x v="5"/>
    <x v="5"/>
    <x v="1"/>
    <x v="0"/>
    <m/>
    <m/>
    <m/>
  </r>
  <r>
    <s v="60.02"/>
    <x v="36"/>
    <x v="644"/>
    <s v="Списание с расчетного счета 00БП-001482 от 10.04.2025 20:24:24"/>
    <s v="10.04.25"/>
    <n v="21500"/>
    <m/>
    <m/>
    <d v="2025-04-10T00:00:00"/>
    <n v="82"/>
    <x v="1"/>
    <x v="5"/>
    <x v="1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1436"/>
    <x v="5"/>
    <x v="5"/>
    <x v="1"/>
    <x v="0"/>
    <m/>
    <m/>
    <m/>
  </r>
  <r>
    <s v="60.02"/>
    <x v="38"/>
    <x v="75"/>
    <s v="Списание с расчетного счета 00БП-003554 от 10.06.2025 19:31:45"/>
    <s v="10.06.25"/>
    <n v="13936"/>
    <m/>
    <m/>
    <d v="2025-06-10T00:00:00"/>
    <n v="21"/>
    <x v="2"/>
    <x v="5"/>
    <x v="1"/>
    <x v="0"/>
    <m/>
    <m/>
    <m/>
  </r>
  <r>
    <s v="60.02"/>
    <x v="38"/>
    <x v="75"/>
    <s v="Списание с расчетного счета 00БП-003987 от 19.06.2025 19:28:50"/>
    <s v="19.06.25"/>
    <n v="682568"/>
    <m/>
    <m/>
    <d v="2025-06-19T00:00:00"/>
    <n v="12"/>
    <x v="2"/>
    <x v="5"/>
    <x v="1"/>
    <x v="0"/>
    <m/>
    <m/>
    <m/>
  </r>
  <r>
    <s v="60.02"/>
    <x v="38"/>
    <x v="645"/>
    <s v="Списание с расчетного счета 00БП-003858 от 16.06.2025 18:31:23"/>
    <s v="16.06.25"/>
    <n v="571540"/>
    <m/>
    <m/>
    <d v="2025-06-16T00:00:00"/>
    <n v="15"/>
    <x v="2"/>
    <x v="5"/>
    <x v="1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441"/>
    <x v="5"/>
    <x v="5"/>
    <x v="1"/>
    <x v="0"/>
    <m/>
    <m/>
    <m/>
  </r>
  <r>
    <s v="60.02"/>
    <x v="38"/>
    <x v="80"/>
    <s v="Списание с расчетного счета 00БП-000423 от 28.02.2025 23:59:59"/>
    <s v="28.02.25"/>
    <n v="29963"/>
    <m/>
    <m/>
    <d v="2025-02-28T00:00:00"/>
    <n v="123"/>
    <x v="0"/>
    <x v="5"/>
    <x v="1"/>
    <x v="2"/>
    <m/>
    <m/>
    <m/>
  </r>
  <r>
    <s v="60.02"/>
    <x v="266"/>
    <x v="646"/>
    <s v="Списание с расчетного счета 00БП-003984 от 19.06.2025 19:28:47"/>
    <s v="19.06.25"/>
    <n v="82000"/>
    <m/>
    <m/>
    <d v="2025-06-19T00:00:00"/>
    <n v="12"/>
    <x v="2"/>
    <x v="5"/>
    <x v="1"/>
    <x v="0"/>
    <m/>
    <m/>
    <m/>
  </r>
  <r>
    <s v="60.02"/>
    <x v="267"/>
    <x v="647"/>
    <s v="Списание с расчетного счета 00БП-001867 от 16.04.2025 19:34:03"/>
    <s v="16.04.25"/>
    <n v="59575"/>
    <m/>
    <m/>
    <d v="2025-04-16T00:00:00"/>
    <n v="76"/>
    <x v="1"/>
    <x v="5"/>
    <x v="1"/>
    <x v="0"/>
    <m/>
    <m/>
    <m/>
  </r>
  <r>
    <s v="60.02"/>
    <x v="203"/>
    <x v="648"/>
    <s v="Списание с расчетного счета 00БП-003841 от 16.06.2025 18:31:06"/>
    <s v="16.06.25"/>
    <n v="12560"/>
    <m/>
    <m/>
    <d v="2025-06-16T00:00:00"/>
    <n v="15"/>
    <x v="2"/>
    <x v="5"/>
    <x v="1"/>
    <x v="0"/>
    <m/>
    <m/>
    <m/>
  </r>
  <r>
    <s v="60.02"/>
    <x v="203"/>
    <x v="649"/>
    <s v="Списание с расчетного счета 00БП-003934 от 18.06.2025 21:50:41"/>
    <s v="18.06.25"/>
    <n v="28440"/>
    <m/>
    <m/>
    <d v="2025-06-18T00:00:00"/>
    <n v="13"/>
    <x v="2"/>
    <x v="5"/>
    <x v="1"/>
    <x v="0"/>
    <m/>
    <m/>
    <m/>
  </r>
  <r>
    <s v="60.02"/>
    <x v="203"/>
    <x v="650"/>
    <s v="Списание с расчетного счета 00БП-004295 от 30.06.2025 23:59:59"/>
    <s v="30.06.25"/>
    <n v="27880"/>
    <m/>
    <m/>
    <d v="2025-06-30T00:00:00"/>
    <n v="1"/>
    <x v="2"/>
    <x v="5"/>
    <x v="1"/>
    <x v="0"/>
    <m/>
    <m/>
    <m/>
  </r>
  <r>
    <s v="60.02"/>
    <x v="203"/>
    <x v="651"/>
    <s v="Списание с расчетного счета 00БП-004134 от 26.06.2025 21:32:22"/>
    <s v="26.06.25"/>
    <n v="47600"/>
    <m/>
    <m/>
    <d v="2025-06-26T00:00:00"/>
    <n v="5"/>
    <x v="2"/>
    <x v="5"/>
    <x v="1"/>
    <x v="0"/>
    <m/>
    <m/>
    <m/>
  </r>
  <r>
    <s v="60.02"/>
    <x v="203"/>
    <x v="652"/>
    <s v="Списание с расчетного счета 00БП-004158 от 27.06.2025 17:35:51"/>
    <s v="27.06.25"/>
    <n v="20740"/>
    <m/>
    <m/>
    <d v="2025-06-27T00:00:00"/>
    <n v="4"/>
    <x v="2"/>
    <x v="5"/>
    <x v="1"/>
    <x v="0"/>
    <m/>
    <m/>
    <m/>
  </r>
  <r>
    <s v="60.02"/>
    <x v="203"/>
    <x v="437"/>
    <s v="Списание с расчетного счета 00БП-002949 от 21.05.2025 20:10:40"/>
    <s v="21.05.25"/>
    <n v="3460"/>
    <m/>
    <m/>
    <d v="2025-05-21T00:00:00"/>
    <n v="41"/>
    <x v="1"/>
    <x v="5"/>
    <x v="1"/>
    <x v="0"/>
    <m/>
    <m/>
    <m/>
  </r>
  <r>
    <s v="60.02"/>
    <x v="203"/>
    <x v="653"/>
    <s v="Списание с расчетного счета 00БП-003480 от 09.06.2025 17:55:29"/>
    <s v="09.06.25"/>
    <n v="1310"/>
    <m/>
    <m/>
    <d v="2025-06-09T00:00:00"/>
    <n v="22"/>
    <x v="2"/>
    <x v="5"/>
    <x v="1"/>
    <x v="0"/>
    <m/>
    <m/>
    <m/>
  </r>
  <r>
    <s v="60.02"/>
    <x v="268"/>
    <x v="654"/>
    <s v="Списание с расчетного счета 00БП-002437 от 07.05.2025 17:27:14"/>
    <s v="07.05.25"/>
    <n v="21000"/>
    <m/>
    <m/>
    <d v="2025-05-07T00:00:00"/>
    <n v="55"/>
    <x v="1"/>
    <x v="5"/>
    <x v="1"/>
    <x v="0"/>
    <m/>
    <m/>
    <m/>
  </r>
  <r>
    <s v="60.02"/>
    <x v="268"/>
    <x v="655"/>
    <s v="Списание с расчетного счета 00БП-003266 от 29.05.2025 19:55:32"/>
    <s v="29.05.25"/>
    <n v="163800"/>
    <m/>
    <m/>
    <d v="2025-05-29T00:00:00"/>
    <n v="33"/>
    <x v="1"/>
    <x v="5"/>
    <x v="1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390"/>
    <x v="5"/>
    <x v="5"/>
    <x v="1"/>
    <x v="9"/>
    <m/>
    <m/>
    <m/>
  </r>
  <r>
    <s v="60.02"/>
    <x v="40"/>
    <x v="656"/>
    <s v="Списание с расчетного счета 00БП-004052 от 23.06.2025 18:09:30"/>
    <s v="23.06.25"/>
    <n v="5497"/>
    <m/>
    <m/>
    <d v="2025-06-23T00:00:00"/>
    <n v="8"/>
    <x v="2"/>
    <x v="5"/>
    <x v="1"/>
    <x v="0"/>
    <m/>
    <m/>
    <m/>
  </r>
  <r>
    <s v="60.02"/>
    <x v="40"/>
    <x v="657"/>
    <s v="Списание с расчетного счета 00БП-004128 от 26.06.2025 21:32:16"/>
    <s v="26.06.25"/>
    <n v="1428"/>
    <m/>
    <m/>
    <d v="2025-06-26T00:00:00"/>
    <n v="5"/>
    <x v="2"/>
    <x v="5"/>
    <x v="1"/>
    <x v="0"/>
    <m/>
    <m/>
    <m/>
  </r>
  <r>
    <s v="60.02"/>
    <x v="40"/>
    <x v="658"/>
    <s v="Списание с расчетного счета 00БП-002808 от 15.05.2025 18:23:10"/>
    <s v="15.05.25"/>
    <n v="1326"/>
    <m/>
    <m/>
    <d v="2025-05-15T00:00:00"/>
    <n v="47"/>
    <x v="1"/>
    <x v="5"/>
    <x v="1"/>
    <x v="0"/>
    <m/>
    <m/>
    <m/>
  </r>
  <r>
    <s v="60.02"/>
    <x v="40"/>
    <x v="659"/>
    <s v="Списание с расчетного счета 00БП-003929 от 18.06.2025 21:50:36"/>
    <s v="18.06.25"/>
    <n v="1742"/>
    <m/>
    <m/>
    <d v="2025-06-18T00:00:00"/>
    <n v="13"/>
    <x v="2"/>
    <x v="5"/>
    <x v="1"/>
    <x v="0"/>
    <m/>
    <m/>
    <m/>
  </r>
  <r>
    <s v="60.02"/>
    <x v="40"/>
    <x v="660"/>
    <s v="Списание с расчетного счета 00БП-004048 от 23.06.2025 18:09:26"/>
    <s v="23.06.25"/>
    <n v="1425"/>
    <m/>
    <m/>
    <d v="2025-06-23T00:00:00"/>
    <n v="8"/>
    <x v="2"/>
    <x v="5"/>
    <x v="1"/>
    <x v="0"/>
    <m/>
    <m/>
    <m/>
  </r>
  <r>
    <s v="60.02"/>
    <x v="40"/>
    <x v="661"/>
    <s v="Списание с расчетного счета 00БП-003749 от 11.06.2025 17:43:29"/>
    <s v="11.06.25"/>
    <n v="111788"/>
    <m/>
    <m/>
    <d v="2025-06-11T00:00:00"/>
    <n v="20"/>
    <x v="2"/>
    <x v="5"/>
    <x v="1"/>
    <x v="0"/>
    <m/>
    <m/>
    <m/>
  </r>
  <r>
    <s v="60.02"/>
    <x v="40"/>
    <x v="662"/>
    <s v="Списание с расчетного счета 00БП-004095 от 24.06.2025 23:59:59"/>
    <s v="24.06.25"/>
    <n v="24245"/>
    <m/>
    <m/>
    <d v="2025-06-24T00:00:00"/>
    <n v="7"/>
    <x v="2"/>
    <x v="5"/>
    <x v="1"/>
    <x v="0"/>
    <m/>
    <m/>
    <m/>
  </r>
  <r>
    <s v="60.02"/>
    <x v="40"/>
    <x v="663"/>
    <s v="Списание с расчетного счета 00БП-004089 от 24.06.2025 23:59:59"/>
    <s v="24.06.25"/>
    <n v="279"/>
    <m/>
    <m/>
    <d v="2025-06-24T00:00:00"/>
    <n v="7"/>
    <x v="2"/>
    <x v="5"/>
    <x v="1"/>
    <x v="0"/>
    <m/>
    <m/>
    <m/>
  </r>
  <r>
    <s v="60.02"/>
    <x v="40"/>
    <x v="664"/>
    <s v="Списание с расчетного счета 00БП-003569 от 11.06.2025 17:40:29"/>
    <s v="11.06.25"/>
    <n v="1079"/>
    <m/>
    <m/>
    <d v="2025-06-11T00:00:00"/>
    <n v="20"/>
    <x v="2"/>
    <x v="5"/>
    <x v="1"/>
    <x v="0"/>
    <m/>
    <m/>
    <m/>
  </r>
  <r>
    <s v="60.02"/>
    <x v="40"/>
    <x v="665"/>
    <s v="Списание с расчетного счета 00БП-003579 от 11.06.2025 17:40:39"/>
    <s v="11.06.25"/>
    <n v="2777"/>
    <m/>
    <m/>
    <d v="2025-06-11T00:00:00"/>
    <n v="20"/>
    <x v="2"/>
    <x v="5"/>
    <x v="1"/>
    <x v="0"/>
    <m/>
    <m/>
    <m/>
  </r>
  <r>
    <s v="60.02"/>
    <x v="40"/>
    <x v="666"/>
    <s v="Списание с расчетного счета 00БП-004132 от 26.06.2025 21:32:20"/>
    <s v="26.06.25"/>
    <n v="3973"/>
    <m/>
    <m/>
    <d v="2025-06-26T00:00:00"/>
    <n v="5"/>
    <x v="2"/>
    <x v="5"/>
    <x v="1"/>
    <x v="0"/>
    <m/>
    <m/>
    <m/>
  </r>
  <r>
    <s v="60.02"/>
    <x v="40"/>
    <x v="667"/>
    <s v="Списание с расчетного счета 00БП-003752 от 11.06.2025 17:43:32"/>
    <s v="11.06.25"/>
    <n v="144940"/>
    <m/>
    <m/>
    <d v="2025-06-11T00:00:00"/>
    <n v="20"/>
    <x v="2"/>
    <x v="5"/>
    <x v="1"/>
    <x v="0"/>
    <m/>
    <m/>
    <m/>
  </r>
  <r>
    <s v="60.02"/>
    <x v="40"/>
    <x v="668"/>
    <s v="Списание с расчетного счета 00БП-003905 от 17.06.2025 22:58:31"/>
    <s v="17.06.25"/>
    <n v="65729"/>
    <m/>
    <m/>
    <d v="2025-06-17T00:00:00"/>
    <n v="14"/>
    <x v="2"/>
    <x v="5"/>
    <x v="1"/>
    <x v="0"/>
    <m/>
    <m/>
    <m/>
  </r>
  <r>
    <s v="60.02"/>
    <x v="40"/>
    <x v="669"/>
    <s v="Списание с расчетного счета 00БП-003825 от 16.06.2025 18:30:50"/>
    <s v="16.06.25"/>
    <n v="279"/>
    <m/>
    <m/>
    <d v="2025-06-16T00:00:00"/>
    <n v="15"/>
    <x v="2"/>
    <x v="5"/>
    <x v="1"/>
    <x v="0"/>
    <m/>
    <m/>
    <m/>
  </r>
  <r>
    <s v="60.02"/>
    <x v="40"/>
    <x v="670"/>
    <s v="Списание с расчетного счета 00БП-003546 от 10.06.2025 19:31:37"/>
    <s v="10.06.25"/>
    <n v="95490"/>
    <m/>
    <m/>
    <d v="2025-06-10T00:00:00"/>
    <n v="21"/>
    <x v="2"/>
    <x v="5"/>
    <x v="1"/>
    <x v="0"/>
    <m/>
    <m/>
    <m/>
  </r>
  <r>
    <s v="60.02"/>
    <x v="40"/>
    <x v="671"/>
    <s v="Списание с расчетного счета 00БП-003293 от 30.05.2025 23:53:17"/>
    <s v="30.05.25"/>
    <n v="27155"/>
    <m/>
    <m/>
    <d v="2025-05-30T00:00:00"/>
    <n v="32"/>
    <x v="1"/>
    <x v="5"/>
    <x v="1"/>
    <x v="0"/>
    <m/>
    <m/>
    <m/>
  </r>
  <r>
    <s v="60.02"/>
    <x v="40"/>
    <x v="672"/>
    <s v="Списание с расчетного счета 00БП-003833 от 16.06.2025 18:30:58"/>
    <s v="16.06.25"/>
    <n v="2174"/>
    <m/>
    <m/>
    <d v="2025-06-16T00:00:00"/>
    <n v="15"/>
    <x v="2"/>
    <x v="5"/>
    <x v="1"/>
    <x v="0"/>
    <m/>
    <m/>
    <m/>
  </r>
  <r>
    <s v="60.02"/>
    <x v="40"/>
    <x v="673"/>
    <s v="Списание с расчетного счета 00БП-004131 от 26.06.2025 21:32:19"/>
    <s v="26.06.25"/>
    <n v="2174"/>
    <m/>
    <m/>
    <d v="2025-06-26T00:00:00"/>
    <n v="5"/>
    <x v="2"/>
    <x v="5"/>
    <x v="1"/>
    <x v="0"/>
    <m/>
    <m/>
    <m/>
  </r>
  <r>
    <s v="60.02"/>
    <x v="40"/>
    <x v="674"/>
    <s v="Списание с расчетного счета 00БП-004127 от 26.06.2025 21:32:15"/>
    <s v="26.06.25"/>
    <n v="819"/>
    <m/>
    <m/>
    <d v="2025-06-26T00:00:00"/>
    <n v="5"/>
    <x v="2"/>
    <x v="5"/>
    <x v="1"/>
    <x v="0"/>
    <m/>
    <m/>
    <m/>
  </r>
  <r>
    <s v="60.02"/>
    <x v="40"/>
    <x v="675"/>
    <s v="Списание с расчетного счета 00БП-003832 от 16.06.2025 18:30:57"/>
    <s v="16.06.25"/>
    <n v="2063"/>
    <m/>
    <m/>
    <d v="2025-06-16T00:00:00"/>
    <n v="15"/>
    <x v="2"/>
    <x v="5"/>
    <x v="1"/>
    <x v="0"/>
    <m/>
    <m/>
    <m/>
  </r>
  <r>
    <s v="60.02"/>
    <x v="40"/>
    <x v="676"/>
    <s v="Списание с расчетного счета 00БП-003897 от 17.06.2025 22:58:23"/>
    <s v="17.06.25"/>
    <n v="1345"/>
    <m/>
    <m/>
    <d v="2025-06-17T00:00:00"/>
    <n v="14"/>
    <x v="2"/>
    <x v="5"/>
    <x v="1"/>
    <x v="0"/>
    <m/>
    <m/>
    <m/>
  </r>
  <r>
    <s v="60.02"/>
    <x v="40"/>
    <x v="677"/>
    <s v="Списание с расчетного счета 00БП-003530 от 10.06.2025 19:31:21"/>
    <s v="10.06.25"/>
    <n v="4488"/>
    <m/>
    <m/>
    <d v="2025-06-10T00:00:00"/>
    <n v="21"/>
    <x v="2"/>
    <x v="5"/>
    <x v="1"/>
    <x v="0"/>
    <m/>
    <m/>
    <m/>
  </r>
  <r>
    <s v="60.02"/>
    <x v="40"/>
    <x v="678"/>
    <s v="Списание с расчетного счета 00БП-004133 от 26.06.2025 21:32:21"/>
    <s v="26.06.25"/>
    <n v="4297"/>
    <m/>
    <m/>
    <d v="2025-06-26T00:00:00"/>
    <n v="5"/>
    <x v="2"/>
    <x v="5"/>
    <x v="1"/>
    <x v="0"/>
    <m/>
    <m/>
    <m/>
  </r>
  <r>
    <s v="60.02"/>
    <x v="40"/>
    <x v="679"/>
    <s v="Списание с расчетного счета 00БП-003826 от 16.06.2025 18:30:51"/>
    <s v="16.06.25"/>
    <n v="1241"/>
    <m/>
    <m/>
    <d v="2025-06-16T00:00:00"/>
    <n v="15"/>
    <x v="2"/>
    <x v="5"/>
    <x v="1"/>
    <x v="0"/>
    <m/>
    <m/>
    <m/>
  </r>
  <r>
    <s v="60.02"/>
    <x v="40"/>
    <x v="680"/>
    <s v="Списание с расчетного счета 00БП-004129 от 26.06.2025 21:32:17"/>
    <s v="26.06.25"/>
    <n v="1725"/>
    <m/>
    <m/>
    <d v="2025-06-26T00:00:00"/>
    <n v="5"/>
    <x v="2"/>
    <x v="5"/>
    <x v="1"/>
    <x v="0"/>
    <m/>
    <m/>
    <m/>
  </r>
  <r>
    <s v="60.02"/>
    <x v="40"/>
    <x v="681"/>
    <s v="Списание с расчетного счета 00БП-003586 от 11.06.2025 17:40:46"/>
    <s v="11.06.25"/>
    <n v="4261"/>
    <m/>
    <m/>
    <d v="2025-06-11T00:00:00"/>
    <n v="20"/>
    <x v="2"/>
    <x v="5"/>
    <x v="1"/>
    <x v="0"/>
    <m/>
    <m/>
    <m/>
  </r>
  <r>
    <s v="60.02"/>
    <x v="40"/>
    <x v="682"/>
    <s v="Списание с расчетного счета 00БП-004049 от 23.06.2025 18:09:27"/>
    <s v="23.06.25"/>
    <n v="1481"/>
    <m/>
    <m/>
    <d v="2025-06-23T00:00:00"/>
    <n v="8"/>
    <x v="2"/>
    <x v="5"/>
    <x v="1"/>
    <x v="0"/>
    <m/>
    <m/>
    <m/>
  </r>
  <r>
    <s v="60.02"/>
    <x v="40"/>
    <x v="683"/>
    <s v="Списание с расчетного счета 00БП-004091 от 24.06.2025 23:59:59"/>
    <s v="24.06.25"/>
    <n v="3011"/>
    <m/>
    <m/>
    <d v="2025-06-24T00:00:00"/>
    <n v="7"/>
    <x v="2"/>
    <x v="5"/>
    <x v="1"/>
    <x v="0"/>
    <m/>
    <m/>
    <m/>
  </r>
  <r>
    <s v="60.02"/>
    <x v="269"/>
    <x v="684"/>
    <s v="Списание с расчетного счета 00БП-001091 от 28.03.2025 21:31:23"/>
    <s v="28.03.25"/>
    <n v="460000"/>
    <m/>
    <m/>
    <d v="2025-03-28T00:00:00"/>
    <n v="95"/>
    <x v="4"/>
    <x v="5"/>
    <x v="1"/>
    <x v="0"/>
    <m/>
    <m/>
    <m/>
  </r>
  <r>
    <s v="60.02"/>
    <x v="42"/>
    <x v="685"/>
    <s v="Списание с расчетного счета 00БП-002785 от 14.05.2025 17:26:01"/>
    <s v="14.05.25"/>
    <n v="29199"/>
    <m/>
    <m/>
    <d v="2025-05-14T00:00:00"/>
    <n v="48"/>
    <x v="1"/>
    <x v="5"/>
    <x v="1"/>
    <x v="0"/>
    <m/>
    <m/>
    <m/>
  </r>
  <r>
    <s v="60.02"/>
    <x v="42"/>
    <x v="686"/>
    <s v="Списание с расчетного счета 00БП-004100 от 24.06.2025 23:59:59"/>
    <s v="24.06.25"/>
    <n v="132894"/>
    <m/>
    <m/>
    <d v="2025-06-24T00:00:00"/>
    <n v="7"/>
    <x v="2"/>
    <x v="5"/>
    <x v="1"/>
    <x v="0"/>
    <m/>
    <m/>
    <m/>
  </r>
  <r>
    <s v="60.02"/>
    <x v="42"/>
    <x v="687"/>
    <s v="Списание с расчетного счета 00БП-004135 от 26.06.2025 21:32:23"/>
    <s v="26.06.25"/>
    <n v="49600"/>
    <m/>
    <m/>
    <d v="2025-06-26T00:00:00"/>
    <n v="5"/>
    <x v="2"/>
    <x v="5"/>
    <x v="1"/>
    <x v="0"/>
    <m/>
    <m/>
    <m/>
  </r>
  <r>
    <s v="60.02"/>
    <x v="43"/>
    <x v="688"/>
    <s v="Списание с расчетного счета 00БП-003977 от 19.06.2025 19:28:40"/>
    <s v="19.06.25"/>
    <n v="38260"/>
    <m/>
    <m/>
    <d v="2025-06-19T00:00:00"/>
    <n v="12"/>
    <x v="2"/>
    <x v="5"/>
    <x v="1"/>
    <x v="0"/>
    <m/>
    <m/>
    <m/>
  </r>
  <r>
    <s v="60.02"/>
    <x v="183"/>
    <x v="385"/>
    <s v="Списание с расчетного счета 00БП-003906 от 17.06.2025 22:58:32"/>
    <s v="17.06.25"/>
    <n v="70000"/>
    <m/>
    <m/>
    <d v="2025-06-17T00:00:00"/>
    <n v="14"/>
    <x v="2"/>
    <x v="5"/>
    <x v="1"/>
    <x v="0"/>
    <m/>
    <m/>
    <m/>
  </r>
  <r>
    <s v="60.02"/>
    <x v="270"/>
    <x v="689"/>
    <s v="Списание с расчетного счета 00БП-003558 от 10.06.2025 19:31:49"/>
    <s v="10.06.25"/>
    <n v="2557318.7999999998"/>
    <m/>
    <m/>
    <d v="2025-06-10T00:00:00"/>
    <n v="21"/>
    <x v="2"/>
    <x v="5"/>
    <x v="1"/>
    <x v="0"/>
    <m/>
    <m/>
    <m/>
  </r>
  <r>
    <s v="60.02"/>
    <x v="271"/>
    <x v="690"/>
    <s v="Списание с расчетного счета 00БП-003439 от 06.06.2025 18:48:35"/>
    <s v="06.06.25"/>
    <n v="2360"/>
    <m/>
    <m/>
    <d v="2025-06-06T00:00:00"/>
    <n v="25"/>
    <x v="2"/>
    <x v="5"/>
    <x v="1"/>
    <x v="0"/>
    <m/>
    <m/>
    <m/>
  </r>
  <r>
    <s v="60.02"/>
    <x v="271"/>
    <x v="691"/>
    <s v="Списание с расчетного счета 00БП-004150 от 27.06.2025 17:35:43"/>
    <s v="27.06.25"/>
    <n v="5220"/>
    <m/>
    <m/>
    <d v="2025-06-27T00:00:00"/>
    <n v="4"/>
    <x v="2"/>
    <x v="5"/>
    <x v="1"/>
    <x v="0"/>
    <m/>
    <m/>
    <m/>
  </r>
  <r>
    <s v="60.02"/>
    <x v="272"/>
    <x v="73"/>
    <s v="Авансовый отчет 00БП-000084 от 07.04.2025 11:52:21"/>
    <s v="07.04.25"/>
    <n v="2900"/>
    <m/>
    <m/>
    <d v="2025-04-07T00:00:00"/>
    <n v="85"/>
    <x v="1"/>
    <x v="5"/>
    <x v="1"/>
    <x v="0"/>
    <m/>
    <m/>
    <m/>
  </r>
  <r>
    <s v="60.02"/>
    <x v="207"/>
    <x v="73"/>
    <s v="Авансовый отчет 00БП-000039 от 11.03.2025 12:18:02"/>
    <s v="11.03.25"/>
    <n v="5399"/>
    <m/>
    <m/>
    <d v="2025-03-11T00:00:00"/>
    <n v="112"/>
    <x v="4"/>
    <x v="5"/>
    <x v="1"/>
    <x v="0"/>
    <m/>
    <m/>
    <m/>
  </r>
  <r>
    <s v="60.02"/>
    <x v="207"/>
    <x v="73"/>
    <s v="Авансовый отчет 00БП-000041 от 12.03.2025 12:19:09"/>
    <s v="12.03.25"/>
    <n v="26445"/>
    <m/>
    <m/>
    <d v="2025-03-12T00:00:00"/>
    <n v="111"/>
    <x v="4"/>
    <x v="5"/>
    <x v="1"/>
    <x v="0"/>
    <m/>
    <m/>
    <m/>
  </r>
  <r>
    <s v="60.02"/>
    <x v="207"/>
    <x v="73"/>
    <s v="Авансовый отчет 00БП-000057 от 19.03.2025 12:55:19"/>
    <s v="19.03.25"/>
    <n v="2084"/>
    <m/>
    <m/>
    <d v="2025-03-19T00:00:00"/>
    <n v="104"/>
    <x v="4"/>
    <x v="5"/>
    <x v="1"/>
    <x v="0"/>
    <m/>
    <m/>
    <m/>
  </r>
  <r>
    <s v="60.02"/>
    <x v="207"/>
    <x v="73"/>
    <s v="Авансовый отчет 00БП-000084 от 07.04.2025 11:52:21"/>
    <s v="07.04.25"/>
    <n v="19462"/>
    <m/>
    <m/>
    <d v="2025-04-07T00:00:00"/>
    <n v="85"/>
    <x v="1"/>
    <x v="5"/>
    <x v="1"/>
    <x v="0"/>
    <m/>
    <m/>
    <m/>
  </r>
  <r>
    <s v="60.02"/>
    <x v="207"/>
    <x v="73"/>
    <s v="Авансовый отчет 00БП-000141 от 18.04.2025 16:47:06"/>
    <s v="18.04.25"/>
    <n v="1820"/>
    <m/>
    <m/>
    <d v="2025-04-18T00:00:00"/>
    <n v="74"/>
    <x v="1"/>
    <x v="5"/>
    <x v="1"/>
    <x v="0"/>
    <m/>
    <m/>
    <m/>
  </r>
  <r>
    <s v="60.02"/>
    <x v="207"/>
    <x v="73"/>
    <s v="Авансовый отчет 00БП-000174 от 05.05.2025 17:46:10"/>
    <s v="05.05.25"/>
    <n v="550"/>
    <m/>
    <m/>
    <d v="2025-05-05T00:00:00"/>
    <n v="57"/>
    <x v="1"/>
    <x v="5"/>
    <x v="1"/>
    <x v="0"/>
    <m/>
    <m/>
    <m/>
  </r>
  <r>
    <s v="60.02"/>
    <x v="207"/>
    <x v="73"/>
    <s v="Авансовый отчет 00БП-000176 от 06.05.2025 16:34:56"/>
    <s v="06.05.25"/>
    <n v="19755"/>
    <m/>
    <m/>
    <d v="2025-05-06T00:00:00"/>
    <n v="56"/>
    <x v="1"/>
    <x v="5"/>
    <x v="1"/>
    <x v="0"/>
    <m/>
    <m/>
    <m/>
  </r>
  <r>
    <s v="60.02"/>
    <x v="207"/>
    <x v="73"/>
    <s v="Авансовый отчет 00БП-000185 от 13.05.2025 11:54:18"/>
    <s v="13.05.25"/>
    <n v="7723"/>
    <m/>
    <m/>
    <d v="2025-05-13T00:00:00"/>
    <n v="49"/>
    <x v="1"/>
    <x v="5"/>
    <x v="1"/>
    <x v="0"/>
    <m/>
    <m/>
    <m/>
  </r>
  <r>
    <s v="60.02"/>
    <x v="207"/>
    <x v="73"/>
    <s v="Авансовый отчет 00БП-000226 от 23.06.2025 11:38:39"/>
    <s v="23.06.25"/>
    <n v="2220"/>
    <m/>
    <m/>
    <d v="2025-06-23T00:00:00"/>
    <n v="8"/>
    <x v="2"/>
    <x v="5"/>
    <x v="1"/>
    <x v="0"/>
    <m/>
    <m/>
    <m/>
  </r>
  <r>
    <s v="60.02"/>
    <x v="273"/>
    <x v="692"/>
    <s v="Списание с расчетного счета 00БП-001685 от 11.04.2025 19:45:31"/>
    <s v="11.04.25"/>
    <n v="578075.6"/>
    <m/>
    <m/>
    <d v="2025-04-11T00:00:00"/>
    <n v="81"/>
    <x v="1"/>
    <x v="5"/>
    <x v="1"/>
    <x v="0"/>
    <m/>
    <m/>
    <m/>
  </r>
  <r>
    <s v="60.02"/>
    <x v="273"/>
    <x v="692"/>
    <s v="Списание с расчетного счета 00БП-003362 от 03.06.2025 17:39:14"/>
    <s v="03.06.25"/>
    <n v="578075.6"/>
    <m/>
    <m/>
    <d v="2025-06-03T00:00:00"/>
    <n v="28"/>
    <x v="2"/>
    <x v="5"/>
    <x v="1"/>
    <x v="0"/>
    <m/>
    <m/>
    <m/>
  </r>
  <r>
    <s v="60.02"/>
    <x v="208"/>
    <x v="461"/>
    <s v="Списание с расчетного счета 00БП-003336 от 07.06.2024 20:17:33"/>
    <s v="07.06.24"/>
    <n v="1000"/>
    <m/>
    <m/>
    <d v="2024-06-07T00:00:00"/>
    <n v="389"/>
    <x v="5"/>
    <x v="5"/>
    <x v="1"/>
    <x v="0"/>
    <m/>
    <m/>
    <m/>
  </r>
  <r>
    <s v="60.02"/>
    <x v="209"/>
    <x v="462"/>
    <s v="Списание с расчетного счета 00БП-002146 от 25.04.2025 19:00:37"/>
    <s v="25.04.25"/>
    <n v="43000"/>
    <m/>
    <m/>
    <d v="2025-04-25T00:00:00"/>
    <n v="67"/>
    <x v="1"/>
    <x v="5"/>
    <x v="1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1239"/>
    <x v="5"/>
    <x v="5"/>
    <x v="1"/>
    <x v="8"/>
    <m/>
    <m/>
    <m/>
  </r>
  <r>
    <s v="60.02"/>
    <x v="48"/>
    <x v="693"/>
    <s v="Списание с расчетного счета 00БП-002989 от 22.05.2025 18:45:32"/>
    <s v="22.05.25"/>
    <n v="1109150"/>
    <m/>
    <m/>
    <d v="2025-05-22T00:00:00"/>
    <n v="40"/>
    <x v="1"/>
    <x v="5"/>
    <x v="1"/>
    <x v="0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1066"/>
    <x v="5"/>
    <x v="5"/>
    <x v="1"/>
    <x v="2"/>
    <m/>
    <m/>
    <m/>
  </r>
  <r>
    <s v="60.02"/>
    <x v="50"/>
    <x v="126"/>
    <s v="Списание с расчетного счета 00БП-004119 от 25.06.2025 20:39:20"/>
    <s v="25.06.25"/>
    <n v="3945825.3"/>
    <m/>
    <m/>
    <d v="2025-06-25T00:00:00"/>
    <n v="6"/>
    <x v="2"/>
    <x v="5"/>
    <x v="1"/>
    <x v="0"/>
    <m/>
    <m/>
    <m/>
  </r>
  <r>
    <s v="60.02"/>
    <x v="274"/>
    <x v="694"/>
    <s v="Списание с расчетного счета 00БП-003487 от 09.06.2025 17:55:36"/>
    <s v="09.06.25"/>
    <n v="10170"/>
    <m/>
    <m/>
    <d v="2025-06-09T00:00:00"/>
    <n v="22"/>
    <x v="2"/>
    <x v="5"/>
    <x v="1"/>
    <x v="0"/>
    <m/>
    <m/>
    <m/>
  </r>
  <r>
    <s v="60.02"/>
    <x v="52"/>
    <x v="130"/>
    <s v="Списание с расчетного счета 00БП-004118 от 25.06.2025 20:39:19"/>
    <s v="25.06.25"/>
    <n v="52500"/>
    <m/>
    <m/>
    <d v="2025-06-25T00:00:00"/>
    <n v="6"/>
    <x v="2"/>
    <x v="5"/>
    <x v="1"/>
    <x v="0"/>
    <m/>
    <m/>
    <m/>
  </r>
  <r>
    <s v="60.02"/>
    <x v="175"/>
    <x v="695"/>
    <s v="Списание с расчетного счета 00БП-003510 от 09.06.2025 17:55:59"/>
    <s v="09.06.25"/>
    <n v="650903.04000000004"/>
    <m/>
    <m/>
    <d v="2025-06-09T00:00:00"/>
    <n v="22"/>
    <x v="2"/>
    <x v="5"/>
    <x v="1"/>
    <x v="0"/>
    <m/>
    <m/>
    <m/>
  </r>
  <r>
    <s v="60.02"/>
    <x v="175"/>
    <x v="695"/>
    <s v="Списание с расчетного счета 00БП-004070 от 23.06.2025 18:09:48"/>
    <s v="23.06.25"/>
    <n v="650903.04000000004"/>
    <m/>
    <m/>
    <d v="2025-06-23T00:00:00"/>
    <n v="8"/>
    <x v="2"/>
    <x v="5"/>
    <x v="1"/>
    <x v="0"/>
    <m/>
    <m/>
    <m/>
  </r>
  <r>
    <s v="60.02"/>
    <x v="212"/>
    <x v="478"/>
    <s v="Списание с расчетного счета 00БП-002032 от 24.04.2025 18:07:44"/>
    <s v="24.04.25"/>
    <n v="38960"/>
    <m/>
    <m/>
    <d v="2025-04-24T00:00:00"/>
    <n v="68"/>
    <x v="1"/>
    <x v="5"/>
    <x v="1"/>
    <x v="0"/>
    <m/>
    <m/>
    <m/>
  </r>
  <r>
    <s v="60.02"/>
    <x v="213"/>
    <x v="479"/>
    <s v="Списание с расчетного счета 00БП-003273 от 05.06.2024 18:44:06"/>
    <s v="05.06.24"/>
    <n v="2220000"/>
    <m/>
    <m/>
    <d v="2024-06-05T00:00:00"/>
    <n v="391"/>
    <x v="5"/>
    <x v="5"/>
    <x v="1"/>
    <x v="20"/>
    <m/>
    <m/>
    <m/>
  </r>
  <r>
    <s v="60.02"/>
    <x v="213"/>
    <x v="480"/>
    <s v="Списание с расчетного счета 00БП-007991 от 28.12.2023 15:20:52"/>
    <s v="28.12.23"/>
    <n v="352732.55"/>
    <m/>
    <m/>
    <d v="2023-12-28T00:00:00"/>
    <n v="551"/>
    <x v="5"/>
    <x v="5"/>
    <x v="1"/>
    <x v="20"/>
    <m/>
    <m/>
    <m/>
  </r>
  <r>
    <s v="60.02"/>
    <x v="53"/>
    <x v="696"/>
    <s v="Списание с расчетного счета 00БП-002662 от 12.05.2025 19:56:26"/>
    <s v="12.05.25"/>
    <n v="930000"/>
    <m/>
    <m/>
    <d v="2025-05-12T00:00:00"/>
    <n v="50"/>
    <x v="1"/>
    <x v="5"/>
    <x v="1"/>
    <x v="0"/>
    <m/>
    <m/>
    <m/>
  </r>
  <r>
    <s v="60.02"/>
    <x v="53"/>
    <x v="697"/>
    <s v="Списание с расчетного счета 00БП-003506 от 09.06.2025 17:55:55"/>
    <s v="09.06.25"/>
    <n v="249350"/>
    <m/>
    <m/>
    <d v="2025-06-09T00:00:00"/>
    <n v="22"/>
    <x v="2"/>
    <x v="5"/>
    <x v="1"/>
    <x v="0"/>
    <m/>
    <m/>
    <m/>
  </r>
  <r>
    <s v="60.02"/>
    <x v="53"/>
    <x v="697"/>
    <s v="Списание с расчетного счета 00БП-004064 от 23.06.2025 18:09:42"/>
    <s v="23.06.25"/>
    <n v="249350"/>
    <m/>
    <m/>
    <d v="2025-06-23T00:00:00"/>
    <n v="8"/>
    <x v="2"/>
    <x v="5"/>
    <x v="1"/>
    <x v="0"/>
    <m/>
    <m/>
    <m/>
  </r>
  <r>
    <s v="60.02"/>
    <x v="53"/>
    <x v="698"/>
    <s v="Списание с расчетного счета 00БП-003982 от 19.06.2025 19:28:45"/>
    <s v="19.06.25"/>
    <n v="70000"/>
    <m/>
    <m/>
    <d v="2025-06-19T00:00:00"/>
    <n v="12"/>
    <x v="2"/>
    <x v="5"/>
    <x v="1"/>
    <x v="0"/>
    <m/>
    <m/>
    <m/>
  </r>
  <r>
    <s v="60.02"/>
    <x v="54"/>
    <x v="386"/>
    <s v="Списание с расчетного счета 00БП-004098 от 24.06.2025 23:59:59"/>
    <s v="24.06.25"/>
    <n v="1586.1"/>
    <m/>
    <m/>
    <d v="2025-06-24T00:00:00"/>
    <n v="7"/>
    <x v="2"/>
    <x v="5"/>
    <x v="1"/>
    <x v="0"/>
    <m/>
    <m/>
    <m/>
  </r>
  <r>
    <s v="60.02"/>
    <x v="54"/>
    <x v="481"/>
    <s v="Списание с расчетного счета 00БП-000974 от 26.03.2025 19:28:59"/>
    <s v="26.03.25"/>
    <n v="3424"/>
    <m/>
    <m/>
    <d v="2025-03-26T00:00:00"/>
    <n v="97"/>
    <x v="4"/>
    <x v="5"/>
    <x v="1"/>
    <x v="0"/>
    <m/>
    <m/>
    <m/>
  </r>
  <r>
    <s v="60.02"/>
    <x v="54"/>
    <x v="387"/>
    <s v="Списание с расчетного счета 00БП-002224 от 28.04.2025 18:34:28"/>
    <s v="28.04.25"/>
    <n v="19791"/>
    <m/>
    <m/>
    <d v="2025-04-28T00:00:00"/>
    <n v="64"/>
    <x v="1"/>
    <x v="5"/>
    <x v="1"/>
    <x v="0"/>
    <m/>
    <m/>
    <m/>
  </r>
  <r>
    <s v="60.02"/>
    <x v="54"/>
    <x v="699"/>
    <s v="Списание с расчетного счета 00БП-003502 от 09.06.2025 17:55:51"/>
    <s v="09.06.25"/>
    <n v="150"/>
    <m/>
    <m/>
    <d v="2025-06-09T00:00:00"/>
    <n v="22"/>
    <x v="2"/>
    <x v="5"/>
    <x v="1"/>
    <x v="0"/>
    <m/>
    <m/>
    <m/>
  </r>
  <r>
    <s v="60.02"/>
    <x v="54"/>
    <x v="700"/>
    <s v="Списание с расчетного счета 00БП-003835 от 16.06.2025 18:31:00"/>
    <s v="16.06.25"/>
    <n v="6000"/>
    <m/>
    <m/>
    <d v="2025-06-16T00:00:00"/>
    <n v="15"/>
    <x v="2"/>
    <x v="5"/>
    <x v="1"/>
    <x v="0"/>
    <m/>
    <m/>
    <m/>
  </r>
  <r>
    <s v="60.02"/>
    <x v="54"/>
    <x v="701"/>
    <s v="Списание с расчетного счета 00БП-003852 от 16.06.2025 18:31:17"/>
    <s v="16.06.25"/>
    <n v="400"/>
    <m/>
    <m/>
    <d v="2025-06-16T00:00:00"/>
    <n v="15"/>
    <x v="2"/>
    <x v="5"/>
    <x v="1"/>
    <x v="0"/>
    <m/>
    <m/>
    <m/>
  </r>
  <r>
    <s v="60.02"/>
    <x v="54"/>
    <x v="702"/>
    <s v="Списание с расчетного счета 00БП-003981 от 19.06.2025 19:28:44"/>
    <s v="19.06.25"/>
    <n v="68140"/>
    <m/>
    <m/>
    <d v="2025-06-19T00:00:00"/>
    <n v="12"/>
    <x v="2"/>
    <x v="5"/>
    <x v="1"/>
    <x v="0"/>
    <m/>
    <m/>
    <m/>
  </r>
  <r>
    <s v="60.02"/>
    <x v="54"/>
    <x v="703"/>
    <s v="Списание с расчетного счета 00БП-004057 от 23.06.2025 18:09:35"/>
    <s v="23.06.25"/>
    <n v="22300"/>
    <m/>
    <m/>
    <d v="2025-06-23T00:00:00"/>
    <n v="8"/>
    <x v="2"/>
    <x v="5"/>
    <x v="1"/>
    <x v="0"/>
    <m/>
    <m/>
    <m/>
  </r>
  <r>
    <s v="60.02"/>
    <x v="54"/>
    <x v="704"/>
    <s v="Списание с расчетного счета 00БП-004250 от 27.06.2025 17:37:23"/>
    <s v="27.06.25"/>
    <n v="1285760"/>
    <m/>
    <m/>
    <d v="2025-06-27T00:00:00"/>
    <n v="4"/>
    <x v="2"/>
    <x v="5"/>
    <x v="1"/>
    <x v="0"/>
    <m/>
    <m/>
    <m/>
  </r>
  <r>
    <s v="60.02"/>
    <x v="54"/>
    <x v="705"/>
    <s v="Списание с расчетного счета 00БП-004116 от 25.06.2025 20:39:17"/>
    <s v="25.06.25"/>
    <n v="3000"/>
    <m/>
    <m/>
    <d v="2025-06-25T00:00:00"/>
    <n v="6"/>
    <x v="2"/>
    <x v="5"/>
    <x v="1"/>
    <x v="0"/>
    <m/>
    <m/>
    <m/>
  </r>
  <r>
    <s v="60.02"/>
    <x v="54"/>
    <x v="706"/>
    <s v="Списание с расчетного счета 00БП-004247 от 27.06.2025 17:37:20"/>
    <s v="27.06.25"/>
    <n v="155960"/>
    <m/>
    <m/>
    <d v="2025-06-27T00:00:00"/>
    <n v="4"/>
    <x v="2"/>
    <x v="5"/>
    <x v="1"/>
    <x v="0"/>
    <m/>
    <m/>
    <m/>
  </r>
  <r>
    <s v="60.02"/>
    <x v="54"/>
    <x v="388"/>
    <s v="Списание с расчетного счета 00БП-001343 от 07.04.2025 19:17:39"/>
    <s v="07.04.25"/>
    <n v="88390"/>
    <m/>
    <m/>
    <d v="2025-04-07T00:00:00"/>
    <n v="85"/>
    <x v="1"/>
    <x v="5"/>
    <x v="1"/>
    <x v="0"/>
    <m/>
    <m/>
    <m/>
  </r>
  <r>
    <s v="60.02"/>
    <x v="275"/>
    <x v="707"/>
    <s v="Списание с расчетного счета 00БП-004286 от 30.06.2025 23:59:59"/>
    <s v="30.06.25"/>
    <n v="1353.6"/>
    <m/>
    <m/>
    <d v="2025-06-30T00:00:00"/>
    <n v="1"/>
    <x v="2"/>
    <x v="5"/>
    <x v="1"/>
    <x v="0"/>
    <m/>
    <m/>
    <m/>
  </r>
  <r>
    <s v="60.02"/>
    <x v="275"/>
    <x v="708"/>
    <s v="Списание с расчетного счета 00БП-004289 от 30.06.2025 23:59:59"/>
    <s v="30.06.25"/>
    <n v="2445"/>
    <m/>
    <m/>
    <d v="2025-06-30T00:00:00"/>
    <n v="1"/>
    <x v="2"/>
    <x v="5"/>
    <x v="1"/>
    <x v="0"/>
    <m/>
    <m/>
    <m/>
  </r>
  <r>
    <s v="60.02"/>
    <x v="276"/>
    <x v="709"/>
    <s v="Списание с расчетного счета 00БП-003258 от 29.05.2025 19:55:24"/>
    <s v="29.05.25"/>
    <n v="12747"/>
    <m/>
    <m/>
    <d v="2025-05-29T00:00:00"/>
    <n v="33"/>
    <x v="1"/>
    <x v="5"/>
    <x v="1"/>
    <x v="0"/>
    <m/>
    <m/>
    <m/>
  </r>
  <r>
    <s v="60.02"/>
    <x v="276"/>
    <x v="710"/>
    <s v="Списание с расчетного счета 00БП-003899 от 17.06.2025 22:58:25"/>
    <s v="17.06.25"/>
    <n v="2688"/>
    <m/>
    <m/>
    <d v="2025-06-17T00:00:00"/>
    <n v="14"/>
    <x v="2"/>
    <x v="5"/>
    <x v="1"/>
    <x v="0"/>
    <m/>
    <m/>
    <m/>
  </r>
  <r>
    <s v="60.02"/>
    <x v="276"/>
    <x v="711"/>
    <s v="Списание с расчетного счета 00БП-004149 от 27.06.2025 17:35:42"/>
    <s v="27.06.25"/>
    <n v="4803.75"/>
    <m/>
    <m/>
    <d v="2025-06-27T00:00:00"/>
    <n v="4"/>
    <x v="2"/>
    <x v="5"/>
    <x v="1"/>
    <x v="0"/>
    <m/>
    <m/>
    <m/>
  </r>
  <r>
    <s v="60.02"/>
    <x v="57"/>
    <x v="138"/>
    <s v="Списание с расчетного счета 00БП-004296 от 30.06.2025 23:59:59"/>
    <s v="30.06.25"/>
    <n v="30000"/>
    <m/>
    <m/>
    <d v="2025-06-30T00:00:00"/>
    <n v="1"/>
    <x v="2"/>
    <x v="5"/>
    <x v="1"/>
    <x v="0"/>
    <m/>
    <m/>
    <m/>
  </r>
  <r>
    <s v="60.02"/>
    <x v="277"/>
    <x v="712"/>
    <s v="Списание с расчетного счета 00БП-003842 от 16.06.2025 18:31:07"/>
    <s v="16.06.25"/>
    <n v="13100"/>
    <m/>
    <m/>
    <d v="2025-06-16T00:00:00"/>
    <n v="15"/>
    <x v="2"/>
    <x v="5"/>
    <x v="1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644"/>
    <x v="5"/>
    <x v="5"/>
    <x v="1"/>
    <x v="0"/>
    <m/>
    <m/>
    <m/>
  </r>
  <r>
    <s v="60.02"/>
    <x v="278"/>
    <x v="713"/>
    <s v="Списание с расчетного счета 00БП-003228 от 28.05.2025 21:55:59"/>
    <s v="28.05.25"/>
    <n v="219510"/>
    <m/>
    <m/>
    <d v="2025-05-28T00:00:00"/>
    <n v="34"/>
    <x v="1"/>
    <x v="5"/>
    <x v="1"/>
    <x v="0"/>
    <m/>
    <m/>
    <m/>
  </r>
  <r>
    <s v="60.02"/>
    <x v="214"/>
    <x v="483"/>
    <s v="Списание с расчетного счета 00БП-003561 от 10.06.2025 19:31:52"/>
    <s v="10.06.25"/>
    <n v="50000000"/>
    <m/>
    <m/>
    <d v="2025-06-10T00:00:00"/>
    <n v="21"/>
    <x v="2"/>
    <x v="5"/>
    <x v="1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288"/>
    <x v="5"/>
    <x v="5"/>
    <x v="1"/>
    <x v="0"/>
    <m/>
    <m/>
    <m/>
  </r>
  <r>
    <s v="60.02"/>
    <x v="62"/>
    <x v="144"/>
    <s v="Списание с расчетного счета 00БП-001959 от 19.04.2024 20:35:31"/>
    <s v="19.04.24"/>
    <n v="8850"/>
    <m/>
    <m/>
    <d v="2024-04-19T00:00:00"/>
    <n v="438"/>
    <x v="5"/>
    <x v="5"/>
    <x v="1"/>
    <x v="0"/>
    <m/>
    <m/>
    <m/>
  </r>
  <r>
    <s v="60.02"/>
    <x v="63"/>
    <x v="714"/>
    <s v="Списание с расчетного счета 00БП-003460 от 06.06.2025 18:48:56"/>
    <s v="06.06.25"/>
    <n v="110000"/>
    <m/>
    <m/>
    <d v="2025-06-06T00:00:00"/>
    <n v="25"/>
    <x v="2"/>
    <x v="5"/>
    <x v="1"/>
    <x v="0"/>
    <m/>
    <m/>
    <m/>
  </r>
  <r>
    <s v="60.02"/>
    <x v="63"/>
    <x v="715"/>
    <s v="Списание с расчетного счета 00БП-002753 от 13.05.2025 17:37:03"/>
    <s v="13.05.25"/>
    <n v="160000"/>
    <m/>
    <m/>
    <d v="2025-05-13T00:00:00"/>
    <n v="49"/>
    <x v="1"/>
    <x v="5"/>
    <x v="1"/>
    <x v="0"/>
    <m/>
    <m/>
    <m/>
  </r>
  <r>
    <s v="60.02"/>
    <x v="63"/>
    <x v="489"/>
    <s v="Списание с расчетного счета 00БП-003489 от 09.06.2025 17:55:38"/>
    <s v="09.06.25"/>
    <n v="18000"/>
    <m/>
    <m/>
    <d v="2025-06-09T00:00:00"/>
    <n v="22"/>
    <x v="2"/>
    <x v="5"/>
    <x v="1"/>
    <x v="0"/>
    <m/>
    <m/>
    <m/>
  </r>
  <r>
    <s v="60.02"/>
    <x v="63"/>
    <x v="716"/>
    <s v="Списание с расчетного счета 00БП-004015 от 20.06.2025 19:02:38"/>
    <s v="20.06.25"/>
    <n v="55000"/>
    <m/>
    <m/>
    <d v="2025-06-20T00:00:00"/>
    <n v="11"/>
    <x v="2"/>
    <x v="5"/>
    <x v="1"/>
    <x v="0"/>
    <m/>
    <m/>
    <m/>
  </r>
  <r>
    <s v="60.02"/>
    <x v="279"/>
    <x v="717"/>
    <s v="Списание с расчетного счета 00БП-004058 от 23.06.2025 18:09:36"/>
    <s v="23.06.25"/>
    <n v="23102"/>
    <m/>
    <m/>
    <d v="2025-06-23T00:00:00"/>
    <n v="8"/>
    <x v="2"/>
    <x v="5"/>
    <x v="1"/>
    <x v="0"/>
    <m/>
    <m/>
    <m/>
  </r>
  <r>
    <s v="60.02"/>
    <x v="65"/>
    <x v="148"/>
    <s v="Списание с расчетного счета 00БП-009153 от 05.12.2024 12:53:23"/>
    <s v="05.12.24"/>
    <n v="299500"/>
    <m/>
    <m/>
    <d v="2024-12-05T00:00:00"/>
    <n v="208"/>
    <x v="3"/>
    <x v="5"/>
    <x v="1"/>
    <x v="12"/>
    <m/>
    <m/>
    <m/>
  </r>
  <r>
    <s v="60.02"/>
    <x v="280"/>
    <x v="718"/>
    <s v="Списание с расчетного счета 00БП-004010 от 20.06.2025 19:02:33"/>
    <s v="20.06.25"/>
    <n v="17000"/>
    <m/>
    <m/>
    <d v="2025-06-20T00:00:00"/>
    <n v="11"/>
    <x v="2"/>
    <x v="5"/>
    <x v="1"/>
    <x v="0"/>
    <m/>
    <m/>
    <m/>
  </r>
  <r>
    <s v="60.02"/>
    <x v="69"/>
    <x v="152"/>
    <s v="Списание с расчетного счета 00БП-007816 от 22.10.2024 18:07:30"/>
    <s v="22.10.24"/>
    <n v="1334.4"/>
    <m/>
    <m/>
    <d v="2024-10-22T00:00:00"/>
    <n v="252"/>
    <x v="3"/>
    <x v="5"/>
    <x v="1"/>
    <x v="2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246"/>
    <x v="3"/>
    <x v="5"/>
    <x v="1"/>
    <x v="2"/>
    <m/>
    <m/>
    <m/>
  </r>
  <r>
    <s v="60.02"/>
    <x v="281"/>
    <x v="719"/>
    <s v="Списание с расчетного счета 00БП-000761 от 17.03.2025 17:48:08"/>
    <s v="17.03.25"/>
    <n v="140000"/>
    <m/>
    <m/>
    <d v="2025-03-17T00:00:00"/>
    <n v="106"/>
    <x v="4"/>
    <x v="5"/>
    <x v="1"/>
    <x v="0"/>
    <m/>
    <m/>
    <m/>
  </r>
  <r>
    <s v="60.02"/>
    <x v="282"/>
    <x v="720"/>
    <s v="Списание с расчетного счета 00БП-003975 от 19.06.2025 19:28:38"/>
    <s v="19.06.25"/>
    <n v="9200"/>
    <m/>
    <m/>
    <d v="2025-06-19T00:00:00"/>
    <n v="12"/>
    <x v="2"/>
    <x v="5"/>
    <x v="1"/>
    <x v="0"/>
    <m/>
    <m/>
    <m/>
  </r>
  <r>
    <s v="60.02"/>
    <x v="71"/>
    <x v="155"/>
    <s v="Списание с расчетного счета 00БП-003507 от 09.06.2025 17:55:56"/>
    <s v="09.06.25"/>
    <n v="24500"/>
    <m/>
    <m/>
    <d v="2025-06-09T00:00:00"/>
    <n v="22"/>
    <x v="2"/>
    <x v="5"/>
    <x v="1"/>
    <x v="0"/>
    <m/>
    <m/>
    <m/>
  </r>
  <r>
    <s v="60.02"/>
    <x v="71"/>
    <x v="721"/>
    <s v="Списание с расчетного счета 00БП-002937 от 20.05.2025 20:02:10"/>
    <s v="20.05.25"/>
    <n v="368000"/>
    <m/>
    <m/>
    <d v="2025-05-20T00:00:00"/>
    <n v="42"/>
    <x v="1"/>
    <x v="5"/>
    <x v="1"/>
    <x v="0"/>
    <m/>
    <m/>
    <m/>
  </r>
  <r>
    <s v="60.02"/>
    <x v="71"/>
    <x v="156"/>
    <s v="Списание с расчетного счета 00БП-002932 от 20.05.2025 20:02:05"/>
    <s v="20.05.25"/>
    <n v="58485"/>
    <m/>
    <m/>
    <d v="2025-05-20T00:00:00"/>
    <n v="42"/>
    <x v="1"/>
    <x v="5"/>
    <x v="1"/>
    <x v="0"/>
    <m/>
    <m/>
    <m/>
  </r>
  <r>
    <s v="60.02"/>
    <x v="71"/>
    <x v="722"/>
    <s v="Списание с расчетного счета 00БП-003212 от 28.05.2025 21:55:43"/>
    <s v="28.05.25"/>
    <n v="27950"/>
    <m/>
    <m/>
    <d v="2025-05-28T00:00:00"/>
    <n v="34"/>
    <x v="1"/>
    <x v="5"/>
    <x v="1"/>
    <x v="0"/>
    <m/>
    <m/>
    <m/>
  </r>
  <r>
    <s v="60.02"/>
    <x v="71"/>
    <x v="157"/>
    <s v="Списание с расчетного счета 00БП-003349 от 03.06.2025 17:39:01"/>
    <s v="03.06.25"/>
    <n v="8070"/>
    <m/>
    <m/>
    <d v="2025-06-03T00:00:00"/>
    <n v="28"/>
    <x v="2"/>
    <x v="5"/>
    <x v="1"/>
    <x v="0"/>
    <m/>
    <m/>
    <m/>
  </r>
  <r>
    <s v="60.02"/>
    <x v="71"/>
    <x v="723"/>
    <s v="Списание с расчетного счета 00БП-003357 от 03.06.2025 17:39:09"/>
    <s v="03.06.25"/>
    <n v="157500"/>
    <m/>
    <m/>
    <d v="2025-06-03T00:00:00"/>
    <n v="28"/>
    <x v="2"/>
    <x v="5"/>
    <x v="1"/>
    <x v="0"/>
    <m/>
    <m/>
    <m/>
  </r>
  <r>
    <s v="60.02"/>
    <x v="71"/>
    <x v="724"/>
    <s v="Списание с расчетного счета 00БП-003418 от 05.06.2025 19:44:07"/>
    <s v="05.06.25"/>
    <n v="60220"/>
    <m/>
    <m/>
    <d v="2025-06-05T00:00:00"/>
    <n v="26"/>
    <x v="2"/>
    <x v="5"/>
    <x v="1"/>
    <x v="0"/>
    <m/>
    <m/>
    <m/>
  </r>
  <r>
    <s v="60.02"/>
    <x v="71"/>
    <x v="725"/>
    <s v="Списание с расчетного счета 00БП-003378 от 04.06.2025 18:58:19"/>
    <s v="04.06.25"/>
    <n v="28500"/>
    <m/>
    <m/>
    <d v="2025-06-04T00:00:00"/>
    <n v="27"/>
    <x v="2"/>
    <x v="5"/>
    <x v="1"/>
    <x v="0"/>
    <m/>
    <m/>
    <m/>
  </r>
  <r>
    <s v="60.02"/>
    <x v="71"/>
    <x v="726"/>
    <s v="Списание с расчетного счета 00БП-003459 от 06.06.2025 18:48:55"/>
    <s v="06.06.25"/>
    <n v="85500"/>
    <m/>
    <m/>
    <d v="2025-06-06T00:00:00"/>
    <n v="25"/>
    <x v="2"/>
    <x v="5"/>
    <x v="1"/>
    <x v="0"/>
    <m/>
    <m/>
    <m/>
  </r>
  <r>
    <s v="60.02"/>
    <x v="71"/>
    <x v="727"/>
    <s v="Списание с расчетного счета 00БП-003909 от 17.06.2025 22:58:35"/>
    <s v="17.06.25"/>
    <n v="240000"/>
    <m/>
    <m/>
    <d v="2025-06-17T00:00:00"/>
    <n v="14"/>
    <x v="2"/>
    <x v="5"/>
    <x v="1"/>
    <x v="0"/>
    <m/>
    <m/>
    <m/>
  </r>
  <r>
    <s v="60.02"/>
    <x v="71"/>
    <x v="492"/>
    <s v="Списание с расчетного счета 00БП-004006 от 20.06.2025 19:02:29"/>
    <s v="20.06.25"/>
    <n v="9310"/>
    <m/>
    <m/>
    <d v="2025-06-20T00:00:00"/>
    <n v="11"/>
    <x v="2"/>
    <x v="5"/>
    <x v="1"/>
    <x v="0"/>
    <m/>
    <m/>
    <m/>
  </r>
  <r>
    <s v="60.02"/>
    <x v="71"/>
    <x v="728"/>
    <s v="Списание с расчетного счета 00БП-003980 от 19.06.2025 19:28:43"/>
    <s v="19.06.25"/>
    <n v="63181"/>
    <m/>
    <m/>
    <d v="2025-06-19T00:00:00"/>
    <n v="12"/>
    <x v="2"/>
    <x v="5"/>
    <x v="1"/>
    <x v="0"/>
    <m/>
    <m/>
    <m/>
  </r>
  <r>
    <s v="60.02"/>
    <x v="283"/>
    <x v="729"/>
    <s v="Списание с расчетного счета 00БП-002313 от 05.05.2025 19:40:42"/>
    <s v="05.05.25"/>
    <n v="2100"/>
    <m/>
    <m/>
    <d v="2025-05-05T00:00:00"/>
    <n v="57"/>
    <x v="1"/>
    <x v="5"/>
    <x v="1"/>
    <x v="0"/>
    <m/>
    <m/>
    <m/>
  </r>
  <r>
    <s v="60.02"/>
    <x v="73"/>
    <x v="730"/>
    <s v="Списание с расчетного счета 00БП-001339 от 07.04.2025 19:17:35"/>
    <s v="07.04.25"/>
    <n v="37985"/>
    <m/>
    <m/>
    <d v="2025-04-07T00:00:00"/>
    <n v="85"/>
    <x v="1"/>
    <x v="5"/>
    <x v="1"/>
    <x v="0"/>
    <m/>
    <m/>
    <m/>
  </r>
  <r>
    <s v="60.02"/>
    <x v="73"/>
    <x v="731"/>
    <s v="Списание с расчетного счета 00БП-003453 от 06.06.2025 18:48:49"/>
    <s v="06.06.25"/>
    <n v="29470"/>
    <m/>
    <m/>
    <d v="2025-06-06T00:00:00"/>
    <n v="25"/>
    <x v="2"/>
    <x v="5"/>
    <x v="1"/>
    <x v="0"/>
    <m/>
    <m/>
    <m/>
  </r>
  <r>
    <s v="60.02"/>
    <x v="73"/>
    <x v="160"/>
    <s v="Списание с расчетного счета 00БП-003413 от 05.06.2025 19:44:02"/>
    <s v="05.06.25"/>
    <n v="5900"/>
    <m/>
    <m/>
    <d v="2025-06-05T00:00:00"/>
    <n v="26"/>
    <x v="2"/>
    <x v="5"/>
    <x v="1"/>
    <x v="0"/>
    <m/>
    <m/>
    <m/>
  </r>
  <r>
    <s v="60.02"/>
    <x v="73"/>
    <x v="161"/>
    <s v="Списание с расчетного счета 00БП-002901 от 19.05.2025 18:19:45"/>
    <s v="19.05.25"/>
    <n v="76000"/>
    <m/>
    <m/>
    <d v="2025-05-19T00:00:00"/>
    <n v="43"/>
    <x v="1"/>
    <x v="5"/>
    <x v="1"/>
    <x v="0"/>
    <m/>
    <m/>
    <m/>
  </r>
  <r>
    <s v="60.02"/>
    <x v="74"/>
    <x v="162"/>
    <s v="Списание с расчетного счета 00БП-000535 от 07.03.2025 17:21:02"/>
    <s v="07.03.25"/>
    <n v="9000"/>
    <m/>
    <m/>
    <d v="2025-03-07T00:00:00"/>
    <n v="116"/>
    <x v="4"/>
    <x v="5"/>
    <x v="1"/>
    <x v="8"/>
    <m/>
    <m/>
    <m/>
  </r>
  <r>
    <s v="60.02"/>
    <x v="218"/>
    <x v="497"/>
    <s v="Списание с расчетного счета 00БП-002968 от 21.05.2025 20:10:59"/>
    <s v="21.05.25"/>
    <n v="1383437.71"/>
    <m/>
    <m/>
    <d v="2025-05-21T00:00:00"/>
    <n v="41"/>
    <x v="1"/>
    <x v="5"/>
    <x v="1"/>
    <x v="0"/>
    <m/>
    <m/>
    <m/>
  </r>
  <r>
    <s v="60.02"/>
    <x v="76"/>
    <x v="732"/>
    <s v="Списание с расчетного счета 00БП-003557 от 10.06.2025 19:31:48"/>
    <s v="10.06.25"/>
    <n v="2304000"/>
    <m/>
    <m/>
    <d v="2025-06-10T00:00:00"/>
    <n v="21"/>
    <x v="2"/>
    <x v="5"/>
    <x v="1"/>
    <x v="0"/>
    <m/>
    <m/>
    <m/>
  </r>
  <r>
    <s v="60.02"/>
    <x v="220"/>
    <x v="73"/>
    <s v="Авансовый отчет 00БП-000058 от 19.03.2025 15:03:17"/>
    <s v="19.03.25"/>
    <n v="725"/>
    <m/>
    <m/>
    <d v="2025-03-19T00:00:00"/>
    <n v="104"/>
    <x v="4"/>
    <x v="5"/>
    <x v="1"/>
    <x v="0"/>
    <m/>
    <m/>
    <m/>
  </r>
  <r>
    <s v="60.02"/>
    <x v="284"/>
    <x v="733"/>
    <s v="Списание с расчетного счета 00БП-002877 от 16.05.2025 17:29:37"/>
    <s v="16.05.25"/>
    <n v="92660"/>
    <m/>
    <m/>
    <d v="2025-05-16T00:00:00"/>
    <n v="46"/>
    <x v="1"/>
    <x v="5"/>
    <x v="1"/>
    <x v="0"/>
    <m/>
    <m/>
    <m/>
  </r>
  <r>
    <s v="60.02"/>
    <x v="285"/>
    <x v="734"/>
    <s v="Списание с расчетного счета 00БП-002266 от 29.04.2025 20:41:23"/>
    <s v="29.04.25"/>
    <n v="150000"/>
    <m/>
    <m/>
    <d v="2025-04-29T00:00:00"/>
    <n v="63"/>
    <x v="1"/>
    <x v="5"/>
    <x v="1"/>
    <x v="0"/>
    <m/>
    <m/>
    <m/>
  </r>
  <r>
    <s v="60.02"/>
    <x v="77"/>
    <x v="735"/>
    <s v="Списание с расчетного счета 00БП-002727 от 15.05.2024 18:13:35"/>
    <s v="15.05.24"/>
    <n v="12693.7"/>
    <m/>
    <m/>
    <d v="2024-05-15T00:00:00"/>
    <n v="412"/>
    <x v="5"/>
    <x v="5"/>
    <x v="1"/>
    <x v="0"/>
    <m/>
    <m/>
    <m/>
  </r>
  <r>
    <s v="60.02"/>
    <x v="77"/>
    <x v="171"/>
    <s v="Списание с расчетного счета 00БП-003223 от 28.05.2025 21:55:54"/>
    <s v="28.05.25"/>
    <n v="100000"/>
    <m/>
    <m/>
    <d v="2025-05-28T00:00:00"/>
    <n v="34"/>
    <x v="1"/>
    <x v="5"/>
    <x v="1"/>
    <x v="0"/>
    <m/>
    <m/>
    <m/>
  </r>
  <r>
    <s v="60.02"/>
    <x v="78"/>
    <x v="501"/>
    <s v="Списание с расчетного счета 00БП-002496 от 23.05.2023 18:50:13"/>
    <s v="23.05.23"/>
    <n v="1715565.24"/>
    <m/>
    <m/>
    <d v="2023-05-23T00:00:00"/>
    <n v="770"/>
    <x v="5"/>
    <x v="5"/>
    <x v="1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448"/>
    <x v="5"/>
    <x v="5"/>
    <x v="1"/>
    <x v="0"/>
    <m/>
    <m/>
    <m/>
  </r>
  <r>
    <s v="60.02"/>
    <x v="78"/>
    <x v="503"/>
    <s v="Списание с расчетного счета 00БП-001309 от 04.04.2025 19:33:58"/>
    <s v="04.04.25"/>
    <n v="1460727.73"/>
    <m/>
    <m/>
    <d v="2025-04-04T00:00:00"/>
    <n v="88"/>
    <x v="1"/>
    <x v="5"/>
    <x v="1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440"/>
    <x v="5"/>
    <x v="5"/>
    <x v="1"/>
    <x v="0"/>
    <m/>
    <m/>
    <m/>
  </r>
  <r>
    <s v="60.02"/>
    <x v="78"/>
    <x v="736"/>
    <s v="Списание с расчетного счета 00БП-001829 от 15.04.2025 18:43:54"/>
    <s v="15.04.25"/>
    <n v="2295"/>
    <m/>
    <m/>
    <d v="2025-04-15T00:00:00"/>
    <n v="77"/>
    <x v="1"/>
    <x v="5"/>
    <x v="1"/>
    <x v="0"/>
    <m/>
    <m/>
    <m/>
  </r>
  <r>
    <s v="60.02"/>
    <x v="78"/>
    <x v="505"/>
    <s v="Списание с расчетного счета 00БП-001873 от 16.04.2025 19:34:09"/>
    <s v="16.04.25"/>
    <n v="42035.61"/>
    <m/>
    <m/>
    <d v="2025-04-16T00:00:00"/>
    <n v="76"/>
    <x v="1"/>
    <x v="5"/>
    <x v="1"/>
    <x v="0"/>
    <m/>
    <m/>
    <m/>
  </r>
  <r>
    <s v="60.02"/>
    <x v="78"/>
    <x v="506"/>
    <s v="Списание с расчетного счета 00БП-002445 от 07.05.2025 17:27:22"/>
    <s v="07.05.25"/>
    <n v="30.6"/>
    <m/>
    <m/>
    <d v="2025-05-07T00:00:00"/>
    <n v="55"/>
    <x v="1"/>
    <x v="5"/>
    <x v="1"/>
    <x v="0"/>
    <m/>
    <m/>
    <m/>
  </r>
  <r>
    <s v="60.02"/>
    <x v="78"/>
    <x v="737"/>
    <s v="Списание с расчетного счета 00БП-002792 от 14.05.2025 17:26:08"/>
    <s v="14.05.25"/>
    <n v="261535.14"/>
    <m/>
    <m/>
    <d v="2025-05-14T00:00:00"/>
    <n v="48"/>
    <x v="1"/>
    <x v="5"/>
    <x v="1"/>
    <x v="0"/>
    <m/>
    <m/>
    <m/>
  </r>
  <r>
    <s v="60.02"/>
    <x v="78"/>
    <x v="507"/>
    <s v="Списание с расчетного счета 00БП-002911 от 19.05.2025 18:19:55"/>
    <s v="19.05.25"/>
    <n v="175922.59"/>
    <m/>
    <m/>
    <d v="2025-05-19T00:00:00"/>
    <n v="43"/>
    <x v="1"/>
    <x v="5"/>
    <x v="1"/>
    <x v="0"/>
    <m/>
    <m/>
    <m/>
  </r>
  <r>
    <s v="60.02"/>
    <x v="78"/>
    <x v="508"/>
    <s v="Списание с расчетного счета 00БП-003849 от 24.06.2024 17:54:34"/>
    <s v="24.06.24"/>
    <n v="6277.48"/>
    <m/>
    <m/>
    <d v="2024-06-24T00:00:00"/>
    <n v="372"/>
    <x v="5"/>
    <x v="5"/>
    <x v="1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369"/>
    <x v="5"/>
    <x v="5"/>
    <x v="1"/>
    <x v="0"/>
    <m/>
    <m/>
    <m/>
  </r>
  <r>
    <s v="60.02"/>
    <x v="78"/>
    <x v="738"/>
    <s v="Списание с расчетного счета 00БП-003264 от 29.05.2025 19:55:30"/>
    <s v="29.05.25"/>
    <n v="39420.239999999998"/>
    <m/>
    <m/>
    <d v="2025-05-29T00:00:00"/>
    <n v="33"/>
    <x v="1"/>
    <x v="5"/>
    <x v="1"/>
    <x v="0"/>
    <m/>
    <m/>
    <m/>
  </r>
  <r>
    <s v="60.02"/>
    <x v="78"/>
    <x v="510"/>
    <s v="Списание с расчетного счета 00БП-004331 от 08.07.2024 18:30:05"/>
    <s v="08.07.24"/>
    <n v="995281.85"/>
    <m/>
    <m/>
    <d v="2024-07-08T00:00:00"/>
    <n v="358"/>
    <x v="6"/>
    <x v="5"/>
    <x v="1"/>
    <x v="0"/>
    <m/>
    <m/>
    <m/>
  </r>
  <r>
    <s v="60.02"/>
    <x v="78"/>
    <x v="512"/>
    <s v="Списание с расчетного счета 00БП-004303 от 05.07.2024 18:28:48"/>
    <s v="05.07.24"/>
    <n v="2.4"/>
    <m/>
    <m/>
    <d v="2024-07-05T00:00:00"/>
    <n v="361"/>
    <x v="5"/>
    <x v="5"/>
    <x v="1"/>
    <x v="0"/>
    <m/>
    <m/>
    <m/>
  </r>
  <r>
    <s v="60.02"/>
    <x v="78"/>
    <x v="513"/>
    <s v="Списание с расчетного счета 00БП-004325 от 08.07.2024 18:29:59"/>
    <s v="08.07.24"/>
    <n v="31.2"/>
    <m/>
    <m/>
    <d v="2024-07-08T00:00:00"/>
    <n v="358"/>
    <x v="6"/>
    <x v="5"/>
    <x v="1"/>
    <x v="0"/>
    <m/>
    <m/>
    <m/>
  </r>
  <r>
    <s v="60.02"/>
    <x v="78"/>
    <x v="739"/>
    <s v="Списание с расчетного счета 00БП-003854 от 16.06.2025 18:31:19"/>
    <s v="16.06.25"/>
    <n v="28002.82"/>
    <m/>
    <m/>
    <d v="2025-06-16T00:00:00"/>
    <n v="15"/>
    <x v="2"/>
    <x v="5"/>
    <x v="1"/>
    <x v="0"/>
    <m/>
    <m/>
    <m/>
  </r>
  <r>
    <s v="60.02"/>
    <x v="78"/>
    <x v="514"/>
    <s v="Списание с расчетного счета 00БП-003509 от 09.06.2025 17:55:58"/>
    <s v="09.06.25"/>
    <n v="27963.83"/>
    <m/>
    <m/>
    <d v="2025-06-09T00:00:00"/>
    <n v="22"/>
    <x v="2"/>
    <x v="5"/>
    <x v="1"/>
    <x v="0"/>
    <m/>
    <m/>
    <m/>
  </r>
  <r>
    <s v="60.02"/>
    <x v="78"/>
    <x v="515"/>
    <s v="Списание с расчетного счета 00БП-004103 от 24.06.2025 23:59:59"/>
    <s v="24.06.25"/>
    <n v="368246.49"/>
    <m/>
    <m/>
    <d v="2025-06-24T00:00:00"/>
    <n v="7"/>
    <x v="2"/>
    <x v="5"/>
    <x v="1"/>
    <x v="0"/>
    <m/>
    <m/>
    <m/>
  </r>
  <r>
    <s v="60.02"/>
    <x v="78"/>
    <x v="516"/>
    <s v="Списание с расчетного счета 00БП-004007 от 20.06.2025 19:02:30"/>
    <s v="20.06.25"/>
    <n v="11481.41"/>
    <m/>
    <m/>
    <d v="2025-06-20T00:00:00"/>
    <n v="11"/>
    <x v="2"/>
    <x v="5"/>
    <x v="1"/>
    <x v="0"/>
    <m/>
    <m/>
    <m/>
  </r>
  <r>
    <s v="60.02"/>
    <x v="78"/>
    <x v="517"/>
    <s v="Списание с расчетного счета 00БП-004307 от 30.06.2025 23:59:59"/>
    <s v="30.06.25"/>
    <n v="615277.06000000006"/>
    <m/>
    <m/>
    <d v="2025-06-30T00:00:00"/>
    <n v="1"/>
    <x v="2"/>
    <x v="5"/>
    <x v="1"/>
    <x v="0"/>
    <m/>
    <m/>
    <m/>
  </r>
  <r>
    <s v="60.02"/>
    <x v="78"/>
    <x v="518"/>
    <s v="Списание с расчетного счета 00БП-005804 от 23.08.2024 17:14:33"/>
    <s v="23.08.24"/>
    <n v="395493.5"/>
    <m/>
    <m/>
    <d v="2024-08-23T00:00:00"/>
    <n v="312"/>
    <x v="6"/>
    <x v="5"/>
    <x v="1"/>
    <x v="0"/>
    <m/>
    <m/>
    <m/>
  </r>
  <r>
    <s v="60.02"/>
    <x v="78"/>
    <x v="520"/>
    <s v="Списание с расчетного счета 00БП-005316 от 08.08.2024 17:52:19"/>
    <s v="08.08.24"/>
    <n v="13920"/>
    <m/>
    <m/>
    <d v="2024-08-08T00:00:00"/>
    <n v="327"/>
    <x v="6"/>
    <x v="5"/>
    <x v="1"/>
    <x v="0"/>
    <m/>
    <m/>
    <m/>
  </r>
  <r>
    <s v="60.02"/>
    <x v="78"/>
    <x v="522"/>
    <s v="Списание с расчетного счета 00БП-005769 от 20.08.2024 18:37:41"/>
    <s v="20.08.24"/>
    <n v="355885.99"/>
    <m/>
    <m/>
    <d v="2024-08-20T00:00:00"/>
    <n v="315"/>
    <x v="6"/>
    <x v="5"/>
    <x v="1"/>
    <x v="0"/>
    <m/>
    <m/>
    <m/>
  </r>
  <r>
    <s v="60.02"/>
    <x v="78"/>
    <x v="523"/>
    <s v="Списание с расчетного счета 00БП-005912 от 27.08.2024 17:47:21"/>
    <s v="27.08.24"/>
    <n v="21441.599999999999"/>
    <m/>
    <m/>
    <d v="2024-08-27T00:00:00"/>
    <n v="308"/>
    <x v="6"/>
    <x v="5"/>
    <x v="1"/>
    <x v="0"/>
    <m/>
    <m/>
    <m/>
  </r>
  <r>
    <s v="60.02"/>
    <x v="78"/>
    <x v="524"/>
    <s v="Списание с расчетного счета 00БП-006187 от 06.09.2024 17:41:07"/>
    <s v="06.09.24"/>
    <n v="121190.09"/>
    <m/>
    <m/>
    <d v="2024-09-06T00:00:00"/>
    <n v="298"/>
    <x v="6"/>
    <x v="5"/>
    <x v="1"/>
    <x v="0"/>
    <m/>
    <m/>
    <m/>
  </r>
  <r>
    <s v="60.02"/>
    <x v="78"/>
    <x v="539"/>
    <s v="Списание с расчетного счета 00БП-000064 от 16.01.2025 9:16:39"/>
    <s v="16.01.25"/>
    <n v="3399271.54"/>
    <m/>
    <m/>
    <d v="2025-01-16T00:00:00"/>
    <n v="166"/>
    <x v="0"/>
    <x v="5"/>
    <x v="1"/>
    <x v="0"/>
    <m/>
    <m/>
    <m/>
  </r>
  <r>
    <s v="60.02"/>
    <x v="286"/>
    <x v="740"/>
    <s v="Списание с расчетного счета 00БП-004094 от 24.06.2025 23:59:59"/>
    <s v="24.06.25"/>
    <n v="21760"/>
    <m/>
    <m/>
    <d v="2025-06-24T00:00:00"/>
    <n v="7"/>
    <x v="2"/>
    <x v="5"/>
    <x v="1"/>
    <x v="0"/>
    <m/>
    <m/>
    <m/>
  </r>
  <r>
    <s v="60.02"/>
    <x v="287"/>
    <x v="741"/>
    <s v="Списание с расчетного счета 00БП-009151 от 05.12.2024 12:53:21"/>
    <s v="05.12.24"/>
    <n v="325000"/>
    <m/>
    <m/>
    <d v="2024-12-05T00:00:00"/>
    <n v="208"/>
    <x v="3"/>
    <x v="5"/>
    <x v="1"/>
    <x v="0"/>
    <m/>
    <m/>
    <m/>
  </r>
  <r>
    <s v="60.02"/>
    <x v="287"/>
    <x v="742"/>
    <s v="Списание с расчетного счета 00БП-001891 от 16.04.2024 20:42:38"/>
    <s v="16.04.24"/>
    <n v="1207500"/>
    <m/>
    <m/>
    <d v="2024-04-16T00:00:00"/>
    <n v="441"/>
    <x v="5"/>
    <x v="5"/>
    <x v="1"/>
    <x v="0"/>
    <m/>
    <m/>
    <m/>
  </r>
  <r>
    <s v="60.02"/>
    <x v="287"/>
    <x v="742"/>
    <s v="Списание с расчетного счета 00БП-008163 от 01.11.2024 16:42:06"/>
    <s v="01.11.24"/>
    <n v="1207500"/>
    <m/>
    <m/>
    <d v="2024-11-01T00:00:00"/>
    <n v="242"/>
    <x v="3"/>
    <x v="5"/>
    <x v="1"/>
    <x v="0"/>
    <m/>
    <m/>
    <m/>
  </r>
  <r>
    <s v="60.02"/>
    <x v="79"/>
    <x v="182"/>
    <s v="Списание с расчетного счета 00БП-000513 от 05.03.2025 17:40:56"/>
    <s v="05.03.25"/>
    <n v="352.02"/>
    <m/>
    <m/>
    <d v="2025-03-05T00:00:00"/>
    <n v="118"/>
    <x v="4"/>
    <x v="5"/>
    <x v="1"/>
    <x v="0"/>
    <m/>
    <m/>
    <m/>
  </r>
  <r>
    <s v="60.02"/>
    <x v="79"/>
    <x v="182"/>
    <s v="Списание с расчетного счета 00БП-002370 от 05.05.2025 19:41:41"/>
    <s v="05.05.25"/>
    <n v="1000"/>
    <m/>
    <m/>
    <d v="2025-05-05T00:00:00"/>
    <n v="57"/>
    <x v="1"/>
    <x v="5"/>
    <x v="1"/>
    <x v="0"/>
    <m/>
    <m/>
    <m/>
  </r>
  <r>
    <s v="60.02"/>
    <x v="79"/>
    <x v="183"/>
    <s v="Списание с расчетного счета 00БП-002371 от 05.05.2025 19:41:42"/>
    <s v="05.05.25"/>
    <n v="1285.19"/>
    <m/>
    <m/>
    <d v="2025-05-05T00:00:00"/>
    <n v="57"/>
    <x v="1"/>
    <x v="5"/>
    <x v="1"/>
    <x v="0"/>
    <m/>
    <m/>
    <m/>
  </r>
  <r>
    <s v="60.02"/>
    <x v="79"/>
    <x v="184"/>
    <s v="Списание с расчетного счета 00БП-003368 от 03.06.2025 17:39:22"/>
    <s v="03.06.25"/>
    <n v="7235.35"/>
    <m/>
    <m/>
    <d v="2025-06-03T00:00:00"/>
    <n v="28"/>
    <x v="2"/>
    <x v="5"/>
    <x v="1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279"/>
    <x v="5"/>
    <x v="5"/>
    <x v="1"/>
    <x v="0"/>
    <m/>
    <m/>
    <m/>
  </r>
  <r>
    <s v="60.02"/>
    <x v="79"/>
    <x v="186"/>
    <s v="Списание с расчетного счета 00БП-002199 от 28.04.2025 18:34:03"/>
    <s v="28.04.25"/>
    <n v="2225.86"/>
    <m/>
    <m/>
    <d v="2025-04-28T00:00:00"/>
    <n v="64"/>
    <x v="1"/>
    <x v="5"/>
    <x v="1"/>
    <x v="0"/>
    <m/>
    <m/>
    <m/>
  </r>
  <r>
    <s v="60.02"/>
    <x v="79"/>
    <x v="186"/>
    <s v="Списание с расчетного счета 00БП-002372 от 05.05.2025 19:41:43"/>
    <s v="05.05.25"/>
    <n v="2000"/>
    <m/>
    <m/>
    <d v="2025-05-05T00:00:00"/>
    <n v="57"/>
    <x v="1"/>
    <x v="5"/>
    <x v="1"/>
    <x v="0"/>
    <m/>
    <m/>
    <m/>
  </r>
  <r>
    <s v="60.02"/>
    <x v="79"/>
    <x v="187"/>
    <s v="Списание с расчетного счета 00БП-004275 от 04.07.2024 18:48:03"/>
    <s v="04.07.24"/>
    <n v="180.63"/>
    <m/>
    <m/>
    <d v="2024-07-04T00:00:00"/>
    <n v="362"/>
    <x v="5"/>
    <x v="5"/>
    <x v="1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606"/>
    <x v="5"/>
    <x v="5"/>
    <x v="1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504"/>
    <x v="5"/>
    <x v="5"/>
    <x v="1"/>
    <x v="0"/>
    <m/>
    <m/>
    <m/>
  </r>
  <r>
    <s v="60.02"/>
    <x v="79"/>
    <x v="189"/>
    <s v="Списание с расчетного счета 00БП-002375 от 05.05.2025 19:41:46"/>
    <s v="05.05.25"/>
    <n v="4341.47"/>
    <m/>
    <m/>
    <d v="2025-05-05T00:00:00"/>
    <n v="57"/>
    <x v="1"/>
    <x v="5"/>
    <x v="1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371"/>
    <x v="5"/>
    <x v="5"/>
    <x v="1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338"/>
    <x v="5"/>
    <x v="5"/>
    <x v="1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2022"/>
    <x v="5"/>
    <x v="5"/>
    <x v="1"/>
    <x v="0"/>
    <m/>
    <m/>
    <m/>
  </r>
  <r>
    <s v="60.02"/>
    <x v="79"/>
    <x v="191"/>
    <m/>
    <m/>
    <n v="68.27"/>
    <m/>
    <m/>
    <d v="1899-12-30T00:00:00"/>
    <n v="45839"/>
    <x v="5"/>
    <x v="5"/>
    <x v="1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410"/>
    <x v="5"/>
    <x v="5"/>
    <x v="1"/>
    <x v="0"/>
    <m/>
    <m/>
    <m/>
  </r>
  <r>
    <s v="60.02"/>
    <x v="79"/>
    <x v="193"/>
    <s v="Списание с расчетного счета 00БП-000512 от 05.03.2025 17:40:55"/>
    <s v="05.03.25"/>
    <n v="1601.96"/>
    <m/>
    <m/>
    <d v="2025-03-05T00:00:00"/>
    <n v="118"/>
    <x v="4"/>
    <x v="5"/>
    <x v="1"/>
    <x v="0"/>
    <m/>
    <m/>
    <m/>
  </r>
  <r>
    <s v="60.02"/>
    <x v="79"/>
    <x v="193"/>
    <s v="Списание с расчетного счета 00БП-002374 от 05.05.2025 19:41:45"/>
    <s v="05.05.25"/>
    <n v="5000"/>
    <m/>
    <m/>
    <d v="2025-05-05T00:00:00"/>
    <n v="57"/>
    <x v="1"/>
    <x v="5"/>
    <x v="1"/>
    <x v="0"/>
    <m/>
    <m/>
    <m/>
  </r>
  <r>
    <s v="60.02"/>
    <x v="223"/>
    <x v="73"/>
    <s v="Авансовый отчет 00БП-000058 от 19.03.2025 15:03:17"/>
    <s v="19.03.25"/>
    <n v="6300"/>
    <m/>
    <m/>
    <d v="2025-03-19T00:00:00"/>
    <n v="104"/>
    <x v="4"/>
    <x v="5"/>
    <x v="1"/>
    <x v="0"/>
    <m/>
    <m/>
    <m/>
  </r>
  <r>
    <s v="60.02"/>
    <x v="223"/>
    <x v="73"/>
    <s v="Авансовый отчет 00БП-000061 от 21.03.2025 17:05:13"/>
    <s v="21.03.25"/>
    <n v="630"/>
    <m/>
    <m/>
    <d v="2025-03-21T00:00:00"/>
    <n v="102"/>
    <x v="4"/>
    <x v="5"/>
    <x v="1"/>
    <x v="0"/>
    <m/>
    <m/>
    <m/>
  </r>
  <r>
    <s v="60.02"/>
    <x v="223"/>
    <x v="73"/>
    <s v="Авансовый отчет 00БП-000084 от 07.04.2025 11:52:21"/>
    <s v="07.04.25"/>
    <n v="2350"/>
    <m/>
    <m/>
    <d v="2025-04-07T00:00:00"/>
    <n v="85"/>
    <x v="1"/>
    <x v="5"/>
    <x v="1"/>
    <x v="0"/>
    <m/>
    <m/>
    <m/>
  </r>
  <r>
    <s v="60.02"/>
    <x v="223"/>
    <x v="73"/>
    <s v="Авансовый отчет 00БП-000085 от 07.04.2025 12:45:37"/>
    <s v="07.04.25"/>
    <n v="3520"/>
    <m/>
    <m/>
    <d v="2025-04-07T00:00:00"/>
    <n v="85"/>
    <x v="1"/>
    <x v="5"/>
    <x v="1"/>
    <x v="0"/>
    <m/>
    <m/>
    <m/>
  </r>
  <r>
    <s v="60.02"/>
    <x v="223"/>
    <x v="73"/>
    <s v="Авансовый отчет 00БП-000141 от 18.04.2025 16:47:06"/>
    <s v="18.04.25"/>
    <n v="1600"/>
    <m/>
    <m/>
    <d v="2025-04-18T00:00:00"/>
    <n v="74"/>
    <x v="1"/>
    <x v="5"/>
    <x v="1"/>
    <x v="0"/>
    <m/>
    <m/>
    <m/>
  </r>
  <r>
    <s v="60.02"/>
    <x v="223"/>
    <x v="73"/>
    <s v="Авансовый отчет 00БП-000174 от 05.05.2025 17:46:10"/>
    <s v="05.05.25"/>
    <n v="3600"/>
    <m/>
    <m/>
    <d v="2025-05-05T00:00:00"/>
    <n v="57"/>
    <x v="1"/>
    <x v="5"/>
    <x v="1"/>
    <x v="0"/>
    <m/>
    <m/>
    <m/>
  </r>
  <r>
    <s v="60.02"/>
    <x v="223"/>
    <x v="73"/>
    <s v="Авансовый отчет 00БП-000185 от 13.05.2025 11:54:18"/>
    <s v="13.05.25"/>
    <n v="10848"/>
    <m/>
    <m/>
    <d v="2025-05-13T00:00:00"/>
    <n v="49"/>
    <x v="1"/>
    <x v="5"/>
    <x v="1"/>
    <x v="0"/>
    <m/>
    <m/>
    <m/>
  </r>
  <r>
    <s v="60.02"/>
    <x v="223"/>
    <x v="73"/>
    <s v="Авансовый отчет 00БП-000196 от 26.05.2025 17:17:33"/>
    <s v="26.05.25"/>
    <n v="560"/>
    <m/>
    <m/>
    <d v="2025-05-26T00:00:00"/>
    <n v="36"/>
    <x v="1"/>
    <x v="5"/>
    <x v="1"/>
    <x v="0"/>
    <m/>
    <m/>
    <m/>
  </r>
  <r>
    <s v="60.02"/>
    <x v="223"/>
    <x v="73"/>
    <s v="Авансовый отчет 00БП-000203 от 29.05.2025 12:27:48"/>
    <s v="29.05.25"/>
    <n v="4892"/>
    <m/>
    <m/>
    <d v="2025-05-29T00:00:00"/>
    <n v="33"/>
    <x v="1"/>
    <x v="5"/>
    <x v="1"/>
    <x v="0"/>
    <m/>
    <m/>
    <m/>
  </r>
  <r>
    <s v="60.02"/>
    <x v="223"/>
    <x v="73"/>
    <s v="Авансовый отчет 00БП-000212 от 05.06.2025 15:20:17"/>
    <s v="05.06.25"/>
    <n v="1500"/>
    <m/>
    <m/>
    <d v="2025-06-05T00:00:00"/>
    <n v="26"/>
    <x v="2"/>
    <x v="5"/>
    <x v="1"/>
    <x v="0"/>
    <m/>
    <m/>
    <m/>
  </r>
  <r>
    <s v="60.02"/>
    <x v="223"/>
    <x v="73"/>
    <s v="Авансовый отчет 00БП-000213 от 06.06.2025 9:38:24"/>
    <s v="06.06.25"/>
    <n v="1780"/>
    <m/>
    <m/>
    <d v="2025-06-06T00:00:00"/>
    <n v="25"/>
    <x v="2"/>
    <x v="5"/>
    <x v="1"/>
    <x v="0"/>
    <m/>
    <m/>
    <m/>
  </r>
  <r>
    <s v="60.02"/>
    <x v="223"/>
    <x v="73"/>
    <s v="Авансовый отчет 00БП-000226 от 23.06.2025 11:38:39"/>
    <s v="23.06.25"/>
    <n v="3600"/>
    <m/>
    <m/>
    <d v="2025-06-23T00:00:00"/>
    <n v="8"/>
    <x v="2"/>
    <x v="5"/>
    <x v="1"/>
    <x v="0"/>
    <m/>
    <m/>
    <m/>
  </r>
  <r>
    <s v="60.02"/>
    <x v="223"/>
    <x v="73"/>
    <s v="Авансовый отчет 00БП-000231 от 25.06.2025 16:15:28"/>
    <s v="25.06.25"/>
    <n v="3170"/>
    <m/>
    <m/>
    <d v="2025-06-25T00:00:00"/>
    <n v="6"/>
    <x v="2"/>
    <x v="5"/>
    <x v="1"/>
    <x v="0"/>
    <m/>
    <m/>
    <m/>
  </r>
  <r>
    <s v="60.02"/>
    <x v="223"/>
    <x v="743"/>
    <s v="Списание с расчетного счета 00БП-003481 от 09.06.2025 17:55:30"/>
    <s v="09.06.25"/>
    <n v="2440"/>
    <m/>
    <m/>
    <d v="2025-06-09T00:00:00"/>
    <n v="22"/>
    <x v="2"/>
    <x v="5"/>
    <x v="1"/>
    <x v="0"/>
    <m/>
    <m/>
    <m/>
  </r>
  <r>
    <s v="60.02"/>
    <x v="223"/>
    <x v="744"/>
    <s v="Списание с расчетного счета 00БП-001995 от 22.04.2025 19:42:45"/>
    <s v="22.04.25"/>
    <n v="335277"/>
    <m/>
    <m/>
    <d v="2025-04-22T00:00:00"/>
    <n v="70"/>
    <x v="1"/>
    <x v="5"/>
    <x v="1"/>
    <x v="0"/>
    <m/>
    <m/>
    <m/>
  </r>
  <r>
    <s v="60.02"/>
    <x v="288"/>
    <x v="73"/>
    <s v="Авансовый отчет 00БП-000180 от 30.04.2025 23:59:59"/>
    <s v="30.04.25"/>
    <n v="6000"/>
    <m/>
    <m/>
    <d v="2025-04-30T00:00:00"/>
    <n v="62"/>
    <x v="1"/>
    <x v="5"/>
    <x v="1"/>
    <x v="0"/>
    <m/>
    <m/>
    <m/>
  </r>
  <r>
    <s v="60.02"/>
    <x v="289"/>
    <x v="745"/>
    <s v="Списание с расчетного счета 00БП-004107 от 24.06.2025 23:59:59"/>
    <s v="24.06.25"/>
    <n v="1228658.3999999999"/>
    <m/>
    <m/>
    <d v="2025-06-24T00:00:00"/>
    <n v="7"/>
    <x v="2"/>
    <x v="5"/>
    <x v="1"/>
    <x v="0"/>
    <m/>
    <m/>
    <m/>
  </r>
  <r>
    <s v="60.02"/>
    <x v="290"/>
    <x v="746"/>
    <s v="Списание с расчетного счета 00БП-001172 от 01.04.2025 17:50:03"/>
    <s v="01.04.25"/>
    <n v="14662.69"/>
    <m/>
    <m/>
    <d v="2025-04-01T00:00:00"/>
    <n v="91"/>
    <x v="4"/>
    <x v="5"/>
    <x v="1"/>
    <x v="0"/>
    <m/>
    <m/>
    <m/>
  </r>
  <r>
    <s v="60.02"/>
    <x v="83"/>
    <x v="747"/>
    <s v="Списание с расчетного счета 00БП-003853 от 16.06.2025 18:31:18"/>
    <s v="16.06.25"/>
    <n v="187200"/>
    <m/>
    <m/>
    <d v="2025-06-16T00:00:00"/>
    <n v="15"/>
    <x v="2"/>
    <x v="5"/>
    <x v="1"/>
    <x v="0"/>
    <m/>
    <m/>
    <m/>
  </r>
  <r>
    <s v="60.02"/>
    <x v="291"/>
    <x v="748"/>
    <s v="Списание с расчетного счета 00БП-003838 от 16.06.2025 18:31:03"/>
    <s v="16.06.25"/>
    <n v="7500"/>
    <m/>
    <m/>
    <d v="2025-06-16T00:00:00"/>
    <n v="15"/>
    <x v="2"/>
    <x v="5"/>
    <x v="1"/>
    <x v="0"/>
    <m/>
    <m/>
    <m/>
  </r>
  <r>
    <s v="60.02"/>
    <x v="292"/>
    <x v="749"/>
    <s v="Списание с расчетного счета 00БП-003904 от 17.06.2025 22:58:30"/>
    <s v="17.06.25"/>
    <n v="10500"/>
    <m/>
    <m/>
    <d v="2025-06-17T00:00:00"/>
    <n v="14"/>
    <x v="2"/>
    <x v="5"/>
    <x v="1"/>
    <x v="0"/>
    <m/>
    <m/>
    <m/>
  </r>
  <r>
    <s v="60.02"/>
    <x v="86"/>
    <x v="542"/>
    <s v="Списание с расчетного счета 00БП-002297 от 30.04.2025 23:59:59"/>
    <s v="30.04.25"/>
    <n v="43250"/>
    <m/>
    <m/>
    <d v="2025-04-30T00:00:00"/>
    <n v="62"/>
    <x v="1"/>
    <x v="5"/>
    <x v="1"/>
    <x v="0"/>
    <m/>
    <m/>
    <m/>
  </r>
  <r>
    <s v="60.02"/>
    <x v="293"/>
    <x v="750"/>
    <s v="Списание с расчетного счета 00БП-001256 от 03.04.2025 19:18:50"/>
    <s v="03.04.25"/>
    <n v="275000"/>
    <m/>
    <m/>
    <d v="2025-04-03T00:00:00"/>
    <n v="89"/>
    <x v="1"/>
    <x v="5"/>
    <x v="1"/>
    <x v="0"/>
    <m/>
    <m/>
    <m/>
  </r>
  <r>
    <s v="60.02"/>
    <x v="293"/>
    <x v="750"/>
    <s v="Списание с расчетного счета 00БП-003229 от 28.05.2025 21:56:00"/>
    <s v="28.05.25"/>
    <n v="275000"/>
    <m/>
    <m/>
    <d v="2025-05-28T00:00:00"/>
    <n v="34"/>
    <x v="1"/>
    <x v="5"/>
    <x v="1"/>
    <x v="0"/>
    <m/>
    <m/>
    <m/>
  </r>
  <r>
    <s v="60.02"/>
    <x v="88"/>
    <x v="207"/>
    <s v="Списание с расчетного счета 00БП-002240 от 28.04.2025 18:34:44"/>
    <s v="28.04.25"/>
    <n v="114.79"/>
    <m/>
    <m/>
    <d v="2025-04-28T00:00:00"/>
    <n v="64"/>
    <x v="1"/>
    <x v="5"/>
    <x v="1"/>
    <x v="0"/>
    <m/>
    <m/>
    <m/>
  </r>
  <r>
    <s v="60.02"/>
    <x v="224"/>
    <x v="751"/>
    <s v="Списание с расчетного счета 00БП-003482 от 09.06.2025 17:55:31"/>
    <s v="09.06.25"/>
    <n v="2688"/>
    <m/>
    <m/>
    <d v="2025-06-09T00:00:00"/>
    <n v="22"/>
    <x v="2"/>
    <x v="5"/>
    <x v="1"/>
    <x v="0"/>
    <m/>
    <m/>
    <m/>
  </r>
  <r>
    <s v="60.02"/>
    <x v="224"/>
    <x v="545"/>
    <s v="Списание с расчетного счета 00БП-004099 от 24.06.2025 23:59:59"/>
    <s v="24.06.25"/>
    <n v="111117.2"/>
    <m/>
    <m/>
    <d v="2025-06-24T00:00:00"/>
    <n v="7"/>
    <x v="2"/>
    <x v="5"/>
    <x v="1"/>
    <x v="0"/>
    <m/>
    <m/>
    <m/>
  </r>
  <r>
    <s v="60.02"/>
    <x v="294"/>
    <x v="752"/>
    <s v="Списание с расчетного счета 00БП-001965 от 21.04.2025 21:57:33"/>
    <s v="21.04.25"/>
    <n v="2460300"/>
    <m/>
    <m/>
    <d v="2025-04-21T00:00:00"/>
    <n v="71"/>
    <x v="1"/>
    <x v="5"/>
    <x v="1"/>
    <x v="0"/>
    <m/>
    <m/>
    <m/>
  </r>
  <r>
    <s v="60.02"/>
    <x v="295"/>
    <x v="753"/>
    <s v="Списание с расчетного счета 00БП-001174 от 01.04.2025 17:50:05"/>
    <s v="01.04.25"/>
    <n v="151999.98000000001"/>
    <m/>
    <m/>
    <d v="2025-04-01T00:00:00"/>
    <n v="91"/>
    <x v="4"/>
    <x v="5"/>
    <x v="1"/>
    <x v="0"/>
    <m/>
    <m/>
    <m/>
  </r>
  <r>
    <s v="60.02"/>
    <x v="91"/>
    <x v="210"/>
    <s v="Списание с расчетного счета 00БП-001175 от 01.04.2025 17:50:06"/>
    <s v="01.04.25"/>
    <n v="205915.76"/>
    <m/>
    <m/>
    <d v="2025-04-01T00:00:00"/>
    <n v="91"/>
    <x v="4"/>
    <x v="5"/>
    <x v="1"/>
    <x v="0"/>
    <m/>
    <m/>
    <m/>
  </r>
  <r>
    <s v="60.02"/>
    <x v="92"/>
    <x v="211"/>
    <s v="Списание с расчетного счета 00БП-002041 от 24.04.2025 18:07:53"/>
    <s v="24.04.25"/>
    <n v="469639.56"/>
    <m/>
    <m/>
    <d v="2025-04-24T00:00:00"/>
    <n v="68"/>
    <x v="1"/>
    <x v="5"/>
    <x v="1"/>
    <x v="0"/>
    <m/>
    <m/>
    <m/>
  </r>
  <r>
    <s v="60.02"/>
    <x v="92"/>
    <x v="212"/>
    <s v="Списание с расчетного счета 00БП-002272 от 29.04.2025 20:41:29"/>
    <s v="29.04.25"/>
    <n v="4876488.25"/>
    <m/>
    <m/>
    <d v="2025-04-29T00:00:00"/>
    <n v="63"/>
    <x v="1"/>
    <x v="5"/>
    <x v="1"/>
    <x v="0"/>
    <m/>
    <m/>
    <m/>
  </r>
  <r>
    <s v="60.02"/>
    <x v="92"/>
    <x v="212"/>
    <s v="Списание с расчетного счета 00БП-004102 от 24.06.2025 23:59:59"/>
    <s v="24.06.25"/>
    <n v="288317.94"/>
    <m/>
    <m/>
    <d v="2025-06-24T00:00:00"/>
    <n v="7"/>
    <x v="2"/>
    <x v="5"/>
    <x v="1"/>
    <x v="0"/>
    <m/>
    <m/>
    <m/>
  </r>
  <r>
    <s v="60.02"/>
    <x v="92"/>
    <x v="212"/>
    <s v="Списание с расчетного счета 00БП-004105 от 24.06.2025 23:59:59"/>
    <s v="24.06.25"/>
    <n v="1152282.3600000001"/>
    <m/>
    <m/>
    <d v="2025-06-24T00:00:00"/>
    <n v="7"/>
    <x v="2"/>
    <x v="5"/>
    <x v="1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621"/>
    <x v="5"/>
    <x v="5"/>
    <x v="1"/>
    <x v="13"/>
    <m/>
    <m/>
    <m/>
  </r>
  <r>
    <s v="60.02"/>
    <x v="96"/>
    <x v="754"/>
    <s v="Списание с расчетного счета 00БП-002970 от 21.05.2025 20:11:01"/>
    <s v="21.05.25"/>
    <n v="45241506.920000002"/>
    <m/>
    <m/>
    <d v="2025-05-21T00:00:00"/>
    <n v="41"/>
    <x v="1"/>
    <x v="5"/>
    <x v="1"/>
    <x v="0"/>
    <m/>
    <m/>
    <m/>
  </r>
  <r>
    <s v="60.02"/>
    <x v="96"/>
    <x v="754"/>
    <s v="Списание с расчетного счета 00БП-004072 от 23.06.2025 18:09:50"/>
    <s v="23.06.25"/>
    <n v="968080.02"/>
    <m/>
    <m/>
    <d v="2025-06-23T00:00:00"/>
    <n v="8"/>
    <x v="2"/>
    <x v="5"/>
    <x v="1"/>
    <x v="0"/>
    <m/>
    <m/>
    <m/>
  </r>
  <r>
    <s v="60.02"/>
    <x v="96"/>
    <x v="754"/>
    <s v="Списание с расчетного счета 00БП-004073 от 23.06.2025 18:09:51"/>
    <s v="23.06.25"/>
    <n v="972308.97"/>
    <m/>
    <m/>
    <d v="2025-06-23T00:00:00"/>
    <n v="8"/>
    <x v="2"/>
    <x v="5"/>
    <x v="1"/>
    <x v="0"/>
    <m/>
    <m/>
    <m/>
  </r>
  <r>
    <s v="60.02"/>
    <x v="96"/>
    <x v="754"/>
    <s v="Списание с расчетного счета 00БП-004074 от 23.06.2025 18:09:52"/>
    <s v="23.06.25"/>
    <n v="997683.39"/>
    <m/>
    <m/>
    <d v="2025-06-23T00:00:00"/>
    <n v="8"/>
    <x v="2"/>
    <x v="5"/>
    <x v="1"/>
    <x v="0"/>
    <m/>
    <m/>
    <m/>
  </r>
  <r>
    <s v="60.02"/>
    <x v="96"/>
    <x v="754"/>
    <s v="Списание с расчетного счета 00БП-004075 от 23.06.2025 18:09:53"/>
    <s v="23.06.25"/>
    <n v="1078046.55"/>
    <m/>
    <m/>
    <d v="2025-06-23T00:00:00"/>
    <n v="8"/>
    <x v="2"/>
    <x v="5"/>
    <x v="1"/>
    <x v="0"/>
    <m/>
    <m/>
    <m/>
  </r>
  <r>
    <s v="60.02"/>
    <x v="97"/>
    <x v="223"/>
    <s v="Списание с расчетного счета 00БП-003511 от 09.06.2025 17:56:00"/>
    <s v="09.06.25"/>
    <n v="1181250"/>
    <m/>
    <m/>
    <d v="2025-06-09T00:00:00"/>
    <n v="22"/>
    <x v="2"/>
    <x v="5"/>
    <x v="1"/>
    <x v="0"/>
    <d v="2026-03-18T00:00:00"/>
    <m/>
    <m/>
  </r>
  <r>
    <s v="60.02"/>
    <x v="98"/>
    <x v="224"/>
    <s v="Списание с расчетного счета 00БП-002981 от 22.05.2025 18:45:24"/>
    <s v="22.05.25"/>
    <n v="6869.56"/>
    <m/>
    <m/>
    <d v="2025-05-22T00:00:00"/>
    <n v="40"/>
    <x v="1"/>
    <x v="5"/>
    <x v="1"/>
    <x v="8"/>
    <m/>
    <m/>
    <m/>
  </r>
  <r>
    <s v="60.02"/>
    <x v="98"/>
    <x v="225"/>
    <s v="Списание с расчетного счета 00БП-002894 от 19.05.2025 18:19:38"/>
    <s v="19.05.25"/>
    <n v="16930"/>
    <m/>
    <m/>
    <d v="2025-05-19T00:00:00"/>
    <n v="43"/>
    <x v="1"/>
    <x v="5"/>
    <x v="1"/>
    <x v="8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298"/>
    <x v="6"/>
    <x v="5"/>
    <x v="1"/>
    <x v="8"/>
    <m/>
    <m/>
    <m/>
  </r>
  <r>
    <s v="60.02"/>
    <x v="98"/>
    <x v="227"/>
    <s v="Списание с расчетного счета 00БП-002958 от 21.05.2025 20:10:49"/>
    <s v="21.05.25"/>
    <n v="35983.96"/>
    <m/>
    <m/>
    <d v="2025-05-21T00:00:00"/>
    <n v="41"/>
    <x v="1"/>
    <x v="5"/>
    <x v="1"/>
    <x v="8"/>
    <m/>
    <m/>
    <m/>
  </r>
  <r>
    <s v="60.02"/>
    <x v="98"/>
    <x v="755"/>
    <s v="Списание с расчетного счета 00БП-003831 от 16.06.2025 18:30:56"/>
    <s v="16.06.25"/>
    <n v="1934.9"/>
    <m/>
    <m/>
    <d v="2025-06-16T00:00:00"/>
    <n v="15"/>
    <x v="2"/>
    <x v="5"/>
    <x v="1"/>
    <x v="8"/>
    <m/>
    <m/>
    <m/>
  </r>
  <r>
    <s v="60.02"/>
    <x v="100"/>
    <x v="230"/>
    <s v="Списание с расчетного счета 00БП-007569 от 15.10.2024 19:25:20"/>
    <s v="15.10.24"/>
    <n v="4950.5600000000004"/>
    <m/>
    <m/>
    <d v="2024-10-15T00:00:00"/>
    <n v="259"/>
    <x v="3"/>
    <x v="5"/>
    <x v="1"/>
    <x v="0"/>
    <m/>
    <m/>
    <m/>
  </r>
  <r>
    <s v="60.02"/>
    <x v="296"/>
    <x v="756"/>
    <s v="Списание с расчетного счета 00БП-002902 от 19.05.2025 18:19:46"/>
    <s v="19.05.25"/>
    <n v="78078"/>
    <m/>
    <m/>
    <d v="2025-05-19T00:00:00"/>
    <n v="43"/>
    <x v="1"/>
    <x v="5"/>
    <x v="1"/>
    <x v="0"/>
    <m/>
    <m/>
    <m/>
  </r>
  <r>
    <s v="60.02"/>
    <x v="297"/>
    <x v="757"/>
    <s v="Списание с расчетного счета 00БП-001247 от 03.04.2025 19:18:41"/>
    <s v="03.04.25"/>
    <n v="73500"/>
    <m/>
    <m/>
    <d v="2025-04-03T00:00:00"/>
    <n v="89"/>
    <x v="1"/>
    <x v="5"/>
    <x v="1"/>
    <x v="0"/>
    <m/>
    <m/>
    <m/>
  </r>
  <r>
    <s v="60.02"/>
    <x v="228"/>
    <x v="550"/>
    <s v="Списание с расчетного счета 00БП-001818 от 15.04.2025 18:43:43"/>
    <s v="15.04.25"/>
    <n v="57175.43"/>
    <m/>
    <m/>
    <d v="2025-04-15T00:00:00"/>
    <n v="77"/>
    <x v="1"/>
    <x v="5"/>
    <x v="1"/>
    <x v="0"/>
    <m/>
    <m/>
    <m/>
  </r>
  <r>
    <s v="60.02"/>
    <x v="102"/>
    <x v="758"/>
    <s v="Списание с расчетного счета 00БП-003550 от 10.06.2025 19:31:41"/>
    <s v="10.06.25"/>
    <n v="250000"/>
    <m/>
    <m/>
    <d v="2025-06-10T00:00:00"/>
    <n v="21"/>
    <x v="2"/>
    <x v="5"/>
    <x v="1"/>
    <x v="0"/>
    <m/>
    <m/>
    <m/>
  </r>
  <r>
    <s v="60.02"/>
    <x v="298"/>
    <x v="759"/>
    <s v="Списание с расчетного счета 00БП-002349 от 05.05.2025 19:41:18"/>
    <s v="05.05.25"/>
    <n v="983100"/>
    <m/>
    <m/>
    <d v="2025-05-05T00:00:00"/>
    <n v="57"/>
    <x v="1"/>
    <x v="5"/>
    <x v="1"/>
    <x v="0"/>
    <m/>
    <m/>
    <m/>
  </r>
  <r>
    <s v="60.02"/>
    <x v="298"/>
    <x v="759"/>
    <s v="Списание с расчетного счета 00БП-003988 от 19.06.2025 19:28:51"/>
    <s v="19.06.25"/>
    <n v="983100"/>
    <m/>
    <m/>
    <d v="2025-06-19T00:00:00"/>
    <n v="12"/>
    <x v="2"/>
    <x v="5"/>
    <x v="1"/>
    <x v="0"/>
    <m/>
    <m/>
    <m/>
  </r>
  <r>
    <s v="60.02"/>
    <x v="299"/>
    <x v="760"/>
    <s v="Списание с расчетного счета 00БП-002793 от 14.05.2025 17:26:09"/>
    <s v="14.05.25"/>
    <n v="590021.16"/>
    <m/>
    <m/>
    <d v="2025-05-14T00:00:00"/>
    <n v="48"/>
    <x v="1"/>
    <x v="5"/>
    <x v="1"/>
    <x v="0"/>
    <m/>
    <m/>
    <m/>
  </r>
  <r>
    <s v="60.02"/>
    <x v="104"/>
    <x v="234"/>
    <s v="Списание с расчетного счета 00БП-003058 от 26.05.2025 22:23:12"/>
    <s v="26.05.25"/>
    <n v="0.3"/>
    <m/>
    <m/>
    <d v="2025-05-26T00:00:00"/>
    <n v="36"/>
    <x v="1"/>
    <x v="5"/>
    <x v="1"/>
    <x v="0"/>
    <m/>
    <m/>
    <m/>
  </r>
  <r>
    <s v="60.02"/>
    <x v="105"/>
    <x v="235"/>
    <s v="Списание с расчетного счета 00БП-001305 от 04.04.2025 19:33:54"/>
    <s v="04.04.25"/>
    <n v="364891"/>
    <m/>
    <m/>
    <d v="2025-04-04T00:00:00"/>
    <n v="88"/>
    <x v="1"/>
    <x v="5"/>
    <x v="1"/>
    <x v="0"/>
    <m/>
    <m/>
    <m/>
  </r>
  <r>
    <s v="60.02"/>
    <x v="300"/>
    <x v="761"/>
    <s v="Списание с расчетного счета 00БП-001347 от 07.04.2025 19:17:43"/>
    <s v="07.04.25"/>
    <n v="170800"/>
    <m/>
    <m/>
    <d v="2025-04-07T00:00:00"/>
    <n v="85"/>
    <x v="1"/>
    <x v="5"/>
    <x v="1"/>
    <x v="0"/>
    <m/>
    <m/>
    <m/>
  </r>
  <r>
    <s v="60.02"/>
    <x v="300"/>
    <x v="762"/>
    <s v="Списание с расчетного счета 00БП-002876 от 16.05.2025 17:29:36"/>
    <s v="16.05.25"/>
    <n v="68300"/>
    <m/>
    <m/>
    <d v="2025-05-16T00:00:00"/>
    <n v="46"/>
    <x v="1"/>
    <x v="5"/>
    <x v="1"/>
    <x v="0"/>
    <m/>
    <m/>
    <m/>
  </r>
  <r>
    <s v="60.02"/>
    <x v="106"/>
    <x v="763"/>
    <s v="Списание с расчетного счета 00БП-004310 от 30.06.2025 23:59:59"/>
    <s v="30.06.25"/>
    <n v="162012"/>
    <m/>
    <m/>
    <d v="2025-06-30T00:00:00"/>
    <n v="1"/>
    <x v="2"/>
    <x v="5"/>
    <x v="1"/>
    <x v="0"/>
    <m/>
    <m/>
    <m/>
  </r>
  <r>
    <s v="60.02"/>
    <x v="106"/>
    <x v="236"/>
    <s v="Корректировка поступления 00БП-000016 от 17.06.2025 17:44:56"/>
    <s v="17.06.25"/>
    <n v="163072"/>
    <m/>
    <m/>
    <d v="2025-06-17T00:00:00"/>
    <n v="14"/>
    <x v="2"/>
    <x v="5"/>
    <x v="1"/>
    <x v="2"/>
    <m/>
    <m/>
    <m/>
  </r>
  <r>
    <s v="60.02"/>
    <x v="106"/>
    <x v="554"/>
    <s v="Списание с расчетного счета 00БП-004101 от 24.06.2025 23:59:59"/>
    <s v="24.06.25"/>
    <n v="187165.8"/>
    <m/>
    <m/>
    <d v="2025-06-24T00:00:00"/>
    <n v="7"/>
    <x v="2"/>
    <x v="5"/>
    <x v="1"/>
    <x v="0"/>
    <m/>
    <m/>
    <m/>
  </r>
  <r>
    <s v="60.02"/>
    <x v="106"/>
    <x v="554"/>
    <s v="Списание с расчетного счета 00БП-004249 от 27.06.2025 17:37:22"/>
    <s v="27.06.25"/>
    <n v="345520.2"/>
    <m/>
    <m/>
    <d v="2025-06-27T00:00:00"/>
    <n v="4"/>
    <x v="2"/>
    <x v="5"/>
    <x v="1"/>
    <x v="0"/>
    <m/>
    <m/>
    <m/>
  </r>
  <r>
    <s v="60.02"/>
    <x v="106"/>
    <x v="555"/>
    <s v="Списание с расчетного счета 00БП-004097 от 24.06.2025 23:59:59"/>
    <s v="24.06.25"/>
    <n v="91200"/>
    <m/>
    <m/>
    <d v="2025-06-24T00:00:00"/>
    <n v="7"/>
    <x v="2"/>
    <x v="5"/>
    <x v="1"/>
    <x v="0"/>
    <m/>
    <m/>
    <m/>
  </r>
  <r>
    <s v="60.02"/>
    <x v="233"/>
    <x v="558"/>
    <s v="Списание с расчетного счета 00БП-004248 от 27.06.2025 17:37:21"/>
    <s v="27.06.25"/>
    <n v="188700"/>
    <m/>
    <m/>
    <d v="2025-06-27T00:00:00"/>
    <n v="4"/>
    <x v="2"/>
    <x v="5"/>
    <x v="1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971"/>
    <x v="5"/>
    <x v="5"/>
    <x v="1"/>
    <x v="8"/>
    <m/>
    <m/>
    <m/>
  </r>
  <r>
    <s v="60.02"/>
    <x v="110"/>
    <x v="559"/>
    <s v="Списание с расчетного счета 00БП-001865 от 16.04.2025 19:34:01"/>
    <s v="16.04.25"/>
    <n v="3772.34"/>
    <m/>
    <m/>
    <d v="2025-04-16T00:00:00"/>
    <n v="76"/>
    <x v="1"/>
    <x v="5"/>
    <x v="1"/>
    <x v="0"/>
    <m/>
    <m/>
    <m/>
  </r>
  <r>
    <s v="60.02"/>
    <x v="234"/>
    <x v="561"/>
    <s v="Списание с расчетного счета 00БП-000553 от 07.03.2025 17:21:20"/>
    <s v="07.03.25"/>
    <n v="125249.76"/>
    <m/>
    <m/>
    <d v="2025-03-07T00:00:00"/>
    <n v="116"/>
    <x v="4"/>
    <x v="5"/>
    <x v="1"/>
    <x v="0"/>
    <m/>
    <m/>
    <m/>
  </r>
  <r>
    <s v="60.02"/>
    <x v="301"/>
    <x v="764"/>
    <s v="Списание с расчетного счета 00БП-002757 от 13.05.2025 17:37:07"/>
    <s v="13.05.25"/>
    <n v="632000"/>
    <m/>
    <m/>
    <d v="2025-05-13T00:00:00"/>
    <n v="49"/>
    <x v="1"/>
    <x v="5"/>
    <x v="1"/>
    <x v="0"/>
    <m/>
    <m/>
    <m/>
  </r>
  <r>
    <s v="60.02"/>
    <x v="111"/>
    <x v="765"/>
    <s v="Списание с расчетного счета 00БП-003505 от 09.06.2025 17:55:54"/>
    <s v="09.06.25"/>
    <n v="202000"/>
    <m/>
    <m/>
    <d v="2025-06-09T00:00:00"/>
    <n v="22"/>
    <x v="2"/>
    <x v="5"/>
    <x v="1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950"/>
    <x v="5"/>
    <x v="5"/>
    <x v="1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551"/>
    <x v="5"/>
    <x v="5"/>
    <x v="1"/>
    <x v="0"/>
    <m/>
    <m/>
    <m/>
  </r>
  <r>
    <s v="60.02"/>
    <x v="113"/>
    <x v="766"/>
    <s v="Списание с расчетного счета 00БП-001884 от 16.04.2024 20:42:31"/>
    <s v="16.04.24"/>
    <n v="0.3"/>
    <m/>
    <m/>
    <d v="2024-04-16T00:00:00"/>
    <n v="441"/>
    <x v="5"/>
    <x v="5"/>
    <x v="1"/>
    <x v="0"/>
    <m/>
    <m/>
    <m/>
  </r>
  <r>
    <s v="60.02"/>
    <x v="113"/>
    <x v="767"/>
    <s v="Списание с расчетного счета 00БП-007678 от 17.10.2024 17:28:41"/>
    <s v="17.10.24"/>
    <n v="0.1"/>
    <m/>
    <m/>
    <d v="2024-10-17T00:00:00"/>
    <n v="257"/>
    <x v="3"/>
    <x v="5"/>
    <x v="1"/>
    <x v="0"/>
    <m/>
    <m/>
    <m/>
  </r>
  <r>
    <s v="60.02"/>
    <x v="113"/>
    <x v="768"/>
    <s v="Списание с расчетного счета 00БП-001089 от 28.03.2025 21:31:21"/>
    <s v="28.03.25"/>
    <n v="0.1"/>
    <m/>
    <m/>
    <d v="2025-03-28T00:00:00"/>
    <n v="95"/>
    <x v="4"/>
    <x v="5"/>
    <x v="1"/>
    <x v="0"/>
    <m/>
    <m/>
    <m/>
  </r>
  <r>
    <s v="60.02"/>
    <x v="113"/>
    <x v="768"/>
    <s v="Списание с расчетного счета 00БП-001960 от 21.04.2025 21:57:28"/>
    <s v="21.04.25"/>
    <n v="229851.07"/>
    <m/>
    <m/>
    <d v="2025-04-21T00:00:00"/>
    <n v="71"/>
    <x v="1"/>
    <x v="5"/>
    <x v="1"/>
    <x v="0"/>
    <m/>
    <m/>
    <m/>
  </r>
  <r>
    <s v="60.02"/>
    <x v="114"/>
    <x v="247"/>
    <s v="Списание с расчетного счета 00БП-004024 от 20.06.2025 19:02:47"/>
    <s v="20.06.25"/>
    <n v="759981.03"/>
    <m/>
    <m/>
    <d v="2025-06-20T00:00:00"/>
    <n v="11"/>
    <x v="2"/>
    <x v="5"/>
    <x v="1"/>
    <x v="0"/>
    <m/>
    <m/>
    <m/>
  </r>
  <r>
    <s v="60.02"/>
    <x v="114"/>
    <x v="769"/>
    <s v="Списание с расчетного счета 00БП-003753 от 11.06.2025 17:43:33"/>
    <s v="11.06.25"/>
    <n v="151920"/>
    <m/>
    <m/>
    <d v="2025-06-11T00:00:00"/>
    <n v="20"/>
    <x v="2"/>
    <x v="5"/>
    <x v="1"/>
    <x v="0"/>
    <m/>
    <m/>
    <m/>
  </r>
  <r>
    <s v="60.02"/>
    <x v="115"/>
    <x v="770"/>
    <s v="Списание с расчетного счета 00БП-000849 от 20.03.2025 18:57:17"/>
    <s v="20.03.25"/>
    <n v="81000"/>
    <m/>
    <m/>
    <d v="2025-03-20T00:00:00"/>
    <n v="103"/>
    <x v="4"/>
    <x v="5"/>
    <x v="1"/>
    <x v="0"/>
    <m/>
    <m/>
    <m/>
  </r>
  <r>
    <s v="60.02"/>
    <x v="115"/>
    <x v="771"/>
    <s v="Списание с расчетного счета 00БП-002268 от 29.04.2025 20:41:25"/>
    <s v="29.04.25"/>
    <n v="324000"/>
    <m/>
    <m/>
    <d v="2025-04-29T00:00:00"/>
    <n v="63"/>
    <x v="1"/>
    <x v="5"/>
    <x v="1"/>
    <x v="0"/>
    <m/>
    <m/>
    <m/>
  </r>
  <r>
    <s v="60.02"/>
    <x v="115"/>
    <x v="248"/>
    <s v="Списание с расчетного счета 00БП-003974 от 19.06.2025 19:28:37"/>
    <s v="19.06.25"/>
    <n v="8840"/>
    <m/>
    <m/>
    <d v="2025-06-19T00:00:00"/>
    <n v="12"/>
    <x v="2"/>
    <x v="5"/>
    <x v="1"/>
    <x v="0"/>
    <m/>
    <m/>
    <m/>
  </r>
  <r>
    <s v="60.02"/>
    <x v="115"/>
    <x v="772"/>
    <s v="Списание с расчетного счета 00БП-003946 от 18.06.2025 21:50:53"/>
    <s v="18.06.25"/>
    <n v="475000"/>
    <m/>
    <m/>
    <d v="2025-06-18T00:00:00"/>
    <n v="13"/>
    <x v="2"/>
    <x v="5"/>
    <x v="1"/>
    <x v="0"/>
    <m/>
    <m/>
    <m/>
  </r>
  <r>
    <s v="60.02"/>
    <x v="115"/>
    <x v="773"/>
    <s v="Списание с расчетного счета 00БП-000854 от 20.03.2025 18:57:22"/>
    <s v="20.03.25"/>
    <n v="373800"/>
    <m/>
    <m/>
    <d v="2025-03-20T00:00:00"/>
    <n v="103"/>
    <x v="4"/>
    <x v="5"/>
    <x v="1"/>
    <x v="0"/>
    <m/>
    <m/>
    <m/>
  </r>
  <r>
    <s v="60.02"/>
    <x v="302"/>
    <x v="73"/>
    <s v="Авансовый отчет 00БП-000096 от 31.03.2025 22:59:59"/>
    <s v="31.03.25"/>
    <n v="1372.5"/>
    <m/>
    <m/>
    <d v="2025-03-31T00:00:00"/>
    <n v="92"/>
    <x v="4"/>
    <x v="5"/>
    <x v="1"/>
    <x v="0"/>
    <m/>
    <m/>
    <m/>
  </r>
  <r>
    <s v="60.02"/>
    <x v="303"/>
    <x v="774"/>
    <s v="Списание с расчетного счета 00БП-000793 от 18.03.2025 17:04:04"/>
    <s v="18.03.25"/>
    <n v="350000"/>
    <m/>
    <m/>
    <d v="2025-03-18T00:00:00"/>
    <n v="105"/>
    <x v="4"/>
    <x v="5"/>
    <x v="1"/>
    <x v="0"/>
    <m/>
    <m/>
    <m/>
  </r>
  <r>
    <s v="60.02"/>
    <x v="303"/>
    <x v="774"/>
    <s v="Списание с расчетного счета 00БП-001959 от 21.04.2025 21:57:27"/>
    <s v="21.04.25"/>
    <n v="200000"/>
    <m/>
    <m/>
    <d v="2025-04-21T00:00:00"/>
    <n v="71"/>
    <x v="1"/>
    <x v="5"/>
    <x v="1"/>
    <x v="0"/>
    <m/>
    <m/>
    <m/>
  </r>
  <r>
    <s v="60.02"/>
    <x v="235"/>
    <x v="565"/>
    <s v="Списание с расчетного счета 00БП-009304 от 18.12.2024 13:07:13"/>
    <s v="18.12.24"/>
    <n v="33700"/>
    <m/>
    <m/>
    <d v="2024-12-18T00:00:00"/>
    <n v="195"/>
    <x v="3"/>
    <x v="5"/>
    <x v="1"/>
    <x v="0"/>
    <m/>
    <m/>
    <m/>
  </r>
  <r>
    <s v="60.02"/>
    <x v="235"/>
    <x v="775"/>
    <s v="Списание с расчетного счета 00БП-002400 от 06.05.2025 20:09:53"/>
    <s v="06.05.25"/>
    <n v="25450"/>
    <m/>
    <m/>
    <d v="2025-05-06T00:00:00"/>
    <n v="56"/>
    <x v="1"/>
    <x v="5"/>
    <x v="1"/>
    <x v="0"/>
    <m/>
    <m/>
    <m/>
  </r>
  <r>
    <s v="60.02"/>
    <x v="304"/>
    <x v="776"/>
    <s v="Списание с расчетного счета 00БП-002235 от 28.04.2025 18:34:39"/>
    <s v="28.04.25"/>
    <n v="127500"/>
    <m/>
    <m/>
    <d v="2025-04-28T00:00:00"/>
    <n v="64"/>
    <x v="1"/>
    <x v="5"/>
    <x v="1"/>
    <x v="0"/>
    <m/>
    <m/>
    <m/>
  </r>
  <r>
    <s v="60.02"/>
    <x v="116"/>
    <x v="258"/>
    <s v="Списание с расчетного счета 00БП-003861 от 16.06.2025 18:31:26"/>
    <s v="16.06.25"/>
    <n v="1499873.4"/>
    <m/>
    <m/>
    <d v="2025-06-16T00:00:00"/>
    <n v="15"/>
    <x v="2"/>
    <x v="5"/>
    <x v="1"/>
    <x v="0"/>
    <m/>
    <m/>
    <m/>
  </r>
  <r>
    <s v="60.02"/>
    <x v="116"/>
    <x v="777"/>
    <s v="Списание с расчетного счета 00БП-003064 от 26.05.2025 22:23:18"/>
    <s v="26.05.25"/>
    <n v="66228"/>
    <m/>
    <m/>
    <d v="2025-05-26T00:00:00"/>
    <n v="36"/>
    <x v="1"/>
    <x v="5"/>
    <x v="1"/>
    <x v="0"/>
    <m/>
    <m/>
    <m/>
  </r>
  <r>
    <s v="60.02"/>
    <x v="305"/>
    <x v="778"/>
    <s v="Списание с расчетного счета 00БП-003884 от 25.06.2024 17:39:50"/>
    <s v="25.06.24"/>
    <n v="87700"/>
    <m/>
    <m/>
    <d v="2024-06-25T00:00:00"/>
    <n v="371"/>
    <x v="5"/>
    <x v="5"/>
    <x v="1"/>
    <x v="0"/>
    <m/>
    <m/>
    <m/>
  </r>
  <r>
    <s v="60.02"/>
    <x v="305"/>
    <x v="779"/>
    <s v="Списание с расчетного счета 00БП-001780 от 15.04.2024 18:48:46"/>
    <s v="15.04.24"/>
    <n v="17267"/>
    <m/>
    <m/>
    <d v="2024-04-15T00:00:00"/>
    <n v="442"/>
    <x v="5"/>
    <x v="5"/>
    <x v="1"/>
    <x v="0"/>
    <m/>
    <m/>
    <m/>
  </r>
  <r>
    <s v="60.02"/>
    <x v="306"/>
    <x v="780"/>
    <s v="Списание с расчетного счета 00БП-006641 от 20.09.2024 18:25:28"/>
    <s v="20.09.24"/>
    <n v="66810"/>
    <m/>
    <m/>
    <d v="2024-09-20T00:00:00"/>
    <n v="284"/>
    <x v="6"/>
    <x v="5"/>
    <x v="1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639"/>
    <x v="5"/>
    <x v="5"/>
    <x v="1"/>
    <x v="8"/>
    <m/>
    <m/>
    <m/>
  </r>
  <r>
    <s v="60.02"/>
    <x v="121"/>
    <x v="781"/>
    <s v="Списание с расчетного счета 00БП-000764 от 17.03.2025 17:48:11"/>
    <s v="17.03.25"/>
    <n v="225000"/>
    <m/>
    <m/>
    <d v="2025-03-17T00:00:00"/>
    <n v="106"/>
    <x v="4"/>
    <x v="5"/>
    <x v="1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729"/>
    <x v="5"/>
    <x v="5"/>
    <x v="1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652"/>
    <x v="5"/>
    <x v="5"/>
    <x v="1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383"/>
    <x v="5"/>
    <x v="5"/>
    <x v="1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587"/>
    <x v="5"/>
    <x v="5"/>
    <x v="1"/>
    <x v="8"/>
    <m/>
    <m/>
    <m/>
  </r>
  <r>
    <s v="60.02"/>
    <x v="122"/>
    <x v="277"/>
    <s v="Списание с расчетного счета 00БП-002403 от 06.05.2025 20:09:56"/>
    <s v="06.05.25"/>
    <n v="26390"/>
    <m/>
    <m/>
    <d v="2025-05-06T00:00:00"/>
    <n v="56"/>
    <x v="1"/>
    <x v="5"/>
    <x v="1"/>
    <x v="0"/>
    <m/>
    <m/>
    <m/>
  </r>
  <r>
    <s v="60.02"/>
    <x v="122"/>
    <x v="782"/>
    <s v="Списание с расчетного счета 00БП-003343 от 03.06.2025 17:38:55"/>
    <s v="03.06.25"/>
    <n v="3790"/>
    <m/>
    <m/>
    <d v="2025-06-03T00:00:00"/>
    <n v="28"/>
    <x v="2"/>
    <x v="5"/>
    <x v="1"/>
    <x v="0"/>
    <m/>
    <m/>
    <m/>
  </r>
  <r>
    <s v="60.02"/>
    <x v="122"/>
    <x v="783"/>
    <s v="Списание с расчетного счета 00БП-003845 от 16.06.2025 18:31:10"/>
    <s v="16.06.25"/>
    <n v="16890"/>
    <m/>
    <m/>
    <d v="2025-06-16T00:00:00"/>
    <n v="15"/>
    <x v="2"/>
    <x v="5"/>
    <x v="1"/>
    <x v="0"/>
    <m/>
    <m/>
    <m/>
  </r>
  <r>
    <s v="60.02"/>
    <x v="122"/>
    <x v="784"/>
    <s v="Списание с расчетного счета 00БП-004018 от 20.06.2025 19:02:41"/>
    <s v="20.06.25"/>
    <n v="125186"/>
    <m/>
    <m/>
    <d v="2025-06-20T00:00:00"/>
    <n v="11"/>
    <x v="2"/>
    <x v="5"/>
    <x v="1"/>
    <x v="0"/>
    <m/>
    <m/>
    <m/>
  </r>
  <r>
    <s v="60.02"/>
    <x v="122"/>
    <x v="785"/>
    <s v="Списание с расчетного счета 00БП-004003 от 20.06.2025 19:02:26"/>
    <s v="20.06.25"/>
    <n v="1632"/>
    <m/>
    <m/>
    <d v="2025-06-20T00:00:00"/>
    <n v="11"/>
    <x v="2"/>
    <x v="5"/>
    <x v="1"/>
    <x v="0"/>
    <m/>
    <m/>
    <m/>
  </r>
  <r>
    <s v="60.02"/>
    <x v="122"/>
    <x v="786"/>
    <s v="Списание с расчетного счета 00БП-004061 от 23.06.2025 18:09:39"/>
    <s v="23.06.25"/>
    <n v="28785"/>
    <m/>
    <m/>
    <d v="2025-06-23T00:00:00"/>
    <n v="8"/>
    <x v="2"/>
    <x v="5"/>
    <x v="1"/>
    <x v="0"/>
    <m/>
    <m/>
    <m/>
  </r>
  <r>
    <s v="60.02"/>
    <x v="122"/>
    <x v="787"/>
    <s v="Списание с расчетного счета 00БП-004130 от 26.06.2025 21:32:18"/>
    <s v="26.06.25"/>
    <n v="2100"/>
    <m/>
    <m/>
    <d v="2025-06-26T00:00:00"/>
    <n v="5"/>
    <x v="2"/>
    <x v="5"/>
    <x v="1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817"/>
    <x v="5"/>
    <x v="5"/>
    <x v="1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636"/>
    <x v="5"/>
    <x v="5"/>
    <x v="1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2160"/>
    <x v="5"/>
    <x v="5"/>
    <x v="1"/>
    <x v="8"/>
    <m/>
    <m/>
    <m/>
  </r>
  <r>
    <s v="60.02"/>
    <x v="307"/>
    <x v="788"/>
    <s v="Списание с расчетного счета 00БП-003942 от 18.06.2025 21:50:49"/>
    <s v="18.06.25"/>
    <n v="89400"/>
    <m/>
    <m/>
    <d v="2025-06-18T00:00:00"/>
    <n v="13"/>
    <x v="2"/>
    <x v="5"/>
    <x v="1"/>
    <x v="0"/>
    <m/>
    <m/>
    <m/>
  </r>
  <r>
    <s v="60.02"/>
    <x v="125"/>
    <x v="571"/>
    <s v="Списание с расчетного счета 00БП-001766 от 14.04.2025 19:30:11"/>
    <s v="14.04.25"/>
    <n v="50600"/>
    <m/>
    <m/>
    <d v="2025-04-14T00:00:00"/>
    <n v="78"/>
    <x v="1"/>
    <x v="5"/>
    <x v="1"/>
    <x v="0"/>
    <m/>
    <m/>
    <m/>
  </r>
  <r>
    <s v="60.02"/>
    <x v="308"/>
    <x v="789"/>
    <s v="Списание с расчетного счета 00БП-001897 от 17.04.2025 22:08:49"/>
    <s v="17.04.25"/>
    <n v="85000"/>
    <m/>
    <m/>
    <d v="2025-04-17T00:00:00"/>
    <n v="75"/>
    <x v="1"/>
    <x v="5"/>
    <x v="1"/>
    <x v="0"/>
    <m/>
    <m/>
    <m/>
  </r>
  <r>
    <s v="60.02"/>
    <x v="308"/>
    <x v="789"/>
    <s v="Списание с расчетного счета 00БП-001913 от 18.04.2025 18:38:32"/>
    <s v="18.04.25"/>
    <n v="15000"/>
    <m/>
    <m/>
    <d v="2025-04-18T00:00:00"/>
    <n v="74"/>
    <x v="1"/>
    <x v="5"/>
    <x v="1"/>
    <x v="0"/>
    <m/>
    <m/>
    <m/>
  </r>
  <r>
    <s v="60.02"/>
    <x v="308"/>
    <x v="789"/>
    <s v="Списание с расчетного счета 00БП-001958 от 21.04.2025 21:57:26"/>
    <s v="21.04.25"/>
    <n v="150000"/>
    <m/>
    <m/>
    <d v="2025-04-21T00:00:00"/>
    <n v="71"/>
    <x v="1"/>
    <x v="5"/>
    <x v="1"/>
    <x v="0"/>
    <m/>
    <m/>
    <m/>
  </r>
  <r>
    <s v="60.02"/>
    <x v="237"/>
    <x v="238"/>
    <s v="Авансовый отчет 00БП-000022 от 28.02.2025 15:23:33"/>
    <s v="28.02.25"/>
    <n v="4100"/>
    <m/>
    <m/>
    <d v="2025-02-28T00:00:00"/>
    <n v="123"/>
    <x v="0"/>
    <x v="5"/>
    <x v="1"/>
    <x v="0"/>
    <m/>
    <m/>
    <m/>
  </r>
  <r>
    <s v="60.02"/>
    <x v="309"/>
    <x v="790"/>
    <s v="Списание с расчетного счета 00БП-003059 от 26.05.2025 22:23:13"/>
    <s v="26.05.25"/>
    <n v="82283"/>
    <m/>
    <m/>
    <d v="2025-05-26T00:00:00"/>
    <n v="36"/>
    <x v="1"/>
    <x v="5"/>
    <x v="1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447"/>
    <x v="5"/>
    <x v="5"/>
    <x v="1"/>
    <x v="2"/>
    <m/>
    <m/>
    <m/>
  </r>
  <r>
    <s v="60.02"/>
    <x v="127"/>
    <x v="791"/>
    <s v="Списание с расчетного счета 00БП-000201 от 05.02.2025 12:00:09"/>
    <s v="05.02.25"/>
    <n v="2881256.7"/>
    <m/>
    <m/>
    <d v="2025-02-05T00:00:00"/>
    <n v="146"/>
    <x v="0"/>
    <x v="5"/>
    <x v="1"/>
    <x v="0"/>
    <m/>
    <m/>
    <m/>
  </r>
  <r>
    <s v="60.02"/>
    <x v="239"/>
    <x v="576"/>
    <s v="Списание с расчетного счета 00БП-001079 от 28.03.2025 21:31:11"/>
    <s v="28.03.25"/>
    <n v="7010"/>
    <m/>
    <m/>
    <d v="2025-03-28T00:00:00"/>
    <n v="95"/>
    <x v="4"/>
    <x v="5"/>
    <x v="1"/>
    <x v="0"/>
    <m/>
    <m/>
    <m/>
  </r>
  <r>
    <s v="60.02"/>
    <x v="310"/>
    <x v="792"/>
    <s v="Списание с расчетного счета 00БП-003289 от 30.05.2025 23:53:13"/>
    <s v="30.05.25"/>
    <n v="11030.4"/>
    <m/>
    <m/>
    <d v="2025-05-30T00:00:00"/>
    <n v="32"/>
    <x v="1"/>
    <x v="5"/>
    <x v="1"/>
    <x v="0"/>
    <m/>
    <m/>
    <m/>
  </r>
  <r>
    <s v="60.02"/>
    <x v="310"/>
    <x v="793"/>
    <s v="Списание с расчетного счета 00БП-003851 от 16.06.2025 18:31:16"/>
    <s v="16.06.25"/>
    <n v="55822.96"/>
    <m/>
    <m/>
    <d v="2025-06-16T00:00:00"/>
    <n v="15"/>
    <x v="2"/>
    <x v="5"/>
    <x v="1"/>
    <x v="0"/>
    <m/>
    <m/>
    <m/>
  </r>
  <r>
    <s v="60.02"/>
    <x v="310"/>
    <x v="794"/>
    <s v="Списание с расчетного счета 00БП-001251 от 03.04.2025 19:18:45"/>
    <s v="03.04.25"/>
    <n v="44861.73"/>
    <m/>
    <m/>
    <d v="2025-04-03T00:00:00"/>
    <n v="89"/>
    <x v="1"/>
    <x v="5"/>
    <x v="1"/>
    <x v="0"/>
    <m/>
    <m/>
    <m/>
  </r>
  <r>
    <s v="60.02"/>
    <x v="130"/>
    <x v="795"/>
    <s v="Списание с расчетного счета 00БП-003931 от 18.06.2025 21:50:38"/>
    <s v="18.06.25"/>
    <n v="4000"/>
    <m/>
    <m/>
    <d v="2025-06-18T00:00:00"/>
    <n v="13"/>
    <x v="2"/>
    <x v="5"/>
    <x v="1"/>
    <x v="0"/>
    <m/>
    <m/>
    <m/>
  </r>
  <r>
    <s v="60.02"/>
    <x v="130"/>
    <x v="295"/>
    <s v="Списание с расчетного счета 00БП-001221 от 02.04.2025 17:47:06"/>
    <s v="02.04.25"/>
    <n v="14000"/>
    <m/>
    <m/>
    <d v="2025-04-02T00:00:00"/>
    <n v="90"/>
    <x v="1"/>
    <x v="5"/>
    <x v="1"/>
    <x v="2"/>
    <m/>
    <m/>
    <m/>
  </r>
  <r>
    <s v="60.02"/>
    <x v="133"/>
    <x v="796"/>
    <s v="Списание с расчетного счета 00БП-003978 от 19.06.2025 19:28:41"/>
    <s v="19.06.25"/>
    <n v="39600"/>
    <m/>
    <m/>
    <d v="2025-06-19T00:00:00"/>
    <n v="12"/>
    <x v="2"/>
    <x v="5"/>
    <x v="1"/>
    <x v="0"/>
    <m/>
    <m/>
    <m/>
  </r>
  <r>
    <s v="60.02"/>
    <x v="311"/>
    <x v="797"/>
    <s v="Списание с расчетного счета 00БП-004056 от 23.06.2025 18:09:34"/>
    <s v="23.06.25"/>
    <n v="12820"/>
    <m/>
    <m/>
    <d v="2025-06-23T00:00:00"/>
    <n v="8"/>
    <x v="2"/>
    <x v="5"/>
    <x v="1"/>
    <x v="0"/>
    <m/>
    <m/>
    <m/>
  </r>
  <r>
    <s v="60.02"/>
    <x v="312"/>
    <x v="798"/>
    <s v="Списание с расчетного счета 00БП-004013 от 20.06.2025 19:02:36"/>
    <s v="20.06.25"/>
    <n v="28923"/>
    <m/>
    <m/>
    <d v="2025-06-20T00:00:00"/>
    <n v="11"/>
    <x v="2"/>
    <x v="5"/>
    <x v="1"/>
    <x v="0"/>
    <m/>
    <m/>
    <m/>
  </r>
  <r>
    <s v="60.02"/>
    <x v="241"/>
    <x v="799"/>
    <s v="Списание с расчетного счета 00БП-003971 от 19.06.2025 19:28:34"/>
    <s v="19.06.25"/>
    <n v="3880"/>
    <m/>
    <m/>
    <d v="2025-06-19T00:00:00"/>
    <n v="12"/>
    <x v="2"/>
    <x v="5"/>
    <x v="1"/>
    <x v="0"/>
    <m/>
    <m/>
    <m/>
  </r>
  <r>
    <s v="60.02"/>
    <x v="313"/>
    <x v="800"/>
    <s v="Списание с расчетного счета 00БП-004055 от 23.06.2025 18:09:33"/>
    <s v="23.06.25"/>
    <n v="12710"/>
    <m/>
    <m/>
    <d v="2025-06-23T00:00:00"/>
    <n v="8"/>
    <x v="2"/>
    <x v="5"/>
    <x v="1"/>
    <x v="0"/>
    <m/>
    <m/>
    <m/>
  </r>
  <r>
    <s v="60.02"/>
    <x v="314"/>
    <x v="801"/>
    <s v="Списание с расчетного счета 00БП-004147 от 27.06.2025 17:35:40"/>
    <s v="27.06.25"/>
    <n v="2599"/>
    <m/>
    <m/>
    <d v="2025-06-27T00:00:00"/>
    <n v="4"/>
    <x v="2"/>
    <x v="5"/>
    <x v="1"/>
    <x v="0"/>
    <m/>
    <m/>
    <m/>
  </r>
  <r>
    <s v="60.02"/>
    <x v="315"/>
    <x v="802"/>
    <s v="Списание с расчетного счета 00БП-002074 от 25.04.2025 18:59:25"/>
    <s v="25.04.25"/>
    <n v="11500"/>
    <m/>
    <m/>
    <d v="2025-04-25T00:00:00"/>
    <n v="67"/>
    <x v="1"/>
    <x v="5"/>
    <x v="1"/>
    <x v="0"/>
    <m/>
    <m/>
    <m/>
  </r>
  <r>
    <s v="60.02"/>
    <x v="242"/>
    <x v="803"/>
    <s v="Списание с расчетного счета 00БП-003222 от 28.05.2025 21:55:53"/>
    <s v="28.05.25"/>
    <n v="71410"/>
    <m/>
    <m/>
    <d v="2025-05-28T00:00:00"/>
    <n v="34"/>
    <x v="1"/>
    <x v="5"/>
    <x v="1"/>
    <x v="0"/>
    <m/>
    <m/>
    <m/>
  </r>
  <r>
    <s v="60.02"/>
    <x v="242"/>
    <x v="581"/>
    <s v="Списание с расчетного счета 00БП-003457 от 06.06.2025 18:48:53"/>
    <s v="06.06.25"/>
    <n v="71410"/>
    <m/>
    <m/>
    <d v="2025-06-06T00:00:00"/>
    <n v="25"/>
    <x v="2"/>
    <x v="5"/>
    <x v="1"/>
    <x v="0"/>
    <m/>
    <m/>
    <m/>
  </r>
  <r>
    <s v="60.02"/>
    <x v="316"/>
    <x v="804"/>
    <s v="Списание с расчетного счета 00БП-002828 от 15.05.2025 18:23:30"/>
    <s v="15.05.25"/>
    <n v="226090"/>
    <m/>
    <m/>
    <d v="2025-05-15T00:00:00"/>
    <n v="47"/>
    <x v="1"/>
    <x v="5"/>
    <x v="1"/>
    <x v="0"/>
    <m/>
    <m/>
    <m/>
  </r>
  <r>
    <s v="60.02"/>
    <x v="243"/>
    <x v="582"/>
    <s v="Списание с расчетного счета 00БП-003544 от 10.06.2025 19:31:35"/>
    <s v="10.06.25"/>
    <n v="89060"/>
    <m/>
    <m/>
    <d v="2025-06-10T00:00:00"/>
    <n v="21"/>
    <x v="2"/>
    <x v="5"/>
    <x v="1"/>
    <x v="0"/>
    <m/>
    <m/>
    <m/>
  </r>
  <r>
    <s v="60.02"/>
    <x v="137"/>
    <x v="303"/>
    <s v="Списание с расчетного счета 00БП-000703 от 13.03.2025 18:55:48"/>
    <s v="13.03.25"/>
    <n v="252667.4"/>
    <m/>
    <m/>
    <d v="2025-03-13T00:00:00"/>
    <n v="110"/>
    <x v="4"/>
    <x v="5"/>
    <x v="1"/>
    <x v="16"/>
    <m/>
    <m/>
    <m/>
  </r>
  <r>
    <s v="60.02"/>
    <x v="317"/>
    <x v="73"/>
    <s v="Авансовый отчет 00БП-000056 от 19.03.2025 12:24:29"/>
    <s v="19.03.25"/>
    <n v="1600"/>
    <m/>
    <m/>
    <d v="2025-03-19T00:00:00"/>
    <n v="104"/>
    <x v="4"/>
    <x v="5"/>
    <x v="1"/>
    <x v="0"/>
    <m/>
    <m/>
    <m/>
  </r>
  <r>
    <s v="60.02"/>
    <x v="141"/>
    <x v="805"/>
    <s v="Авансовый отчет 00БП-000188 от 22.05.2025 12:21:08"/>
    <s v="22.05.25"/>
    <n v="6480"/>
    <m/>
    <m/>
    <d v="2025-05-22T00:00:00"/>
    <n v="40"/>
    <x v="1"/>
    <x v="5"/>
    <x v="1"/>
    <x v="0"/>
    <m/>
    <m/>
    <m/>
  </r>
  <r>
    <s v="60.02"/>
    <x v="141"/>
    <x v="308"/>
    <s v="Списание с расчетного счета 00БП-001386 от 08.04.2025 23:49:32"/>
    <s v="08.04.25"/>
    <n v="31000"/>
    <m/>
    <m/>
    <d v="2025-04-08T00:00:00"/>
    <n v="84"/>
    <x v="1"/>
    <x v="5"/>
    <x v="1"/>
    <x v="8"/>
    <m/>
    <m/>
    <m/>
  </r>
  <r>
    <s v="60.02"/>
    <x v="142"/>
    <x v="309"/>
    <s v="Списание с расчетного счета 00БП-001145 от 31.03.2025 23:59:59"/>
    <s v="31.03.25"/>
    <n v="32000"/>
    <m/>
    <m/>
    <d v="2025-03-31T00:00:00"/>
    <n v="92"/>
    <x v="4"/>
    <x v="5"/>
    <x v="1"/>
    <x v="8"/>
    <m/>
    <m/>
    <m/>
  </r>
  <r>
    <s v="60.02"/>
    <x v="143"/>
    <x v="310"/>
    <s v="Списание с расчетного счета 00БП-001193 от 01.04.2025 17:50:24"/>
    <s v="01.04.25"/>
    <n v="4295409.2"/>
    <m/>
    <m/>
    <d v="2025-04-01T00:00:00"/>
    <n v="91"/>
    <x v="4"/>
    <x v="5"/>
    <x v="1"/>
    <x v="0"/>
    <m/>
    <m/>
    <m/>
  </r>
  <r>
    <s v="60.02"/>
    <x v="144"/>
    <x v="311"/>
    <s v="Списание с расчетного счета 00БП-000930 от 25.03.2025 17:52:15"/>
    <s v="25.03.25"/>
    <n v="20740"/>
    <m/>
    <m/>
    <d v="2025-03-25T00:00:00"/>
    <n v="98"/>
    <x v="4"/>
    <x v="5"/>
    <x v="1"/>
    <x v="2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305"/>
    <x v="6"/>
    <x v="5"/>
    <x v="1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266"/>
    <x v="3"/>
    <x v="5"/>
    <x v="1"/>
    <x v="18"/>
    <m/>
    <s v="Экологический отдел"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1245"/>
    <x v="5"/>
    <x v="5"/>
    <x v="1"/>
    <x v="2"/>
    <m/>
    <m/>
    <m/>
  </r>
  <r>
    <s v="60.02"/>
    <x v="147"/>
    <x v="382"/>
    <s v="Списание с расчетного счета 00БП-000936 от 25.03.2025 17:52:21"/>
    <s v="25.03.25"/>
    <n v="186197"/>
    <m/>
    <m/>
    <d v="2025-03-25T00:00:00"/>
    <n v="98"/>
    <x v="4"/>
    <x v="5"/>
    <x v="1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320"/>
    <x v="6"/>
    <x v="5"/>
    <x v="1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615"/>
    <x v="5"/>
    <x v="5"/>
    <x v="1"/>
    <x v="0"/>
    <m/>
    <m/>
    <m/>
  </r>
  <r>
    <s v="60.02"/>
    <x v="149"/>
    <x v="317"/>
    <s v="Списание с расчетного счета 00БП-002336 от 05.05.2025 19:41:05"/>
    <s v="05.05.25"/>
    <n v="114852.13"/>
    <m/>
    <m/>
    <d v="2025-05-05T00:00:00"/>
    <n v="57"/>
    <x v="1"/>
    <x v="5"/>
    <x v="1"/>
    <x v="0"/>
    <m/>
    <m/>
    <m/>
  </r>
  <r>
    <s v="60.02"/>
    <x v="149"/>
    <x v="588"/>
    <s v="Списание с расчетного счета 00БП-002985 от 22.05.2025 18:45:28"/>
    <s v="22.05.25"/>
    <n v="29109.599999999999"/>
    <m/>
    <m/>
    <d v="2025-05-22T00:00:00"/>
    <n v="40"/>
    <x v="1"/>
    <x v="5"/>
    <x v="1"/>
    <x v="0"/>
    <m/>
    <m/>
    <m/>
  </r>
  <r>
    <s v="60.02"/>
    <x v="150"/>
    <x v="395"/>
    <s v="Списание с расчетного счета 00БП-000608 от 11.03.2025 17:05:30"/>
    <s v="11.03.25"/>
    <n v="75000"/>
    <m/>
    <m/>
    <d v="2025-03-11T00:00:00"/>
    <n v="112"/>
    <x v="4"/>
    <x v="5"/>
    <x v="1"/>
    <x v="0"/>
    <m/>
    <m/>
    <m/>
  </r>
  <r>
    <s v="60.02"/>
    <x v="248"/>
    <x v="806"/>
    <s v="Списание с расчетного счета 00БП-004096 от 24.06.2025 23:59:59"/>
    <s v="24.06.25"/>
    <n v="32400"/>
    <m/>
    <m/>
    <d v="2025-06-24T00:00:00"/>
    <n v="7"/>
    <x v="2"/>
    <x v="5"/>
    <x v="1"/>
    <x v="0"/>
    <m/>
    <m/>
    <m/>
  </r>
  <r>
    <s v="60.02"/>
    <x v="248"/>
    <x v="589"/>
    <s v="Списание с расчетного счета 00БП-002338 от 05.05.2025 19:41:07"/>
    <s v="05.05.25"/>
    <n v="12500"/>
    <m/>
    <m/>
    <d v="2025-05-05T00:00:00"/>
    <n v="57"/>
    <x v="1"/>
    <x v="5"/>
    <x v="1"/>
    <x v="0"/>
    <m/>
    <m/>
    <m/>
  </r>
  <r>
    <s v="60.02"/>
    <x v="151"/>
    <x v="319"/>
    <s v="Списание с расчетного счета 00БП-000655 от 12.03.2025 18:04:03"/>
    <s v="12.03.25"/>
    <n v="47400"/>
    <m/>
    <m/>
    <d v="2025-03-12T00:00:00"/>
    <n v="111"/>
    <x v="4"/>
    <x v="5"/>
    <x v="1"/>
    <x v="19"/>
    <m/>
    <m/>
    <m/>
  </r>
  <r>
    <s v="60.02"/>
    <x v="249"/>
    <x v="590"/>
    <s v="Списание с расчетного счета 00БП-000726 от 13.03.2025 18:56:14"/>
    <s v="13.03.25"/>
    <n v="1145682"/>
    <m/>
    <m/>
    <d v="2025-03-13T00:00:00"/>
    <n v="110"/>
    <x v="4"/>
    <x v="5"/>
    <x v="1"/>
    <x v="0"/>
    <m/>
    <m/>
    <m/>
  </r>
  <r>
    <s v="60.02"/>
    <x v="153"/>
    <x v="807"/>
    <s v="Списание с расчетного счета 00БП-000762 от 17.03.2025 17:48:09"/>
    <s v="17.03.25"/>
    <n v="150000"/>
    <m/>
    <m/>
    <d v="2025-03-17T00:00:00"/>
    <n v="106"/>
    <x v="4"/>
    <x v="5"/>
    <x v="1"/>
    <x v="0"/>
    <m/>
    <m/>
    <m/>
  </r>
  <r>
    <s v="60.02"/>
    <x v="153"/>
    <x v="808"/>
    <s v="Списание с расчетного счета 00БП-000790 от 18.03.2025 17:04:01"/>
    <s v="18.03.25"/>
    <n v="84000"/>
    <m/>
    <m/>
    <d v="2025-03-18T00:00:00"/>
    <n v="105"/>
    <x v="4"/>
    <x v="5"/>
    <x v="1"/>
    <x v="0"/>
    <m/>
    <m/>
    <m/>
  </r>
  <r>
    <s v="60.02"/>
    <x v="153"/>
    <x v="809"/>
    <s v="Списание с расчетного счета 00БП-001248 от 03.04.2025 19:18:42"/>
    <s v="03.04.25"/>
    <n v="84000"/>
    <m/>
    <m/>
    <d v="2025-04-03T00:00:00"/>
    <n v="89"/>
    <x v="1"/>
    <x v="5"/>
    <x v="1"/>
    <x v="0"/>
    <m/>
    <m/>
    <m/>
  </r>
  <r>
    <s v="60.02"/>
    <x v="153"/>
    <x v="809"/>
    <s v="Списание с расчетного счета 00БП-002963 от 21.05.2025 20:10:54"/>
    <s v="21.05.25"/>
    <n v="154000"/>
    <m/>
    <m/>
    <d v="2025-05-21T00:00:00"/>
    <n v="41"/>
    <x v="1"/>
    <x v="5"/>
    <x v="1"/>
    <x v="0"/>
    <m/>
    <m/>
    <m/>
  </r>
  <r>
    <s v="60.02"/>
    <x v="153"/>
    <x v="810"/>
    <s v="Списание с расчетного счета 00БП-002333 от 05.05.2025 19:41:02"/>
    <s v="05.05.25"/>
    <n v="90000"/>
    <m/>
    <m/>
    <d v="2025-05-05T00:00:00"/>
    <n v="57"/>
    <x v="1"/>
    <x v="5"/>
    <x v="1"/>
    <x v="0"/>
    <m/>
    <m/>
    <m/>
  </r>
  <r>
    <s v="60.02"/>
    <x v="153"/>
    <x v="321"/>
    <s v="Списание с расчетного счета 00БП-003382 от 04.06.2025 18:58:23"/>
    <s v="04.06.25"/>
    <n v="60000"/>
    <m/>
    <m/>
    <d v="2025-06-04T00:00:00"/>
    <n v="27"/>
    <x v="2"/>
    <x v="5"/>
    <x v="1"/>
    <x v="8"/>
    <m/>
    <m/>
    <m/>
  </r>
  <r>
    <s v="60.02"/>
    <x v="153"/>
    <x v="322"/>
    <s v="Списание с расчетного счета 00БП-003379 от 04.06.2025 18:58:20"/>
    <s v="04.06.25"/>
    <n v="40500"/>
    <m/>
    <m/>
    <d v="2025-06-04T00:00:00"/>
    <n v="27"/>
    <x v="2"/>
    <x v="5"/>
    <x v="1"/>
    <x v="8"/>
    <m/>
    <m/>
    <m/>
  </r>
  <r>
    <s v="60.02"/>
    <x v="153"/>
    <x v="323"/>
    <s v="Списание с расчетного счета 00БП-004063 от 23.06.2025 18:09:41"/>
    <s v="23.06.25"/>
    <n v="90000"/>
    <m/>
    <m/>
    <d v="2025-06-23T00:00:00"/>
    <n v="8"/>
    <x v="2"/>
    <x v="5"/>
    <x v="1"/>
    <x v="8"/>
    <m/>
    <m/>
    <m/>
  </r>
  <r>
    <s v="60.02"/>
    <x v="153"/>
    <x v="324"/>
    <s v="Списание с расчетного счета 00БП-004062 от 23.06.2025 18:09:40"/>
    <s v="23.06.25"/>
    <n v="84000"/>
    <m/>
    <m/>
    <d v="2025-06-23T00:00:00"/>
    <n v="8"/>
    <x v="2"/>
    <x v="5"/>
    <x v="1"/>
    <x v="8"/>
    <m/>
    <m/>
    <m/>
  </r>
  <r>
    <s v="60.02"/>
    <x v="154"/>
    <x v="325"/>
    <s v="Списание с расчетного счета 00БП-003903 от 17.06.2025 22:58:29"/>
    <s v="17.06.25"/>
    <n v="9039"/>
    <m/>
    <m/>
    <d v="2025-06-17T00:00:00"/>
    <n v="14"/>
    <x v="2"/>
    <x v="5"/>
    <x v="1"/>
    <x v="0"/>
    <m/>
    <m/>
    <m/>
  </r>
  <r>
    <s v="60.02"/>
    <x v="318"/>
    <x v="73"/>
    <s v="Авансовый отчет 00БП-000175 от 05.05.2025 17:56:12"/>
    <s v="05.05.25"/>
    <n v="25600"/>
    <m/>
    <m/>
    <d v="2025-05-05T00:00:00"/>
    <n v="57"/>
    <x v="1"/>
    <x v="5"/>
    <x v="1"/>
    <x v="0"/>
    <m/>
    <m/>
    <m/>
  </r>
  <r>
    <s v="60.02"/>
    <x v="319"/>
    <x v="811"/>
    <s v="Списание с расчетного счета 00БП-001288 от 04.04.2025 19:33:37"/>
    <s v="04.04.25"/>
    <n v="12000"/>
    <m/>
    <m/>
    <d v="2025-04-04T00:00:00"/>
    <n v="88"/>
    <x v="1"/>
    <x v="5"/>
    <x v="1"/>
    <x v="0"/>
    <m/>
    <m/>
    <m/>
  </r>
  <r>
    <s v="60.02"/>
    <x v="320"/>
    <x v="812"/>
    <s v="Списание с расчетного счета 00БП-003908 от 17.06.2025 22:58:34"/>
    <s v="17.06.25"/>
    <n v="137900"/>
    <m/>
    <m/>
    <d v="2025-06-17T00:00:00"/>
    <n v="14"/>
    <x v="2"/>
    <x v="5"/>
    <x v="1"/>
    <x v="0"/>
    <m/>
    <m/>
    <m/>
  </r>
  <r>
    <s v="60.02"/>
    <x v="156"/>
    <x v="327"/>
    <s v="Списание с расчетного счета 00БП-001173 от 01.04.2025 17:50:04"/>
    <s v="01.04.25"/>
    <n v="86800"/>
    <m/>
    <m/>
    <d v="2025-04-01T00:00:00"/>
    <n v="91"/>
    <x v="4"/>
    <x v="5"/>
    <x v="1"/>
    <x v="8"/>
    <m/>
    <m/>
    <m/>
  </r>
  <r>
    <s v="60.02"/>
    <x v="321"/>
    <x v="813"/>
    <s v="Списание с расчетного счета 00БП-003225 от 28.05.2025 21:55:56"/>
    <s v="28.05.25"/>
    <n v="150000"/>
    <m/>
    <m/>
    <d v="2025-05-28T00:00:00"/>
    <n v="34"/>
    <x v="1"/>
    <x v="5"/>
    <x v="1"/>
    <x v="0"/>
    <m/>
    <m/>
    <m/>
  </r>
  <r>
    <s v="60.02"/>
    <x v="321"/>
    <x v="813"/>
    <s v="Списание с расчетного счета 00БП-004302 от 30.06.2025 23:59:59"/>
    <s v="30.06.25"/>
    <n v="148150"/>
    <m/>
    <m/>
    <d v="2025-06-30T00:00:00"/>
    <n v="1"/>
    <x v="2"/>
    <x v="5"/>
    <x v="1"/>
    <x v="0"/>
    <m/>
    <m/>
    <m/>
  </r>
  <r>
    <s v="60.02"/>
    <x v="322"/>
    <x v="814"/>
    <s v="Списание с расчетного счета 00БП-004294 от 30.06.2025 23:59:59"/>
    <s v="30.06.25"/>
    <n v="23368.799999999999"/>
    <m/>
    <m/>
    <d v="2025-06-30T00:00:00"/>
    <n v="1"/>
    <x v="2"/>
    <x v="5"/>
    <x v="1"/>
    <x v="0"/>
    <m/>
    <m/>
    <m/>
  </r>
  <r>
    <s v="60.02"/>
    <x v="323"/>
    <x v="815"/>
    <s v="Списание с расчетного счета 00БП-004050 от 23.06.2025 18:09:28"/>
    <s v="23.06.25"/>
    <n v="2800"/>
    <m/>
    <m/>
    <d v="2025-06-23T00:00:00"/>
    <n v="8"/>
    <x v="2"/>
    <x v="5"/>
    <x v="1"/>
    <x v="0"/>
    <m/>
    <m/>
    <m/>
  </r>
  <r>
    <s v="60.02"/>
    <x v="323"/>
    <x v="815"/>
    <s v="Списание с расчетного счета 00БП-004087 от 24.06.2025 23:59:59"/>
    <s v="24.06.25"/>
    <n v="0.8"/>
    <m/>
    <m/>
    <d v="2025-06-24T00:00:00"/>
    <n v="7"/>
    <x v="2"/>
    <x v="5"/>
    <x v="1"/>
    <x v="0"/>
    <m/>
    <m/>
    <m/>
  </r>
  <r>
    <s v="60.02"/>
    <x v="324"/>
    <x v="816"/>
    <s v="Списание с расчетного счета 00БП-009284 от 16.12.2024 15:20:53"/>
    <s v="16.12.24"/>
    <n v="554500"/>
    <m/>
    <m/>
    <d v="2024-12-16T00:00:00"/>
    <n v="197"/>
    <x v="3"/>
    <x v="5"/>
    <x v="1"/>
    <x v="0"/>
    <m/>
    <m/>
    <m/>
  </r>
  <r>
    <s v="60.02"/>
    <x v="325"/>
    <x v="817"/>
    <s v="Списание с расчетного счета 00БП-003485 от 09.06.2025 17:55:34"/>
    <s v="09.06.25"/>
    <n v="7380"/>
    <m/>
    <m/>
    <d v="2025-06-09T00:00:00"/>
    <n v="22"/>
    <x v="2"/>
    <x v="5"/>
    <x v="1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979"/>
    <x v="5"/>
    <x v="5"/>
    <x v="1"/>
    <x v="0"/>
    <m/>
    <m/>
    <m/>
  </r>
  <r>
    <s v="60.02"/>
    <x v="326"/>
    <x v="818"/>
    <s v="Списание с расчетного счета 00БП-002908 от 19.05.2025 18:19:52"/>
    <s v="19.05.25"/>
    <n v="215452.04"/>
    <m/>
    <m/>
    <d v="2025-05-19T00:00:00"/>
    <n v="43"/>
    <x v="1"/>
    <x v="5"/>
    <x v="1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285"/>
    <x v="6"/>
    <x v="5"/>
    <x v="1"/>
    <x v="13"/>
    <m/>
    <m/>
    <m/>
  </r>
  <r>
    <s v="60.32"/>
    <x v="327"/>
    <x v="819"/>
    <s v="Списание с расчетного счета 00БП-000090 от 22.01.2025 17:16:53"/>
    <s v="22.01.25"/>
    <n v="94506324"/>
    <m/>
    <m/>
    <d v="2025-01-22T00:00:00"/>
    <n v="160"/>
    <x v="0"/>
    <x v="5"/>
    <x v="1"/>
    <x v="0"/>
    <m/>
    <m/>
    <m/>
  </r>
  <r>
    <s v="60.32"/>
    <x v="327"/>
    <x v="819"/>
    <s v="Списание с расчетного счета 00БП-003303 от 30.05.2025 23:53:27"/>
    <s v="30.05.25"/>
    <n v="27129170.5"/>
    <m/>
    <m/>
    <d v="2025-05-30T00:00:00"/>
    <n v="32"/>
    <x v="1"/>
    <x v="5"/>
    <x v="1"/>
    <x v="0"/>
    <m/>
    <m/>
    <m/>
  </r>
  <r>
    <s v="60.32"/>
    <x v="78"/>
    <x v="346"/>
    <s v="Списание с расчетного счета 00БП-000875 от 21.03.2025 17:21:00"/>
    <s v="21.03.25"/>
    <n v="4.22"/>
    <m/>
    <m/>
    <d v="2025-03-21T00:00:00"/>
    <n v="102"/>
    <x v="4"/>
    <x v="5"/>
    <x v="1"/>
    <x v="0"/>
    <m/>
    <m/>
    <m/>
  </r>
  <r>
    <s v="60.32"/>
    <x v="78"/>
    <x v="594"/>
    <s v="Списание с расчетного счета 00БП-009059 от 02.12.2024 16:28:38"/>
    <s v="02.12.24"/>
    <n v="15618063.76"/>
    <m/>
    <m/>
    <d v="2024-12-02T00:00:00"/>
    <n v="211"/>
    <x v="3"/>
    <x v="5"/>
    <x v="1"/>
    <x v="0"/>
    <m/>
    <m/>
    <m/>
  </r>
  <r>
    <s v="60.32"/>
    <x v="106"/>
    <x v="595"/>
    <s v="Списание с расчетного счета 00БП-005176 от 31.07.2024 23:59:59"/>
    <s v="31.07.24"/>
    <n v="348705"/>
    <m/>
    <m/>
    <d v="2024-07-31T00:00:00"/>
    <n v="335"/>
    <x v="6"/>
    <x v="5"/>
    <x v="1"/>
    <x v="0"/>
    <m/>
    <m/>
    <m/>
  </r>
  <r>
    <s v="60.02"/>
    <x v="0"/>
    <x v="820"/>
    <s v="Списание с расчетного счета 00БП-003158 от 16.06.2023 21:01:03"/>
    <s v="16.06.23"/>
    <n v="800"/>
    <m/>
    <m/>
    <d v="2023-06-16T00:00:00"/>
    <n v="655"/>
    <x v="5"/>
    <x v="6"/>
    <x v="1"/>
    <x v="0"/>
    <m/>
    <m/>
    <m/>
  </r>
  <r>
    <s v="60.02"/>
    <x v="1"/>
    <x v="821"/>
    <s v="Списание с расчетного счета 00БП-009294 от 17.12.2024 14:30:13"/>
    <s v="17.12.24"/>
    <n v="14770"/>
    <m/>
    <m/>
    <d v="2024-12-17T00:00:00"/>
    <n v="105"/>
    <x v="4"/>
    <x v="6"/>
    <x v="1"/>
    <x v="0"/>
    <m/>
    <m/>
    <m/>
  </r>
  <r>
    <s v="60.02"/>
    <x v="3"/>
    <x v="822"/>
    <s v="Списание с расчетного счета 00БП-000668 от 12.03.2025 18:04:16"/>
    <s v="12.03.25"/>
    <n v="6735764.7699999996"/>
    <m/>
    <m/>
    <d v="2025-03-12T00:00:00"/>
    <n v="20"/>
    <x v="2"/>
    <x v="6"/>
    <x v="1"/>
    <x v="0"/>
    <m/>
    <m/>
    <m/>
  </r>
  <r>
    <s v="60.02"/>
    <x v="3"/>
    <x v="822"/>
    <s v="Списание с расчетного счета 00БП-000798 от 18.03.2025 17:04:09"/>
    <s v="18.03.25"/>
    <n v="2886756.33"/>
    <m/>
    <m/>
    <d v="2025-03-18T00:00:00"/>
    <n v="14"/>
    <x v="2"/>
    <x v="6"/>
    <x v="1"/>
    <x v="0"/>
    <m/>
    <m/>
    <m/>
  </r>
  <r>
    <s v="60.02"/>
    <x v="3"/>
    <x v="823"/>
    <s v="Списание с расчетного счета 00БП-000089 от 22.01.2025 17:16:52"/>
    <s v="22.01.25"/>
    <n v="16156907.029999999"/>
    <m/>
    <m/>
    <d v="2025-01-22T00:00:00"/>
    <n v="69"/>
    <x v="1"/>
    <x v="6"/>
    <x v="1"/>
    <x v="0"/>
    <m/>
    <m/>
    <m/>
  </r>
  <r>
    <s v="60.02"/>
    <x v="3"/>
    <x v="823"/>
    <s v="Списание с расчетного счета 00БП-000369 от 26.02.2025 11:21:37"/>
    <s v="26.02.25"/>
    <n v="6924388.7199999997"/>
    <m/>
    <m/>
    <d v="2025-02-26T00:00:00"/>
    <n v="34"/>
    <x v="1"/>
    <x v="6"/>
    <x v="1"/>
    <x v="0"/>
    <m/>
    <m/>
    <m/>
  </r>
  <r>
    <s v="60.02"/>
    <x v="5"/>
    <x v="602"/>
    <s v="Списание с расчетного счета 00БП-000197 от 05.02.2025 12:00:05"/>
    <s v="05.02.25"/>
    <n v="173300"/>
    <m/>
    <m/>
    <d v="2025-02-05T00:00:00"/>
    <n v="55"/>
    <x v="1"/>
    <x v="6"/>
    <x v="1"/>
    <x v="0"/>
    <m/>
    <m/>
    <m/>
  </r>
  <r>
    <s v="60.02"/>
    <x v="5"/>
    <x v="603"/>
    <s v="Списание с расчетного счета 00БП-000709 от 13.03.2025 18:55:54"/>
    <s v="13.03.25"/>
    <n v="2176652"/>
    <m/>
    <m/>
    <d v="2025-03-13T00:00:00"/>
    <n v="19"/>
    <x v="2"/>
    <x v="6"/>
    <x v="1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697"/>
    <x v="5"/>
    <x v="6"/>
    <x v="1"/>
    <x v="0"/>
    <m/>
    <m/>
    <m/>
  </r>
  <r>
    <s v="60.02"/>
    <x v="8"/>
    <x v="824"/>
    <s v="Списание с расчетного счета 00БП-000927 от 25.03.2025 17:52:12"/>
    <s v="25.03.25"/>
    <n v="30000"/>
    <m/>
    <m/>
    <d v="2025-03-25T00:00:00"/>
    <n v="7"/>
    <x v="2"/>
    <x v="6"/>
    <x v="1"/>
    <x v="0"/>
    <m/>
    <m/>
    <m/>
  </r>
  <r>
    <s v="60.02"/>
    <x v="190"/>
    <x v="825"/>
    <s v="Списание с расчетного счета 00БП-000667 от 12.03.2025 18:04:15"/>
    <s v="12.03.25"/>
    <n v="3739900"/>
    <m/>
    <m/>
    <d v="2025-03-12T00:00:00"/>
    <n v="20"/>
    <x v="2"/>
    <x v="6"/>
    <x v="1"/>
    <x v="0"/>
    <m/>
    <m/>
    <m/>
  </r>
  <r>
    <s v="60.02"/>
    <x v="190"/>
    <x v="826"/>
    <s v="Списание с расчетного счета 00БП-000666 от 12.03.2025 18:04:14"/>
    <s v="12.03.25"/>
    <n v="3739900"/>
    <m/>
    <m/>
    <d v="2025-03-12T00:00:00"/>
    <n v="20"/>
    <x v="2"/>
    <x v="6"/>
    <x v="1"/>
    <x v="0"/>
    <m/>
    <m/>
    <m/>
  </r>
  <r>
    <s v="60.02"/>
    <x v="190"/>
    <x v="403"/>
    <s v="Списание с расчетного счета 00БП-000812 от 19.03.2025 15:53:58"/>
    <s v="19.03.25"/>
    <n v="63648"/>
    <m/>
    <m/>
    <d v="2025-03-19T00:00:00"/>
    <n v="13"/>
    <x v="2"/>
    <x v="6"/>
    <x v="1"/>
    <x v="0"/>
    <m/>
    <m/>
    <m/>
  </r>
  <r>
    <s v="60.02"/>
    <x v="190"/>
    <x v="404"/>
    <s v="Списание с расчетного счета 00БП-000811 от 19.03.2025 15:53:57"/>
    <s v="19.03.25"/>
    <n v="63648"/>
    <m/>
    <m/>
    <d v="2025-03-19T00:00:00"/>
    <n v="13"/>
    <x v="2"/>
    <x v="6"/>
    <x v="1"/>
    <x v="0"/>
    <m/>
    <m/>
    <m/>
  </r>
  <r>
    <s v="60.02"/>
    <x v="190"/>
    <x v="405"/>
    <s v="Списание с расчетного счета 00БП-000808 от 19.03.2025 15:53:54"/>
    <s v="19.03.25"/>
    <n v="33408"/>
    <m/>
    <m/>
    <d v="2025-03-19T00:00:00"/>
    <n v="13"/>
    <x v="2"/>
    <x v="6"/>
    <x v="1"/>
    <x v="0"/>
    <m/>
    <m/>
    <m/>
  </r>
  <r>
    <s v="60.02"/>
    <x v="190"/>
    <x v="406"/>
    <s v="Списание с расчетного счета 00БП-000809 от 19.03.2025 15:53:55"/>
    <s v="19.03.25"/>
    <n v="33408"/>
    <m/>
    <m/>
    <d v="2025-03-19T00:00:00"/>
    <n v="13"/>
    <x v="2"/>
    <x v="6"/>
    <x v="1"/>
    <x v="0"/>
    <m/>
    <m/>
    <m/>
  </r>
  <r>
    <s v="60.02"/>
    <x v="10"/>
    <x v="827"/>
    <s v="Списание с расчетного счета 00БП-009286 от 16.12.2024 15:20:55"/>
    <s v="16.12.24"/>
    <n v="63872028"/>
    <m/>
    <m/>
    <d v="2024-12-16T00:00:00"/>
    <n v="106"/>
    <x v="4"/>
    <x v="6"/>
    <x v="1"/>
    <x v="0"/>
    <m/>
    <m/>
    <m/>
  </r>
  <r>
    <s v="60.02"/>
    <x v="11"/>
    <x v="18"/>
    <s v="Списание с расчетного счета 00БП-000549 от 07.03.2025 17:21:16"/>
    <s v="07.03.25"/>
    <n v="198000"/>
    <m/>
    <m/>
    <d v="2025-03-07T00:00:00"/>
    <n v="25"/>
    <x v="2"/>
    <x v="6"/>
    <x v="1"/>
    <x v="1"/>
    <m/>
    <m/>
    <m/>
  </r>
  <r>
    <s v="60.02"/>
    <x v="12"/>
    <x v="828"/>
    <s v="Списание с расчетного счета 00БП-000855 от 20.03.2025 18:57:23"/>
    <s v="20.03.25"/>
    <n v="377676.6"/>
    <m/>
    <m/>
    <d v="2025-03-20T00:00:00"/>
    <n v="12"/>
    <x v="2"/>
    <x v="6"/>
    <x v="1"/>
    <x v="0"/>
    <m/>
    <m/>
    <m/>
  </r>
  <r>
    <s v="60.02"/>
    <x v="328"/>
    <x v="829"/>
    <s v="Списание с расчетного счета 00БП-000664 от 12.03.2025 18:04:12"/>
    <s v="12.03.25"/>
    <n v="3312506.05"/>
    <m/>
    <m/>
    <d v="2025-03-12T00:00:00"/>
    <n v="20"/>
    <x v="2"/>
    <x v="6"/>
    <x v="1"/>
    <x v="0"/>
    <m/>
    <m/>
    <m/>
  </r>
  <r>
    <s v="60.02"/>
    <x v="328"/>
    <x v="830"/>
    <s v="Списание с расчетного счета 00БП-000663 от 12.03.2025 18:04:11"/>
    <s v="12.03.25"/>
    <n v="1386364"/>
    <m/>
    <m/>
    <d v="2025-03-12T00:00:00"/>
    <n v="20"/>
    <x v="2"/>
    <x v="6"/>
    <x v="1"/>
    <x v="0"/>
    <m/>
    <m/>
    <m/>
  </r>
  <r>
    <s v="60.02"/>
    <x v="329"/>
    <x v="831"/>
    <s v="Списание с расчетного счета 00БП-000853 от 20.03.2025 18:57:21"/>
    <s v="20.03.25"/>
    <n v="351130"/>
    <m/>
    <m/>
    <d v="2025-03-20T00:00:00"/>
    <n v="12"/>
    <x v="2"/>
    <x v="6"/>
    <x v="1"/>
    <x v="0"/>
    <m/>
    <m/>
    <m/>
  </r>
  <r>
    <s v="60.02"/>
    <x v="259"/>
    <x v="613"/>
    <s v="Списание с расчетного счета 00БП-000694 от 13.03.2025 18:55:39"/>
    <s v="13.03.25"/>
    <n v="2940"/>
    <m/>
    <m/>
    <d v="2025-03-13T00:00:00"/>
    <n v="19"/>
    <x v="2"/>
    <x v="6"/>
    <x v="1"/>
    <x v="0"/>
    <m/>
    <m/>
    <m/>
  </r>
  <r>
    <s v="60.02"/>
    <x v="330"/>
    <x v="832"/>
    <s v="Списание с расчетного счета 00БП-000964 от 26.03.2025 19:28:49"/>
    <s v="26.03.25"/>
    <n v="415752.6"/>
    <m/>
    <m/>
    <d v="2025-03-26T00:00:00"/>
    <n v="6"/>
    <x v="2"/>
    <x v="6"/>
    <x v="1"/>
    <x v="0"/>
    <m/>
    <m/>
    <m/>
  </r>
  <r>
    <s v="60.02"/>
    <x v="16"/>
    <x v="833"/>
    <s v="Списание с расчетного счета 00БП-000665 от 12.03.2025 18:04:13"/>
    <s v="12.03.25"/>
    <n v="3409264.1"/>
    <m/>
    <m/>
    <d v="2025-03-12T00:00:00"/>
    <n v="20"/>
    <x v="2"/>
    <x v="6"/>
    <x v="1"/>
    <x v="0"/>
    <m/>
    <m/>
    <m/>
  </r>
  <r>
    <s v="60.02"/>
    <x v="16"/>
    <x v="833"/>
    <s v="Списание с расчетного счета 00БП-000708 от 13.03.2025 18:55:53"/>
    <s v="13.03.25"/>
    <n v="1704632"/>
    <m/>
    <m/>
    <d v="2025-03-13T00:00:00"/>
    <n v="19"/>
    <x v="2"/>
    <x v="6"/>
    <x v="1"/>
    <x v="0"/>
    <m/>
    <m/>
    <m/>
  </r>
  <r>
    <s v="60.02"/>
    <x v="262"/>
    <x v="622"/>
    <s v="Списание с расчетного счета 00БП-000908 от 14.03.2024 17:41:36"/>
    <s v="14.03.24"/>
    <n v="12470"/>
    <m/>
    <m/>
    <d v="2024-03-14T00:00:00"/>
    <n v="383"/>
    <x v="5"/>
    <x v="6"/>
    <x v="1"/>
    <x v="0"/>
    <m/>
    <m/>
    <m/>
  </r>
  <r>
    <s v="60.02"/>
    <x v="19"/>
    <x v="28"/>
    <s v="Списание с расчетного счета 00БП-009249 от 13.12.2024 12:00:03"/>
    <s v="13.12.24"/>
    <n v="49500"/>
    <m/>
    <m/>
    <d v="2024-12-13T00:00:00"/>
    <n v="109"/>
    <x v="4"/>
    <x v="6"/>
    <x v="1"/>
    <x v="0"/>
    <m/>
    <m/>
    <m/>
  </r>
  <r>
    <s v="60.02"/>
    <x v="263"/>
    <x v="623"/>
    <s v="Списание с расчетного счета 00БП-001227 от 31.03.2023 23:59:59"/>
    <s v="31.03.23"/>
    <n v="2818"/>
    <m/>
    <m/>
    <d v="2023-03-31T00:00:00"/>
    <n v="732"/>
    <x v="5"/>
    <x v="6"/>
    <x v="1"/>
    <x v="0"/>
    <m/>
    <m/>
    <m/>
  </r>
  <r>
    <s v="60.02"/>
    <x v="264"/>
    <x v="624"/>
    <s v="Списание с расчетного счета 00БП-000541 от 07.03.2025 17:21:08"/>
    <s v="07.03.25"/>
    <n v="10800"/>
    <m/>
    <m/>
    <d v="2025-03-07T00:00:00"/>
    <n v="25"/>
    <x v="2"/>
    <x v="6"/>
    <x v="1"/>
    <x v="0"/>
    <m/>
    <m/>
    <m/>
  </r>
  <r>
    <s v="60.02"/>
    <x v="22"/>
    <x v="625"/>
    <s v="Списание с расчетного счета 00БП-000180 от 04.02.2025 12:00:03"/>
    <s v="04.02.25"/>
    <n v="297353"/>
    <m/>
    <m/>
    <d v="2025-02-04T00:00:00"/>
    <n v="56"/>
    <x v="1"/>
    <x v="6"/>
    <x v="1"/>
    <x v="0"/>
    <m/>
    <m/>
    <m/>
  </r>
  <r>
    <s v="60.02"/>
    <x v="22"/>
    <x v="626"/>
    <s v="Списание с расчетного счета 00БП-000179 от 04.02.2025 12:00:02"/>
    <s v="04.02.25"/>
    <n v="134438"/>
    <m/>
    <m/>
    <d v="2025-02-04T00:00:00"/>
    <n v="56"/>
    <x v="1"/>
    <x v="6"/>
    <x v="1"/>
    <x v="0"/>
    <m/>
    <m/>
    <m/>
  </r>
  <r>
    <s v="60.02"/>
    <x v="22"/>
    <x v="627"/>
    <s v="Списание с расчетного счета 00БП-000178 от 04.02.2025 12:00:01"/>
    <s v="04.02.25"/>
    <n v="40000"/>
    <m/>
    <m/>
    <d v="2025-02-04T00:00:00"/>
    <n v="56"/>
    <x v="1"/>
    <x v="6"/>
    <x v="1"/>
    <x v="0"/>
    <m/>
    <m/>
    <m/>
  </r>
  <r>
    <s v="60.02"/>
    <x v="23"/>
    <x v="414"/>
    <s v="Списание с расчетного счета 00БП-000357 от 25.02.2025 17:04:16"/>
    <s v="25.02.25"/>
    <n v="685187.3"/>
    <m/>
    <m/>
    <d v="2025-02-25T00:00:00"/>
    <n v="35"/>
    <x v="1"/>
    <x v="6"/>
    <x v="1"/>
    <x v="0"/>
    <m/>
    <m/>
    <m/>
  </r>
  <r>
    <s v="60.02"/>
    <x v="23"/>
    <x v="415"/>
    <s v="Списание с расчетного счета 00БП-000153 от 30.01.2025 12:00:11"/>
    <s v="30.01.25"/>
    <n v="1434476.02"/>
    <m/>
    <m/>
    <d v="2025-01-30T00:00:00"/>
    <n v="61"/>
    <x v="1"/>
    <x v="6"/>
    <x v="1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349"/>
    <x v="6"/>
    <x v="6"/>
    <x v="1"/>
    <x v="9"/>
    <m/>
    <m/>
    <m/>
  </r>
  <r>
    <s v="60.02"/>
    <x v="331"/>
    <x v="834"/>
    <s v="Списание с расчетного счета 00БП-007178 от 07.10.2024 18:52:53"/>
    <s v="07.10.24"/>
    <n v="54800"/>
    <m/>
    <m/>
    <d v="2024-10-07T00:00:00"/>
    <n v="176"/>
    <x v="0"/>
    <x v="6"/>
    <x v="1"/>
    <x v="0"/>
    <m/>
    <m/>
    <m/>
  </r>
  <r>
    <s v="60.02"/>
    <x v="196"/>
    <x v="73"/>
    <s v="Авансовый отчет 00БП-000039 от 11.03.2025 12:18:02"/>
    <s v="11.03.25"/>
    <n v="400"/>
    <m/>
    <m/>
    <d v="2025-03-11T00:00:00"/>
    <n v="21"/>
    <x v="2"/>
    <x v="6"/>
    <x v="1"/>
    <x v="0"/>
    <m/>
    <m/>
    <m/>
  </r>
  <r>
    <s v="60.02"/>
    <x v="196"/>
    <x v="73"/>
    <s v="Авансовый отчет 00БП-000043 от 13.03.2025 15:17:17"/>
    <s v="13.03.25"/>
    <n v="26000"/>
    <m/>
    <m/>
    <d v="2025-03-13T00:00:00"/>
    <n v="19"/>
    <x v="2"/>
    <x v="6"/>
    <x v="1"/>
    <x v="0"/>
    <m/>
    <m/>
    <m/>
  </r>
  <r>
    <s v="60.02"/>
    <x v="196"/>
    <x v="73"/>
    <s v="Авансовый отчет 00БП-000057 от 19.03.2025 12:55:19"/>
    <s v="19.03.25"/>
    <n v="2300"/>
    <m/>
    <m/>
    <d v="2025-03-19T00:00:00"/>
    <n v="13"/>
    <x v="2"/>
    <x v="6"/>
    <x v="1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277"/>
    <x v="6"/>
    <x v="6"/>
    <x v="1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281"/>
    <x v="6"/>
    <x v="6"/>
    <x v="1"/>
    <x v="0"/>
    <m/>
    <m/>
    <m/>
  </r>
  <r>
    <s v="60.02"/>
    <x v="30"/>
    <x v="639"/>
    <s v="Списание с расчетного счета 00БП-006495 от 13.09.2024 18:48:10"/>
    <s v="13.09.24"/>
    <n v="6600"/>
    <m/>
    <m/>
    <d v="2024-09-13T00:00:00"/>
    <n v="200"/>
    <x v="3"/>
    <x v="6"/>
    <x v="1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309"/>
    <x v="6"/>
    <x v="6"/>
    <x v="1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267"/>
    <x v="3"/>
    <x v="6"/>
    <x v="1"/>
    <x v="0"/>
    <m/>
    <m/>
    <m/>
  </r>
  <r>
    <s v="60.02"/>
    <x v="197"/>
    <x v="429"/>
    <s v="Списание с расчетного счета 00БП-009102 от 03.12.2024 16:43:31"/>
    <s v="03.12.24"/>
    <n v="360000"/>
    <m/>
    <m/>
    <d v="2024-12-03T00:00:00"/>
    <n v="119"/>
    <x v="4"/>
    <x v="6"/>
    <x v="1"/>
    <x v="0"/>
    <m/>
    <m/>
    <m/>
  </r>
  <r>
    <s v="60.02"/>
    <x v="332"/>
    <x v="835"/>
    <s v="Списание с расчетного счета 00БП-000004 от 09.01.2025 12:00:10"/>
    <s v="09.01.25"/>
    <n v="40040"/>
    <m/>
    <m/>
    <d v="2025-01-09T00:00:00"/>
    <n v="82"/>
    <x v="1"/>
    <x v="6"/>
    <x v="1"/>
    <x v="0"/>
    <m/>
    <m/>
    <m/>
  </r>
  <r>
    <s v="60.02"/>
    <x v="31"/>
    <x v="836"/>
    <s v="Списание с расчетного счета 00БП-000609 от 11.03.2025 17:05:31"/>
    <s v="11.03.25"/>
    <n v="297024"/>
    <m/>
    <m/>
    <d v="2025-03-11T00:00:00"/>
    <n v="21"/>
    <x v="2"/>
    <x v="6"/>
    <x v="1"/>
    <x v="0"/>
    <m/>
    <m/>
    <m/>
  </r>
  <r>
    <s v="60.02"/>
    <x v="182"/>
    <x v="383"/>
    <s v="Списание с расчетного счета 00БП-009250 от 13.12.2024 12:00:04"/>
    <s v="13.12.24"/>
    <n v="160000"/>
    <m/>
    <m/>
    <d v="2024-12-13T00:00:00"/>
    <n v="109"/>
    <x v="4"/>
    <x v="6"/>
    <x v="1"/>
    <x v="0"/>
    <m/>
    <m/>
    <m/>
  </r>
  <r>
    <s v="60.02"/>
    <x v="36"/>
    <x v="641"/>
    <s v="Списание с расчетного счета 00БП-009396 от 27.12.2024 15:07:18"/>
    <s v="27.12.24"/>
    <n v="59580"/>
    <m/>
    <m/>
    <d v="2024-12-27T00:00:00"/>
    <n v="95"/>
    <x v="4"/>
    <x v="6"/>
    <x v="1"/>
    <x v="0"/>
    <m/>
    <m/>
    <m/>
  </r>
  <r>
    <s v="60.02"/>
    <x v="36"/>
    <x v="642"/>
    <s v="Списание с расчетного счета 00БП-000053 от 15.01.2025 12:46:18"/>
    <s v="15.01.25"/>
    <n v="306305.52"/>
    <m/>
    <m/>
    <d v="2025-01-15T00:00:00"/>
    <n v="76"/>
    <x v="1"/>
    <x v="6"/>
    <x v="1"/>
    <x v="0"/>
    <m/>
    <m/>
    <m/>
  </r>
  <r>
    <s v="60.02"/>
    <x v="36"/>
    <x v="643"/>
    <s v="Списание с расчетного счета 00БП-002737 от 15.05.2024 18:13:45"/>
    <s v="15.05.24"/>
    <n v="2323.89"/>
    <m/>
    <m/>
    <d v="2024-05-15T00:00:00"/>
    <n v="321"/>
    <x v="6"/>
    <x v="6"/>
    <x v="1"/>
    <x v="0"/>
    <m/>
    <m/>
    <m/>
  </r>
  <r>
    <s v="60.02"/>
    <x v="36"/>
    <x v="837"/>
    <s v="Списание с расчетного счета 00БП-000765 от 17.03.2025 17:48:12"/>
    <s v="17.03.25"/>
    <n v="295440"/>
    <m/>
    <m/>
    <d v="2025-03-17T00:00:00"/>
    <n v="15"/>
    <x v="2"/>
    <x v="6"/>
    <x v="1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1345"/>
    <x v="5"/>
    <x v="6"/>
    <x v="1"/>
    <x v="0"/>
    <m/>
    <m/>
    <m/>
  </r>
  <r>
    <s v="60.02"/>
    <x v="38"/>
    <x v="838"/>
    <s v="Списание с расчетного счета 00БП-000472 от 04.03.2025 16:22:11"/>
    <s v="04.03.25"/>
    <n v="1781406.54"/>
    <m/>
    <m/>
    <d v="2025-03-04T00:00:00"/>
    <n v="28"/>
    <x v="2"/>
    <x v="6"/>
    <x v="1"/>
    <x v="0"/>
    <m/>
    <m/>
    <m/>
  </r>
  <r>
    <s v="60.02"/>
    <x v="38"/>
    <x v="839"/>
    <s v="Списание с расчетного счета 00БП-001101 от 28.03.2025 21:31:33"/>
    <s v="28.03.25"/>
    <n v="1242695"/>
    <m/>
    <m/>
    <d v="2025-03-28T00:00:00"/>
    <n v="4"/>
    <x v="2"/>
    <x v="6"/>
    <x v="1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350"/>
    <x v="6"/>
    <x v="6"/>
    <x v="1"/>
    <x v="0"/>
    <m/>
    <m/>
    <m/>
  </r>
  <r>
    <s v="60.02"/>
    <x v="38"/>
    <x v="80"/>
    <s v="Списание с расчетного счета 00БП-000423 от 28.02.2025 23:59:59"/>
    <s v="28.02.25"/>
    <n v="29963"/>
    <m/>
    <m/>
    <d v="2025-02-28T00:00:00"/>
    <n v="32"/>
    <x v="1"/>
    <x v="6"/>
    <x v="1"/>
    <x v="2"/>
    <m/>
    <m/>
    <m/>
  </r>
  <r>
    <s v="60.02"/>
    <x v="333"/>
    <x v="840"/>
    <s v="Списание с расчетного счета 00БП-000453 от 03.03.2025 16:49:31"/>
    <s v="03.03.25"/>
    <n v="1721000"/>
    <m/>
    <m/>
    <d v="2025-03-03T00:00:00"/>
    <n v="29"/>
    <x v="2"/>
    <x v="6"/>
    <x v="1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299"/>
    <x v="6"/>
    <x v="6"/>
    <x v="1"/>
    <x v="9"/>
    <m/>
    <m/>
    <m/>
  </r>
  <r>
    <s v="60.02"/>
    <x v="40"/>
    <x v="841"/>
    <s v="Списание с расчетного счета 00БП-000807 от 19.03.2025 15:53:53"/>
    <s v="19.03.25"/>
    <n v="13169"/>
    <m/>
    <m/>
    <d v="2025-03-19T00:00:00"/>
    <n v="13"/>
    <x v="2"/>
    <x v="6"/>
    <x v="1"/>
    <x v="0"/>
    <m/>
    <m/>
    <m/>
  </r>
  <r>
    <s v="60.02"/>
    <x v="40"/>
    <x v="842"/>
    <s v="Списание с расчетного счета 00БП-001083 от 28.03.2025 21:31:15"/>
    <s v="28.03.25"/>
    <n v="27831"/>
    <m/>
    <m/>
    <d v="2025-03-28T00:00:00"/>
    <n v="4"/>
    <x v="2"/>
    <x v="6"/>
    <x v="1"/>
    <x v="0"/>
    <m/>
    <m/>
    <m/>
  </r>
  <r>
    <s v="60.02"/>
    <x v="40"/>
    <x v="843"/>
    <s v="Списание с расчетного счета 00БП-000027 от 13.01.2025 16:00:11"/>
    <s v="13.01.25"/>
    <n v="23945"/>
    <m/>
    <m/>
    <d v="2025-01-13T00:00:00"/>
    <n v="78"/>
    <x v="1"/>
    <x v="6"/>
    <x v="1"/>
    <x v="0"/>
    <m/>
    <m/>
    <m/>
  </r>
  <r>
    <s v="60.02"/>
    <x v="40"/>
    <x v="844"/>
    <s v="Списание с расчетного счета 00БП-000998 от 27.03.2025 20:55:03"/>
    <s v="27.03.25"/>
    <n v="7956"/>
    <m/>
    <m/>
    <d v="2025-03-27T00:00:00"/>
    <n v="5"/>
    <x v="2"/>
    <x v="6"/>
    <x v="1"/>
    <x v="0"/>
    <m/>
    <m/>
    <m/>
  </r>
  <r>
    <s v="60.02"/>
    <x v="40"/>
    <x v="845"/>
    <s v="Списание с расчетного счета 00БП-001078 от 28.03.2025 21:31:10"/>
    <s v="28.03.25"/>
    <n v="6608"/>
    <m/>
    <m/>
    <d v="2025-03-28T00:00:00"/>
    <n v="4"/>
    <x v="2"/>
    <x v="6"/>
    <x v="1"/>
    <x v="0"/>
    <m/>
    <m/>
    <m/>
  </r>
  <r>
    <s v="60.02"/>
    <x v="40"/>
    <x v="846"/>
    <s v="Списание с расчетного счета 00БП-000923 от 25.03.2025 17:52:08"/>
    <s v="25.03.25"/>
    <n v="10327"/>
    <m/>
    <m/>
    <d v="2025-03-25T00:00:00"/>
    <n v="7"/>
    <x v="2"/>
    <x v="6"/>
    <x v="1"/>
    <x v="0"/>
    <m/>
    <m/>
    <m/>
  </r>
  <r>
    <s v="60.02"/>
    <x v="40"/>
    <x v="847"/>
    <s v="Списание с расчетного счета 00БП-000871 от 21.03.2025 17:20:56"/>
    <s v="21.03.25"/>
    <n v="47595"/>
    <m/>
    <m/>
    <d v="2025-03-21T00:00:00"/>
    <n v="11"/>
    <x v="2"/>
    <x v="6"/>
    <x v="1"/>
    <x v="0"/>
    <m/>
    <m/>
    <m/>
  </r>
  <r>
    <s v="60.02"/>
    <x v="40"/>
    <x v="848"/>
    <s v="Списание с расчетного счета 00БП-001149 от 31.03.2025 23:59:59"/>
    <s v="31.03.25"/>
    <n v="82472"/>
    <m/>
    <m/>
    <d v="2025-03-31T00:00:00"/>
    <n v="1"/>
    <x v="2"/>
    <x v="6"/>
    <x v="1"/>
    <x v="0"/>
    <m/>
    <m/>
    <m/>
  </r>
  <r>
    <s v="60.02"/>
    <x v="269"/>
    <x v="684"/>
    <s v="Списание с расчетного счета 00БП-001091 от 28.03.2025 21:31:23"/>
    <s v="28.03.25"/>
    <n v="460000"/>
    <m/>
    <m/>
    <d v="2025-03-28T00:00:00"/>
    <n v="4"/>
    <x v="2"/>
    <x v="6"/>
    <x v="1"/>
    <x v="0"/>
    <m/>
    <m/>
    <m/>
  </r>
  <r>
    <s v="60.02"/>
    <x v="42"/>
    <x v="849"/>
    <s v="Списание с расчетного счета 00БП-001086 от 28.03.2025 21:31:18"/>
    <s v="28.03.25"/>
    <n v="44289"/>
    <m/>
    <m/>
    <d v="2025-03-28T00:00:00"/>
    <n v="4"/>
    <x v="2"/>
    <x v="6"/>
    <x v="1"/>
    <x v="0"/>
    <m/>
    <m/>
    <m/>
  </r>
  <r>
    <s v="60.02"/>
    <x v="42"/>
    <x v="850"/>
    <s v="Списание с расчетного счета 00БП-000963 от 26.03.2025 19:28:48"/>
    <s v="26.03.25"/>
    <n v="111647"/>
    <m/>
    <m/>
    <d v="2025-03-26T00:00:00"/>
    <n v="6"/>
    <x v="2"/>
    <x v="6"/>
    <x v="1"/>
    <x v="0"/>
    <m/>
    <m/>
    <m/>
  </r>
  <r>
    <s v="60.02"/>
    <x v="334"/>
    <x v="851"/>
    <s v="Списание с расчетного счета 00БП-000819 от 19.03.2025 15:54:05"/>
    <s v="19.03.25"/>
    <n v="244795"/>
    <m/>
    <m/>
    <d v="2025-03-19T00:00:00"/>
    <n v="13"/>
    <x v="2"/>
    <x v="6"/>
    <x v="1"/>
    <x v="0"/>
    <m/>
    <m/>
    <m/>
  </r>
  <r>
    <s v="60.02"/>
    <x v="335"/>
    <x v="852"/>
    <s v="Списание с расчетного счета 00БП-000471 от 04.03.2025 16:22:10"/>
    <s v="04.03.25"/>
    <n v="558700"/>
    <m/>
    <m/>
    <d v="2025-03-04T00:00:00"/>
    <n v="28"/>
    <x v="2"/>
    <x v="6"/>
    <x v="1"/>
    <x v="0"/>
    <m/>
    <m/>
    <m/>
  </r>
  <r>
    <s v="60.02"/>
    <x v="44"/>
    <x v="853"/>
    <s v="Списание с расчетного счета 00БП-009183 от 06.12.2024 18:36:57"/>
    <s v="06.12.24"/>
    <n v="38732"/>
    <m/>
    <m/>
    <d v="2024-12-06T00:00:00"/>
    <n v="116"/>
    <x v="4"/>
    <x v="6"/>
    <x v="1"/>
    <x v="0"/>
    <m/>
    <m/>
    <m/>
  </r>
  <r>
    <s v="60.02"/>
    <x v="44"/>
    <x v="854"/>
    <s v="Списание с расчетного счета 00БП-009282 от 16.12.2024 15:20:51"/>
    <s v="16.12.24"/>
    <n v="92047"/>
    <m/>
    <m/>
    <d v="2024-12-16T00:00:00"/>
    <n v="106"/>
    <x v="4"/>
    <x v="6"/>
    <x v="1"/>
    <x v="0"/>
    <m/>
    <m/>
    <m/>
  </r>
  <r>
    <s v="60.02"/>
    <x v="44"/>
    <x v="854"/>
    <s v="Списание с расчетного счета 00БП-000148 от 30.01.2025 12:00:06"/>
    <s v="30.01.25"/>
    <n v="400"/>
    <m/>
    <m/>
    <d v="2025-01-30T00:00:00"/>
    <n v="61"/>
    <x v="1"/>
    <x v="6"/>
    <x v="1"/>
    <x v="0"/>
    <m/>
    <m/>
    <m/>
  </r>
  <r>
    <s v="60.02"/>
    <x v="44"/>
    <x v="855"/>
    <s v="Списание с расчетного счета 00БП-000088 от 22.01.2025 17:16:51"/>
    <s v="22.01.25"/>
    <n v="6602"/>
    <m/>
    <m/>
    <d v="2025-01-22T00:00:00"/>
    <n v="69"/>
    <x v="1"/>
    <x v="6"/>
    <x v="1"/>
    <x v="0"/>
    <m/>
    <m/>
    <m/>
  </r>
  <r>
    <s v="60.02"/>
    <x v="44"/>
    <x v="856"/>
    <s v="Списание с расчетного счета 00БП-009389 от 27.12.2024 15:07:11"/>
    <s v="27.12.24"/>
    <n v="4563"/>
    <m/>
    <m/>
    <d v="2024-12-27T00:00:00"/>
    <n v="95"/>
    <x v="4"/>
    <x v="6"/>
    <x v="1"/>
    <x v="0"/>
    <m/>
    <m/>
    <m/>
  </r>
  <r>
    <s v="60.02"/>
    <x v="44"/>
    <x v="857"/>
    <s v="Списание с расчетного счета 00БП-000087 от 22.01.2025 17:16:50"/>
    <s v="22.01.25"/>
    <n v="800"/>
    <m/>
    <m/>
    <d v="2025-01-22T00:00:00"/>
    <n v="69"/>
    <x v="1"/>
    <x v="6"/>
    <x v="1"/>
    <x v="0"/>
    <m/>
    <m/>
    <m/>
  </r>
  <r>
    <s v="60.02"/>
    <x v="44"/>
    <x v="858"/>
    <s v="Списание с расчетного счета 00БП-009181 от 06.12.2024 18:36:55"/>
    <s v="06.12.24"/>
    <n v="5740"/>
    <m/>
    <m/>
    <d v="2024-12-06T00:00:00"/>
    <n v="116"/>
    <x v="4"/>
    <x v="6"/>
    <x v="1"/>
    <x v="0"/>
    <m/>
    <m/>
    <m/>
  </r>
  <r>
    <s v="60.02"/>
    <x v="44"/>
    <x v="859"/>
    <s v="Списание с расчетного счета 00БП-009276 от 16.12.2024 15:20:45"/>
    <s v="16.12.24"/>
    <n v="2600"/>
    <m/>
    <m/>
    <d v="2024-12-16T00:00:00"/>
    <n v="106"/>
    <x v="4"/>
    <x v="6"/>
    <x v="1"/>
    <x v="0"/>
    <m/>
    <m/>
    <m/>
  </r>
  <r>
    <s v="60.02"/>
    <x v="47"/>
    <x v="860"/>
    <s v="Списание с расчетного счета 00БП-000610 от 11.03.2025 17:05:32"/>
    <s v="11.03.25"/>
    <n v="782541.58"/>
    <m/>
    <m/>
    <d v="2025-03-11T00:00:00"/>
    <n v="21"/>
    <x v="2"/>
    <x v="6"/>
    <x v="1"/>
    <x v="0"/>
    <m/>
    <m/>
    <m/>
  </r>
  <r>
    <s v="60.02"/>
    <x v="47"/>
    <x v="860"/>
    <s v="Списание с расчетного счета 00БП-000897 от 24.03.2025 20:20:08"/>
    <s v="24.03.25"/>
    <n v="782541.58"/>
    <m/>
    <m/>
    <d v="2025-03-24T00:00:00"/>
    <n v="8"/>
    <x v="2"/>
    <x v="6"/>
    <x v="1"/>
    <x v="0"/>
    <m/>
    <m/>
    <m/>
  </r>
  <r>
    <s v="60.02"/>
    <x v="207"/>
    <x v="73"/>
    <s v="Авансовый отчет 00БП-000039 от 11.03.2025 12:18:02"/>
    <s v="11.03.25"/>
    <n v="5399"/>
    <m/>
    <m/>
    <d v="2025-03-11T00:00:00"/>
    <n v="21"/>
    <x v="2"/>
    <x v="6"/>
    <x v="1"/>
    <x v="0"/>
    <m/>
    <m/>
    <m/>
  </r>
  <r>
    <s v="60.02"/>
    <x v="207"/>
    <x v="73"/>
    <s v="Авансовый отчет 00БП-000041 от 12.03.2025 12:19:09"/>
    <s v="12.03.25"/>
    <n v="26445"/>
    <m/>
    <m/>
    <d v="2025-03-12T00:00:00"/>
    <n v="20"/>
    <x v="2"/>
    <x v="6"/>
    <x v="1"/>
    <x v="0"/>
    <m/>
    <m/>
    <m/>
  </r>
  <r>
    <s v="60.02"/>
    <x v="207"/>
    <x v="73"/>
    <s v="Авансовый отчет 00БП-000057 от 19.03.2025 12:55:19"/>
    <s v="19.03.25"/>
    <n v="2084"/>
    <m/>
    <m/>
    <d v="2025-03-19T00:00:00"/>
    <n v="13"/>
    <x v="2"/>
    <x v="6"/>
    <x v="1"/>
    <x v="0"/>
    <m/>
    <m/>
    <m/>
  </r>
  <r>
    <s v="60.02"/>
    <x v="273"/>
    <x v="861"/>
    <s v="Списание с расчетного счета 00БП-000830 от 19.03.2025 15:54:16"/>
    <s v="19.03.25"/>
    <n v="1221000"/>
    <m/>
    <m/>
    <d v="2025-03-19T00:00:00"/>
    <n v="13"/>
    <x v="2"/>
    <x v="6"/>
    <x v="1"/>
    <x v="0"/>
    <m/>
    <m/>
    <m/>
  </r>
  <r>
    <s v="60.02"/>
    <x v="208"/>
    <x v="461"/>
    <s v="Списание с расчетного счета 00БП-003336 от 07.06.2024 20:17:33"/>
    <s v="07.06.24"/>
    <n v="1000"/>
    <m/>
    <m/>
    <d v="2024-06-07T00:00:00"/>
    <n v="298"/>
    <x v="6"/>
    <x v="6"/>
    <x v="1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1148"/>
    <x v="5"/>
    <x v="6"/>
    <x v="1"/>
    <x v="8"/>
    <m/>
    <m/>
    <m/>
  </r>
  <r>
    <s v="60.02"/>
    <x v="336"/>
    <x v="862"/>
    <s v="Списание с расчетного счета 00БП-000887 от 24.03.2025 20:19:58"/>
    <s v="24.03.25"/>
    <n v="24390"/>
    <m/>
    <m/>
    <d v="2025-03-24T00:00:00"/>
    <n v="8"/>
    <x v="2"/>
    <x v="6"/>
    <x v="1"/>
    <x v="0"/>
    <m/>
    <m/>
    <m/>
  </r>
  <r>
    <s v="60.02"/>
    <x v="48"/>
    <x v="863"/>
    <s v="Списание с расчетного счета 00БП-000873 от 21.03.2025 17:20:58"/>
    <s v="21.03.25"/>
    <n v="344160"/>
    <m/>
    <m/>
    <d v="2025-03-21T00:00:00"/>
    <n v="11"/>
    <x v="2"/>
    <x v="6"/>
    <x v="1"/>
    <x v="0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975"/>
    <x v="5"/>
    <x v="6"/>
    <x v="1"/>
    <x v="2"/>
    <m/>
    <m/>
    <m/>
  </r>
  <r>
    <s v="60.02"/>
    <x v="213"/>
    <x v="479"/>
    <s v="Списание с расчетного счета 00БП-003273 от 05.06.2024 18:44:06"/>
    <s v="05.06.24"/>
    <n v="2220000"/>
    <m/>
    <m/>
    <d v="2024-06-05T00:00:00"/>
    <n v="300"/>
    <x v="6"/>
    <x v="6"/>
    <x v="1"/>
    <x v="20"/>
    <m/>
    <m/>
    <m/>
  </r>
  <r>
    <s v="60.02"/>
    <x v="213"/>
    <x v="480"/>
    <s v="Списание с расчетного счета 00БП-007991 от 28.12.2023 15:20:52"/>
    <s v="28.12.23"/>
    <n v="352732.55"/>
    <m/>
    <m/>
    <d v="2023-12-28T00:00:00"/>
    <n v="460"/>
    <x v="5"/>
    <x v="6"/>
    <x v="1"/>
    <x v="20"/>
    <m/>
    <m/>
    <m/>
  </r>
  <r>
    <s v="60.02"/>
    <x v="53"/>
    <x v="696"/>
    <s v="Списание с расчетного счета 00БП-000324 от 19.02.2025 12:48:30"/>
    <s v="19.02.25"/>
    <n v="3439850"/>
    <m/>
    <m/>
    <d v="2025-02-19T00:00:00"/>
    <n v="41"/>
    <x v="1"/>
    <x v="6"/>
    <x v="1"/>
    <x v="0"/>
    <m/>
    <m/>
    <m/>
  </r>
  <r>
    <s v="60.02"/>
    <x v="54"/>
    <x v="864"/>
    <s v="Списание с расчетного счета 00БП-001102 от 28.03.2025 21:31:34"/>
    <s v="28.03.25"/>
    <n v="231735.4"/>
    <m/>
    <m/>
    <d v="2025-03-28T00:00:00"/>
    <n v="4"/>
    <x v="2"/>
    <x v="6"/>
    <x v="1"/>
    <x v="0"/>
    <m/>
    <m/>
    <m/>
  </r>
  <r>
    <s v="60.02"/>
    <x v="54"/>
    <x v="865"/>
    <s v="Списание с расчетного счета 00БП-000860 от 20.03.2025 18:57:28"/>
    <s v="20.03.25"/>
    <n v="1103885"/>
    <m/>
    <m/>
    <d v="2025-03-20T00:00:00"/>
    <n v="12"/>
    <x v="2"/>
    <x v="6"/>
    <x v="1"/>
    <x v="0"/>
    <m/>
    <m/>
    <m/>
  </r>
  <r>
    <s v="60.02"/>
    <x v="54"/>
    <x v="481"/>
    <s v="Списание с расчетного счета 00БП-000974 от 26.03.2025 19:28:59"/>
    <s v="26.03.25"/>
    <n v="403324"/>
    <m/>
    <m/>
    <d v="2025-03-26T00:00:00"/>
    <n v="6"/>
    <x v="2"/>
    <x v="6"/>
    <x v="1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553"/>
    <x v="5"/>
    <x v="6"/>
    <x v="1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197"/>
    <x v="5"/>
    <x v="6"/>
    <x v="1"/>
    <x v="0"/>
    <m/>
    <m/>
    <m/>
  </r>
  <r>
    <s v="60.02"/>
    <x v="337"/>
    <x v="866"/>
    <s v="Списание с расчетного счета 00БП-000787 от 18.03.2025 17:03:58"/>
    <s v="18.03.25"/>
    <n v="44000"/>
    <m/>
    <m/>
    <d v="2025-03-18T00:00:00"/>
    <n v="14"/>
    <x v="2"/>
    <x v="6"/>
    <x v="1"/>
    <x v="0"/>
    <m/>
    <m/>
    <m/>
  </r>
  <r>
    <s v="60.02"/>
    <x v="62"/>
    <x v="144"/>
    <s v="Списание с расчетного счета 00БП-001959 от 19.04.2024 20:35:31"/>
    <s v="19.04.24"/>
    <n v="8850"/>
    <m/>
    <m/>
    <d v="2024-04-19T00:00:00"/>
    <n v="347"/>
    <x v="6"/>
    <x v="6"/>
    <x v="1"/>
    <x v="0"/>
    <m/>
    <m/>
    <m/>
  </r>
  <r>
    <s v="60.02"/>
    <x v="338"/>
    <x v="867"/>
    <s v="Списание с расчетного счета 00БП-009216 от 11.12.2024 12:00:05"/>
    <s v="11.12.24"/>
    <n v="234630"/>
    <m/>
    <m/>
    <d v="2024-12-11T00:00:00"/>
    <n v="111"/>
    <x v="4"/>
    <x v="6"/>
    <x v="1"/>
    <x v="0"/>
    <m/>
    <m/>
    <m/>
  </r>
  <r>
    <s v="60.02"/>
    <x v="339"/>
    <x v="868"/>
    <s v="Списание с расчетного счета 00БП-001088 от 28.03.2025 21:31:20"/>
    <s v="28.03.25"/>
    <n v="197400"/>
    <m/>
    <m/>
    <d v="2025-03-28T00:00:00"/>
    <n v="4"/>
    <x v="2"/>
    <x v="6"/>
    <x v="1"/>
    <x v="0"/>
    <m/>
    <m/>
    <m/>
  </r>
  <r>
    <s v="60.02"/>
    <x v="340"/>
    <x v="869"/>
    <s v="Списание с расчетного счета 00БП-000956 от 26.03.2025 19:28:41"/>
    <s v="26.03.25"/>
    <n v="22500"/>
    <m/>
    <m/>
    <d v="2025-03-26T00:00:00"/>
    <n v="6"/>
    <x v="2"/>
    <x v="6"/>
    <x v="1"/>
    <x v="0"/>
    <m/>
    <m/>
    <m/>
  </r>
  <r>
    <s v="60.02"/>
    <x v="340"/>
    <x v="869"/>
    <s v="Списание с расчетного счета 00БП-000957 от 26.03.2025 19:28:42"/>
    <s v="26.03.25"/>
    <n v="22500"/>
    <m/>
    <m/>
    <d v="2025-03-26T00:00:00"/>
    <n v="6"/>
    <x v="2"/>
    <x v="6"/>
    <x v="1"/>
    <x v="0"/>
    <m/>
    <m/>
    <m/>
  </r>
  <r>
    <s v="60.02"/>
    <x v="65"/>
    <x v="148"/>
    <s v="Списание с расчетного счета 00БП-009153 от 05.12.2024 12:53:23"/>
    <s v="05.12.24"/>
    <n v="2390812"/>
    <m/>
    <m/>
    <d v="2024-12-05T00:00:00"/>
    <n v="117"/>
    <x v="4"/>
    <x v="6"/>
    <x v="1"/>
    <x v="0"/>
    <m/>
    <m/>
    <m/>
  </r>
  <r>
    <s v="60.02"/>
    <x v="341"/>
    <x v="870"/>
    <s v="Списание с расчетного счета 00БП-001081 от 28.03.2025 21:31:13"/>
    <s v="28.03.25"/>
    <n v="22486.36"/>
    <m/>
    <m/>
    <d v="2025-03-28T00:00:00"/>
    <n v="4"/>
    <x v="2"/>
    <x v="6"/>
    <x v="1"/>
    <x v="0"/>
    <m/>
    <m/>
    <m/>
  </r>
  <r>
    <s v="60.02"/>
    <x v="342"/>
    <x v="871"/>
    <s v="Списание с расчетного счета 00БП-001076 от 28.03.2025 21:31:08"/>
    <s v="28.03.25"/>
    <n v="1117"/>
    <m/>
    <m/>
    <d v="2025-03-28T00:00:00"/>
    <n v="4"/>
    <x v="2"/>
    <x v="6"/>
    <x v="1"/>
    <x v="0"/>
    <m/>
    <m/>
    <m/>
  </r>
  <r>
    <s v="60.02"/>
    <x v="69"/>
    <x v="152"/>
    <s v="Списание с расчетного счета 00БП-007816 от 22.10.2024 18:07:30"/>
    <s v="22.10.24"/>
    <n v="1334.4"/>
    <m/>
    <m/>
    <d v="2024-10-22T00:00:00"/>
    <n v="161"/>
    <x v="0"/>
    <x v="6"/>
    <x v="1"/>
    <x v="2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155"/>
    <x v="0"/>
    <x v="6"/>
    <x v="1"/>
    <x v="2"/>
    <m/>
    <m/>
    <m/>
  </r>
  <r>
    <s v="60.02"/>
    <x v="281"/>
    <x v="719"/>
    <s v="Списание с расчетного счета 00БП-000761 от 17.03.2025 17:48:08"/>
    <s v="17.03.25"/>
    <n v="140000"/>
    <m/>
    <m/>
    <d v="2025-03-17T00:00:00"/>
    <n v="15"/>
    <x v="2"/>
    <x v="6"/>
    <x v="1"/>
    <x v="0"/>
    <m/>
    <m/>
    <m/>
  </r>
  <r>
    <s v="60.02"/>
    <x v="71"/>
    <x v="872"/>
    <s v="Списание с расчетного счета 00БП-000891 от 24.03.2025 20:20:02"/>
    <s v="24.03.25"/>
    <n v="33750"/>
    <m/>
    <m/>
    <d v="2025-03-24T00:00:00"/>
    <n v="8"/>
    <x v="2"/>
    <x v="6"/>
    <x v="1"/>
    <x v="0"/>
    <m/>
    <m/>
    <m/>
  </r>
  <r>
    <s v="60.02"/>
    <x v="72"/>
    <x v="73"/>
    <s v="Списание с расчетного счета 00БП-000944 от 25.03.2025 17:52:29"/>
    <s v="25.03.25"/>
    <n v="3019428.6"/>
    <m/>
    <m/>
    <d v="2025-03-25T00:00:00"/>
    <n v="7"/>
    <x v="2"/>
    <x v="6"/>
    <x v="1"/>
    <x v="0"/>
    <m/>
    <m/>
    <m/>
  </r>
  <r>
    <s v="60.02"/>
    <x v="74"/>
    <x v="873"/>
    <s v="Списание с расчетного счета 00БП-000532 от 07.03.2025 17:20:59"/>
    <s v="07.03.25"/>
    <n v="3000"/>
    <m/>
    <m/>
    <d v="2025-03-07T00:00:00"/>
    <n v="25"/>
    <x v="2"/>
    <x v="6"/>
    <x v="1"/>
    <x v="8"/>
    <m/>
    <m/>
    <m/>
  </r>
  <r>
    <s v="60.02"/>
    <x v="74"/>
    <x v="162"/>
    <s v="Списание с расчетного счета 00БП-000535 от 07.03.2025 17:21:02"/>
    <s v="07.03.25"/>
    <n v="9000"/>
    <m/>
    <m/>
    <d v="2025-03-07T00:00:00"/>
    <n v="25"/>
    <x v="2"/>
    <x v="6"/>
    <x v="1"/>
    <x v="8"/>
    <m/>
    <m/>
    <m/>
  </r>
  <r>
    <s v="60.02"/>
    <x v="343"/>
    <x v="874"/>
    <s v="Списание с расчетного счета 00БП-000119 от 27.01.2025 17:18:22"/>
    <s v="27.01.25"/>
    <n v="3000000"/>
    <m/>
    <m/>
    <d v="2025-01-27T00:00:00"/>
    <n v="64"/>
    <x v="1"/>
    <x v="6"/>
    <x v="1"/>
    <x v="0"/>
    <m/>
    <m/>
    <m/>
  </r>
  <r>
    <s v="60.02"/>
    <x v="76"/>
    <x v="875"/>
    <s v="Списание с расчетного счета 00БП-000238 от 11.02.2025 12:00:04"/>
    <s v="11.02.25"/>
    <n v="4443000"/>
    <m/>
    <m/>
    <d v="2025-02-11T00:00:00"/>
    <n v="49"/>
    <x v="1"/>
    <x v="6"/>
    <x v="1"/>
    <x v="0"/>
    <m/>
    <m/>
    <m/>
  </r>
  <r>
    <s v="60.02"/>
    <x v="76"/>
    <x v="876"/>
    <s v="Списание с расчетного счета 00БП-000325 от 19.02.2025 12:48:31"/>
    <s v="19.02.25"/>
    <n v="3906315"/>
    <m/>
    <m/>
    <d v="2025-02-19T00:00:00"/>
    <n v="41"/>
    <x v="1"/>
    <x v="6"/>
    <x v="1"/>
    <x v="0"/>
    <m/>
    <m/>
    <m/>
  </r>
  <r>
    <s v="60.02"/>
    <x v="220"/>
    <x v="73"/>
    <s v="Авансовый отчет 00БП-000058 от 19.03.2025 15:03:17"/>
    <s v="19.03.25"/>
    <n v="725"/>
    <m/>
    <m/>
    <d v="2025-03-19T00:00:00"/>
    <n v="13"/>
    <x v="2"/>
    <x v="6"/>
    <x v="1"/>
    <x v="0"/>
    <m/>
    <m/>
    <m/>
  </r>
  <r>
    <s v="60.02"/>
    <x v="344"/>
    <x v="877"/>
    <s v="Списание с расчетного счета 00БП-000893 от 24.03.2025 20:20:04"/>
    <s v="24.03.25"/>
    <n v="96300"/>
    <m/>
    <m/>
    <d v="2025-03-24T00:00:00"/>
    <n v="8"/>
    <x v="2"/>
    <x v="6"/>
    <x v="1"/>
    <x v="0"/>
    <m/>
    <m/>
    <m/>
  </r>
  <r>
    <s v="60.02"/>
    <x v="77"/>
    <x v="735"/>
    <s v="Списание с расчетного счета 00БП-002727 от 15.05.2024 18:13:35"/>
    <s v="15.05.24"/>
    <n v="19087.77"/>
    <m/>
    <m/>
    <d v="2024-05-15T00:00:00"/>
    <n v="321"/>
    <x v="6"/>
    <x v="6"/>
    <x v="1"/>
    <x v="0"/>
    <m/>
    <m/>
    <m/>
  </r>
  <r>
    <s v="60.02"/>
    <x v="78"/>
    <x v="501"/>
    <s v="Списание с расчетного счета 00БП-002496 от 23.05.2023 18:50:13"/>
    <s v="23.05.23"/>
    <n v="1715565.24"/>
    <m/>
    <m/>
    <d v="2023-05-23T00:00:00"/>
    <n v="679"/>
    <x v="5"/>
    <x v="6"/>
    <x v="1"/>
    <x v="0"/>
    <m/>
    <m/>
    <m/>
  </r>
  <r>
    <s v="60.02"/>
    <x v="78"/>
    <x v="878"/>
    <s v="Списание с расчетного счета 00БП-000874 от 21.03.2025 17:20:59"/>
    <s v="21.03.25"/>
    <n v="8224311.3799999999"/>
    <m/>
    <m/>
    <d v="2025-03-21T00:00:00"/>
    <n v="11"/>
    <x v="2"/>
    <x v="6"/>
    <x v="1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357"/>
    <x v="6"/>
    <x v="6"/>
    <x v="1"/>
    <x v="0"/>
    <m/>
    <m/>
    <m/>
  </r>
  <r>
    <s v="60.02"/>
    <x v="78"/>
    <x v="879"/>
    <s v="Списание с расчетного счета 00БП-000818 от 19.03.2025 15:54:04"/>
    <s v="19.03.25"/>
    <n v="230296.94"/>
    <m/>
    <m/>
    <d v="2025-03-19T00:00:00"/>
    <n v="13"/>
    <x v="2"/>
    <x v="6"/>
    <x v="1"/>
    <x v="0"/>
    <m/>
    <m/>
    <m/>
  </r>
  <r>
    <s v="60.02"/>
    <x v="78"/>
    <x v="880"/>
    <s v="Списание с расчетного счета 00БП-000888 от 24.03.2025 20:19:59"/>
    <s v="24.03.25"/>
    <n v="24832.51"/>
    <m/>
    <m/>
    <d v="2025-03-24T00:00:00"/>
    <n v="8"/>
    <x v="2"/>
    <x v="6"/>
    <x v="1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349"/>
    <x v="6"/>
    <x v="6"/>
    <x v="1"/>
    <x v="0"/>
    <m/>
    <m/>
    <m/>
  </r>
  <r>
    <s v="60.02"/>
    <x v="78"/>
    <x v="508"/>
    <s v="Списание с расчетного счета 00БП-003849 от 24.06.2024 17:54:34"/>
    <s v="24.06.24"/>
    <n v="6277.48"/>
    <m/>
    <m/>
    <d v="2024-06-24T00:00:00"/>
    <n v="281"/>
    <x v="6"/>
    <x v="6"/>
    <x v="1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278"/>
    <x v="6"/>
    <x v="6"/>
    <x v="1"/>
    <x v="0"/>
    <m/>
    <m/>
    <m/>
  </r>
  <r>
    <s v="60.02"/>
    <x v="78"/>
    <x v="510"/>
    <s v="Списание с расчетного счета 00БП-004331 от 08.07.2024 18:30:05"/>
    <s v="08.07.24"/>
    <n v="995281.85"/>
    <m/>
    <m/>
    <d v="2024-07-08T00:00:00"/>
    <n v="267"/>
    <x v="3"/>
    <x v="6"/>
    <x v="1"/>
    <x v="0"/>
    <m/>
    <m/>
    <m/>
  </r>
  <r>
    <s v="60.02"/>
    <x v="78"/>
    <x v="512"/>
    <s v="Списание с расчетного счета 00БП-004303 от 05.07.2024 18:28:48"/>
    <s v="05.07.24"/>
    <n v="2.4"/>
    <m/>
    <m/>
    <d v="2024-07-05T00:00:00"/>
    <n v="270"/>
    <x v="3"/>
    <x v="6"/>
    <x v="1"/>
    <x v="0"/>
    <m/>
    <m/>
    <m/>
  </r>
  <r>
    <s v="60.02"/>
    <x v="78"/>
    <x v="513"/>
    <s v="Списание с расчетного счета 00БП-004325 от 08.07.2024 18:29:59"/>
    <s v="08.07.24"/>
    <n v="31.2"/>
    <m/>
    <m/>
    <d v="2024-07-08T00:00:00"/>
    <n v="267"/>
    <x v="3"/>
    <x v="6"/>
    <x v="1"/>
    <x v="0"/>
    <m/>
    <m/>
    <m/>
  </r>
  <r>
    <s v="60.02"/>
    <x v="78"/>
    <x v="518"/>
    <s v="Списание с расчетного счета 00БП-005804 от 23.08.2024 17:14:33"/>
    <s v="23.08.24"/>
    <n v="395493.5"/>
    <m/>
    <m/>
    <d v="2024-08-23T00:00:00"/>
    <n v="221"/>
    <x v="3"/>
    <x v="6"/>
    <x v="1"/>
    <x v="0"/>
    <m/>
    <m/>
    <m/>
  </r>
  <r>
    <s v="60.02"/>
    <x v="78"/>
    <x v="881"/>
    <s v="Списание с расчетного счета 00БП-005196 от 01.08.2024 17:40:43"/>
    <s v="01.08.24"/>
    <n v="36345.29"/>
    <m/>
    <m/>
    <d v="2024-08-01T00:00:00"/>
    <n v="243"/>
    <x v="3"/>
    <x v="6"/>
    <x v="1"/>
    <x v="0"/>
    <m/>
    <m/>
    <m/>
  </r>
  <r>
    <s v="60.02"/>
    <x v="78"/>
    <x v="882"/>
    <s v="Списание с расчетного счета 00БП-005317 от 08.08.2024 17:52:20"/>
    <s v="08.08.24"/>
    <n v="35878.480000000003"/>
    <m/>
    <m/>
    <d v="2024-08-08T00:00:00"/>
    <n v="236"/>
    <x v="3"/>
    <x v="6"/>
    <x v="1"/>
    <x v="0"/>
    <m/>
    <m/>
    <m/>
  </r>
  <r>
    <s v="60.02"/>
    <x v="78"/>
    <x v="520"/>
    <s v="Списание с расчетного счета 00БП-005316 от 08.08.2024 17:52:19"/>
    <s v="08.08.24"/>
    <n v="13920"/>
    <m/>
    <m/>
    <d v="2024-08-08T00:00:00"/>
    <n v="236"/>
    <x v="3"/>
    <x v="6"/>
    <x v="1"/>
    <x v="0"/>
    <m/>
    <m/>
    <m/>
  </r>
  <r>
    <s v="60.02"/>
    <x v="78"/>
    <x v="522"/>
    <s v="Списание с расчетного счета 00БП-005769 от 20.08.2024 18:37:41"/>
    <s v="20.08.24"/>
    <n v="355885.99"/>
    <m/>
    <m/>
    <d v="2024-08-20T00:00:00"/>
    <n v="224"/>
    <x v="3"/>
    <x v="6"/>
    <x v="1"/>
    <x v="0"/>
    <m/>
    <m/>
    <m/>
  </r>
  <r>
    <s v="60.02"/>
    <x v="78"/>
    <x v="523"/>
    <s v="Списание с расчетного счета 00БП-005912 от 27.08.2024 17:47:21"/>
    <s v="27.08.24"/>
    <n v="21441.599999999999"/>
    <m/>
    <m/>
    <d v="2024-08-27T00:00:00"/>
    <n v="217"/>
    <x v="3"/>
    <x v="6"/>
    <x v="1"/>
    <x v="0"/>
    <m/>
    <m/>
    <m/>
  </r>
  <r>
    <s v="60.02"/>
    <x v="78"/>
    <x v="524"/>
    <s v="Списание с расчетного счета 00БП-006187 от 06.09.2024 17:41:07"/>
    <s v="06.09.24"/>
    <n v="121190.09"/>
    <m/>
    <m/>
    <d v="2024-09-06T00:00:00"/>
    <n v="207"/>
    <x v="3"/>
    <x v="6"/>
    <x v="1"/>
    <x v="0"/>
    <m/>
    <m/>
    <m/>
  </r>
  <r>
    <s v="60.02"/>
    <x v="78"/>
    <x v="883"/>
    <s v="Списание с расчетного счета 00БП-007253 от 09.10.2024 16:22:29"/>
    <s v="09.10.24"/>
    <n v="50950.98"/>
    <m/>
    <m/>
    <d v="2024-10-09T00:00:00"/>
    <n v="174"/>
    <x v="0"/>
    <x v="6"/>
    <x v="1"/>
    <x v="0"/>
    <m/>
    <m/>
    <m/>
  </r>
  <r>
    <s v="60.02"/>
    <x v="78"/>
    <x v="539"/>
    <s v="Списание с расчетного счета 00БП-000064 от 16.01.2025 9:16:39"/>
    <s v="16.01.25"/>
    <n v="13646774.310000001"/>
    <m/>
    <m/>
    <d v="2025-01-16T00:00:00"/>
    <n v="75"/>
    <x v="1"/>
    <x v="6"/>
    <x v="1"/>
    <x v="0"/>
    <m/>
    <m/>
    <m/>
  </r>
  <r>
    <s v="60.02"/>
    <x v="345"/>
    <x v="884"/>
    <s v="Списание с расчетного счета 00БП-001140 от 31.03.2025 23:59:59"/>
    <s v="31.03.25"/>
    <n v="9500"/>
    <m/>
    <m/>
    <d v="2025-03-31T00:00:00"/>
    <n v="1"/>
    <x v="2"/>
    <x v="6"/>
    <x v="1"/>
    <x v="0"/>
    <m/>
    <m/>
    <m/>
  </r>
  <r>
    <s v="60.02"/>
    <x v="346"/>
    <x v="885"/>
    <s v="Списание с расчетного счета 00БП-008469 от 13.11.2024 18:11:36"/>
    <s v="13.11.24"/>
    <n v="10350"/>
    <m/>
    <m/>
    <d v="2024-11-13T00:00:00"/>
    <n v="139"/>
    <x v="0"/>
    <x v="6"/>
    <x v="1"/>
    <x v="0"/>
    <m/>
    <m/>
    <m/>
  </r>
  <r>
    <s v="60.02"/>
    <x v="287"/>
    <x v="741"/>
    <s v="Списание с расчетного счета 00БП-009151 от 05.12.2024 12:53:21"/>
    <s v="05.12.24"/>
    <n v="325000"/>
    <m/>
    <m/>
    <d v="2024-12-05T00:00:00"/>
    <n v="117"/>
    <x v="4"/>
    <x v="6"/>
    <x v="1"/>
    <x v="0"/>
    <m/>
    <m/>
    <m/>
  </r>
  <r>
    <s v="60.02"/>
    <x v="287"/>
    <x v="742"/>
    <s v="Списание с расчетного счета 00БП-001891 от 16.04.2024 20:42:38"/>
    <s v="16.04.24"/>
    <n v="1207500"/>
    <m/>
    <m/>
    <d v="2024-04-16T00:00:00"/>
    <n v="350"/>
    <x v="6"/>
    <x v="6"/>
    <x v="1"/>
    <x v="0"/>
    <m/>
    <m/>
    <m/>
  </r>
  <r>
    <s v="60.02"/>
    <x v="287"/>
    <x v="742"/>
    <s v="Списание с расчетного счета 00БП-008163 от 01.11.2024 16:42:06"/>
    <s v="01.11.24"/>
    <n v="1207500"/>
    <m/>
    <m/>
    <d v="2024-11-01T00:00:00"/>
    <n v="151"/>
    <x v="0"/>
    <x v="6"/>
    <x v="1"/>
    <x v="0"/>
    <m/>
    <m/>
    <m/>
  </r>
  <r>
    <s v="60.02"/>
    <x v="79"/>
    <x v="182"/>
    <s v="Списание с расчетного счета 00БП-000513 от 05.03.2025 17:40:56"/>
    <s v="05.03.25"/>
    <n v="1792.02"/>
    <m/>
    <m/>
    <d v="2025-03-05T00:00:00"/>
    <n v="27"/>
    <x v="2"/>
    <x v="6"/>
    <x v="1"/>
    <x v="0"/>
    <m/>
    <m/>
    <m/>
  </r>
  <r>
    <s v="60.02"/>
    <x v="79"/>
    <x v="183"/>
    <s v="Списание с расчетного счета 00БП-000516 от 05.03.2025 17:40:59"/>
    <s v="05.03.25"/>
    <n v="1976.19"/>
    <m/>
    <m/>
    <d v="2025-03-05T00:00:00"/>
    <n v="27"/>
    <x v="2"/>
    <x v="6"/>
    <x v="1"/>
    <x v="0"/>
    <m/>
    <m/>
    <m/>
  </r>
  <r>
    <s v="60.02"/>
    <x v="79"/>
    <x v="184"/>
    <s v="Списание с расчетного счета 00БП-009170 от 05.12.2024 12:53:44"/>
    <s v="05.12.24"/>
    <n v="6071.35"/>
    <m/>
    <m/>
    <d v="2024-12-05T00:00:00"/>
    <n v="117"/>
    <x v="4"/>
    <x v="6"/>
    <x v="1"/>
    <x v="0"/>
    <m/>
    <m/>
    <m/>
  </r>
  <r>
    <s v="60.02"/>
    <x v="79"/>
    <x v="184"/>
    <s v="Списание с расчетного счета 00БП-000515 от 05.03.2025 17:40:58"/>
    <s v="05.03.25"/>
    <n v="2000"/>
    <m/>
    <m/>
    <d v="2025-03-05T00:00:00"/>
    <n v="27"/>
    <x v="2"/>
    <x v="6"/>
    <x v="1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188"/>
    <x v="5"/>
    <x v="6"/>
    <x v="1"/>
    <x v="0"/>
    <m/>
    <m/>
    <m/>
  </r>
  <r>
    <s v="60.02"/>
    <x v="79"/>
    <x v="186"/>
    <s v="Списание с расчетного счета 00БП-000517 от 05.03.2025 17:41:00"/>
    <s v="05.03.25"/>
    <n v="1942.41"/>
    <m/>
    <m/>
    <d v="2025-03-05T00:00:00"/>
    <n v="27"/>
    <x v="2"/>
    <x v="6"/>
    <x v="1"/>
    <x v="0"/>
    <m/>
    <m/>
    <m/>
  </r>
  <r>
    <s v="60.02"/>
    <x v="79"/>
    <x v="187"/>
    <s v="Списание с расчетного счета 00БП-004275 от 04.07.2024 18:48:03"/>
    <s v="04.07.24"/>
    <n v="310.13"/>
    <m/>
    <m/>
    <d v="2024-07-04T00:00:00"/>
    <n v="271"/>
    <x v="6"/>
    <x v="6"/>
    <x v="1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515"/>
    <x v="5"/>
    <x v="6"/>
    <x v="1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413"/>
    <x v="5"/>
    <x v="6"/>
    <x v="1"/>
    <x v="0"/>
    <m/>
    <m/>
    <m/>
  </r>
  <r>
    <s v="60.02"/>
    <x v="79"/>
    <x v="189"/>
    <s v="Списание с расчетного счета 00БП-009168 от 05.12.2024 12:53:42"/>
    <s v="05.12.24"/>
    <n v="607.66999999999996"/>
    <m/>
    <m/>
    <d v="2024-12-05T00:00:00"/>
    <n v="117"/>
    <x v="4"/>
    <x v="6"/>
    <x v="1"/>
    <x v="0"/>
    <m/>
    <m/>
    <m/>
  </r>
  <r>
    <s v="60.02"/>
    <x v="79"/>
    <x v="189"/>
    <s v="Списание с расчетного счета 00БП-000514 от 05.03.2025 17:40:57"/>
    <s v="05.03.25"/>
    <n v="2000"/>
    <m/>
    <m/>
    <d v="2025-03-05T00:00:00"/>
    <n v="27"/>
    <x v="2"/>
    <x v="6"/>
    <x v="1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280"/>
    <x v="5"/>
    <x v="6"/>
    <x v="1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247"/>
    <x v="5"/>
    <x v="6"/>
    <x v="1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1931"/>
    <x v="5"/>
    <x v="6"/>
    <x v="1"/>
    <x v="0"/>
    <m/>
    <m/>
    <m/>
  </r>
  <r>
    <s v="60.02"/>
    <x v="79"/>
    <x v="191"/>
    <m/>
    <m/>
    <n v="68.27"/>
    <m/>
    <m/>
    <d v="1899-12-30T00:00:00"/>
    <n v="45748"/>
    <x v="5"/>
    <x v="6"/>
    <x v="1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319"/>
    <x v="5"/>
    <x v="6"/>
    <x v="1"/>
    <x v="0"/>
    <m/>
    <m/>
    <m/>
  </r>
  <r>
    <s v="60.02"/>
    <x v="79"/>
    <x v="193"/>
    <s v="Списание с расчетного счета 00БП-009169 от 05.12.2024 12:53:43"/>
    <s v="05.12.24"/>
    <n v="6675.76"/>
    <m/>
    <m/>
    <d v="2024-12-05T00:00:00"/>
    <n v="117"/>
    <x v="4"/>
    <x v="6"/>
    <x v="1"/>
    <x v="0"/>
    <m/>
    <m/>
    <m/>
  </r>
  <r>
    <s v="60.02"/>
    <x v="79"/>
    <x v="193"/>
    <s v="Списание с расчетного счета 00БП-000512 от 05.03.2025 17:40:55"/>
    <s v="05.03.25"/>
    <n v="2000"/>
    <m/>
    <m/>
    <d v="2025-03-05T00:00:00"/>
    <n v="27"/>
    <x v="2"/>
    <x v="6"/>
    <x v="1"/>
    <x v="0"/>
    <m/>
    <m/>
    <m/>
  </r>
  <r>
    <s v="60.02"/>
    <x v="223"/>
    <x v="73"/>
    <s v="Авансовый отчет 00БП-000058 от 19.03.2025 15:03:17"/>
    <s v="19.03.25"/>
    <n v="6300"/>
    <m/>
    <m/>
    <d v="2025-03-19T00:00:00"/>
    <n v="13"/>
    <x v="2"/>
    <x v="6"/>
    <x v="1"/>
    <x v="0"/>
    <m/>
    <m/>
    <m/>
  </r>
  <r>
    <s v="60.02"/>
    <x v="223"/>
    <x v="73"/>
    <s v="Авансовый отчет 00БП-000061 от 21.03.2025 17:05:13"/>
    <s v="21.03.25"/>
    <n v="630"/>
    <m/>
    <m/>
    <d v="2025-03-21T00:00:00"/>
    <n v="11"/>
    <x v="2"/>
    <x v="6"/>
    <x v="1"/>
    <x v="0"/>
    <m/>
    <m/>
    <m/>
  </r>
  <r>
    <s v="60.02"/>
    <x v="87"/>
    <x v="886"/>
    <s v="Списание с расчетного счета 00БП-000889 от 24.03.2025 20:20:00"/>
    <s v="24.03.25"/>
    <n v="25603"/>
    <m/>
    <m/>
    <d v="2025-03-24T00:00:00"/>
    <n v="8"/>
    <x v="2"/>
    <x v="6"/>
    <x v="1"/>
    <x v="0"/>
    <m/>
    <m/>
    <m/>
  </r>
  <r>
    <s v="60.02"/>
    <x v="87"/>
    <x v="887"/>
    <s v="Списание с расчетного счета 00БП-001084 от 28.03.2025 21:31:16"/>
    <s v="28.03.25"/>
    <n v="40439"/>
    <m/>
    <m/>
    <d v="2025-03-28T00:00:00"/>
    <n v="4"/>
    <x v="2"/>
    <x v="6"/>
    <x v="1"/>
    <x v="0"/>
    <m/>
    <m/>
    <m/>
  </r>
  <r>
    <s v="60.02"/>
    <x v="88"/>
    <x v="207"/>
    <s v="Списание с расчетного счета 00БП-000272 от 13.02.2025 12:00:02"/>
    <s v="13.02.25"/>
    <n v="188732.83"/>
    <m/>
    <m/>
    <d v="2025-02-13T00:00:00"/>
    <n v="47"/>
    <x v="1"/>
    <x v="6"/>
    <x v="1"/>
    <x v="0"/>
    <m/>
    <m/>
    <m/>
  </r>
  <r>
    <s v="60.02"/>
    <x v="88"/>
    <x v="888"/>
    <s v="Списание с расчетного счета 00БП-000960 от 26.03.2025 19:28:45"/>
    <s v="26.03.25"/>
    <n v="32140"/>
    <m/>
    <m/>
    <d v="2025-03-26T00:00:00"/>
    <n v="6"/>
    <x v="2"/>
    <x v="6"/>
    <x v="1"/>
    <x v="0"/>
    <m/>
    <m/>
    <m/>
  </r>
  <r>
    <s v="60.02"/>
    <x v="90"/>
    <x v="73"/>
    <m/>
    <m/>
    <n v="135269"/>
    <m/>
    <m/>
    <d v="1899-12-30T00:00:00"/>
    <n v="45748"/>
    <x v="5"/>
    <x v="6"/>
    <x v="1"/>
    <x v="0"/>
    <m/>
    <m/>
    <m/>
  </r>
  <r>
    <s v="60.02"/>
    <x v="92"/>
    <x v="211"/>
    <s v="Списание с расчетного счета 00БП-000825 от 19.03.2025 15:54:11"/>
    <s v="19.03.25"/>
    <n v="25980.98"/>
    <m/>
    <m/>
    <d v="2025-03-19T00:00:00"/>
    <n v="13"/>
    <x v="2"/>
    <x v="6"/>
    <x v="1"/>
    <x v="0"/>
    <m/>
    <m/>
    <m/>
  </r>
  <r>
    <s v="60.02"/>
    <x v="92"/>
    <x v="211"/>
    <s v="Списание с расчетного счета 00БП-000966 от 26.03.2025 19:28:51"/>
    <s v="26.03.25"/>
    <n v="645910.02"/>
    <m/>
    <m/>
    <d v="2025-03-26T00:00:00"/>
    <n v="6"/>
    <x v="2"/>
    <x v="6"/>
    <x v="1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530"/>
    <x v="5"/>
    <x v="6"/>
    <x v="1"/>
    <x v="13"/>
    <m/>
    <m/>
    <m/>
  </r>
  <r>
    <s v="60.02"/>
    <x v="95"/>
    <x v="889"/>
    <s v="Списание с расчетного счета 00БП-000942 от 25.03.2025 17:52:27"/>
    <s v="25.03.25"/>
    <n v="350000"/>
    <m/>
    <m/>
    <d v="2025-03-25T00:00:00"/>
    <n v="7"/>
    <x v="2"/>
    <x v="6"/>
    <x v="1"/>
    <x v="0"/>
    <m/>
    <m/>
    <m/>
  </r>
  <r>
    <s v="60.02"/>
    <x v="96"/>
    <x v="890"/>
    <s v="Списание с расчетного счета 00БП-009399 от 27.12.2024 15:07:21"/>
    <s v="27.12.24"/>
    <n v="31149761.760000002"/>
    <m/>
    <m/>
    <d v="2024-12-27T00:00:00"/>
    <n v="95"/>
    <x v="4"/>
    <x v="6"/>
    <x v="1"/>
    <x v="0"/>
    <m/>
    <m/>
    <m/>
  </r>
  <r>
    <s v="60.02"/>
    <x v="96"/>
    <x v="890"/>
    <s v="Списание с расчетного счета 00БП-000499 от 05.03.2025 17:40:37"/>
    <s v="05.03.25"/>
    <n v="1124172.49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00 от 05.03.2025 17:40:38"/>
    <s v="05.03.25"/>
    <n v="1149103.51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01 от 05.03.2025 17:40:39"/>
    <s v="05.03.25"/>
    <n v="1167936.31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02 от 05.03.2025 17:40:40"/>
    <s v="05.03.25"/>
    <n v="1176453.19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03 от 05.03.2025 17:40:41"/>
    <s v="05.03.25"/>
    <n v="1182636.19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04 от 05.03.2025 17:40:42"/>
    <s v="05.03.25"/>
    <n v="1185384.19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05 от 05.03.2025 17:40:43"/>
    <s v="05.03.25"/>
    <n v="1199615.78"/>
    <m/>
    <m/>
    <d v="2025-03-05T00:00:00"/>
    <n v="27"/>
    <x v="2"/>
    <x v="6"/>
    <x v="1"/>
    <x v="0"/>
    <m/>
    <m/>
    <m/>
  </r>
  <r>
    <s v="60.02"/>
    <x v="96"/>
    <x v="890"/>
    <s v="Списание с расчетного счета 00БП-000522 от 06.03.2025 16:33:05"/>
    <s v="06.03.25"/>
    <n v="1154484.31"/>
    <m/>
    <m/>
    <d v="2025-03-06T00:00:00"/>
    <n v="26"/>
    <x v="2"/>
    <x v="6"/>
    <x v="1"/>
    <x v="0"/>
    <m/>
    <m/>
    <m/>
  </r>
  <r>
    <s v="60.02"/>
    <x v="96"/>
    <x v="890"/>
    <s v="Списание с расчетного счета 00БП-000523 от 06.03.2025 16:33:06"/>
    <s v="06.03.25"/>
    <n v="1157847.31"/>
    <m/>
    <m/>
    <d v="2025-03-06T00:00:00"/>
    <n v="26"/>
    <x v="2"/>
    <x v="6"/>
    <x v="1"/>
    <x v="0"/>
    <m/>
    <m/>
    <m/>
  </r>
  <r>
    <s v="60.02"/>
    <x v="96"/>
    <x v="890"/>
    <s v="Списание с расчетного счета 00БП-000524 от 06.03.2025 16:33:07"/>
    <s v="06.03.25"/>
    <n v="1165245.9099999999"/>
    <m/>
    <m/>
    <d v="2025-03-06T00:00:00"/>
    <n v="26"/>
    <x v="2"/>
    <x v="6"/>
    <x v="1"/>
    <x v="0"/>
    <m/>
    <m/>
    <m/>
  </r>
  <r>
    <s v="60.02"/>
    <x v="96"/>
    <x v="890"/>
    <s v="Списание с расчетного счета 00БП-000525 от 06.03.2025 16:33:08"/>
    <s v="06.03.25"/>
    <n v="1219154.8"/>
    <m/>
    <m/>
    <d v="2025-03-06T00:00:00"/>
    <n v="26"/>
    <x v="2"/>
    <x v="6"/>
    <x v="1"/>
    <x v="0"/>
    <m/>
    <m/>
    <m/>
  </r>
  <r>
    <s v="60.02"/>
    <x v="96"/>
    <x v="890"/>
    <s v="Списание с расчетного счета 00БП-000554 от 07.03.2025 17:21:21"/>
    <s v="07.03.25"/>
    <n v="1214272.54"/>
    <m/>
    <m/>
    <d v="2025-03-07T00:00:00"/>
    <n v="25"/>
    <x v="2"/>
    <x v="6"/>
    <x v="1"/>
    <x v="0"/>
    <m/>
    <m/>
    <m/>
  </r>
  <r>
    <s v="60.02"/>
    <x v="96"/>
    <x v="890"/>
    <s v="Списание с расчетного счета 00БП-000580 от 10.03.2025 19:18:11"/>
    <s v="10.03.25"/>
    <n v="1095867.22"/>
    <m/>
    <m/>
    <d v="2025-03-10T00:00:00"/>
    <n v="22"/>
    <x v="2"/>
    <x v="6"/>
    <x v="1"/>
    <x v="0"/>
    <m/>
    <m/>
    <m/>
  </r>
  <r>
    <s v="60.02"/>
    <x v="96"/>
    <x v="890"/>
    <s v="Списание с расчетного счета 00БП-000581 от 10.03.2025 19:18:12"/>
    <s v="10.03.25"/>
    <n v="1099444.46"/>
    <m/>
    <m/>
    <d v="2025-03-10T00:00:00"/>
    <n v="22"/>
    <x v="2"/>
    <x v="6"/>
    <x v="1"/>
    <x v="0"/>
    <m/>
    <m/>
    <m/>
  </r>
  <r>
    <s v="60.02"/>
    <x v="96"/>
    <x v="890"/>
    <s v="Списание с расчетного счета 00БП-000582 от 10.03.2025 19:18:13"/>
    <s v="10.03.25"/>
    <n v="1105087.46"/>
    <m/>
    <m/>
    <d v="2025-03-10T00:00:00"/>
    <n v="22"/>
    <x v="2"/>
    <x v="6"/>
    <x v="1"/>
    <x v="0"/>
    <m/>
    <m/>
    <m/>
  </r>
  <r>
    <s v="60.02"/>
    <x v="96"/>
    <x v="890"/>
    <s v="Списание с расчетного счета 00БП-000583 от 10.03.2025 19:18:14"/>
    <s v="10.03.25"/>
    <n v="1111623.92"/>
    <m/>
    <m/>
    <d v="2025-03-10T00:00:00"/>
    <n v="22"/>
    <x v="2"/>
    <x v="6"/>
    <x v="1"/>
    <x v="0"/>
    <m/>
    <m/>
    <m/>
  </r>
  <r>
    <s v="60.02"/>
    <x v="96"/>
    <x v="890"/>
    <s v="Списание с расчетного счета 00БП-000584 от 10.03.2025 19:18:15"/>
    <s v="10.03.25"/>
    <n v="1145706.8799999999"/>
    <m/>
    <m/>
    <d v="2025-03-10T00:00:00"/>
    <n v="22"/>
    <x v="2"/>
    <x v="6"/>
    <x v="1"/>
    <x v="0"/>
    <m/>
    <m/>
    <m/>
  </r>
  <r>
    <s v="60.02"/>
    <x v="96"/>
    <x v="890"/>
    <s v="Списание с расчетного счета 00БП-000611 от 11.03.2025 17:05:33"/>
    <s v="11.03.25"/>
    <n v="1131083.83"/>
    <m/>
    <m/>
    <d v="2025-03-11T00:00:00"/>
    <n v="21"/>
    <x v="2"/>
    <x v="6"/>
    <x v="1"/>
    <x v="0"/>
    <m/>
    <m/>
    <m/>
  </r>
  <r>
    <s v="60.02"/>
    <x v="96"/>
    <x v="890"/>
    <s v="Списание с расчетного счета 00БП-000612 от 11.03.2025 17:05:34"/>
    <s v="11.03.25"/>
    <n v="1150204.54"/>
    <m/>
    <m/>
    <d v="2025-03-11T00:00:00"/>
    <n v="21"/>
    <x v="2"/>
    <x v="6"/>
    <x v="1"/>
    <x v="0"/>
    <m/>
    <m/>
    <m/>
  </r>
  <r>
    <s v="60.02"/>
    <x v="96"/>
    <x v="890"/>
    <s v="Списание с расчетного счета 00БП-000768 от 17.03.2025 17:48:15"/>
    <s v="17.03.25"/>
    <n v="1035753.35"/>
    <m/>
    <m/>
    <d v="2025-03-17T00:00:00"/>
    <n v="15"/>
    <x v="2"/>
    <x v="6"/>
    <x v="1"/>
    <x v="0"/>
    <m/>
    <m/>
    <m/>
  </r>
  <r>
    <s v="60.02"/>
    <x v="96"/>
    <x v="890"/>
    <s v="Списание с расчетного счета 00БП-000769 от 17.03.2025 17:48:16"/>
    <s v="17.03.25"/>
    <n v="1087994.74"/>
    <m/>
    <m/>
    <d v="2025-03-17T00:00:00"/>
    <n v="15"/>
    <x v="2"/>
    <x v="6"/>
    <x v="1"/>
    <x v="0"/>
    <m/>
    <m/>
    <m/>
  </r>
  <r>
    <s v="60.02"/>
    <x v="96"/>
    <x v="890"/>
    <s v="Списание с расчетного счета 00БП-000770 от 17.03.2025 17:48:17"/>
    <s v="17.03.25"/>
    <n v="1135873.1599999999"/>
    <m/>
    <m/>
    <d v="2025-03-17T00:00:00"/>
    <n v="15"/>
    <x v="2"/>
    <x v="6"/>
    <x v="1"/>
    <x v="0"/>
    <m/>
    <m/>
    <m/>
  </r>
  <r>
    <s v="60.02"/>
    <x v="96"/>
    <x v="890"/>
    <s v="Списание с расчетного счета 00БП-000796 от 18.03.2025 17:04:07"/>
    <s v="18.03.25"/>
    <n v="1039342.55"/>
    <m/>
    <m/>
    <d v="2025-03-18T00:00:00"/>
    <n v="14"/>
    <x v="2"/>
    <x v="6"/>
    <x v="1"/>
    <x v="0"/>
    <m/>
    <m/>
    <m/>
  </r>
  <r>
    <s v="60.02"/>
    <x v="96"/>
    <x v="890"/>
    <s v="Списание с расчетного счета 00БП-000797 от 18.03.2025 17:04:08"/>
    <s v="18.03.25"/>
    <n v="1210150.54"/>
    <m/>
    <m/>
    <d v="2025-03-18T00:00:00"/>
    <n v="14"/>
    <x v="2"/>
    <x v="6"/>
    <x v="1"/>
    <x v="0"/>
    <m/>
    <m/>
    <m/>
  </r>
  <r>
    <s v="60.02"/>
    <x v="96"/>
    <x v="890"/>
    <s v="Списание с расчетного счета 00БП-000827 от 19.03.2025 15:54:13"/>
    <s v="19.03.25"/>
    <n v="1091920.46"/>
    <m/>
    <m/>
    <d v="2025-03-19T00:00:00"/>
    <n v="13"/>
    <x v="2"/>
    <x v="6"/>
    <x v="1"/>
    <x v="0"/>
    <m/>
    <m/>
    <m/>
  </r>
  <r>
    <s v="60.02"/>
    <x v="96"/>
    <x v="890"/>
    <s v="Списание с расчетного счета 00БП-000828 от 19.03.2025 15:54:14"/>
    <s v="19.03.25"/>
    <n v="1100071.46"/>
    <m/>
    <m/>
    <d v="2025-03-19T00:00:00"/>
    <n v="13"/>
    <x v="2"/>
    <x v="6"/>
    <x v="1"/>
    <x v="0"/>
    <m/>
    <m/>
    <m/>
  </r>
  <r>
    <s v="60.02"/>
    <x v="96"/>
    <x v="890"/>
    <s v="Списание с расчетного счета 00БП-000829 от 19.03.2025 15:54:15"/>
    <s v="19.03.25"/>
    <n v="1107595.46"/>
    <m/>
    <m/>
    <d v="2025-03-19T00:00:00"/>
    <n v="13"/>
    <x v="2"/>
    <x v="6"/>
    <x v="1"/>
    <x v="0"/>
    <m/>
    <m/>
    <m/>
  </r>
  <r>
    <s v="60.02"/>
    <x v="96"/>
    <x v="890"/>
    <s v="Списание с расчетного счета 00БП-000857 от 20.03.2025 18:57:25"/>
    <s v="20.03.25"/>
    <n v="1087500.1100000001"/>
    <m/>
    <m/>
    <d v="2025-03-20T00:00:00"/>
    <n v="12"/>
    <x v="2"/>
    <x v="6"/>
    <x v="1"/>
    <x v="0"/>
    <m/>
    <m/>
    <m/>
  </r>
  <r>
    <s v="60.02"/>
    <x v="96"/>
    <x v="890"/>
    <s v="Списание с расчетного счета 00БП-000858 от 20.03.2025 18:57:26"/>
    <s v="20.03.25"/>
    <n v="1101952.46"/>
    <m/>
    <m/>
    <d v="2025-03-20T00:00:00"/>
    <n v="12"/>
    <x v="2"/>
    <x v="6"/>
    <x v="1"/>
    <x v="0"/>
    <m/>
    <m/>
    <m/>
  </r>
  <r>
    <s v="60.02"/>
    <x v="96"/>
    <x v="890"/>
    <s v="Списание с расчетного счета 00БП-000859 от 20.03.2025 18:57:27"/>
    <s v="20.03.25"/>
    <n v="1110730.46"/>
    <m/>
    <m/>
    <d v="2025-03-20T00:00:00"/>
    <n v="12"/>
    <x v="2"/>
    <x v="6"/>
    <x v="1"/>
    <x v="0"/>
    <m/>
    <m/>
    <m/>
  </r>
  <r>
    <s v="60.02"/>
    <x v="96"/>
    <x v="890"/>
    <s v="Списание с расчетного счета 00БП-000899 от 24.03.2025 20:20:10"/>
    <s v="24.03.25"/>
    <n v="1091262.1100000001"/>
    <m/>
    <m/>
    <d v="2025-03-24T00:00:00"/>
    <n v="8"/>
    <x v="2"/>
    <x v="6"/>
    <x v="1"/>
    <x v="0"/>
    <m/>
    <m/>
    <m/>
  </r>
  <r>
    <s v="60.02"/>
    <x v="96"/>
    <x v="890"/>
    <s v="Списание с расчетного счета 00БП-000900 от 24.03.2025 20:20:11"/>
    <s v="24.03.25"/>
    <n v="1092547.46"/>
    <m/>
    <m/>
    <d v="2025-03-24T00:00:00"/>
    <n v="8"/>
    <x v="2"/>
    <x v="6"/>
    <x v="1"/>
    <x v="0"/>
    <m/>
    <m/>
    <m/>
  </r>
  <r>
    <s v="60.02"/>
    <x v="96"/>
    <x v="890"/>
    <s v="Списание с расчетного счета 00БП-000901 от 24.03.2025 20:20:12"/>
    <s v="24.03.25"/>
    <n v="1095055.46"/>
    <m/>
    <m/>
    <d v="2025-03-24T00:00:00"/>
    <n v="8"/>
    <x v="2"/>
    <x v="6"/>
    <x v="1"/>
    <x v="0"/>
    <m/>
    <m/>
    <m/>
  </r>
  <r>
    <s v="60.02"/>
    <x v="96"/>
    <x v="890"/>
    <s v="Списание с расчетного счета 00БП-000902 от 24.03.2025 20:20:13"/>
    <s v="24.03.25"/>
    <n v="1106341.46"/>
    <m/>
    <m/>
    <d v="2025-03-24T00:00:00"/>
    <n v="8"/>
    <x v="2"/>
    <x v="6"/>
    <x v="1"/>
    <x v="0"/>
    <m/>
    <m/>
    <m/>
  </r>
  <r>
    <s v="60.02"/>
    <x v="96"/>
    <x v="890"/>
    <s v="Списание с расчетного счета 00БП-000939 от 25.03.2025 17:52:24"/>
    <s v="25.03.25"/>
    <n v="1061911.43"/>
    <m/>
    <m/>
    <d v="2025-03-25T00:00:00"/>
    <n v="7"/>
    <x v="2"/>
    <x v="6"/>
    <x v="1"/>
    <x v="0"/>
    <m/>
    <m/>
    <m/>
  </r>
  <r>
    <s v="60.02"/>
    <x v="96"/>
    <x v="890"/>
    <s v="Списание с расчетного счета 00БП-000940 от 25.03.2025 17:52:25"/>
    <s v="25.03.25"/>
    <n v="1061911.43"/>
    <m/>
    <m/>
    <d v="2025-03-25T00:00:00"/>
    <n v="7"/>
    <x v="2"/>
    <x v="6"/>
    <x v="1"/>
    <x v="0"/>
    <m/>
    <m/>
    <m/>
  </r>
  <r>
    <s v="60.02"/>
    <x v="96"/>
    <x v="890"/>
    <s v="Списание с расчетного счета 00БП-000941 от 25.03.2025 17:52:26"/>
    <s v="25.03.25"/>
    <n v="1063749.23"/>
    <m/>
    <m/>
    <d v="2025-03-25T00:00:00"/>
    <n v="7"/>
    <x v="2"/>
    <x v="6"/>
    <x v="1"/>
    <x v="0"/>
    <m/>
    <m/>
    <m/>
  </r>
  <r>
    <s v="60.02"/>
    <x v="96"/>
    <x v="890"/>
    <s v="Списание с расчетного счета 00БП-000943 от 25.03.2025 17:52:28"/>
    <s v="25.03.25"/>
    <n v="1160677.44"/>
    <m/>
    <m/>
    <d v="2025-03-25T00:00:00"/>
    <n v="7"/>
    <x v="2"/>
    <x v="6"/>
    <x v="1"/>
    <x v="0"/>
    <m/>
    <m/>
    <m/>
  </r>
  <r>
    <s v="60.02"/>
    <x v="96"/>
    <x v="890"/>
    <s v="Списание с расчетного счета 00БП-000969 от 26.03.2025 19:28:54"/>
    <s v="26.03.25"/>
    <n v="1034142.41"/>
    <m/>
    <m/>
    <d v="2025-03-26T00:00:00"/>
    <n v="6"/>
    <x v="2"/>
    <x v="6"/>
    <x v="1"/>
    <x v="0"/>
    <m/>
    <m/>
    <m/>
  </r>
  <r>
    <s v="60.02"/>
    <x v="96"/>
    <x v="890"/>
    <s v="Списание с расчетного счета 00БП-000970 от 26.03.2025 19:28:55"/>
    <s v="26.03.25"/>
    <n v="1061177.4099999999"/>
    <m/>
    <m/>
    <d v="2025-03-26T00:00:00"/>
    <n v="6"/>
    <x v="2"/>
    <x v="6"/>
    <x v="1"/>
    <x v="0"/>
    <m/>
    <m/>
    <m/>
  </r>
  <r>
    <s v="60.02"/>
    <x v="96"/>
    <x v="890"/>
    <s v="Списание с расчетного счета 00БП-000971 от 26.03.2025 19:28:56"/>
    <s v="26.03.25"/>
    <n v="1078722.1100000001"/>
    <m/>
    <m/>
    <d v="2025-03-26T00:00:00"/>
    <n v="6"/>
    <x v="2"/>
    <x v="6"/>
    <x v="1"/>
    <x v="0"/>
    <m/>
    <m/>
    <m/>
  </r>
  <r>
    <s v="60.02"/>
    <x v="96"/>
    <x v="890"/>
    <s v="Списание с расчетного счета 00БП-000972 от 26.03.2025 19:28:57"/>
    <s v="26.03.25"/>
    <n v="1085619.1100000001"/>
    <m/>
    <m/>
    <d v="2025-03-26T00:00:00"/>
    <n v="6"/>
    <x v="2"/>
    <x v="6"/>
    <x v="1"/>
    <x v="0"/>
    <m/>
    <m/>
    <m/>
  </r>
  <r>
    <s v="60.02"/>
    <x v="96"/>
    <x v="890"/>
    <s v="Списание с расчетного счета 00БП-001094 от 28.03.2025 21:31:26"/>
    <s v="28.03.25"/>
    <n v="1052486.08"/>
    <m/>
    <m/>
    <d v="2025-03-28T00:00:00"/>
    <n v="4"/>
    <x v="2"/>
    <x v="6"/>
    <x v="1"/>
    <x v="0"/>
    <m/>
    <m/>
    <m/>
  </r>
  <r>
    <s v="60.02"/>
    <x v="96"/>
    <x v="890"/>
    <s v="Списание с расчетного счета 00БП-001095 от 28.03.2025 21:31:27"/>
    <s v="28.03.25"/>
    <n v="1062414.6100000001"/>
    <m/>
    <m/>
    <d v="2025-03-28T00:00:00"/>
    <n v="4"/>
    <x v="2"/>
    <x v="6"/>
    <x v="1"/>
    <x v="0"/>
    <m/>
    <m/>
    <m/>
  </r>
  <r>
    <s v="60.02"/>
    <x v="96"/>
    <x v="890"/>
    <s v="Списание с расчетного счета 00БП-001096 от 28.03.2025 21:31:28"/>
    <s v="28.03.25"/>
    <n v="1066744.81"/>
    <m/>
    <m/>
    <d v="2025-03-28T00:00:00"/>
    <n v="4"/>
    <x v="2"/>
    <x v="6"/>
    <x v="1"/>
    <x v="0"/>
    <m/>
    <m/>
    <m/>
  </r>
  <r>
    <s v="60.02"/>
    <x v="96"/>
    <x v="890"/>
    <s v="Списание с расчетного счета 00БП-001097 от 28.03.2025 21:31:29"/>
    <s v="28.03.25"/>
    <n v="1084365.1100000001"/>
    <m/>
    <m/>
    <d v="2025-03-28T00:00:00"/>
    <n v="4"/>
    <x v="2"/>
    <x v="6"/>
    <x v="1"/>
    <x v="0"/>
    <m/>
    <m/>
    <m/>
  </r>
  <r>
    <s v="60.02"/>
    <x v="96"/>
    <x v="890"/>
    <s v="Списание с расчетного счета 00БП-001098 от 28.03.2025 21:31:30"/>
    <s v="28.03.25"/>
    <n v="1092547.46"/>
    <m/>
    <m/>
    <d v="2025-03-28T00:00:00"/>
    <n v="4"/>
    <x v="2"/>
    <x v="6"/>
    <x v="1"/>
    <x v="0"/>
    <m/>
    <m/>
    <m/>
  </r>
  <r>
    <s v="60.02"/>
    <x v="96"/>
    <x v="890"/>
    <s v="Списание с расчетного счета 00БП-001099 от 28.03.2025 21:31:31"/>
    <s v="28.03.25"/>
    <n v="1143305.28"/>
    <m/>
    <m/>
    <d v="2025-03-28T00:00:00"/>
    <n v="4"/>
    <x v="2"/>
    <x v="6"/>
    <x v="1"/>
    <x v="0"/>
    <m/>
    <m/>
    <m/>
  </r>
  <r>
    <s v="60.02"/>
    <x v="96"/>
    <x v="890"/>
    <s v="Списание с расчетного счета 00БП-001100 от 28.03.2025 21:31:32"/>
    <s v="28.03.25"/>
    <n v="1143305.28"/>
    <m/>
    <m/>
    <d v="2025-03-28T00:00:00"/>
    <n v="4"/>
    <x v="2"/>
    <x v="6"/>
    <x v="1"/>
    <x v="0"/>
    <m/>
    <m/>
    <m/>
  </r>
  <r>
    <s v="60.02"/>
    <x v="347"/>
    <x v="891"/>
    <s v="Списание с расчетного счета 00БП-000558 от 07.03.2025 17:21:25"/>
    <s v="07.03.25"/>
    <n v="1826235"/>
    <m/>
    <m/>
    <d v="2025-03-07T00:00:00"/>
    <n v="25"/>
    <x v="2"/>
    <x v="6"/>
    <x v="1"/>
    <x v="0"/>
    <m/>
    <m/>
    <m/>
  </r>
  <r>
    <s v="60.02"/>
    <x v="347"/>
    <x v="891"/>
    <s v="Списание с расчетного счета 00БП-000559 от 07.03.2025 17:21:26"/>
    <s v="07.03.25"/>
    <n v="4261215"/>
    <m/>
    <m/>
    <d v="2025-03-07T00:00:00"/>
    <n v="25"/>
    <x v="2"/>
    <x v="6"/>
    <x v="1"/>
    <x v="0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207"/>
    <x v="3"/>
    <x v="6"/>
    <x v="1"/>
    <x v="8"/>
    <m/>
    <m/>
    <m/>
  </r>
  <r>
    <s v="60.02"/>
    <x v="100"/>
    <x v="73"/>
    <s v="Документ расчетов с контрагентом 00БП-000002 от 16.08.2024 20:35:50"/>
    <s v="16.08.24"/>
    <n v="789.72"/>
    <m/>
    <m/>
    <d v="2024-08-16T00:00:00"/>
    <n v="228"/>
    <x v="3"/>
    <x v="6"/>
    <x v="1"/>
    <x v="0"/>
    <m/>
    <m/>
    <m/>
  </r>
  <r>
    <s v="60.02"/>
    <x v="100"/>
    <x v="230"/>
    <s v="Списание с расчетного счета 00БП-007569 от 15.10.2024 19:25:20"/>
    <s v="15.10.24"/>
    <n v="4953"/>
    <m/>
    <m/>
    <d v="2024-10-15T00:00:00"/>
    <n v="168"/>
    <x v="0"/>
    <x v="6"/>
    <x v="1"/>
    <x v="0"/>
    <m/>
    <m/>
    <m/>
  </r>
  <r>
    <s v="60.02"/>
    <x v="348"/>
    <x v="892"/>
    <s v="Списание с расчетного счета 00БП-004733 от 16.07.2024 19:05:06"/>
    <s v="16.07.24"/>
    <n v="60000"/>
    <m/>
    <m/>
    <d v="2024-07-16T00:00:00"/>
    <n v="259"/>
    <x v="3"/>
    <x v="6"/>
    <x v="1"/>
    <x v="0"/>
    <m/>
    <m/>
    <m/>
  </r>
  <r>
    <s v="60.02"/>
    <x v="102"/>
    <x v="893"/>
    <s v="Списание с расчетного счета 00БП-000216 от 06.02.2025 12:00:18"/>
    <s v="06.02.25"/>
    <n v="60000"/>
    <m/>
    <m/>
    <d v="2025-02-06T00:00:00"/>
    <n v="54"/>
    <x v="1"/>
    <x v="6"/>
    <x v="1"/>
    <x v="0"/>
    <m/>
    <m/>
    <m/>
  </r>
  <r>
    <s v="60.02"/>
    <x v="102"/>
    <x v="894"/>
    <s v="Списание с расчетного счета 00БП-000215 от 06.02.2025 12:00:17"/>
    <s v="06.02.25"/>
    <n v="60000"/>
    <m/>
    <m/>
    <d v="2025-02-06T00:00:00"/>
    <n v="54"/>
    <x v="1"/>
    <x v="6"/>
    <x v="1"/>
    <x v="0"/>
    <m/>
    <m/>
    <m/>
  </r>
  <r>
    <s v="60.02"/>
    <x v="102"/>
    <x v="895"/>
    <s v="Списание с расчетного счета 00БП-000421 от 28.02.2025 23:59:59"/>
    <s v="28.02.25"/>
    <n v="140000"/>
    <m/>
    <m/>
    <d v="2025-02-28T00:00:00"/>
    <n v="32"/>
    <x v="1"/>
    <x v="6"/>
    <x v="1"/>
    <x v="0"/>
    <m/>
    <m/>
    <m/>
  </r>
  <r>
    <s v="60.02"/>
    <x v="102"/>
    <x v="896"/>
    <s v="Списание с расчетного счета 00БП-000275 от 13.02.2025 12:00:07"/>
    <s v="13.02.25"/>
    <n v="110000"/>
    <m/>
    <m/>
    <d v="2025-02-13T00:00:00"/>
    <n v="47"/>
    <x v="1"/>
    <x v="6"/>
    <x v="1"/>
    <x v="0"/>
    <m/>
    <m/>
    <m/>
  </r>
  <r>
    <s v="60.02"/>
    <x v="102"/>
    <x v="897"/>
    <s v="Списание с расчетного счета 00БП-000276 от 13.02.2025 12:00:08"/>
    <s v="13.02.25"/>
    <n v="110000"/>
    <m/>
    <m/>
    <d v="2025-02-13T00:00:00"/>
    <n v="47"/>
    <x v="1"/>
    <x v="6"/>
    <x v="1"/>
    <x v="0"/>
    <m/>
    <m/>
    <m/>
  </r>
  <r>
    <s v="60.02"/>
    <x v="102"/>
    <x v="898"/>
    <s v="Списание с расчетного счета 00БП-000763 от 17.03.2025 17:48:10"/>
    <s v="17.03.25"/>
    <n v="206474.51"/>
    <m/>
    <m/>
    <d v="2025-03-17T00:00:00"/>
    <n v="15"/>
    <x v="2"/>
    <x v="6"/>
    <x v="1"/>
    <x v="0"/>
    <m/>
    <m/>
    <m/>
  </r>
  <r>
    <s v="60.02"/>
    <x v="102"/>
    <x v="899"/>
    <s v="Списание с расчетного счета 00БП-000890 от 24.03.2025 20:20:01"/>
    <s v="24.03.25"/>
    <n v="10000"/>
    <m/>
    <m/>
    <d v="2025-03-24T00:00:00"/>
    <n v="8"/>
    <x v="2"/>
    <x v="6"/>
    <x v="1"/>
    <x v="0"/>
    <m/>
    <m/>
    <m/>
  </r>
  <r>
    <s v="60.02"/>
    <x v="102"/>
    <x v="900"/>
    <s v="Списание с расчетного счета 00БП-008295 от 05.11.2024 17:00:44"/>
    <s v="05.11.24"/>
    <n v="90000"/>
    <m/>
    <m/>
    <d v="2024-11-05T00:00:00"/>
    <n v="147"/>
    <x v="0"/>
    <x v="6"/>
    <x v="1"/>
    <x v="0"/>
    <m/>
    <m/>
    <m/>
  </r>
  <r>
    <s v="60.02"/>
    <x v="106"/>
    <x v="236"/>
    <s v="Списание с расчетного счета 00БП-000473 от 04.03.2025 16:22:12"/>
    <s v="04.03.25"/>
    <n v="4031762.4"/>
    <m/>
    <m/>
    <d v="2025-03-04T00:00:00"/>
    <n v="28"/>
    <x v="2"/>
    <x v="6"/>
    <x v="1"/>
    <x v="0"/>
    <m/>
    <m/>
    <m/>
  </r>
  <r>
    <s v="60.02"/>
    <x v="107"/>
    <x v="901"/>
    <s v="Списание с расчетного счета 00БП-001080 от 28.03.2025 21:31:12"/>
    <s v="28.03.25"/>
    <n v="9800"/>
    <m/>
    <m/>
    <d v="2025-03-28T00:00:00"/>
    <n v="4"/>
    <x v="2"/>
    <x v="6"/>
    <x v="1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880"/>
    <x v="5"/>
    <x v="6"/>
    <x v="1"/>
    <x v="8"/>
    <m/>
    <m/>
    <m/>
  </r>
  <r>
    <s v="60.02"/>
    <x v="109"/>
    <x v="902"/>
    <s v="Списание с расчетного счета 00БП-000886 от 24.03.2025 20:19:57"/>
    <s v="24.03.25"/>
    <n v="6781.68"/>
    <m/>
    <m/>
    <d v="2025-03-24T00:00:00"/>
    <n v="8"/>
    <x v="2"/>
    <x v="6"/>
    <x v="1"/>
    <x v="0"/>
    <m/>
    <m/>
    <m/>
  </r>
  <r>
    <s v="60.02"/>
    <x v="234"/>
    <x v="561"/>
    <s v="Списание с расчетного счета 00БП-000553 от 07.03.2025 17:21:20"/>
    <s v="07.03.25"/>
    <n v="125249.76"/>
    <m/>
    <m/>
    <d v="2025-03-07T00:00:00"/>
    <n v="25"/>
    <x v="2"/>
    <x v="6"/>
    <x v="1"/>
    <x v="0"/>
    <m/>
    <m/>
    <m/>
  </r>
  <r>
    <s v="60.02"/>
    <x v="111"/>
    <x v="903"/>
    <s v="Списание с расчетного счета 00БП-000710 от 13.03.2025 18:55:55"/>
    <s v="13.03.25"/>
    <n v="6164093.25"/>
    <m/>
    <m/>
    <d v="2025-03-13T00:00:00"/>
    <n v="19"/>
    <x v="2"/>
    <x v="6"/>
    <x v="1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859"/>
    <x v="5"/>
    <x v="6"/>
    <x v="1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460"/>
    <x v="5"/>
    <x v="6"/>
    <x v="1"/>
    <x v="0"/>
    <m/>
    <m/>
    <m/>
  </r>
  <r>
    <s v="60.02"/>
    <x v="113"/>
    <x v="766"/>
    <s v="Списание с расчетного счета 00БП-001884 от 16.04.2024 20:42:31"/>
    <s v="16.04.24"/>
    <n v="0.3"/>
    <m/>
    <m/>
    <d v="2024-04-16T00:00:00"/>
    <n v="350"/>
    <x v="6"/>
    <x v="6"/>
    <x v="1"/>
    <x v="0"/>
    <m/>
    <m/>
    <m/>
  </r>
  <r>
    <s v="60.02"/>
    <x v="113"/>
    <x v="767"/>
    <s v="Списание с расчетного счета 00БП-007678 от 17.10.2024 17:28:41"/>
    <s v="17.10.24"/>
    <n v="0.1"/>
    <m/>
    <m/>
    <d v="2024-10-17T00:00:00"/>
    <n v="166"/>
    <x v="0"/>
    <x v="6"/>
    <x v="1"/>
    <x v="0"/>
    <m/>
    <m/>
    <m/>
  </r>
  <r>
    <s v="60.02"/>
    <x v="113"/>
    <x v="768"/>
    <s v="Списание с расчетного счета 00БП-001089 от 28.03.2025 21:31:21"/>
    <s v="28.03.25"/>
    <n v="0.1"/>
    <m/>
    <m/>
    <d v="2025-03-28T00:00:00"/>
    <n v="4"/>
    <x v="2"/>
    <x v="6"/>
    <x v="1"/>
    <x v="0"/>
    <m/>
    <m/>
    <m/>
  </r>
  <r>
    <s v="60.02"/>
    <x v="115"/>
    <x v="770"/>
    <s v="Списание с расчетного счета 00БП-000849 от 20.03.2025 18:57:17"/>
    <s v="20.03.25"/>
    <n v="81000"/>
    <m/>
    <m/>
    <d v="2025-03-20T00:00:00"/>
    <n v="12"/>
    <x v="2"/>
    <x v="6"/>
    <x v="1"/>
    <x v="0"/>
    <m/>
    <m/>
    <m/>
  </r>
  <r>
    <s v="60.02"/>
    <x v="115"/>
    <x v="904"/>
    <s v="Списание с расчетного счета 00БП-000737 от 14.03.2025 14:47:58"/>
    <s v="14.03.25"/>
    <n v="950000"/>
    <m/>
    <m/>
    <d v="2025-03-14T00:00:00"/>
    <n v="18"/>
    <x v="2"/>
    <x v="6"/>
    <x v="1"/>
    <x v="0"/>
    <m/>
    <m/>
    <m/>
  </r>
  <r>
    <s v="60.02"/>
    <x v="115"/>
    <x v="905"/>
    <s v="Списание с расчетного счета 00БП-000736 от 14.03.2025 14:47:57"/>
    <s v="14.03.25"/>
    <n v="950000"/>
    <m/>
    <m/>
    <d v="2025-03-14T00:00:00"/>
    <n v="18"/>
    <x v="2"/>
    <x v="6"/>
    <x v="1"/>
    <x v="0"/>
    <m/>
    <m/>
    <m/>
  </r>
  <r>
    <s v="60.02"/>
    <x v="115"/>
    <x v="906"/>
    <s v="Списание с расчетного счета 00БП-000767 от 17.03.2025 17:48:14"/>
    <s v="17.03.25"/>
    <n v="950000"/>
    <m/>
    <m/>
    <d v="2025-03-17T00:00:00"/>
    <n v="15"/>
    <x v="2"/>
    <x v="6"/>
    <x v="1"/>
    <x v="0"/>
    <m/>
    <m/>
    <m/>
  </r>
  <r>
    <s v="60.02"/>
    <x v="115"/>
    <x v="907"/>
    <s v="Списание с расчетного счета 00БП-000766 от 17.03.2025 17:48:13"/>
    <s v="17.03.25"/>
    <n v="950000"/>
    <m/>
    <m/>
    <d v="2025-03-17T00:00:00"/>
    <n v="15"/>
    <x v="2"/>
    <x v="6"/>
    <x v="1"/>
    <x v="0"/>
    <m/>
    <m/>
    <m/>
  </r>
  <r>
    <s v="60.02"/>
    <x v="115"/>
    <x v="908"/>
    <s v="Списание с расчетного счета 00БП-000968 от 26.03.2025 19:28:53"/>
    <s v="26.03.25"/>
    <n v="950000"/>
    <m/>
    <m/>
    <d v="2025-03-26T00:00:00"/>
    <n v="6"/>
    <x v="2"/>
    <x v="6"/>
    <x v="1"/>
    <x v="0"/>
    <m/>
    <m/>
    <m/>
  </r>
  <r>
    <s v="60.02"/>
    <x v="115"/>
    <x v="909"/>
    <s v="Списание с расчетного счета 00БП-001152 от 31.03.2025 23:59:59"/>
    <s v="31.03.25"/>
    <n v="1100000"/>
    <m/>
    <m/>
    <d v="2025-03-31T00:00:00"/>
    <n v="1"/>
    <x v="2"/>
    <x v="6"/>
    <x v="1"/>
    <x v="0"/>
    <m/>
    <m/>
    <m/>
  </r>
  <r>
    <s v="60.02"/>
    <x v="115"/>
    <x v="910"/>
    <s v="Списание с расчетного счета 00БП-000271 от 13.02.2025 12:00:01"/>
    <s v="13.02.25"/>
    <n v="69000"/>
    <m/>
    <m/>
    <d v="2025-02-13T00:00:00"/>
    <n v="47"/>
    <x v="1"/>
    <x v="6"/>
    <x v="1"/>
    <x v="0"/>
    <m/>
    <m/>
    <m/>
  </r>
  <r>
    <s v="60.02"/>
    <x v="115"/>
    <x v="911"/>
    <s v="Списание с расчетного счета 00БП-000347 от 21.02.2025 15:36:25"/>
    <s v="21.02.25"/>
    <n v="1100000"/>
    <m/>
    <m/>
    <d v="2025-02-21T00:00:00"/>
    <n v="39"/>
    <x v="1"/>
    <x v="6"/>
    <x v="1"/>
    <x v="0"/>
    <m/>
    <m/>
    <m/>
  </r>
  <r>
    <s v="60.02"/>
    <x v="115"/>
    <x v="912"/>
    <s v="Списание с расчетного счета 00БП-000368 от 26.02.2025 11:21:36"/>
    <s v="26.02.25"/>
    <n v="1100000"/>
    <m/>
    <m/>
    <d v="2025-02-26T00:00:00"/>
    <n v="34"/>
    <x v="1"/>
    <x v="6"/>
    <x v="1"/>
    <x v="0"/>
    <m/>
    <m/>
    <m/>
  </r>
  <r>
    <s v="60.02"/>
    <x v="115"/>
    <x v="913"/>
    <s v="Списание с расчетного счета 00БП-000367 от 26.02.2025 11:21:35"/>
    <s v="26.02.25"/>
    <n v="1100000"/>
    <m/>
    <m/>
    <d v="2025-02-26T00:00:00"/>
    <n v="34"/>
    <x v="1"/>
    <x v="6"/>
    <x v="1"/>
    <x v="0"/>
    <m/>
    <m/>
    <m/>
  </r>
  <r>
    <s v="60.02"/>
    <x v="115"/>
    <x v="773"/>
    <s v="Списание с расчетного счета 00БП-000854 от 20.03.2025 18:57:22"/>
    <s v="20.03.25"/>
    <n v="373800"/>
    <m/>
    <m/>
    <d v="2025-03-20T00:00:00"/>
    <n v="12"/>
    <x v="2"/>
    <x v="6"/>
    <x v="1"/>
    <x v="0"/>
    <m/>
    <m/>
    <m/>
  </r>
  <r>
    <s v="60.02"/>
    <x v="302"/>
    <x v="73"/>
    <s v="Авансовый отчет 00БП-000096 от 31.03.2025 22:59:59"/>
    <s v="31.03.25"/>
    <n v="1372.5"/>
    <m/>
    <m/>
    <d v="2025-03-31T00:00:00"/>
    <n v="1"/>
    <x v="2"/>
    <x v="6"/>
    <x v="1"/>
    <x v="0"/>
    <m/>
    <m/>
    <m/>
  </r>
  <r>
    <s v="60.02"/>
    <x v="303"/>
    <x v="774"/>
    <s v="Списание с расчетного счета 00БП-000793 от 18.03.2025 17:04:04"/>
    <s v="18.03.25"/>
    <n v="350000"/>
    <m/>
    <m/>
    <d v="2025-03-18T00:00:00"/>
    <n v="14"/>
    <x v="2"/>
    <x v="6"/>
    <x v="1"/>
    <x v="0"/>
    <m/>
    <m/>
    <m/>
  </r>
  <r>
    <s v="60.02"/>
    <x v="235"/>
    <x v="565"/>
    <s v="Списание с расчетного счета 00БП-009304 от 18.12.2024 13:07:13"/>
    <s v="18.12.24"/>
    <n v="33700"/>
    <m/>
    <m/>
    <d v="2024-12-18T00:00:00"/>
    <n v="104"/>
    <x v="4"/>
    <x v="6"/>
    <x v="1"/>
    <x v="0"/>
    <m/>
    <m/>
    <m/>
  </r>
  <r>
    <s v="60.02"/>
    <x v="349"/>
    <x v="914"/>
    <s v="Списание с расчетного счета 00БП-001077 от 28.03.2025 21:31:09"/>
    <s v="28.03.25"/>
    <n v="3578"/>
    <m/>
    <m/>
    <d v="2025-03-28T00:00:00"/>
    <n v="4"/>
    <x v="2"/>
    <x v="6"/>
    <x v="1"/>
    <x v="0"/>
    <m/>
    <m/>
    <m/>
  </r>
  <r>
    <s v="60.02"/>
    <x v="350"/>
    <x v="915"/>
    <s v="Списание с расчетного счета 00БП-001087 от 28.03.2025 21:31:19"/>
    <s v="28.03.25"/>
    <n v="136500"/>
    <m/>
    <m/>
    <d v="2025-03-28T00:00:00"/>
    <n v="4"/>
    <x v="2"/>
    <x v="6"/>
    <x v="1"/>
    <x v="0"/>
    <m/>
    <m/>
    <m/>
  </r>
  <r>
    <s v="60.02"/>
    <x v="305"/>
    <x v="778"/>
    <s v="Списание с расчетного счета 00БП-003884 от 25.06.2024 17:39:50"/>
    <s v="25.06.24"/>
    <n v="87700"/>
    <m/>
    <m/>
    <d v="2024-06-25T00:00:00"/>
    <n v="280"/>
    <x v="6"/>
    <x v="6"/>
    <x v="1"/>
    <x v="0"/>
    <m/>
    <m/>
    <m/>
  </r>
  <r>
    <s v="60.02"/>
    <x v="305"/>
    <x v="779"/>
    <s v="Списание с расчетного счета 00БП-001780 от 15.04.2024 18:48:46"/>
    <s v="15.04.24"/>
    <n v="17267"/>
    <m/>
    <m/>
    <d v="2024-04-15T00:00:00"/>
    <n v="351"/>
    <x v="6"/>
    <x v="6"/>
    <x v="1"/>
    <x v="0"/>
    <m/>
    <m/>
    <m/>
  </r>
  <r>
    <s v="60.02"/>
    <x v="306"/>
    <x v="780"/>
    <s v="Списание с расчетного счета 00БП-006641 от 20.09.2024 18:25:28"/>
    <s v="20.09.24"/>
    <n v="66810"/>
    <m/>
    <m/>
    <d v="2024-09-20T00:00:00"/>
    <n v="193"/>
    <x v="3"/>
    <x v="6"/>
    <x v="1"/>
    <x v="0"/>
    <m/>
    <m/>
    <m/>
  </r>
  <r>
    <s v="60.02"/>
    <x v="306"/>
    <x v="916"/>
    <s v="Списание с расчетного счета 00БП-000521 от 06.03.2025 16:33:04"/>
    <s v="06.03.25"/>
    <n v="1122"/>
    <m/>
    <m/>
    <d v="2025-03-06T00:00:00"/>
    <n v="26"/>
    <x v="2"/>
    <x v="6"/>
    <x v="1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548"/>
    <x v="5"/>
    <x v="6"/>
    <x v="1"/>
    <x v="8"/>
    <m/>
    <m/>
    <m/>
  </r>
  <r>
    <s v="60.02"/>
    <x v="351"/>
    <x v="917"/>
    <s v="Списание с расчетного счета 00БП-009393 от 27.12.2024 15:07:15"/>
    <s v="27.12.24"/>
    <n v="157445.62"/>
    <m/>
    <m/>
    <d v="2024-12-27T00:00:00"/>
    <n v="95"/>
    <x v="4"/>
    <x v="6"/>
    <x v="1"/>
    <x v="0"/>
    <m/>
    <m/>
    <m/>
  </r>
  <r>
    <s v="60.02"/>
    <x v="352"/>
    <x v="918"/>
    <s v="Списание с расчетного счета 00БП-000697 от 13.03.2025 18:55:42"/>
    <s v="13.03.25"/>
    <n v="25000"/>
    <m/>
    <m/>
    <d v="2025-03-13T00:00:00"/>
    <n v="19"/>
    <x v="2"/>
    <x v="6"/>
    <x v="1"/>
    <x v="0"/>
    <m/>
    <m/>
    <m/>
  </r>
  <r>
    <s v="60.02"/>
    <x v="121"/>
    <x v="781"/>
    <s v="Списание с расчетного счета 00БП-000764 от 17.03.2025 17:48:11"/>
    <s v="17.03.25"/>
    <n v="225000"/>
    <m/>
    <m/>
    <d v="2025-03-17T00:00:00"/>
    <n v="15"/>
    <x v="2"/>
    <x v="6"/>
    <x v="1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638"/>
    <x v="5"/>
    <x v="6"/>
    <x v="1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561"/>
    <x v="5"/>
    <x v="6"/>
    <x v="1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292"/>
    <x v="6"/>
    <x v="6"/>
    <x v="1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496"/>
    <x v="5"/>
    <x v="6"/>
    <x v="1"/>
    <x v="8"/>
    <m/>
    <m/>
    <m/>
  </r>
  <r>
    <s v="60.02"/>
    <x v="122"/>
    <x v="919"/>
    <s v="Списание с расчетного счета 00БП-008802 от 19.11.2024 17:08:17"/>
    <s v="19.11.24"/>
    <n v="3000"/>
    <m/>
    <m/>
    <d v="2024-11-19T00:00:00"/>
    <n v="133"/>
    <x v="0"/>
    <x v="6"/>
    <x v="1"/>
    <x v="0"/>
    <m/>
    <m/>
    <m/>
  </r>
  <r>
    <s v="60.02"/>
    <x v="122"/>
    <x v="920"/>
    <s v="Списание с расчетного счета 00БП-000280 от 14.02.2025 15:11:11"/>
    <s v="14.02.25"/>
    <n v="5000"/>
    <m/>
    <m/>
    <d v="2025-02-14T00:00:00"/>
    <n v="46"/>
    <x v="1"/>
    <x v="6"/>
    <x v="1"/>
    <x v="0"/>
    <m/>
    <m/>
    <m/>
  </r>
  <r>
    <s v="60.02"/>
    <x v="122"/>
    <x v="921"/>
    <s v="Списание с расчетного счета 00БП-000958 от 26.03.2025 19:28:43"/>
    <s v="26.03.25"/>
    <n v="27110"/>
    <m/>
    <m/>
    <d v="2025-03-26T00:00:00"/>
    <n v="6"/>
    <x v="2"/>
    <x v="6"/>
    <x v="1"/>
    <x v="0"/>
    <m/>
    <m/>
    <m/>
  </r>
  <r>
    <s v="60.02"/>
    <x v="122"/>
    <x v="922"/>
    <s v="Списание с расчетного счета 00БП-000926 от 25.03.2025 17:52:11"/>
    <s v="25.03.25"/>
    <n v="20690"/>
    <m/>
    <m/>
    <d v="2025-03-25T00:00:00"/>
    <n v="7"/>
    <x v="2"/>
    <x v="6"/>
    <x v="1"/>
    <x v="0"/>
    <m/>
    <m/>
    <m/>
  </r>
  <r>
    <s v="60.02"/>
    <x v="122"/>
    <x v="923"/>
    <s v="Списание с расчетного счета 00БП-001146 от 31.03.2025 23:59:59"/>
    <s v="31.03.25"/>
    <n v="41263"/>
    <m/>
    <m/>
    <d v="2025-03-31T00:00:00"/>
    <n v="1"/>
    <x v="2"/>
    <x v="6"/>
    <x v="1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726"/>
    <x v="5"/>
    <x v="6"/>
    <x v="1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545"/>
    <x v="5"/>
    <x v="6"/>
    <x v="1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2069"/>
    <x v="5"/>
    <x v="6"/>
    <x v="1"/>
    <x v="8"/>
    <m/>
    <m/>
    <m/>
  </r>
  <r>
    <s v="60.02"/>
    <x v="125"/>
    <x v="924"/>
    <s v="Списание с расчетного счета 00БП-000931 от 25.03.2025 17:52:16"/>
    <s v="25.03.25"/>
    <n v="69300"/>
    <m/>
    <m/>
    <d v="2025-03-25T00:00:00"/>
    <n v="7"/>
    <x v="2"/>
    <x v="6"/>
    <x v="1"/>
    <x v="0"/>
    <m/>
    <m/>
    <m/>
  </r>
  <r>
    <s v="60.02"/>
    <x v="125"/>
    <x v="925"/>
    <s v="Списание с расчетного счета 00БП-000707 от 13.03.2025 18:55:52"/>
    <s v="13.03.25"/>
    <n v="1397880"/>
    <m/>
    <m/>
    <d v="2025-03-13T00:00:00"/>
    <n v="19"/>
    <x v="2"/>
    <x v="6"/>
    <x v="1"/>
    <x v="0"/>
    <m/>
    <m/>
    <m/>
  </r>
  <r>
    <s v="60.02"/>
    <x v="237"/>
    <x v="926"/>
    <s v="Списание с расчетного счета 00БП-006732 от 25.09.2024 19:26:59"/>
    <s v="25.09.24"/>
    <n v="1000"/>
    <m/>
    <m/>
    <d v="2024-09-25T00:00:00"/>
    <n v="188"/>
    <x v="3"/>
    <x v="6"/>
    <x v="1"/>
    <x v="0"/>
    <m/>
    <m/>
    <m/>
  </r>
  <r>
    <s v="60.02"/>
    <x v="237"/>
    <x v="238"/>
    <s v="Авансовый отчет 00БП-000022 от 28.02.2025 15:23:33"/>
    <s v="28.02.25"/>
    <n v="4100"/>
    <m/>
    <m/>
    <d v="2025-02-28T00:00:00"/>
    <n v="32"/>
    <x v="1"/>
    <x v="6"/>
    <x v="1"/>
    <x v="0"/>
    <m/>
    <m/>
    <m/>
  </r>
  <r>
    <s v="60.02"/>
    <x v="353"/>
    <x v="927"/>
    <s v="Списание с расчетного счета 00БП-000006 от 09.01.2025 12:00:12"/>
    <s v="09.01.25"/>
    <n v="11445356.4"/>
    <m/>
    <m/>
    <d v="2025-01-09T00:00:00"/>
    <n v="82"/>
    <x v="1"/>
    <x v="6"/>
    <x v="1"/>
    <x v="0"/>
    <m/>
    <m/>
    <m/>
  </r>
  <r>
    <s v="60.02"/>
    <x v="353"/>
    <x v="927"/>
    <s v="Списание с расчетного счета 00БП-000394 от 27.02.2025 16:47:04"/>
    <s v="27.02.25"/>
    <n v="3815118.8"/>
    <m/>
    <m/>
    <d v="2025-02-27T00:00:00"/>
    <n v="33"/>
    <x v="1"/>
    <x v="6"/>
    <x v="1"/>
    <x v="0"/>
    <m/>
    <m/>
    <m/>
  </r>
  <r>
    <s v="60.02"/>
    <x v="126"/>
    <x v="928"/>
    <s v="Списание с расчетного счета 00БП-000661 от 12.03.2025 18:04:09"/>
    <s v="12.03.25"/>
    <n v="406200"/>
    <m/>
    <m/>
    <d v="2025-03-12T00:00:00"/>
    <n v="20"/>
    <x v="2"/>
    <x v="6"/>
    <x v="1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356"/>
    <x v="6"/>
    <x v="6"/>
    <x v="1"/>
    <x v="2"/>
    <m/>
    <m/>
    <m/>
  </r>
  <r>
    <s v="60.02"/>
    <x v="127"/>
    <x v="791"/>
    <s v="Списание с расчетного счета 00БП-000201 от 05.02.2025 12:00:09"/>
    <s v="05.02.25"/>
    <n v="2881256.7"/>
    <m/>
    <m/>
    <d v="2025-02-05T00:00:00"/>
    <n v="55"/>
    <x v="1"/>
    <x v="6"/>
    <x v="1"/>
    <x v="0"/>
    <m/>
    <m/>
    <m/>
  </r>
  <r>
    <s v="60.02"/>
    <x v="239"/>
    <x v="576"/>
    <s v="Списание с расчетного счета 00БП-001079 от 28.03.2025 21:31:11"/>
    <s v="28.03.25"/>
    <n v="7010"/>
    <m/>
    <m/>
    <d v="2025-03-28T00:00:00"/>
    <n v="4"/>
    <x v="2"/>
    <x v="6"/>
    <x v="1"/>
    <x v="0"/>
    <m/>
    <m/>
    <m/>
  </r>
  <r>
    <s v="60.02"/>
    <x v="354"/>
    <x v="929"/>
    <s v="Списание с расчетного счета 00БП-001085 от 28.03.2025 21:31:17"/>
    <s v="28.03.25"/>
    <n v="40800"/>
    <m/>
    <m/>
    <d v="2025-03-28T00:00:00"/>
    <n v="4"/>
    <x v="2"/>
    <x v="6"/>
    <x v="1"/>
    <x v="0"/>
    <m/>
    <m/>
    <m/>
  </r>
  <r>
    <s v="60.02"/>
    <x v="129"/>
    <x v="930"/>
    <s v="Списание с расчетного счета 00БП-000346 от 21.02.2025 15:36:24"/>
    <s v="21.02.25"/>
    <n v="432000"/>
    <m/>
    <m/>
    <d v="2025-02-21T00:00:00"/>
    <n v="39"/>
    <x v="1"/>
    <x v="6"/>
    <x v="1"/>
    <x v="0"/>
    <m/>
    <m/>
    <m/>
  </r>
  <r>
    <s v="60.02"/>
    <x v="310"/>
    <x v="931"/>
    <s v="Списание с расчетного счета 00БП-006380 от 12.09.2024 17:28:33"/>
    <s v="12.09.24"/>
    <n v="15835.2"/>
    <m/>
    <m/>
    <d v="2024-09-12T00:00:00"/>
    <n v="201"/>
    <x v="3"/>
    <x v="6"/>
    <x v="1"/>
    <x v="0"/>
    <m/>
    <m/>
    <m/>
  </r>
  <r>
    <s v="60.02"/>
    <x v="310"/>
    <x v="932"/>
    <s v="Списание с расчетного счета 00БП-001141 от 31.03.2025 23:59:59"/>
    <s v="31.03.25"/>
    <n v="13975.2"/>
    <m/>
    <m/>
    <d v="2025-03-31T00:00:00"/>
    <n v="1"/>
    <x v="2"/>
    <x v="6"/>
    <x v="1"/>
    <x v="0"/>
    <m/>
    <m/>
    <m/>
  </r>
  <r>
    <s v="60.02"/>
    <x v="355"/>
    <x v="933"/>
    <s v="Списание с расчетного счета 00БП-000645 от 12.03.2025 18:03:53"/>
    <s v="12.03.25"/>
    <n v="11110"/>
    <m/>
    <m/>
    <d v="2025-03-12T00:00:00"/>
    <n v="20"/>
    <x v="2"/>
    <x v="6"/>
    <x v="1"/>
    <x v="0"/>
    <m/>
    <m/>
    <m/>
  </r>
  <r>
    <s v="60.02"/>
    <x v="356"/>
    <x v="934"/>
    <s v="Списание с расчетного счета 00БП-000967 от 26.03.2025 19:28:52"/>
    <s v="26.03.25"/>
    <n v="649350"/>
    <m/>
    <m/>
    <d v="2025-03-26T00:00:00"/>
    <n v="6"/>
    <x v="2"/>
    <x v="6"/>
    <x v="1"/>
    <x v="0"/>
    <m/>
    <m/>
    <m/>
  </r>
  <r>
    <s v="60.02"/>
    <x v="137"/>
    <x v="303"/>
    <s v="Списание с расчетного счета 00БП-005471 от 12.08.2024 18:37:49"/>
    <s v="12.08.24"/>
    <n v="135901.20000000001"/>
    <m/>
    <m/>
    <d v="2024-08-12T00:00:00"/>
    <n v="232"/>
    <x v="3"/>
    <x v="6"/>
    <x v="1"/>
    <x v="0"/>
    <m/>
    <m/>
    <m/>
  </r>
  <r>
    <s v="60.02"/>
    <x v="137"/>
    <x v="303"/>
    <s v="Списание с расчетного счета 00БП-000703 от 13.03.2025 18:55:48"/>
    <s v="13.03.25"/>
    <n v="564000"/>
    <m/>
    <m/>
    <d v="2025-03-13T00:00:00"/>
    <n v="19"/>
    <x v="2"/>
    <x v="6"/>
    <x v="1"/>
    <x v="0"/>
    <m/>
    <m/>
    <m/>
  </r>
  <r>
    <s v="60.02"/>
    <x v="137"/>
    <x v="935"/>
    <s v="Списание с расчетного счета 00БП-000696 от 13.03.2025 18:55:41"/>
    <s v="13.03.25"/>
    <n v="8690"/>
    <m/>
    <m/>
    <d v="2025-03-13T00:00:00"/>
    <n v="19"/>
    <x v="2"/>
    <x v="6"/>
    <x v="1"/>
    <x v="0"/>
    <m/>
    <m/>
    <m/>
  </r>
  <r>
    <s v="60.02"/>
    <x v="137"/>
    <x v="935"/>
    <s v="Списание с расчетного счета 00БП-000704 от 13.03.2025 18:55:49"/>
    <s v="13.03.25"/>
    <n v="629042"/>
    <m/>
    <m/>
    <d v="2025-03-13T00:00:00"/>
    <n v="19"/>
    <x v="2"/>
    <x v="6"/>
    <x v="1"/>
    <x v="0"/>
    <m/>
    <m/>
    <m/>
  </r>
  <r>
    <s v="60.02"/>
    <x v="357"/>
    <x v="936"/>
    <s v="Списание с расчетного счета 00БП-001082 от 28.03.2025 21:31:14"/>
    <s v="28.03.25"/>
    <n v="26850"/>
    <m/>
    <m/>
    <d v="2025-03-28T00:00:00"/>
    <n v="4"/>
    <x v="2"/>
    <x v="6"/>
    <x v="1"/>
    <x v="0"/>
    <m/>
    <m/>
    <m/>
  </r>
  <r>
    <s v="60.02"/>
    <x v="317"/>
    <x v="73"/>
    <s v="Авансовый отчет 00БП-000056 от 19.03.2025 12:24:29"/>
    <s v="19.03.25"/>
    <n v="1600"/>
    <m/>
    <m/>
    <d v="2025-03-19T00:00:00"/>
    <n v="13"/>
    <x v="2"/>
    <x v="6"/>
    <x v="1"/>
    <x v="0"/>
    <m/>
    <m/>
    <m/>
  </r>
  <r>
    <s v="60.02"/>
    <x v="142"/>
    <x v="309"/>
    <s v="Списание с расчетного счета 00БП-001145 от 31.03.2025 23:59:59"/>
    <s v="31.03.25"/>
    <n v="32000"/>
    <m/>
    <m/>
    <d v="2025-03-31T00:00:00"/>
    <n v="1"/>
    <x v="2"/>
    <x v="6"/>
    <x v="1"/>
    <x v="8"/>
    <m/>
    <m/>
    <m/>
  </r>
  <r>
    <s v="60.02"/>
    <x v="144"/>
    <x v="311"/>
    <s v="Списание с расчетного счета 00БП-000930 от 25.03.2025 17:52:15"/>
    <s v="25.03.25"/>
    <n v="61534"/>
    <m/>
    <m/>
    <d v="2025-03-25T00:00:00"/>
    <n v="7"/>
    <x v="2"/>
    <x v="6"/>
    <x v="1"/>
    <x v="0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214"/>
    <x v="3"/>
    <x v="6"/>
    <x v="1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175"/>
    <x v="0"/>
    <x v="6"/>
    <x v="1"/>
    <x v="18"/>
    <m/>
    <s v="Экологический отдел"/>
    <m/>
  </r>
  <r>
    <s v="60.02"/>
    <x v="145"/>
    <x v="937"/>
    <s v="Списание с расчетного счета 00БП-001502 от 09.04.2024 19:39:54"/>
    <s v="09.04.24"/>
    <n v="401.23"/>
    <m/>
    <m/>
    <d v="2024-04-09T00:00:00"/>
    <n v="357"/>
    <x v="6"/>
    <x v="6"/>
    <x v="1"/>
    <x v="0"/>
    <m/>
    <m/>
    <m/>
  </r>
  <r>
    <s v="60.02"/>
    <x v="145"/>
    <x v="937"/>
    <s v="Списание с расчетного счета 00БП-007213 от 08.10.2024 20:35:01"/>
    <s v="08.10.24"/>
    <n v="936.21"/>
    <m/>
    <m/>
    <d v="2024-10-08T00:00:00"/>
    <n v="175"/>
    <x v="0"/>
    <x v="6"/>
    <x v="1"/>
    <x v="0"/>
    <m/>
    <m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1154"/>
    <x v="5"/>
    <x v="6"/>
    <x v="1"/>
    <x v="2"/>
    <m/>
    <m/>
    <m/>
  </r>
  <r>
    <s v="60.02"/>
    <x v="147"/>
    <x v="382"/>
    <s v="Списание с расчетного счета 00БП-000936 от 25.03.2025 17:52:21"/>
    <s v="25.03.25"/>
    <n v="389673"/>
    <m/>
    <m/>
    <d v="2025-03-25T00:00:00"/>
    <n v="7"/>
    <x v="2"/>
    <x v="6"/>
    <x v="1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229"/>
    <x v="3"/>
    <x v="6"/>
    <x v="1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524"/>
    <x v="5"/>
    <x v="6"/>
    <x v="1"/>
    <x v="0"/>
    <m/>
    <m/>
    <m/>
  </r>
  <r>
    <s v="60.02"/>
    <x v="150"/>
    <x v="395"/>
    <s v="Списание с расчетного счета 00БП-000608 от 11.03.2025 17:05:30"/>
    <s v="11.03.25"/>
    <n v="112500"/>
    <m/>
    <m/>
    <d v="2025-03-11T00:00:00"/>
    <n v="21"/>
    <x v="2"/>
    <x v="6"/>
    <x v="1"/>
    <x v="0"/>
    <m/>
    <m/>
    <m/>
  </r>
  <r>
    <s v="60.02"/>
    <x v="151"/>
    <x v="319"/>
    <s v="Списание с расчетного счета 00БП-000655 от 12.03.2025 18:04:03"/>
    <s v="12.03.25"/>
    <n v="47400"/>
    <m/>
    <m/>
    <d v="2025-03-12T00:00:00"/>
    <n v="20"/>
    <x v="2"/>
    <x v="6"/>
    <x v="1"/>
    <x v="0"/>
    <m/>
    <m/>
    <m/>
  </r>
  <r>
    <s v="60.02"/>
    <x v="249"/>
    <x v="590"/>
    <s v="Списание с расчетного счета 00БП-000726 от 13.03.2025 18:56:14"/>
    <s v="13.03.25"/>
    <n v="1237942.8"/>
    <m/>
    <m/>
    <d v="2025-03-13T00:00:00"/>
    <n v="19"/>
    <x v="2"/>
    <x v="6"/>
    <x v="1"/>
    <x v="0"/>
    <m/>
    <m/>
    <m/>
  </r>
  <r>
    <s v="60.02"/>
    <x v="153"/>
    <x v="807"/>
    <s v="Списание с расчетного счета 00БП-000762 от 17.03.2025 17:48:09"/>
    <s v="17.03.25"/>
    <n v="150000"/>
    <m/>
    <m/>
    <d v="2025-03-17T00:00:00"/>
    <n v="15"/>
    <x v="2"/>
    <x v="6"/>
    <x v="1"/>
    <x v="0"/>
    <m/>
    <m/>
    <m/>
  </r>
  <r>
    <s v="60.02"/>
    <x v="153"/>
    <x v="808"/>
    <s v="Списание с расчетного счета 00БП-000790 от 18.03.2025 17:04:01"/>
    <s v="18.03.25"/>
    <n v="84000"/>
    <m/>
    <m/>
    <d v="2025-03-18T00:00:00"/>
    <n v="14"/>
    <x v="2"/>
    <x v="6"/>
    <x v="1"/>
    <x v="0"/>
    <m/>
    <m/>
    <m/>
  </r>
  <r>
    <s v="60.02"/>
    <x v="324"/>
    <x v="816"/>
    <s v="Списание с расчетного счета 00БП-009284 от 16.12.2024 15:20:53"/>
    <s v="16.12.24"/>
    <n v="554500"/>
    <m/>
    <m/>
    <d v="2024-12-16T00:00:00"/>
    <n v="106"/>
    <x v="4"/>
    <x v="6"/>
    <x v="1"/>
    <x v="0"/>
    <m/>
    <m/>
    <m/>
  </r>
  <r>
    <s v="60.02"/>
    <x v="358"/>
    <x v="938"/>
    <s v="Списание с расчетного счета 00БП-000211 от 06.02.2025 12:00:02"/>
    <s v="06.02.25"/>
    <n v="2155"/>
    <m/>
    <m/>
    <d v="2025-02-06T00:00:00"/>
    <n v="54"/>
    <x v="1"/>
    <x v="6"/>
    <x v="1"/>
    <x v="0"/>
    <m/>
    <m/>
    <m/>
  </r>
  <r>
    <s v="60.02"/>
    <x v="158"/>
    <x v="939"/>
    <s v="Списание с расчетного счета 00БП-000771 от 17.03.2025 17:48:18"/>
    <s v="17.03.25"/>
    <n v="4121834.12"/>
    <m/>
    <m/>
    <d v="2025-03-17T00:00:00"/>
    <n v="15"/>
    <x v="2"/>
    <x v="6"/>
    <x v="1"/>
    <x v="0"/>
    <m/>
    <m/>
    <m/>
  </r>
  <r>
    <s v="60.02"/>
    <x v="359"/>
    <x v="940"/>
    <s v="Списание с расчетного счета 00БП-005351 от 09.08.2024 17:00:59"/>
    <s v="09.08.24"/>
    <n v="474600"/>
    <m/>
    <m/>
    <d v="2024-08-09T00:00:00"/>
    <n v="235"/>
    <x v="3"/>
    <x v="6"/>
    <x v="1"/>
    <x v="0"/>
    <m/>
    <m/>
    <m/>
  </r>
  <r>
    <s v="60.02"/>
    <x v="360"/>
    <x v="941"/>
    <s v="Списание с расчетного счета 00БП-000577 от 10.03.2025 19:18:08"/>
    <s v="10.03.25"/>
    <n v="525545"/>
    <m/>
    <m/>
    <d v="2025-03-10T00:00:00"/>
    <n v="22"/>
    <x v="2"/>
    <x v="6"/>
    <x v="1"/>
    <x v="0"/>
    <m/>
    <m/>
    <m/>
  </r>
  <r>
    <s v="60.02"/>
    <x v="361"/>
    <x v="942"/>
    <s v="Списание с расчетного счета 00БП-000603 от 11.03.2025 17:05:25"/>
    <s v="11.03.25"/>
    <n v="7500"/>
    <m/>
    <m/>
    <d v="2025-03-11T00:00:00"/>
    <n v="21"/>
    <x v="2"/>
    <x v="6"/>
    <x v="1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888"/>
    <x v="5"/>
    <x v="6"/>
    <x v="1"/>
    <x v="0"/>
    <m/>
    <m/>
    <m/>
  </r>
  <r>
    <s v="60.02"/>
    <x v="362"/>
    <x v="73"/>
    <s v="Списание с расчетного счета 00БП-008083 от 30.10.2024 17:15:46"/>
    <s v="30.10.24"/>
    <n v="30000"/>
    <m/>
    <m/>
    <d v="2024-10-30T00:00:00"/>
    <n v="153"/>
    <x v="0"/>
    <x v="6"/>
    <x v="1"/>
    <x v="0"/>
    <m/>
    <m/>
    <m/>
  </r>
  <r>
    <s v="60.02"/>
    <x v="362"/>
    <x v="73"/>
    <s v="Списание с расчетного счета 00БП-008085 от 30.10.2024 17:15:48"/>
    <s v="30.10.24"/>
    <n v="60000"/>
    <m/>
    <m/>
    <d v="2024-10-30T00:00:00"/>
    <n v="153"/>
    <x v="0"/>
    <x v="6"/>
    <x v="1"/>
    <x v="0"/>
    <m/>
    <m/>
    <m/>
  </r>
  <r>
    <s v="60.02"/>
    <x v="326"/>
    <x v="943"/>
    <s v="Списание с расчетного счета 00БП-003369 от 10.06.2024 23:59:59"/>
    <s v="10.06.24"/>
    <n v="36878.879999999997"/>
    <m/>
    <m/>
    <d v="2024-06-10T00:00:00"/>
    <n v="295"/>
    <x v="6"/>
    <x v="6"/>
    <x v="1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194"/>
    <x v="3"/>
    <x v="6"/>
    <x v="1"/>
    <x v="13"/>
    <m/>
    <m/>
    <m/>
  </r>
  <r>
    <s v="60.32"/>
    <x v="171"/>
    <x v="944"/>
    <s v="Списание с расчетного счета 00БП-009377 от 26.12.2024 23:56:47"/>
    <s v="26.12.24"/>
    <n v="19328716.539999999"/>
    <m/>
    <m/>
    <d v="2024-12-26T00:00:00"/>
    <n v="96"/>
    <x v="4"/>
    <x v="6"/>
    <x v="1"/>
    <x v="0"/>
    <m/>
    <m/>
    <m/>
  </r>
  <r>
    <s v="60.32"/>
    <x v="38"/>
    <x v="945"/>
    <s v="Списание с расчетного счета 00БП-000098 от 23.01.2025 16:59:58"/>
    <s v="23.01.25"/>
    <n v="57199192.799999997"/>
    <m/>
    <m/>
    <d v="2025-01-23T00:00:00"/>
    <n v="68"/>
    <x v="1"/>
    <x v="6"/>
    <x v="1"/>
    <x v="0"/>
    <m/>
    <m/>
    <m/>
  </r>
  <r>
    <s v="60.32"/>
    <x v="38"/>
    <x v="945"/>
    <s v="Списание с расчетного счета 00БП-000832 от 19.03.2025 15:54:18"/>
    <s v="19.03.25"/>
    <n v="81501800"/>
    <m/>
    <m/>
    <d v="2025-03-19T00:00:00"/>
    <n v="13"/>
    <x v="2"/>
    <x v="6"/>
    <x v="1"/>
    <x v="0"/>
    <m/>
    <m/>
    <m/>
  </r>
  <r>
    <s v="60.32"/>
    <x v="38"/>
    <x v="340"/>
    <s v="Списание с расчетного счета 00БП-001090 от 28.03.2025 21:31:22"/>
    <s v="28.03.25"/>
    <n v="308085.82"/>
    <m/>
    <m/>
    <d v="2025-03-28T00:00:00"/>
    <n v="4"/>
    <x v="2"/>
    <x v="6"/>
    <x v="1"/>
    <x v="0"/>
    <m/>
    <m/>
    <m/>
  </r>
  <r>
    <s v="60.32"/>
    <x v="38"/>
    <x v="946"/>
    <s v="Списание с расчетного счета 00БП-000848 от 20.03.2025 18:57:16"/>
    <s v="20.03.25"/>
    <n v="27502.02"/>
    <m/>
    <m/>
    <d v="2025-03-20T00:00:00"/>
    <n v="12"/>
    <x v="2"/>
    <x v="6"/>
    <x v="1"/>
    <x v="0"/>
    <m/>
    <m/>
    <m/>
  </r>
  <r>
    <s v="60.32"/>
    <x v="38"/>
    <x v="947"/>
    <s v="Списание с расчетного счета 00БП-000850 от 20.03.2025 18:57:18"/>
    <s v="20.03.25"/>
    <n v="103917.32"/>
    <m/>
    <m/>
    <d v="2025-03-20T00:00:00"/>
    <n v="12"/>
    <x v="2"/>
    <x v="6"/>
    <x v="1"/>
    <x v="0"/>
    <m/>
    <m/>
    <m/>
  </r>
  <r>
    <s v="60.32"/>
    <x v="327"/>
    <x v="819"/>
    <s v="Списание с расчетного счета 00БП-000090 от 22.01.2025 17:16:53"/>
    <s v="22.01.25"/>
    <n v="94506324"/>
    <m/>
    <m/>
    <d v="2025-01-22T00:00:00"/>
    <n v="69"/>
    <x v="1"/>
    <x v="6"/>
    <x v="1"/>
    <x v="0"/>
    <m/>
    <m/>
    <m/>
  </r>
  <r>
    <s v="60.32"/>
    <x v="78"/>
    <x v="948"/>
    <s v="Списание с расчетного счета 00БП-009398 от 27.12.2024 15:07:20"/>
    <s v="27.12.24"/>
    <n v="63306766.560000002"/>
    <m/>
    <m/>
    <d v="2024-12-27T00:00:00"/>
    <n v="95"/>
    <x v="4"/>
    <x v="6"/>
    <x v="1"/>
    <x v="0"/>
    <m/>
    <m/>
    <m/>
  </r>
  <r>
    <s v="60.32"/>
    <x v="78"/>
    <x v="948"/>
    <s v="Списание с расчетного счета 00БП-001104 от 28.03.2025 21:31:36"/>
    <s v="28.03.25"/>
    <n v="72685919.510000005"/>
    <m/>
    <m/>
    <d v="2025-03-28T00:00:00"/>
    <n v="4"/>
    <x v="2"/>
    <x v="6"/>
    <x v="1"/>
    <x v="0"/>
    <m/>
    <m/>
    <m/>
  </r>
  <r>
    <s v="60.32"/>
    <x v="78"/>
    <x v="346"/>
    <s v="Списание с расчетного счета 00БП-000875 от 21.03.2025 17:21:00"/>
    <s v="21.03.25"/>
    <n v="31324093.68"/>
    <m/>
    <m/>
    <d v="2025-03-21T00:00:00"/>
    <n v="11"/>
    <x v="2"/>
    <x v="6"/>
    <x v="1"/>
    <x v="0"/>
    <m/>
    <m/>
    <m/>
  </r>
  <r>
    <s v="60.32"/>
    <x v="78"/>
    <x v="594"/>
    <s v="Списание с расчетного счета 00БП-009059 от 02.12.2024 16:28:38"/>
    <s v="02.12.24"/>
    <n v="15618063.76"/>
    <m/>
    <m/>
    <d v="2024-12-02T00:00:00"/>
    <n v="120"/>
    <x v="4"/>
    <x v="6"/>
    <x v="1"/>
    <x v="0"/>
    <m/>
    <m/>
    <m/>
  </r>
  <r>
    <s v="60.32"/>
    <x v="106"/>
    <x v="595"/>
    <s v="Списание с расчетного счета 00БП-005176 от 31.07.2024 23:59:59"/>
    <s v="31.07.24"/>
    <n v="348705"/>
    <m/>
    <m/>
    <d v="2024-07-31T00:00:00"/>
    <n v="244"/>
    <x v="3"/>
    <x v="6"/>
    <x v="1"/>
    <x v="0"/>
    <m/>
    <m/>
    <m/>
  </r>
  <r>
    <s v="60.32"/>
    <x v="117"/>
    <x v="949"/>
    <s v="Списание с расчетного счета 00БП-000336 от 20.02.2025 15:53:33"/>
    <s v="20.02.25"/>
    <n v="7328862.3200000003"/>
    <m/>
    <m/>
    <d v="2025-02-20T00:00:00"/>
    <n v="40"/>
    <x v="1"/>
    <x v="6"/>
    <x v="1"/>
    <x v="0"/>
    <m/>
    <m/>
    <m/>
  </r>
  <r>
    <s v="60.32"/>
    <x v="170"/>
    <x v="950"/>
    <s v="Списание с расчетного счета 00БП-000334 от 20.02.2025 15:53:31"/>
    <s v="20.02.25"/>
    <n v="2399023"/>
    <m/>
    <m/>
    <d v="2025-02-20T00:00:00"/>
    <n v="40"/>
    <x v="1"/>
    <x v="6"/>
    <x v="1"/>
    <x v="0"/>
    <m/>
    <m/>
    <m/>
  </r>
  <r>
    <s v="60.32"/>
    <x v="170"/>
    <x v="950"/>
    <s v="Списание с расчетного счета 00БП-000670 от 12.03.2025 18:04:18"/>
    <s v="12.03.25"/>
    <n v="20669578.710000001"/>
    <m/>
    <m/>
    <d v="2025-03-12T00:00:00"/>
    <n v="20"/>
    <x v="2"/>
    <x v="6"/>
    <x v="1"/>
    <x v="0"/>
    <m/>
    <m/>
    <m/>
  </r>
  <r>
    <s v="60.32"/>
    <x v="170"/>
    <x v="951"/>
    <s v="Списание с расчетного счета 00БП-000557 от 07.03.2025 17:21:24"/>
    <s v="07.03.25"/>
    <n v="2376355.77"/>
    <m/>
    <m/>
    <d v="2025-03-07T00:00:00"/>
    <n v="25"/>
    <x v="2"/>
    <x v="6"/>
    <x v="1"/>
    <x v="0"/>
    <m/>
    <m/>
    <m/>
  </r>
  <r>
    <s v="60.32"/>
    <x v="170"/>
    <x v="951"/>
    <s v="Списание с расчетного счета 00БП-001103 от 28.03.2025 21:31:35"/>
    <s v="28.03.25"/>
    <n v="20017211.32"/>
    <m/>
    <m/>
    <d v="2025-03-28T00:00:00"/>
    <n v="4"/>
    <x v="2"/>
    <x v="6"/>
    <x v="1"/>
    <x v="0"/>
    <m/>
    <m/>
    <m/>
  </r>
  <r>
    <s v="60.02"/>
    <x v="0"/>
    <x v="820"/>
    <s v="Списание с расчетного счета 00БП-003158 от 16.06.2023 21:01:03"/>
    <s v="16.06.23"/>
    <n v="2200"/>
    <m/>
    <m/>
    <d v="2023-06-16T00:00:00"/>
    <n v="565"/>
    <x v="5"/>
    <x v="7"/>
    <x v="1"/>
    <x v="0"/>
    <m/>
    <m/>
    <m/>
  </r>
  <r>
    <s v="60.02"/>
    <x v="1"/>
    <x v="821"/>
    <s v="Списание с расчетного счета 00БП-009294 от 17.12.2024 14:30:13"/>
    <s v="17.12.24"/>
    <n v="14770"/>
    <m/>
    <m/>
    <d v="2024-12-17T00:00:00"/>
    <n v="15"/>
    <x v="2"/>
    <x v="7"/>
    <x v="1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607"/>
    <x v="5"/>
    <x v="7"/>
    <x v="1"/>
    <x v="0"/>
    <m/>
    <m/>
    <m/>
  </r>
  <r>
    <s v="60.02"/>
    <x v="10"/>
    <x v="827"/>
    <s v="Списание с расчетного счета 00БП-009286 от 16.12.2024 15:20:55"/>
    <s v="16.12.24"/>
    <n v="115365756"/>
    <m/>
    <m/>
    <d v="2024-12-16T00:00:00"/>
    <n v="16"/>
    <x v="2"/>
    <x v="7"/>
    <x v="1"/>
    <x v="0"/>
    <m/>
    <m/>
    <m/>
  </r>
  <r>
    <s v="60.02"/>
    <x v="262"/>
    <x v="622"/>
    <s v="Списание с расчетного счета 00БП-000908 от 14.03.2024 17:41:36"/>
    <s v="14.03.24"/>
    <n v="12470"/>
    <m/>
    <m/>
    <d v="2024-03-14T00:00:00"/>
    <n v="293"/>
    <x v="6"/>
    <x v="7"/>
    <x v="1"/>
    <x v="0"/>
    <m/>
    <m/>
    <m/>
  </r>
  <r>
    <s v="60.02"/>
    <x v="18"/>
    <x v="952"/>
    <s v="Списание с расчетного счета 00БП-001451 от 05.04.2024 17:41:34"/>
    <s v="05.04.24"/>
    <n v="660800"/>
    <m/>
    <m/>
    <d v="2024-04-05T00:00:00"/>
    <n v="271"/>
    <x v="6"/>
    <x v="7"/>
    <x v="1"/>
    <x v="0"/>
    <m/>
    <m/>
    <m/>
  </r>
  <r>
    <s v="60.02"/>
    <x v="19"/>
    <x v="28"/>
    <s v="Списание с расчетного счета 00БП-009249 от 13.12.2024 12:00:03"/>
    <s v="13.12.24"/>
    <n v="66000"/>
    <m/>
    <m/>
    <d v="2024-12-13T00:00:00"/>
    <n v="19"/>
    <x v="2"/>
    <x v="7"/>
    <x v="1"/>
    <x v="0"/>
    <m/>
    <m/>
    <m/>
  </r>
  <r>
    <s v="60.02"/>
    <x v="263"/>
    <x v="623"/>
    <s v="Списание с расчетного счета 00БП-001227 от 31.03.2023 23:59:59"/>
    <s v="31.03.23"/>
    <n v="6879"/>
    <m/>
    <m/>
    <d v="2023-03-31T00:00:00"/>
    <n v="642"/>
    <x v="5"/>
    <x v="7"/>
    <x v="1"/>
    <x v="0"/>
    <m/>
    <m/>
    <m/>
  </r>
  <r>
    <s v="60.02"/>
    <x v="23"/>
    <x v="37"/>
    <s v="Списание с расчетного счета 00БП-009327 от 23.12.2024 17:59:23"/>
    <s v="23.12.24"/>
    <n v="279503.83"/>
    <m/>
    <m/>
    <d v="2024-12-23T00:00:00"/>
    <n v="9"/>
    <x v="2"/>
    <x v="7"/>
    <x v="1"/>
    <x v="0"/>
    <m/>
    <m/>
    <m/>
  </r>
  <r>
    <s v="60.02"/>
    <x v="363"/>
    <x v="953"/>
    <s v="Списание с расчетного счета 00БП-008430 от 12.11.2024 17:19:30"/>
    <s v="12.11.24"/>
    <n v="3748500"/>
    <m/>
    <m/>
    <d v="2024-11-12T00:00:00"/>
    <n v="50"/>
    <x v="1"/>
    <x v="7"/>
    <x v="1"/>
    <x v="0"/>
    <m/>
    <m/>
    <m/>
  </r>
  <r>
    <s v="60.02"/>
    <x v="363"/>
    <x v="954"/>
    <s v="Списание с расчетного счета 00БП-008425 от 12.11.2024 17:19:25"/>
    <s v="12.11.24"/>
    <n v="136500"/>
    <m/>
    <m/>
    <d v="2024-11-12T00:00:00"/>
    <n v="50"/>
    <x v="1"/>
    <x v="7"/>
    <x v="1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259"/>
    <x v="3"/>
    <x v="7"/>
    <x v="1"/>
    <x v="9"/>
    <m/>
    <m/>
    <m/>
  </r>
  <r>
    <s v="60.02"/>
    <x v="331"/>
    <x v="834"/>
    <s v="Списание с расчетного счета 00БП-007178 от 07.10.2024 18:52:53"/>
    <s v="07.10.24"/>
    <n v="54800"/>
    <m/>
    <m/>
    <d v="2024-10-07T00:00:00"/>
    <n v="86"/>
    <x v="1"/>
    <x v="7"/>
    <x v="1"/>
    <x v="0"/>
    <m/>
    <m/>
    <m/>
  </r>
  <r>
    <s v="60.02"/>
    <x v="364"/>
    <x v="955"/>
    <s v="Списание с расчетного счета 00БП-009048 от 02.12.2024 16:28:27"/>
    <s v="02.12.24"/>
    <n v="40000"/>
    <m/>
    <m/>
    <d v="2024-12-02T00:00:00"/>
    <n v="30"/>
    <x v="2"/>
    <x v="7"/>
    <x v="1"/>
    <x v="0"/>
    <m/>
    <m/>
    <m/>
  </r>
  <r>
    <s v="60.02"/>
    <x v="29"/>
    <x v="956"/>
    <s v="Списание с расчетного счета 00БП-009392 от 27.12.2024 15:07:14"/>
    <s v="27.12.24"/>
    <n v="78634"/>
    <m/>
    <m/>
    <d v="2024-12-27T00:00:00"/>
    <n v="5"/>
    <x v="2"/>
    <x v="7"/>
    <x v="1"/>
    <x v="0"/>
    <m/>
    <m/>
    <m/>
  </r>
  <r>
    <s v="60.02"/>
    <x v="29"/>
    <x v="957"/>
    <s v="Списание с расчетного счета 00БП-009403 от 28.12.2024 15:51:47"/>
    <s v="28.12.24"/>
    <n v="47502"/>
    <m/>
    <m/>
    <d v="2024-12-28T00:00:00"/>
    <n v="4"/>
    <x v="2"/>
    <x v="7"/>
    <x v="1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187"/>
    <x v="3"/>
    <x v="7"/>
    <x v="1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191"/>
    <x v="3"/>
    <x v="7"/>
    <x v="1"/>
    <x v="0"/>
    <m/>
    <m/>
    <m/>
  </r>
  <r>
    <s v="60.02"/>
    <x v="30"/>
    <x v="639"/>
    <s v="Списание с расчетного счета 00БП-006495 от 13.09.2024 18:48:10"/>
    <s v="13.09.24"/>
    <n v="6600"/>
    <m/>
    <m/>
    <d v="2024-09-13T00:00:00"/>
    <n v="110"/>
    <x v="4"/>
    <x v="7"/>
    <x v="1"/>
    <x v="0"/>
    <m/>
    <m/>
    <m/>
  </r>
  <r>
    <s v="60.02"/>
    <x v="30"/>
    <x v="420"/>
    <s v="Списание с расчетного счета 00БП-008155 от 01.11.2024 16:41:58"/>
    <s v="01.11.24"/>
    <n v="6600"/>
    <m/>
    <m/>
    <d v="2024-11-01T00:00:00"/>
    <n v="61"/>
    <x v="1"/>
    <x v="7"/>
    <x v="1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219"/>
    <x v="3"/>
    <x v="7"/>
    <x v="1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177"/>
    <x v="0"/>
    <x v="7"/>
    <x v="1"/>
    <x v="0"/>
    <m/>
    <m/>
    <m/>
  </r>
  <r>
    <s v="60.02"/>
    <x v="197"/>
    <x v="429"/>
    <s v="Списание с расчетного счета 00БП-009102 от 03.12.2024 16:43:31"/>
    <s v="03.12.24"/>
    <n v="360000"/>
    <m/>
    <m/>
    <d v="2024-12-03T00:00:00"/>
    <n v="29"/>
    <x v="2"/>
    <x v="7"/>
    <x v="1"/>
    <x v="0"/>
    <m/>
    <m/>
    <m/>
  </r>
  <r>
    <s v="60.02"/>
    <x v="182"/>
    <x v="383"/>
    <s v="Списание с расчетного счета 00БП-009250 от 13.12.2024 12:00:04"/>
    <s v="13.12.24"/>
    <n v="160000"/>
    <m/>
    <m/>
    <d v="2024-12-13T00:00:00"/>
    <n v="19"/>
    <x v="2"/>
    <x v="7"/>
    <x v="1"/>
    <x v="0"/>
    <m/>
    <m/>
    <m/>
  </r>
  <r>
    <s v="60.02"/>
    <x v="36"/>
    <x v="641"/>
    <s v="Списание с расчетного счета 00БП-009396 от 27.12.2024 15:07:18"/>
    <s v="27.12.24"/>
    <n v="8565820"/>
    <m/>
    <m/>
    <d v="2024-12-27T00:00:00"/>
    <n v="5"/>
    <x v="2"/>
    <x v="7"/>
    <x v="1"/>
    <x v="0"/>
    <m/>
    <m/>
    <m/>
  </r>
  <r>
    <s v="60.02"/>
    <x v="36"/>
    <x v="643"/>
    <s v="Списание с расчетного счета 00БП-002737 от 15.05.2024 18:13:45"/>
    <s v="15.05.24"/>
    <n v="2323.89"/>
    <m/>
    <m/>
    <d v="2024-05-15T00:00:00"/>
    <n v="231"/>
    <x v="3"/>
    <x v="7"/>
    <x v="1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1255"/>
    <x v="5"/>
    <x v="7"/>
    <x v="1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260"/>
    <x v="3"/>
    <x v="7"/>
    <x v="1"/>
    <x v="0"/>
    <m/>
    <m/>
    <m/>
  </r>
  <r>
    <s v="60.02"/>
    <x v="39"/>
    <x v="958"/>
    <s v="Списание с расчетного счета 00БП-009336 от 24.12.2024 18:38:55"/>
    <s v="24.12.24"/>
    <n v="146636"/>
    <m/>
    <m/>
    <d v="2024-12-24T00:00:00"/>
    <n v="8"/>
    <x v="2"/>
    <x v="7"/>
    <x v="1"/>
    <x v="0"/>
    <m/>
    <m/>
    <m/>
  </r>
  <r>
    <s v="60.02"/>
    <x v="40"/>
    <x v="959"/>
    <s v="Списание с расчетного счета 00БП-007706 от 18.10.2024 19:57:49"/>
    <s v="18.10.24"/>
    <n v="2665"/>
    <m/>
    <m/>
    <d v="2024-10-18T00:00:00"/>
    <n v="75"/>
    <x v="1"/>
    <x v="7"/>
    <x v="1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209"/>
    <x v="3"/>
    <x v="7"/>
    <x v="1"/>
    <x v="9"/>
    <m/>
    <m/>
    <m/>
  </r>
  <r>
    <s v="60.02"/>
    <x v="365"/>
    <x v="960"/>
    <s v="Списание с расчетного счета 00БП-002698 от 14.05.2024 19:02:10"/>
    <s v="14.05.24"/>
    <n v="2999"/>
    <m/>
    <m/>
    <d v="2024-05-14T00:00:00"/>
    <n v="232"/>
    <x v="3"/>
    <x v="7"/>
    <x v="1"/>
    <x v="0"/>
    <m/>
    <m/>
    <m/>
  </r>
  <r>
    <s v="60.02"/>
    <x v="44"/>
    <x v="853"/>
    <s v="Списание с расчетного счета 00БП-009183 от 06.12.2024 18:36:57"/>
    <s v="06.12.24"/>
    <n v="38732"/>
    <m/>
    <m/>
    <d v="2024-12-06T00:00:00"/>
    <n v="26"/>
    <x v="2"/>
    <x v="7"/>
    <x v="1"/>
    <x v="0"/>
    <m/>
    <m/>
    <m/>
  </r>
  <r>
    <s v="60.02"/>
    <x v="44"/>
    <x v="854"/>
    <s v="Списание с расчетного счета 00БП-009282 от 16.12.2024 15:20:51"/>
    <s v="16.12.24"/>
    <n v="92047"/>
    <m/>
    <m/>
    <d v="2024-12-16T00:00:00"/>
    <n v="16"/>
    <x v="2"/>
    <x v="7"/>
    <x v="1"/>
    <x v="0"/>
    <m/>
    <m/>
    <m/>
  </r>
  <r>
    <s v="60.02"/>
    <x v="44"/>
    <x v="856"/>
    <s v="Списание с расчетного счета 00БП-009389 от 27.12.2024 15:07:11"/>
    <s v="27.12.24"/>
    <n v="4563"/>
    <m/>
    <m/>
    <d v="2024-12-27T00:00:00"/>
    <n v="5"/>
    <x v="2"/>
    <x v="7"/>
    <x v="1"/>
    <x v="0"/>
    <m/>
    <m/>
    <m/>
  </r>
  <r>
    <s v="60.02"/>
    <x v="44"/>
    <x v="858"/>
    <s v="Списание с расчетного счета 00БП-009181 от 06.12.2024 18:36:55"/>
    <s v="06.12.24"/>
    <n v="5740"/>
    <m/>
    <m/>
    <d v="2024-12-06T00:00:00"/>
    <n v="26"/>
    <x v="2"/>
    <x v="7"/>
    <x v="1"/>
    <x v="0"/>
    <m/>
    <m/>
    <m/>
  </r>
  <r>
    <s v="60.02"/>
    <x v="44"/>
    <x v="859"/>
    <s v="Списание с расчетного счета 00БП-009276 от 16.12.2024 15:20:45"/>
    <s v="16.12.24"/>
    <n v="2600"/>
    <m/>
    <m/>
    <d v="2024-12-16T00:00:00"/>
    <n v="16"/>
    <x v="2"/>
    <x v="7"/>
    <x v="1"/>
    <x v="0"/>
    <m/>
    <m/>
    <m/>
  </r>
  <r>
    <s v="60.02"/>
    <x v="208"/>
    <x v="461"/>
    <s v="Списание с расчетного счета 00БП-003336 от 07.06.2024 20:17:33"/>
    <s v="07.06.24"/>
    <n v="1000"/>
    <m/>
    <m/>
    <d v="2024-06-07T00:00:00"/>
    <n v="208"/>
    <x v="3"/>
    <x v="7"/>
    <x v="1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1058"/>
    <x v="5"/>
    <x v="7"/>
    <x v="1"/>
    <x v="8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885"/>
    <x v="5"/>
    <x v="7"/>
    <x v="1"/>
    <x v="2"/>
    <m/>
    <m/>
    <m/>
  </r>
  <r>
    <s v="60.02"/>
    <x v="213"/>
    <x v="479"/>
    <s v="Списание с расчетного счета 00БП-003273 от 05.06.2024 18:44:06"/>
    <s v="05.06.24"/>
    <n v="2220000"/>
    <m/>
    <m/>
    <d v="2024-06-05T00:00:00"/>
    <n v="210"/>
    <x v="3"/>
    <x v="7"/>
    <x v="1"/>
    <x v="20"/>
    <m/>
    <m/>
    <m/>
  </r>
  <r>
    <s v="60.02"/>
    <x v="213"/>
    <x v="480"/>
    <s v="Списание с расчетного счета 00БП-007991 от 28.12.2023 15:20:52"/>
    <s v="28.12.23"/>
    <n v="352732.55"/>
    <m/>
    <m/>
    <d v="2023-12-28T00:00:00"/>
    <n v="370"/>
    <x v="5"/>
    <x v="7"/>
    <x v="1"/>
    <x v="20"/>
    <m/>
    <m/>
    <m/>
  </r>
  <r>
    <s v="60.02"/>
    <x v="54"/>
    <x v="961"/>
    <s v="Списание с расчетного счета 00БП-006563 от 16.09.2024 19:20:35"/>
    <s v="16.09.24"/>
    <n v="4990"/>
    <m/>
    <m/>
    <d v="2024-09-16T00:00:00"/>
    <n v="107"/>
    <x v="4"/>
    <x v="7"/>
    <x v="1"/>
    <x v="0"/>
    <m/>
    <m/>
    <m/>
  </r>
  <r>
    <s v="60.02"/>
    <x v="57"/>
    <x v="138"/>
    <s v="Списание с расчетного счета 00БП-009391 от 27.12.2024 15:07:13"/>
    <s v="27.12.24"/>
    <n v="57500"/>
    <m/>
    <m/>
    <d v="2024-12-27T00:00:00"/>
    <n v="5"/>
    <x v="2"/>
    <x v="7"/>
    <x v="1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463"/>
    <x v="5"/>
    <x v="7"/>
    <x v="1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107"/>
    <x v="5"/>
    <x v="7"/>
    <x v="1"/>
    <x v="0"/>
    <m/>
    <m/>
    <m/>
  </r>
  <r>
    <s v="60.02"/>
    <x v="62"/>
    <x v="144"/>
    <s v="Списание с расчетного счета 00БП-001959 от 19.04.2024 20:35:31"/>
    <s v="19.04.24"/>
    <n v="8850"/>
    <m/>
    <m/>
    <d v="2024-04-19T00:00:00"/>
    <n v="257"/>
    <x v="3"/>
    <x v="7"/>
    <x v="1"/>
    <x v="0"/>
    <m/>
    <m/>
    <m/>
  </r>
  <r>
    <s v="60.02"/>
    <x v="338"/>
    <x v="962"/>
    <s v="Списание с расчетного счета 00БП-009214 от 11.12.2024 12:00:03"/>
    <s v="11.12.24"/>
    <n v="65568"/>
    <m/>
    <m/>
    <d v="2024-12-11T00:00:00"/>
    <n v="21"/>
    <x v="2"/>
    <x v="7"/>
    <x v="1"/>
    <x v="0"/>
    <m/>
    <m/>
    <m/>
  </r>
  <r>
    <s v="60.02"/>
    <x v="338"/>
    <x v="867"/>
    <s v="Списание с расчетного счета 00БП-009216 от 11.12.2024 12:00:05"/>
    <s v="11.12.24"/>
    <n v="234630"/>
    <m/>
    <m/>
    <d v="2024-12-11T00:00:00"/>
    <n v="21"/>
    <x v="2"/>
    <x v="7"/>
    <x v="1"/>
    <x v="0"/>
    <m/>
    <m/>
    <m/>
  </r>
  <r>
    <s v="60.02"/>
    <x v="338"/>
    <x v="963"/>
    <s v="Списание с расчетного счета 00БП-009251 от 13.12.2024 12:00:05"/>
    <s v="13.12.24"/>
    <n v="193767"/>
    <m/>
    <m/>
    <d v="2024-12-13T00:00:00"/>
    <n v="19"/>
    <x v="2"/>
    <x v="7"/>
    <x v="1"/>
    <x v="0"/>
    <m/>
    <m/>
    <m/>
  </r>
  <r>
    <s v="60.02"/>
    <x v="338"/>
    <x v="964"/>
    <s v="Списание с расчетного счета 00БП-009253 от 13.12.2024 12:00:07"/>
    <s v="13.12.24"/>
    <n v="81700"/>
    <m/>
    <m/>
    <d v="2024-12-13T00:00:00"/>
    <n v="19"/>
    <x v="2"/>
    <x v="7"/>
    <x v="1"/>
    <x v="0"/>
    <m/>
    <m/>
    <m/>
  </r>
  <r>
    <s v="60.02"/>
    <x v="338"/>
    <x v="965"/>
    <s v="Списание с расчетного счета 00БП-009253 от 13.12.2024 12:00:07"/>
    <s v="13.12.24"/>
    <n v="146052"/>
    <m/>
    <m/>
    <d v="2024-12-13T00:00:00"/>
    <n v="19"/>
    <x v="2"/>
    <x v="7"/>
    <x v="1"/>
    <x v="0"/>
    <m/>
    <m/>
    <m/>
  </r>
  <r>
    <s v="60.02"/>
    <x v="338"/>
    <x v="965"/>
    <s v="Списание с расчетного счета 00БП-009278 от 16.12.2024 15:20:47"/>
    <s v="16.12.24"/>
    <n v="6118"/>
    <m/>
    <m/>
    <d v="2024-12-16T00:00:00"/>
    <n v="16"/>
    <x v="2"/>
    <x v="7"/>
    <x v="1"/>
    <x v="0"/>
    <m/>
    <m/>
    <m/>
  </r>
  <r>
    <s v="60.02"/>
    <x v="63"/>
    <x v="966"/>
    <s v="Списание с расчетного счета 00БП-009008 от 29.11.2024 19:17:24"/>
    <s v="29.11.24"/>
    <n v="700000"/>
    <m/>
    <m/>
    <d v="2024-11-29T00:00:00"/>
    <n v="33"/>
    <x v="1"/>
    <x v="7"/>
    <x v="1"/>
    <x v="0"/>
    <m/>
    <m/>
    <m/>
  </r>
  <r>
    <s v="60.02"/>
    <x v="63"/>
    <x v="967"/>
    <s v="Списание с расчетного счета 00БП-009057 от 02.12.2024 16:28:36"/>
    <s v="02.12.24"/>
    <n v="1713230"/>
    <m/>
    <m/>
    <d v="2024-12-02T00:00:00"/>
    <n v="30"/>
    <x v="2"/>
    <x v="7"/>
    <x v="1"/>
    <x v="0"/>
    <m/>
    <m/>
    <m/>
  </r>
  <r>
    <s v="60.02"/>
    <x v="65"/>
    <x v="148"/>
    <s v="Списание с расчетного счета 00БП-009153 от 05.12.2024 12:53:23"/>
    <s v="05.12.24"/>
    <n v="2390812"/>
    <m/>
    <m/>
    <d v="2024-12-05T00:00:00"/>
    <n v="27"/>
    <x v="2"/>
    <x v="7"/>
    <x v="1"/>
    <x v="0"/>
    <m/>
    <m/>
    <m/>
  </r>
  <r>
    <s v="60.02"/>
    <x v="69"/>
    <x v="152"/>
    <s v="Списание с расчетного счета 00БП-007816 от 22.10.2024 18:07:30"/>
    <s v="22.10.24"/>
    <n v="11644.08"/>
    <m/>
    <m/>
    <d v="2024-10-22T00:00:00"/>
    <n v="71"/>
    <x v="1"/>
    <x v="7"/>
    <x v="1"/>
    <x v="0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65"/>
    <x v="1"/>
    <x v="7"/>
    <x v="1"/>
    <x v="2"/>
    <m/>
    <m/>
    <m/>
  </r>
  <r>
    <s v="60.02"/>
    <x v="72"/>
    <x v="73"/>
    <s v="Списание с расчетного счета 00БП-008906 от 25.11.2024 17:26:04"/>
    <s v="25.11.24"/>
    <n v="1998571.25"/>
    <m/>
    <m/>
    <d v="2024-11-25T00:00:00"/>
    <n v="37"/>
    <x v="1"/>
    <x v="7"/>
    <x v="1"/>
    <x v="0"/>
    <m/>
    <m/>
    <m/>
  </r>
  <r>
    <s v="60.02"/>
    <x v="75"/>
    <x v="968"/>
    <s v="Списание с расчетного счета 00БП-009001 от 29.11.2024 19:17:17"/>
    <s v="29.11.24"/>
    <n v="12240"/>
    <m/>
    <m/>
    <d v="2024-11-29T00:00:00"/>
    <n v="33"/>
    <x v="1"/>
    <x v="7"/>
    <x v="1"/>
    <x v="0"/>
    <m/>
    <m/>
    <m/>
  </r>
  <r>
    <s v="60.02"/>
    <x v="77"/>
    <x v="735"/>
    <s v="Списание с расчетного счета 00БП-002727 от 15.05.2024 18:13:35"/>
    <s v="15.05.24"/>
    <n v="25140.27"/>
    <m/>
    <m/>
    <d v="2024-05-15T00:00:00"/>
    <n v="231"/>
    <x v="3"/>
    <x v="7"/>
    <x v="1"/>
    <x v="0"/>
    <m/>
    <m/>
    <m/>
  </r>
  <r>
    <s v="60.02"/>
    <x v="78"/>
    <x v="501"/>
    <s v="Списание с расчетного счета 00БП-002496 от 23.05.2023 18:50:13"/>
    <s v="23.05.23"/>
    <n v="1715565.24"/>
    <m/>
    <m/>
    <d v="2023-05-23T00:00:00"/>
    <n v="589"/>
    <x v="5"/>
    <x v="7"/>
    <x v="1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267"/>
    <x v="3"/>
    <x v="7"/>
    <x v="1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259"/>
    <x v="3"/>
    <x v="7"/>
    <x v="1"/>
    <x v="0"/>
    <m/>
    <m/>
    <m/>
  </r>
  <r>
    <s v="60.02"/>
    <x v="78"/>
    <x v="508"/>
    <s v="Списание с расчетного счета 00БП-003849 от 24.06.2024 17:54:34"/>
    <s v="24.06.24"/>
    <n v="6277.48"/>
    <m/>
    <m/>
    <d v="2024-06-24T00:00:00"/>
    <n v="191"/>
    <x v="3"/>
    <x v="7"/>
    <x v="1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188"/>
    <x v="3"/>
    <x v="7"/>
    <x v="1"/>
    <x v="0"/>
    <m/>
    <m/>
    <m/>
  </r>
  <r>
    <s v="60.02"/>
    <x v="78"/>
    <x v="969"/>
    <s v="Списание с расчетного счета 00БП-004331 от 08.07.2024 18:30:05"/>
    <s v="08.07.24"/>
    <n v="995281.85"/>
    <m/>
    <m/>
    <d v="2024-07-08T00:00:00"/>
    <n v="177"/>
    <x v="0"/>
    <x v="7"/>
    <x v="1"/>
    <x v="0"/>
    <m/>
    <m/>
    <m/>
  </r>
  <r>
    <s v="60.02"/>
    <x v="78"/>
    <x v="512"/>
    <s v="Списание с расчетного счета 00БП-004303 от 05.07.2024 18:28:48"/>
    <s v="05.07.24"/>
    <n v="2.4"/>
    <m/>
    <m/>
    <d v="2024-07-05T00:00:00"/>
    <n v="180"/>
    <x v="0"/>
    <x v="7"/>
    <x v="1"/>
    <x v="0"/>
    <m/>
    <m/>
    <m/>
  </r>
  <r>
    <s v="60.02"/>
    <x v="78"/>
    <x v="970"/>
    <s v="Списание с расчетного счета 00БП-004325 от 08.07.2024 18:29:59"/>
    <s v="08.07.24"/>
    <n v="31.2"/>
    <m/>
    <m/>
    <d v="2024-07-08T00:00:00"/>
    <n v="177"/>
    <x v="0"/>
    <x v="7"/>
    <x v="1"/>
    <x v="0"/>
    <m/>
    <m/>
    <m/>
  </r>
  <r>
    <s v="60.02"/>
    <x v="78"/>
    <x v="971"/>
    <s v="Списание с расчетного счета 00БП-005804 от 23.08.2024 17:14:33"/>
    <s v="23.08.24"/>
    <n v="395493.5"/>
    <m/>
    <m/>
    <d v="2024-08-23T00:00:00"/>
    <n v="131"/>
    <x v="0"/>
    <x v="7"/>
    <x v="1"/>
    <x v="0"/>
    <m/>
    <m/>
    <m/>
  </r>
  <r>
    <s v="60.02"/>
    <x v="78"/>
    <x v="972"/>
    <s v="Списание с расчетного счета 00БП-005196 от 01.08.2024 17:40:43"/>
    <s v="01.08.24"/>
    <n v="36345.29"/>
    <m/>
    <m/>
    <d v="2024-08-01T00:00:00"/>
    <n v="153"/>
    <x v="0"/>
    <x v="7"/>
    <x v="1"/>
    <x v="0"/>
    <m/>
    <m/>
    <m/>
  </r>
  <r>
    <s v="60.02"/>
    <x v="78"/>
    <x v="973"/>
    <s v="Списание с расчетного счета 00БП-005317 от 08.08.2024 17:52:20"/>
    <s v="08.08.24"/>
    <n v="35878.480000000003"/>
    <m/>
    <m/>
    <d v="2024-08-08T00:00:00"/>
    <n v="146"/>
    <x v="0"/>
    <x v="7"/>
    <x v="1"/>
    <x v="0"/>
    <m/>
    <m/>
    <m/>
  </r>
  <r>
    <s v="60.02"/>
    <x v="78"/>
    <x v="520"/>
    <s v="Списание с расчетного счета 00БП-005316 от 08.08.2024 17:52:19"/>
    <s v="08.08.24"/>
    <n v="13920"/>
    <m/>
    <m/>
    <d v="2024-08-08T00:00:00"/>
    <n v="146"/>
    <x v="0"/>
    <x v="7"/>
    <x v="1"/>
    <x v="0"/>
    <m/>
    <m/>
    <m/>
  </r>
  <r>
    <s v="60.02"/>
    <x v="78"/>
    <x v="522"/>
    <s v="Списание с расчетного счета 00БП-005769 от 20.08.2024 18:37:41"/>
    <s v="20.08.24"/>
    <n v="355885.99"/>
    <m/>
    <m/>
    <d v="2024-08-20T00:00:00"/>
    <n v="134"/>
    <x v="0"/>
    <x v="7"/>
    <x v="1"/>
    <x v="0"/>
    <m/>
    <m/>
    <m/>
  </r>
  <r>
    <s v="60.02"/>
    <x v="78"/>
    <x v="523"/>
    <s v="Списание с расчетного счета 00БП-005912 от 27.08.2024 17:47:21"/>
    <s v="27.08.24"/>
    <n v="21441.599999999999"/>
    <m/>
    <m/>
    <d v="2024-08-27T00:00:00"/>
    <n v="127"/>
    <x v="0"/>
    <x v="7"/>
    <x v="1"/>
    <x v="0"/>
    <m/>
    <m/>
    <m/>
  </r>
  <r>
    <s v="60.02"/>
    <x v="78"/>
    <x v="524"/>
    <s v="Списание с расчетного счета 00БП-006187 от 06.09.2024 17:41:07"/>
    <s v="06.09.24"/>
    <n v="121190.09"/>
    <m/>
    <m/>
    <d v="2024-09-06T00:00:00"/>
    <n v="117"/>
    <x v="4"/>
    <x v="7"/>
    <x v="1"/>
    <x v="0"/>
    <m/>
    <m/>
    <m/>
  </r>
  <r>
    <s v="60.02"/>
    <x v="78"/>
    <x v="883"/>
    <s v="Списание с расчетного счета 00БП-007253 от 09.10.2024 16:22:29"/>
    <s v="09.10.24"/>
    <n v="50950.98"/>
    <m/>
    <m/>
    <d v="2024-10-09T00:00:00"/>
    <n v="84"/>
    <x v="1"/>
    <x v="7"/>
    <x v="1"/>
    <x v="0"/>
    <m/>
    <m/>
    <m/>
  </r>
  <r>
    <s v="60.02"/>
    <x v="345"/>
    <x v="304"/>
    <s v="Списание с расчетного счета 00БП-009390 от 27.12.2024 15:07:12"/>
    <s v="27.12.24"/>
    <n v="9500"/>
    <m/>
    <m/>
    <d v="2024-12-27T00:00:00"/>
    <n v="5"/>
    <x v="2"/>
    <x v="7"/>
    <x v="1"/>
    <x v="0"/>
    <m/>
    <m/>
    <m/>
  </r>
  <r>
    <s v="60.02"/>
    <x v="366"/>
    <x v="974"/>
    <s v="Списание с расчетного счета 00БП-006566 от 16.09.2024 19:20:38"/>
    <s v="16.09.24"/>
    <n v="250800"/>
    <m/>
    <m/>
    <d v="2024-09-16T00:00:00"/>
    <n v="107"/>
    <x v="4"/>
    <x v="7"/>
    <x v="1"/>
    <x v="0"/>
    <m/>
    <m/>
    <m/>
  </r>
  <r>
    <s v="60.02"/>
    <x v="346"/>
    <x v="885"/>
    <s v="Списание с расчетного счета 00БП-008469 от 13.11.2024 18:11:36"/>
    <s v="13.11.24"/>
    <n v="10350"/>
    <m/>
    <m/>
    <d v="2024-11-13T00:00:00"/>
    <n v="49"/>
    <x v="1"/>
    <x v="7"/>
    <x v="1"/>
    <x v="0"/>
    <m/>
    <m/>
    <m/>
  </r>
  <r>
    <s v="60.02"/>
    <x v="287"/>
    <x v="741"/>
    <s v="Списание с расчетного счета 00БП-009151 от 05.12.2024 12:53:21"/>
    <s v="05.12.24"/>
    <n v="325000"/>
    <m/>
    <m/>
    <d v="2024-12-05T00:00:00"/>
    <n v="27"/>
    <x v="2"/>
    <x v="7"/>
    <x v="1"/>
    <x v="0"/>
    <m/>
    <m/>
    <m/>
  </r>
  <r>
    <s v="60.02"/>
    <x v="287"/>
    <x v="742"/>
    <s v="Списание с расчетного счета 00БП-001891 от 16.04.2024 20:42:38"/>
    <s v="16.04.24"/>
    <n v="1207500"/>
    <m/>
    <m/>
    <d v="2024-04-16T00:00:00"/>
    <n v="260"/>
    <x v="3"/>
    <x v="7"/>
    <x v="1"/>
    <x v="0"/>
    <m/>
    <m/>
    <m/>
  </r>
  <r>
    <s v="60.02"/>
    <x v="287"/>
    <x v="742"/>
    <s v="Списание с расчетного счета 00БП-008163 от 01.11.2024 16:42:06"/>
    <s v="01.11.24"/>
    <n v="1207500"/>
    <m/>
    <m/>
    <d v="2024-11-01T00:00:00"/>
    <n v="61"/>
    <x v="1"/>
    <x v="7"/>
    <x v="1"/>
    <x v="0"/>
    <m/>
    <m/>
    <m/>
  </r>
  <r>
    <s v="60.02"/>
    <x v="79"/>
    <x v="182"/>
    <s v="Списание с расчетного счета 00БП-009166 от 05.12.2024 12:53:40"/>
    <s v="05.12.24"/>
    <n v="1652.02"/>
    <m/>
    <m/>
    <d v="2024-12-05T00:00:00"/>
    <n v="27"/>
    <x v="2"/>
    <x v="7"/>
    <x v="1"/>
    <x v="0"/>
    <m/>
    <m/>
    <m/>
  </r>
  <r>
    <s v="60.02"/>
    <x v="79"/>
    <x v="183"/>
    <s v="Списание с расчетного счета 00БП-009167 от 05.12.2024 12:53:41"/>
    <s v="05.12.24"/>
    <n v="2563.39"/>
    <m/>
    <m/>
    <d v="2024-12-05T00:00:00"/>
    <n v="27"/>
    <x v="2"/>
    <x v="7"/>
    <x v="1"/>
    <x v="0"/>
    <m/>
    <m/>
    <m/>
  </r>
  <r>
    <s v="60.02"/>
    <x v="79"/>
    <x v="184"/>
    <s v="Списание с расчетного счета 00БП-006249 от 10.09.2024 23:59:59"/>
    <s v="10.09.24"/>
    <n v="2045.35"/>
    <m/>
    <m/>
    <d v="2024-09-10T00:00:00"/>
    <n v="113"/>
    <x v="4"/>
    <x v="7"/>
    <x v="1"/>
    <x v="0"/>
    <m/>
    <m/>
    <m/>
  </r>
  <r>
    <s v="60.02"/>
    <x v="79"/>
    <x v="184"/>
    <s v="Списание с расчетного счета 00БП-009170 от 05.12.2024 12:53:44"/>
    <s v="05.12.24"/>
    <n v="10000"/>
    <m/>
    <m/>
    <d v="2024-12-05T00:00:00"/>
    <n v="27"/>
    <x v="2"/>
    <x v="7"/>
    <x v="1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098"/>
    <x v="5"/>
    <x v="7"/>
    <x v="1"/>
    <x v="0"/>
    <m/>
    <m/>
    <m/>
  </r>
  <r>
    <s v="60.02"/>
    <x v="79"/>
    <x v="186"/>
    <s v="Списание с расчетного счета 00БП-006244 от 10.09.2024 23:59:59"/>
    <s v="10.09.24"/>
    <n v="770.81"/>
    <m/>
    <m/>
    <d v="2024-09-10T00:00:00"/>
    <n v="113"/>
    <x v="4"/>
    <x v="7"/>
    <x v="1"/>
    <x v="0"/>
    <m/>
    <m/>
    <m/>
  </r>
  <r>
    <s v="60.02"/>
    <x v="79"/>
    <x v="186"/>
    <s v="Списание с расчетного счета 00БП-009165 от 05.12.2024 12:53:39"/>
    <s v="05.12.24"/>
    <n v="2000"/>
    <m/>
    <m/>
    <d v="2024-12-05T00:00:00"/>
    <n v="27"/>
    <x v="2"/>
    <x v="7"/>
    <x v="1"/>
    <x v="0"/>
    <m/>
    <m/>
    <m/>
  </r>
  <r>
    <s v="60.02"/>
    <x v="79"/>
    <x v="187"/>
    <s v="Списание с расчетного счета 00БП-004275 от 04.07.2024 18:48:03"/>
    <s v="04.07.24"/>
    <n v="400.13"/>
    <m/>
    <m/>
    <d v="2024-07-04T00:00:00"/>
    <n v="181"/>
    <x v="3"/>
    <x v="7"/>
    <x v="1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425"/>
    <x v="5"/>
    <x v="7"/>
    <x v="1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323"/>
    <x v="6"/>
    <x v="7"/>
    <x v="1"/>
    <x v="0"/>
    <m/>
    <m/>
    <m/>
  </r>
  <r>
    <s v="60.02"/>
    <x v="79"/>
    <x v="189"/>
    <s v="Списание с расчетного счета 00БП-006246 от 10.09.2024 23:59:59"/>
    <s v="10.09.24"/>
    <n v="609.07000000000005"/>
    <m/>
    <m/>
    <d v="2024-09-10T00:00:00"/>
    <n v="113"/>
    <x v="4"/>
    <x v="7"/>
    <x v="1"/>
    <x v="0"/>
    <m/>
    <m/>
    <m/>
  </r>
  <r>
    <s v="60.02"/>
    <x v="79"/>
    <x v="189"/>
    <s v="Списание с расчетного счета 00БП-009168 от 05.12.2024 12:53:42"/>
    <s v="05.12.24"/>
    <n v="3000"/>
    <m/>
    <m/>
    <d v="2024-12-05T00:00:00"/>
    <n v="27"/>
    <x v="2"/>
    <x v="7"/>
    <x v="1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190"/>
    <x v="5"/>
    <x v="7"/>
    <x v="1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157"/>
    <x v="5"/>
    <x v="7"/>
    <x v="1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1841"/>
    <x v="5"/>
    <x v="7"/>
    <x v="1"/>
    <x v="0"/>
    <m/>
    <m/>
    <m/>
  </r>
  <r>
    <s v="60.02"/>
    <x v="79"/>
    <x v="191"/>
    <m/>
    <m/>
    <n v="68.27"/>
    <m/>
    <m/>
    <d v="1899-12-30T00:00:00"/>
    <n v="45658"/>
    <x v="5"/>
    <x v="7"/>
    <x v="1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229"/>
    <x v="5"/>
    <x v="7"/>
    <x v="1"/>
    <x v="0"/>
    <m/>
    <m/>
    <m/>
  </r>
  <r>
    <s v="60.02"/>
    <x v="79"/>
    <x v="193"/>
    <s v="Списание с расчетного счета 00БП-007087 от 03.10.2024 18:33:46"/>
    <s v="03.10.24"/>
    <n v="2882.76"/>
    <m/>
    <m/>
    <d v="2024-10-03T00:00:00"/>
    <n v="90"/>
    <x v="1"/>
    <x v="7"/>
    <x v="1"/>
    <x v="0"/>
    <m/>
    <m/>
    <m/>
  </r>
  <r>
    <s v="60.02"/>
    <x v="79"/>
    <x v="193"/>
    <s v="Списание с расчетного счета 00БП-009169 от 05.12.2024 12:53:43"/>
    <s v="05.12.24"/>
    <n v="10000"/>
    <m/>
    <m/>
    <d v="2024-12-05T00:00:00"/>
    <n v="27"/>
    <x v="2"/>
    <x v="7"/>
    <x v="1"/>
    <x v="0"/>
    <m/>
    <m/>
    <m/>
  </r>
  <r>
    <s v="60.02"/>
    <x v="83"/>
    <x v="975"/>
    <s v="Списание с расчетного счета 00БП-008429 от 12.11.2024 17:19:29"/>
    <s v="12.11.24"/>
    <n v="1249500"/>
    <m/>
    <m/>
    <d v="2024-11-12T00:00:00"/>
    <n v="50"/>
    <x v="1"/>
    <x v="7"/>
    <x v="1"/>
    <x v="0"/>
    <m/>
    <m/>
    <m/>
  </r>
  <r>
    <s v="60.02"/>
    <x v="83"/>
    <x v="976"/>
    <s v="Списание с расчетного счета 00БП-009050 от 02.12.2024 16:28:29"/>
    <s v="02.12.24"/>
    <n v="131220"/>
    <m/>
    <m/>
    <d v="2024-12-02T00:00:00"/>
    <n v="30"/>
    <x v="2"/>
    <x v="7"/>
    <x v="1"/>
    <x v="0"/>
    <m/>
    <m/>
    <m/>
  </r>
  <r>
    <s v="60.02"/>
    <x v="91"/>
    <x v="977"/>
    <s v="Списание с расчетного счета 00БП-001137 от 26.03.2024 18:50:21"/>
    <s v="26.03.24"/>
    <n v="47044.9"/>
    <m/>
    <m/>
    <d v="2024-03-26T00:00:00"/>
    <n v="281"/>
    <x v="6"/>
    <x v="7"/>
    <x v="1"/>
    <x v="0"/>
    <m/>
    <m/>
    <m/>
  </r>
  <r>
    <s v="60.02"/>
    <x v="92"/>
    <x v="211"/>
    <s v="Списание с расчетного счета 00БП-006797 от 26.09.2024 21:12:43"/>
    <s v="26.09.24"/>
    <n v="589719.81999999995"/>
    <m/>
    <m/>
    <d v="2024-09-26T00:00:00"/>
    <n v="97"/>
    <x v="4"/>
    <x v="7"/>
    <x v="1"/>
    <x v="0"/>
    <m/>
    <m/>
    <m/>
  </r>
  <r>
    <s v="60.02"/>
    <x v="92"/>
    <x v="211"/>
    <s v="Списание с расчетного счета 00БП-007574 от 15.10.2024 19:25:25"/>
    <s v="15.10.24"/>
    <n v="921877.31"/>
    <m/>
    <m/>
    <d v="2024-10-15T00:00:00"/>
    <n v="78"/>
    <x v="1"/>
    <x v="7"/>
    <x v="1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440"/>
    <x v="5"/>
    <x v="7"/>
    <x v="1"/>
    <x v="13"/>
    <m/>
    <m/>
    <m/>
  </r>
  <r>
    <s v="60.02"/>
    <x v="92"/>
    <x v="978"/>
    <s v="Списание с расчетного счета 00БП-008853 от 21.11.2024 16:35:55"/>
    <s v="21.11.24"/>
    <n v="266580"/>
    <m/>
    <m/>
    <d v="2024-11-21T00:00:00"/>
    <n v="41"/>
    <x v="1"/>
    <x v="7"/>
    <x v="1"/>
    <x v="0"/>
    <m/>
    <m/>
    <m/>
  </r>
  <r>
    <s v="60.02"/>
    <x v="95"/>
    <x v="979"/>
    <s v="Списание с расчетного счета 00БП-009252 от 13.12.2024 12:00:06"/>
    <s v="13.12.24"/>
    <n v="217500"/>
    <m/>
    <m/>
    <d v="2024-12-13T00:00:00"/>
    <n v="19"/>
    <x v="2"/>
    <x v="7"/>
    <x v="1"/>
    <x v="0"/>
    <m/>
    <m/>
    <m/>
  </r>
  <r>
    <s v="60.02"/>
    <x v="95"/>
    <x v="889"/>
    <s v="Списание с расчетного счета 00БП-009306 от 18.12.2024 13:07:15"/>
    <s v="18.12.24"/>
    <n v="1115000"/>
    <m/>
    <m/>
    <d v="2024-12-18T00:00:00"/>
    <n v="14"/>
    <x v="2"/>
    <x v="7"/>
    <x v="1"/>
    <x v="0"/>
    <m/>
    <m/>
    <m/>
  </r>
  <r>
    <s v="60.02"/>
    <x v="96"/>
    <x v="890"/>
    <s v="Списание с расчетного счета 00БП-009399 от 27.12.2024 15:07:21"/>
    <s v="27.12.24"/>
    <n v="280060000"/>
    <m/>
    <m/>
    <d v="2024-12-27T00:00:00"/>
    <n v="5"/>
    <x v="2"/>
    <x v="7"/>
    <x v="1"/>
    <x v="0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117"/>
    <x v="4"/>
    <x v="7"/>
    <x v="1"/>
    <x v="8"/>
    <m/>
    <m/>
    <m/>
  </r>
  <r>
    <s v="60.02"/>
    <x v="100"/>
    <x v="73"/>
    <s v="Списание с расчетного счета 00БП-004270 от 01.08.2023 17:47:37"/>
    <s v="01.08.23"/>
    <n v="619.96"/>
    <m/>
    <m/>
    <d v="2023-08-01T00:00:00"/>
    <n v="519"/>
    <x v="5"/>
    <x v="7"/>
    <x v="1"/>
    <x v="0"/>
    <m/>
    <m/>
    <m/>
  </r>
  <r>
    <s v="60.02"/>
    <x v="100"/>
    <x v="73"/>
    <s v="Документ расчетов с контрагентом 00БП-000002 от 16.08.2024 20:35:50"/>
    <s v="16.08.24"/>
    <n v="1358"/>
    <m/>
    <m/>
    <d v="2024-08-16T00:00:00"/>
    <n v="138"/>
    <x v="0"/>
    <x v="7"/>
    <x v="1"/>
    <x v="0"/>
    <m/>
    <m/>
    <m/>
  </r>
  <r>
    <s v="60.02"/>
    <x v="100"/>
    <x v="230"/>
    <s v="Списание с расчетного счета 00БП-007569 от 15.10.2024 19:25:20"/>
    <s v="15.10.24"/>
    <n v="4953"/>
    <m/>
    <m/>
    <d v="2024-10-15T00:00:00"/>
    <n v="78"/>
    <x v="1"/>
    <x v="7"/>
    <x v="1"/>
    <x v="0"/>
    <m/>
    <m/>
    <m/>
  </r>
  <r>
    <s v="60.02"/>
    <x v="348"/>
    <x v="892"/>
    <s v="Списание с расчетного счета 00БП-004733 от 16.07.2024 19:05:06"/>
    <s v="16.07.24"/>
    <n v="60000"/>
    <m/>
    <m/>
    <d v="2024-07-16T00:00:00"/>
    <n v="169"/>
    <x v="0"/>
    <x v="7"/>
    <x v="1"/>
    <x v="0"/>
    <m/>
    <m/>
    <m/>
  </r>
  <r>
    <s v="60.02"/>
    <x v="367"/>
    <x v="980"/>
    <s v="Списание с расчетного счета 00БП-009052 от 02.12.2024 16:28:31"/>
    <s v="02.12.24"/>
    <n v="187109"/>
    <m/>
    <m/>
    <d v="2024-12-02T00:00:00"/>
    <n v="30"/>
    <x v="2"/>
    <x v="7"/>
    <x v="1"/>
    <x v="0"/>
    <m/>
    <m/>
    <m/>
  </r>
  <r>
    <s v="60.02"/>
    <x v="367"/>
    <x v="980"/>
    <s v="Списание с расчетного счета 00БП-009098 от 03.12.2024 16:43:27"/>
    <s v="03.12.24"/>
    <n v="12400"/>
    <m/>
    <m/>
    <d v="2024-12-03T00:00:00"/>
    <n v="29"/>
    <x v="2"/>
    <x v="7"/>
    <x v="1"/>
    <x v="0"/>
    <m/>
    <m/>
    <m/>
  </r>
  <r>
    <s v="60.02"/>
    <x v="102"/>
    <x v="900"/>
    <s v="Списание с расчетного счета 00БП-008295 от 05.11.2024 17:00:44"/>
    <s v="05.11.24"/>
    <n v="140000"/>
    <m/>
    <m/>
    <d v="2024-11-05T00:00:00"/>
    <n v="57"/>
    <x v="1"/>
    <x v="7"/>
    <x v="1"/>
    <x v="0"/>
    <m/>
    <m/>
    <m/>
  </r>
  <r>
    <s v="60.02"/>
    <x v="368"/>
    <x v="981"/>
    <s v="Списание с расчетного счета 00БП-008854 от 21.11.2024 16:35:56"/>
    <s v="21.11.24"/>
    <n v="650500"/>
    <m/>
    <m/>
    <d v="2024-11-21T00:00:00"/>
    <n v="41"/>
    <x v="1"/>
    <x v="7"/>
    <x v="1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790"/>
    <x v="5"/>
    <x v="7"/>
    <x v="1"/>
    <x v="8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769"/>
    <x v="5"/>
    <x v="7"/>
    <x v="1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370"/>
    <x v="5"/>
    <x v="7"/>
    <x v="1"/>
    <x v="0"/>
    <m/>
    <m/>
    <m/>
  </r>
  <r>
    <s v="60.02"/>
    <x v="113"/>
    <x v="766"/>
    <s v="Списание с расчетного счета 00БП-001884 от 16.04.2024 20:42:31"/>
    <s v="16.04.24"/>
    <n v="0.3"/>
    <m/>
    <m/>
    <d v="2024-04-16T00:00:00"/>
    <n v="260"/>
    <x v="3"/>
    <x v="7"/>
    <x v="1"/>
    <x v="0"/>
    <m/>
    <m/>
    <m/>
  </r>
  <r>
    <s v="60.02"/>
    <x v="113"/>
    <x v="767"/>
    <s v="Списание с расчетного счета 00БП-007678 от 17.10.2024 17:28:41"/>
    <s v="17.10.24"/>
    <n v="0.1"/>
    <m/>
    <m/>
    <d v="2024-10-17T00:00:00"/>
    <n v="76"/>
    <x v="1"/>
    <x v="7"/>
    <x v="1"/>
    <x v="0"/>
    <m/>
    <m/>
    <m/>
  </r>
  <r>
    <s v="60.02"/>
    <x v="113"/>
    <x v="768"/>
    <s v="Списание с расчетного счета 00БП-009055 от 02.12.2024 16:28:34"/>
    <s v="02.12.24"/>
    <n v="543315.99"/>
    <m/>
    <m/>
    <d v="2024-12-02T00:00:00"/>
    <n v="30"/>
    <x v="2"/>
    <x v="7"/>
    <x v="1"/>
    <x v="0"/>
    <m/>
    <m/>
    <m/>
  </r>
  <r>
    <s v="60.02"/>
    <x v="113"/>
    <x v="982"/>
    <s v="Списание с расчетного счета 00БП-009185 от 06.12.2024 18:36:59"/>
    <s v="06.12.24"/>
    <n v="271793.25"/>
    <m/>
    <m/>
    <d v="2024-12-06T00:00:00"/>
    <n v="26"/>
    <x v="2"/>
    <x v="7"/>
    <x v="1"/>
    <x v="0"/>
    <m/>
    <m/>
    <m/>
  </r>
  <r>
    <s v="60.02"/>
    <x v="235"/>
    <x v="565"/>
    <s v="Списание с расчетного счета 00БП-009304 от 18.12.2024 13:07:13"/>
    <s v="18.12.24"/>
    <n v="33700"/>
    <m/>
    <m/>
    <d v="2024-12-18T00:00:00"/>
    <n v="14"/>
    <x v="2"/>
    <x v="7"/>
    <x v="1"/>
    <x v="0"/>
    <m/>
    <m/>
    <m/>
  </r>
  <r>
    <s v="60.02"/>
    <x v="305"/>
    <x v="778"/>
    <s v="Списание с расчетного счета 00БП-003884 от 25.06.2024 17:39:50"/>
    <s v="25.06.24"/>
    <n v="87700"/>
    <m/>
    <m/>
    <d v="2024-06-25T00:00:00"/>
    <n v="190"/>
    <x v="3"/>
    <x v="7"/>
    <x v="1"/>
    <x v="0"/>
    <m/>
    <m/>
    <m/>
  </r>
  <r>
    <s v="60.02"/>
    <x v="305"/>
    <x v="779"/>
    <s v="Списание с расчетного счета 00БП-001780 от 15.04.2024 18:48:46"/>
    <s v="15.04.24"/>
    <n v="17267"/>
    <m/>
    <m/>
    <d v="2024-04-15T00:00:00"/>
    <n v="261"/>
    <x v="3"/>
    <x v="7"/>
    <x v="1"/>
    <x v="0"/>
    <m/>
    <m/>
    <m/>
  </r>
  <r>
    <s v="60.02"/>
    <x v="306"/>
    <x v="780"/>
    <s v="Списание с расчетного счета 00БП-006641 от 20.09.2024 18:25:28"/>
    <s v="20.09.24"/>
    <n v="66810"/>
    <m/>
    <m/>
    <d v="2024-09-20T00:00:00"/>
    <n v="103"/>
    <x v="4"/>
    <x v="7"/>
    <x v="1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458"/>
    <x v="5"/>
    <x v="7"/>
    <x v="1"/>
    <x v="8"/>
    <m/>
    <m/>
    <m/>
  </r>
  <r>
    <s v="60.02"/>
    <x v="351"/>
    <x v="917"/>
    <s v="Списание с расчетного счета 00БП-009393 от 27.12.2024 15:07:15"/>
    <s v="27.12.24"/>
    <n v="157445.62"/>
    <m/>
    <m/>
    <d v="2024-12-27T00:00:00"/>
    <n v="5"/>
    <x v="2"/>
    <x v="7"/>
    <x v="1"/>
    <x v="0"/>
    <m/>
    <m/>
    <m/>
  </r>
  <r>
    <s v="60.02"/>
    <x v="369"/>
    <x v="983"/>
    <s v="Списание с расчетного счета 00БП-008157 от 01.11.2024 16:42:00"/>
    <s v="01.11.24"/>
    <n v="59500"/>
    <m/>
    <m/>
    <d v="2024-11-01T00:00:00"/>
    <n v="61"/>
    <x v="1"/>
    <x v="7"/>
    <x v="1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548"/>
    <x v="5"/>
    <x v="7"/>
    <x v="1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471"/>
    <x v="5"/>
    <x v="7"/>
    <x v="1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202"/>
    <x v="3"/>
    <x v="7"/>
    <x v="1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406"/>
    <x v="5"/>
    <x v="7"/>
    <x v="1"/>
    <x v="8"/>
    <m/>
    <m/>
    <m/>
  </r>
  <r>
    <s v="60.02"/>
    <x v="122"/>
    <x v="984"/>
    <s v="Списание с расчетного счета 00БП-008933 от 27.11.2024 15:48:11"/>
    <s v="27.11.24"/>
    <n v="13831"/>
    <m/>
    <m/>
    <d v="2024-11-27T00:00:00"/>
    <n v="35"/>
    <x v="1"/>
    <x v="7"/>
    <x v="1"/>
    <x v="0"/>
    <m/>
    <m/>
    <m/>
  </r>
  <r>
    <s v="60.02"/>
    <x v="122"/>
    <x v="919"/>
    <s v="Списание с расчетного счета 00БП-008802 от 19.11.2024 17:08:17"/>
    <s v="19.11.24"/>
    <n v="3000"/>
    <m/>
    <m/>
    <d v="2024-11-19T00:00:00"/>
    <n v="43"/>
    <x v="1"/>
    <x v="7"/>
    <x v="1"/>
    <x v="0"/>
    <m/>
    <m/>
    <m/>
  </r>
  <r>
    <s v="60.02"/>
    <x v="122"/>
    <x v="985"/>
    <s v="Списание с расчетного счета 00БП-009130 от 04.12.2024 15:24:44"/>
    <s v="04.12.24"/>
    <n v="3000"/>
    <m/>
    <m/>
    <d v="2024-12-04T00:00:00"/>
    <n v="28"/>
    <x v="2"/>
    <x v="7"/>
    <x v="1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636"/>
    <x v="5"/>
    <x v="7"/>
    <x v="1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455"/>
    <x v="5"/>
    <x v="7"/>
    <x v="1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1979"/>
    <x v="5"/>
    <x v="7"/>
    <x v="1"/>
    <x v="8"/>
    <m/>
    <m/>
    <m/>
  </r>
  <r>
    <s v="60.02"/>
    <x v="237"/>
    <x v="926"/>
    <s v="Списание с расчетного счета 00БП-006732 от 25.09.2024 19:26:59"/>
    <s v="25.09.24"/>
    <n v="1000"/>
    <m/>
    <m/>
    <d v="2024-09-25T00:00:00"/>
    <n v="98"/>
    <x v="4"/>
    <x v="7"/>
    <x v="1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266"/>
    <x v="3"/>
    <x v="7"/>
    <x v="1"/>
    <x v="2"/>
    <m/>
    <m/>
    <m/>
  </r>
  <r>
    <s v="60.02"/>
    <x v="370"/>
    <x v="986"/>
    <s v="Списание с расчетного счета 00БП-009002 от 29.11.2024 19:17:18"/>
    <s v="29.11.24"/>
    <n v="13152.66"/>
    <m/>
    <m/>
    <d v="2024-11-29T00:00:00"/>
    <n v="33"/>
    <x v="1"/>
    <x v="7"/>
    <x v="1"/>
    <x v="0"/>
    <m/>
    <m/>
    <m/>
  </r>
  <r>
    <s v="60.02"/>
    <x v="310"/>
    <x v="931"/>
    <s v="Списание с расчетного счета 00БП-006380 от 12.09.2024 17:28:33"/>
    <s v="12.09.24"/>
    <n v="87494.399999999994"/>
    <m/>
    <m/>
    <d v="2024-09-12T00:00:00"/>
    <n v="111"/>
    <x v="4"/>
    <x v="7"/>
    <x v="1"/>
    <x v="0"/>
    <m/>
    <m/>
    <m/>
  </r>
  <r>
    <s v="60.02"/>
    <x v="371"/>
    <x v="987"/>
    <s v="Списание с расчетного счета 00БП-007672 от 17.10.2024 17:28:35"/>
    <s v="17.10.24"/>
    <n v="25372"/>
    <m/>
    <m/>
    <d v="2024-10-17T00:00:00"/>
    <n v="76"/>
    <x v="1"/>
    <x v="7"/>
    <x v="1"/>
    <x v="0"/>
    <m/>
    <m/>
    <m/>
  </r>
  <r>
    <s v="60.02"/>
    <x v="137"/>
    <x v="303"/>
    <s v="Списание с расчетного счета 00БП-005471 от 12.08.2024 18:37:49"/>
    <s v="12.08.24"/>
    <n v="135901.20000000001"/>
    <m/>
    <m/>
    <d v="2024-08-12T00:00:00"/>
    <n v="142"/>
    <x v="0"/>
    <x v="7"/>
    <x v="1"/>
    <x v="0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124"/>
    <x v="0"/>
    <x v="7"/>
    <x v="1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85"/>
    <x v="1"/>
    <x v="7"/>
    <x v="1"/>
    <x v="18"/>
    <m/>
    <s v="Экологический отдел"/>
    <m/>
  </r>
  <r>
    <s v="60.02"/>
    <x v="145"/>
    <x v="937"/>
    <s v="Списание с расчетного счета 00БП-001502 от 09.04.2024 19:39:54"/>
    <s v="09.04.24"/>
    <n v="401.23"/>
    <m/>
    <m/>
    <d v="2024-04-09T00:00:00"/>
    <n v="267"/>
    <x v="3"/>
    <x v="7"/>
    <x v="1"/>
    <x v="0"/>
    <m/>
    <m/>
    <m/>
  </r>
  <r>
    <s v="60.02"/>
    <x v="145"/>
    <x v="937"/>
    <s v="Списание с расчетного счета 00БП-007213 от 08.10.2024 20:35:01"/>
    <s v="08.10.24"/>
    <n v="936.21"/>
    <m/>
    <m/>
    <d v="2024-10-08T00:00:00"/>
    <n v="85"/>
    <x v="1"/>
    <x v="7"/>
    <x v="1"/>
    <x v="0"/>
    <m/>
    <m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1064"/>
    <x v="5"/>
    <x v="7"/>
    <x v="1"/>
    <x v="2"/>
    <m/>
    <m/>
    <m/>
  </r>
  <r>
    <s v="60.02"/>
    <x v="147"/>
    <x v="988"/>
    <s v="Списание с расчетного счета 00БП-008989 от 28.11.2024 16:37:38"/>
    <s v="28.11.24"/>
    <n v="260474"/>
    <m/>
    <m/>
    <d v="2024-11-28T00:00:00"/>
    <n v="34"/>
    <x v="1"/>
    <x v="7"/>
    <x v="1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139"/>
    <x v="0"/>
    <x v="7"/>
    <x v="1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434"/>
    <x v="5"/>
    <x v="7"/>
    <x v="1"/>
    <x v="0"/>
    <m/>
    <m/>
    <m/>
  </r>
  <r>
    <s v="60.02"/>
    <x v="153"/>
    <x v="989"/>
    <s v="Списание с расчетного счета 00БП-007221 от 08.10.2024 20:35:09"/>
    <s v="08.10.24"/>
    <n v="69000"/>
    <m/>
    <m/>
    <d v="2024-10-08T00:00:00"/>
    <n v="85"/>
    <x v="1"/>
    <x v="7"/>
    <x v="1"/>
    <x v="0"/>
    <m/>
    <m/>
    <m/>
  </r>
  <r>
    <s v="60.02"/>
    <x v="153"/>
    <x v="989"/>
    <s v="Списание с расчетного счета 00БП-009150 от 05.12.2024 12:53:20"/>
    <s v="05.12.24"/>
    <n v="161000"/>
    <m/>
    <m/>
    <d v="2024-12-05T00:00:00"/>
    <n v="27"/>
    <x v="2"/>
    <x v="7"/>
    <x v="1"/>
    <x v="0"/>
    <m/>
    <m/>
    <m/>
  </r>
  <r>
    <s v="60.02"/>
    <x v="324"/>
    <x v="816"/>
    <s v="Списание с расчетного счета 00БП-009284 от 16.12.2024 15:20:53"/>
    <s v="16.12.24"/>
    <n v="554500"/>
    <m/>
    <m/>
    <d v="2024-12-16T00:00:00"/>
    <n v="16"/>
    <x v="2"/>
    <x v="7"/>
    <x v="1"/>
    <x v="0"/>
    <m/>
    <m/>
    <m/>
  </r>
  <r>
    <s v="60.02"/>
    <x v="359"/>
    <x v="940"/>
    <s v="Списание с расчетного счета 00БП-005351 от 09.08.2024 17:00:59"/>
    <s v="09.08.24"/>
    <n v="474600"/>
    <m/>
    <m/>
    <d v="2024-08-09T00:00:00"/>
    <n v="145"/>
    <x v="0"/>
    <x v="7"/>
    <x v="1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798"/>
    <x v="5"/>
    <x v="7"/>
    <x v="1"/>
    <x v="0"/>
    <m/>
    <m/>
    <m/>
  </r>
  <r>
    <s v="60.02"/>
    <x v="362"/>
    <x v="73"/>
    <s v="Списание с расчетного счета 00БП-008083 от 30.10.2024 17:15:46"/>
    <s v="30.10.24"/>
    <n v="30000"/>
    <m/>
    <m/>
    <d v="2024-10-30T00:00:00"/>
    <n v="63"/>
    <x v="1"/>
    <x v="7"/>
    <x v="1"/>
    <x v="0"/>
    <m/>
    <m/>
    <m/>
  </r>
  <r>
    <s v="60.02"/>
    <x v="362"/>
    <x v="73"/>
    <s v="Списание с расчетного счета 00БП-008085 от 30.10.2024 17:15:48"/>
    <s v="30.10.24"/>
    <n v="60000"/>
    <m/>
    <m/>
    <d v="2024-10-30T00:00:00"/>
    <n v="63"/>
    <x v="1"/>
    <x v="7"/>
    <x v="1"/>
    <x v="0"/>
    <m/>
    <m/>
    <m/>
  </r>
  <r>
    <s v="60.02"/>
    <x v="326"/>
    <x v="943"/>
    <s v="Списание с расчетного счета 00БП-003369 от 10.06.2024 23:59:59"/>
    <s v="10.06.24"/>
    <n v="88229.88"/>
    <m/>
    <m/>
    <d v="2024-06-10T00:00:00"/>
    <n v="205"/>
    <x v="3"/>
    <x v="7"/>
    <x v="1"/>
    <x v="0"/>
    <m/>
    <m/>
    <m/>
  </r>
  <r>
    <s v="60.02"/>
    <x v="372"/>
    <x v="990"/>
    <s v="Списание с расчетного счета 00БП-009330 от 23.12.2024 17:59:26"/>
    <s v="23.12.24"/>
    <n v="6111504"/>
    <m/>
    <m/>
    <d v="2024-12-23T00:00:00"/>
    <n v="9"/>
    <x v="2"/>
    <x v="7"/>
    <x v="1"/>
    <x v="0"/>
    <m/>
    <m/>
    <m/>
  </r>
  <r>
    <s v="60.02"/>
    <x v="372"/>
    <x v="991"/>
    <s v="Списание с расчетного счета 00БП-009328 от 23.12.2024 17:59:24"/>
    <s v="23.12.24"/>
    <n v="760214.88"/>
    <m/>
    <m/>
    <d v="2024-12-23T00:00:00"/>
    <n v="9"/>
    <x v="2"/>
    <x v="7"/>
    <x v="1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104"/>
    <x v="4"/>
    <x v="7"/>
    <x v="1"/>
    <x v="13"/>
    <m/>
    <m/>
    <m/>
  </r>
  <r>
    <s v="60.32"/>
    <x v="171"/>
    <x v="944"/>
    <s v="Списание с расчетного счета 00БП-009377 от 26.12.2024 23:56:47"/>
    <s v="26.12.24"/>
    <n v="19328716.539999999"/>
    <m/>
    <m/>
    <d v="2024-12-26T00:00:00"/>
    <n v="6"/>
    <x v="2"/>
    <x v="7"/>
    <x v="1"/>
    <x v="0"/>
    <m/>
    <m/>
    <m/>
  </r>
  <r>
    <s v="60.32"/>
    <x v="38"/>
    <x v="992"/>
    <s v="Списание с расчетного счета 00БП-005352 от 09.08.2024 17:01:00"/>
    <s v="09.08.24"/>
    <n v="79619.820000000007"/>
    <m/>
    <m/>
    <d v="2024-08-09T00:00:00"/>
    <n v="145"/>
    <x v="0"/>
    <x v="7"/>
    <x v="1"/>
    <x v="0"/>
    <m/>
    <m/>
    <m/>
  </r>
  <r>
    <s v="60.32"/>
    <x v="38"/>
    <x v="993"/>
    <s v="Списание с расчетного счета 00БП-007069 от 03.10.2024 18:33:22"/>
    <s v="03.10.24"/>
    <n v="198398.12"/>
    <m/>
    <m/>
    <d v="2024-10-03T00:00:00"/>
    <n v="90"/>
    <x v="1"/>
    <x v="7"/>
    <x v="1"/>
    <x v="0"/>
    <m/>
    <m/>
    <m/>
  </r>
  <r>
    <s v="60.32"/>
    <x v="78"/>
    <x v="948"/>
    <s v="Списание с расчетного счета 00БП-009398 от 27.12.2024 15:07:20"/>
    <s v="27.12.24"/>
    <n v="141799771.41999999"/>
    <m/>
    <m/>
    <d v="2024-12-27T00:00:00"/>
    <n v="5"/>
    <x v="2"/>
    <x v="7"/>
    <x v="1"/>
    <x v="0"/>
    <m/>
    <m/>
    <m/>
  </r>
  <r>
    <s v="60.32"/>
    <x v="78"/>
    <x v="594"/>
    <s v="Списание с расчетного счета 00БП-009059 от 02.12.2024 16:28:38"/>
    <s v="02.12.24"/>
    <n v="15618063.76"/>
    <m/>
    <m/>
    <d v="2024-12-02T00:00:00"/>
    <n v="30"/>
    <x v="2"/>
    <x v="7"/>
    <x v="1"/>
    <x v="0"/>
    <m/>
    <m/>
    <m/>
  </r>
  <r>
    <s v="60.32"/>
    <x v="106"/>
    <x v="595"/>
    <s v="Списание с расчетного счета 00БП-005176 от 31.07.2024 23:59:59"/>
    <s v="31.07.24"/>
    <n v="348705"/>
    <m/>
    <m/>
    <d v="2024-07-31T00:00:00"/>
    <n v="154"/>
    <x v="0"/>
    <x v="7"/>
    <x v="1"/>
    <x v="0"/>
    <m/>
    <m/>
    <m/>
  </r>
  <r>
    <s v="60.02"/>
    <x v="373"/>
    <x v="994"/>
    <s v="Списание с расчетного счета 00БП-005992 от 28.08.2024 18:11:48"/>
    <s v="28.08.24"/>
    <n v="28610"/>
    <m/>
    <m/>
    <d v="2024-08-28T00:00:00"/>
    <n v="34"/>
    <x v="1"/>
    <x v="8"/>
    <x v="2"/>
    <x v="0"/>
    <m/>
    <m/>
    <m/>
  </r>
  <r>
    <s v="60.02"/>
    <x v="373"/>
    <x v="995"/>
    <s v="Списание с расчетного счета 00БП-006668 от 23.09.2024 19:07:33"/>
    <s v="23.09.24"/>
    <n v="292080"/>
    <m/>
    <m/>
    <d v="2024-09-23T00:00:00"/>
    <n v="8"/>
    <x v="2"/>
    <x v="8"/>
    <x v="2"/>
    <x v="0"/>
    <m/>
    <m/>
    <m/>
  </r>
  <r>
    <s v="60.02"/>
    <x v="0"/>
    <x v="820"/>
    <s v="Списание с расчетного счета 00БП-003158 от 16.06.2023 21:01:03"/>
    <s v="16.06.23"/>
    <n v="2600"/>
    <m/>
    <m/>
    <d v="2023-06-16T00:00:00"/>
    <n v="473"/>
    <x v="5"/>
    <x v="8"/>
    <x v="2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515"/>
    <x v="5"/>
    <x v="8"/>
    <x v="2"/>
    <x v="0"/>
    <m/>
    <m/>
    <m/>
  </r>
  <r>
    <s v="60.02"/>
    <x v="12"/>
    <x v="996"/>
    <s v="Списание с расчетного счета 00БП-000670 от 05.03.2024 17:27:34"/>
    <s v="05.03.24"/>
    <n v="1017.07"/>
    <m/>
    <m/>
    <d v="2024-03-05T00:00:00"/>
    <n v="210"/>
    <x v="3"/>
    <x v="8"/>
    <x v="2"/>
    <x v="0"/>
    <m/>
    <m/>
    <m/>
  </r>
  <r>
    <s v="60.02"/>
    <x v="12"/>
    <x v="997"/>
    <s v="Списание с расчетного счета 00БП-002269 от 02.05.2024 23:59:59"/>
    <s v="02.05.24"/>
    <n v="2011.81"/>
    <m/>
    <m/>
    <d v="2024-05-02T00:00:00"/>
    <n v="152"/>
    <x v="0"/>
    <x v="8"/>
    <x v="2"/>
    <x v="0"/>
    <m/>
    <m/>
    <m/>
  </r>
  <r>
    <s v="60.02"/>
    <x v="374"/>
    <x v="998"/>
    <s v="Списание с расчетного счета 00БП-006060 от 30.08.2024 18:05:53"/>
    <s v="30.08.24"/>
    <n v="9000"/>
    <m/>
    <m/>
    <d v="2024-08-30T00:00:00"/>
    <n v="32"/>
    <x v="1"/>
    <x v="8"/>
    <x v="2"/>
    <x v="0"/>
    <m/>
    <m/>
    <m/>
  </r>
  <r>
    <s v="60.02"/>
    <x v="374"/>
    <x v="999"/>
    <s v="Списание с расчетного счета 00БП-006936 от 30.09.2024 23:59:59"/>
    <s v="30.09.24"/>
    <n v="39600"/>
    <m/>
    <m/>
    <d v="2024-09-30T00:00:00"/>
    <n v="1"/>
    <x v="2"/>
    <x v="8"/>
    <x v="2"/>
    <x v="0"/>
    <m/>
    <m/>
    <m/>
  </r>
  <r>
    <s v="60.02"/>
    <x v="262"/>
    <x v="622"/>
    <s v="Списание с расчетного счета 00БП-000908 от 14.03.2024 17:41:36"/>
    <s v="14.03.24"/>
    <n v="12470"/>
    <m/>
    <m/>
    <d v="2024-03-14T00:00:00"/>
    <n v="201"/>
    <x v="3"/>
    <x v="8"/>
    <x v="2"/>
    <x v="0"/>
    <m/>
    <m/>
    <m/>
  </r>
  <r>
    <s v="60.02"/>
    <x v="18"/>
    <x v="952"/>
    <s v="Списание с расчетного счета 00БП-001451 от 05.04.2024 17:41:34"/>
    <s v="05.04.24"/>
    <n v="660800"/>
    <m/>
    <m/>
    <d v="2024-04-05T00:00:00"/>
    <n v="179"/>
    <x v="0"/>
    <x v="8"/>
    <x v="2"/>
    <x v="0"/>
    <m/>
    <m/>
    <m/>
  </r>
  <r>
    <s v="60.02"/>
    <x v="19"/>
    <x v="28"/>
    <s v="Списание с расчетного счета 00БП-007903 от 22.12.2023 12:00:09"/>
    <s v="22.12.23"/>
    <n v="16500"/>
    <m/>
    <m/>
    <d v="2023-12-22T00:00:00"/>
    <n v="284"/>
    <x v="6"/>
    <x v="8"/>
    <x v="2"/>
    <x v="0"/>
    <m/>
    <m/>
    <m/>
  </r>
  <r>
    <s v="60.02"/>
    <x v="263"/>
    <x v="623"/>
    <s v="Списание с расчетного счета 00БП-001227 от 31.03.2023 23:59:59"/>
    <s v="31.03.23"/>
    <n v="6879"/>
    <m/>
    <m/>
    <d v="2023-03-31T00:00:00"/>
    <n v="550"/>
    <x v="5"/>
    <x v="8"/>
    <x v="2"/>
    <x v="0"/>
    <m/>
    <m/>
    <m/>
  </r>
  <r>
    <s v="60.02"/>
    <x v="375"/>
    <x v="1000"/>
    <s v="Списание с расчетного счета 00БП-006504 от 13.09.2024 18:48:19"/>
    <s v="13.09.24"/>
    <n v="77400"/>
    <m/>
    <m/>
    <d v="2024-09-13T00:00:00"/>
    <n v="18"/>
    <x v="2"/>
    <x v="8"/>
    <x v="2"/>
    <x v="0"/>
    <m/>
    <m/>
    <m/>
  </r>
  <r>
    <s v="60.02"/>
    <x v="376"/>
    <x v="1001"/>
    <s v="Списание с расчетного счета 00БП-005468 от 12.08.2024 18:37:46"/>
    <s v="12.08.24"/>
    <n v="257910"/>
    <m/>
    <m/>
    <d v="2024-08-12T00:00:00"/>
    <n v="50"/>
    <x v="1"/>
    <x v="8"/>
    <x v="2"/>
    <x v="0"/>
    <m/>
    <m/>
    <m/>
  </r>
  <r>
    <s v="60.02"/>
    <x v="22"/>
    <x v="1002"/>
    <s v="Списание с расчетного счета 00БП-003133 от 30.05.2024 17:47:52"/>
    <s v="30.05.24"/>
    <n v="191594"/>
    <m/>
    <m/>
    <d v="2024-05-30T00:00:00"/>
    <n v="124"/>
    <x v="0"/>
    <x v="8"/>
    <x v="2"/>
    <x v="0"/>
    <m/>
    <m/>
    <m/>
  </r>
  <r>
    <s v="60.02"/>
    <x v="23"/>
    <x v="1003"/>
    <s v="Списание с расчетного счета 00БП-000508 от 26.02.2024 14:37:26"/>
    <s v="26.02.24"/>
    <n v="230826.41"/>
    <m/>
    <m/>
    <d v="2024-02-26T00:00:00"/>
    <n v="218"/>
    <x v="3"/>
    <x v="8"/>
    <x v="2"/>
    <x v="0"/>
    <m/>
    <m/>
    <m/>
  </r>
  <r>
    <s v="60.02"/>
    <x v="23"/>
    <x v="1004"/>
    <s v="Списание с расчетного счета 00БП-006736 от 25.09.2024 19:27:03"/>
    <s v="25.09.24"/>
    <n v="46833.2"/>
    <m/>
    <m/>
    <d v="2024-09-25T00:00:00"/>
    <n v="6"/>
    <x v="2"/>
    <x v="8"/>
    <x v="2"/>
    <x v="0"/>
    <m/>
    <m/>
    <m/>
  </r>
  <r>
    <s v="60.02"/>
    <x v="23"/>
    <x v="1005"/>
    <s v="Списание с расчетного счета 00БП-006735 от 25.09.2024 19:27:02"/>
    <s v="25.09.24"/>
    <n v="19656.84"/>
    <m/>
    <m/>
    <d v="2024-09-25T00:00:00"/>
    <n v="6"/>
    <x v="2"/>
    <x v="8"/>
    <x v="2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167"/>
    <x v="0"/>
    <x v="8"/>
    <x v="2"/>
    <x v="9"/>
    <m/>
    <m/>
    <m/>
  </r>
  <r>
    <s v="60.02"/>
    <x v="196"/>
    <x v="73"/>
    <s v="Авансовый отчет 00БП-000284 от 27.09.2024 11:10:06"/>
    <s v="27.09.24"/>
    <n v="1700"/>
    <m/>
    <m/>
    <d v="2024-09-27T00:00:00"/>
    <n v="4"/>
    <x v="2"/>
    <x v="8"/>
    <x v="2"/>
    <x v="0"/>
    <m/>
    <m/>
    <m/>
  </r>
  <r>
    <s v="60.02"/>
    <x v="28"/>
    <x v="1006"/>
    <s v="Списание с расчетного счета 00БП-006606 от 18.09.2024 17:45:53"/>
    <s v="18.09.24"/>
    <n v="29460"/>
    <m/>
    <m/>
    <d v="2024-09-18T00:00:00"/>
    <n v="13"/>
    <x v="2"/>
    <x v="8"/>
    <x v="2"/>
    <x v="0"/>
    <m/>
    <m/>
    <m/>
  </r>
  <r>
    <s v="60.02"/>
    <x v="28"/>
    <x v="1007"/>
    <s v="Списание с расчетного счета 00БП-006694 от 24.09.2024 17:45:05"/>
    <s v="24.09.24"/>
    <n v="68640"/>
    <m/>
    <m/>
    <d v="2024-09-24T00:00:00"/>
    <n v="7"/>
    <x v="2"/>
    <x v="8"/>
    <x v="2"/>
    <x v="0"/>
    <m/>
    <m/>
    <m/>
  </r>
  <r>
    <s v="60.02"/>
    <x v="28"/>
    <x v="1008"/>
    <s v="Списание с расчетного счета 00БП-006737 от 25.09.2024 19:27:04"/>
    <s v="25.09.24"/>
    <n v="55990"/>
    <m/>
    <m/>
    <d v="2024-09-25T00:00:00"/>
    <n v="6"/>
    <x v="2"/>
    <x v="8"/>
    <x v="2"/>
    <x v="0"/>
    <m/>
    <m/>
    <m/>
  </r>
  <r>
    <s v="60.02"/>
    <x v="29"/>
    <x v="1009"/>
    <s v="Списание с расчетного счета 00БП-007086 от 10.11.2023 16:36:34"/>
    <s v="10.11.23"/>
    <n v="8750"/>
    <m/>
    <m/>
    <d v="2023-11-10T00:00:00"/>
    <n v="326"/>
    <x v="6"/>
    <x v="8"/>
    <x v="2"/>
    <x v="0"/>
    <m/>
    <m/>
    <m/>
  </r>
  <r>
    <s v="60.02"/>
    <x v="29"/>
    <x v="1010"/>
    <s v="Списание с расчетного счета 00БП-003320 от 06.06.2024 23:59:59"/>
    <s v="06.06.24"/>
    <n v="537"/>
    <m/>
    <m/>
    <d v="2024-06-06T00:00:00"/>
    <n v="117"/>
    <x v="4"/>
    <x v="8"/>
    <x v="2"/>
    <x v="0"/>
    <m/>
    <m/>
    <m/>
  </r>
  <r>
    <s v="60.02"/>
    <x v="29"/>
    <x v="1011"/>
    <s v="Списание с расчетного счета 00БП-003315 от 06.06.2024 23:59:59"/>
    <s v="06.06.24"/>
    <n v="907"/>
    <m/>
    <m/>
    <d v="2024-06-06T00:00:00"/>
    <n v="117"/>
    <x v="4"/>
    <x v="8"/>
    <x v="2"/>
    <x v="0"/>
    <m/>
    <m/>
    <m/>
  </r>
  <r>
    <s v="60.02"/>
    <x v="29"/>
    <x v="1012"/>
    <s v="Списание с расчетного счета 00БП-003193 от 03.06.2024 18:14:12"/>
    <s v="03.06.24"/>
    <n v="232770"/>
    <m/>
    <m/>
    <d v="2024-06-03T00:00:00"/>
    <n v="120"/>
    <x v="4"/>
    <x v="8"/>
    <x v="2"/>
    <x v="0"/>
    <m/>
    <m/>
    <m/>
  </r>
  <r>
    <s v="60.02"/>
    <x v="29"/>
    <x v="1013"/>
    <s v="Списание с расчетного счета 00БП-006688 от 24.09.2024 17:44:59"/>
    <s v="24.09.24"/>
    <n v="4850"/>
    <m/>
    <m/>
    <d v="2024-09-24T00:00:00"/>
    <n v="7"/>
    <x v="2"/>
    <x v="8"/>
    <x v="2"/>
    <x v="0"/>
    <m/>
    <m/>
    <m/>
  </r>
  <r>
    <s v="60.02"/>
    <x v="29"/>
    <x v="1014"/>
    <s v="Списание с расчетного счета 00БП-006697 от 24.09.2024 17:45:08"/>
    <s v="24.09.24"/>
    <n v="148617"/>
    <m/>
    <m/>
    <d v="2024-09-24T00:00:00"/>
    <n v="7"/>
    <x v="2"/>
    <x v="8"/>
    <x v="2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95"/>
    <x v="4"/>
    <x v="8"/>
    <x v="2"/>
    <x v="0"/>
    <m/>
    <m/>
    <m/>
  </r>
  <r>
    <s v="60.02"/>
    <x v="30"/>
    <x v="638"/>
    <s v="Списание с расчетного счета 00БП-005226 от 02.08.2024 18:04:48"/>
    <s v="02.08.24"/>
    <n v="25000"/>
    <m/>
    <m/>
    <d v="2024-08-02T00:00:00"/>
    <n v="60"/>
    <x v="1"/>
    <x v="8"/>
    <x v="2"/>
    <x v="0"/>
    <m/>
    <m/>
    <m/>
  </r>
  <r>
    <s v="60.02"/>
    <x v="30"/>
    <x v="638"/>
    <s v="Списание с расчетного счета 00БП-006148 от 05.09.2024 20:11:18"/>
    <s v="05.09.24"/>
    <n v="25000"/>
    <m/>
    <m/>
    <d v="2024-09-05T00:00:00"/>
    <n v="26"/>
    <x v="2"/>
    <x v="8"/>
    <x v="2"/>
    <x v="0"/>
    <m/>
    <m/>
    <m/>
  </r>
  <r>
    <s v="60.02"/>
    <x v="30"/>
    <x v="1015"/>
    <s v="Списание с расчетного счета 00БП-006230 от 10.09.2024 17:35:39"/>
    <s v="10.09.24"/>
    <n v="6600"/>
    <m/>
    <m/>
    <d v="2024-09-10T00:00:00"/>
    <n v="21"/>
    <x v="2"/>
    <x v="8"/>
    <x v="2"/>
    <x v="0"/>
    <m/>
    <m/>
    <m/>
  </r>
  <r>
    <s v="60.02"/>
    <x v="30"/>
    <x v="418"/>
    <s v="Списание с расчетного счета 00БП-002800 от 20.05.2024 19:51:34"/>
    <s v="20.05.24"/>
    <n v="6600"/>
    <m/>
    <m/>
    <d v="2024-05-20T00:00:00"/>
    <n v="134"/>
    <x v="0"/>
    <x v="8"/>
    <x v="2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99"/>
    <x v="4"/>
    <x v="8"/>
    <x v="2"/>
    <x v="0"/>
    <m/>
    <m/>
    <m/>
  </r>
  <r>
    <s v="60.02"/>
    <x v="30"/>
    <x v="419"/>
    <s v="Списание с расчетного счета 00БП-004808 от 18.07.2024 17:42:31"/>
    <s v="18.07.24"/>
    <n v="25000"/>
    <m/>
    <m/>
    <d v="2024-07-18T00:00:00"/>
    <n v="75"/>
    <x v="1"/>
    <x v="8"/>
    <x v="2"/>
    <x v="0"/>
    <m/>
    <m/>
    <m/>
  </r>
  <r>
    <s v="60.02"/>
    <x v="30"/>
    <x v="419"/>
    <s v="Списание с расчетного счета 00БП-005297 от 07.08.2024 17:40:26"/>
    <s v="07.08.24"/>
    <n v="25000"/>
    <m/>
    <m/>
    <d v="2024-08-07T00:00:00"/>
    <n v="55"/>
    <x v="1"/>
    <x v="8"/>
    <x v="2"/>
    <x v="0"/>
    <m/>
    <m/>
    <m/>
  </r>
  <r>
    <s v="60.02"/>
    <x v="30"/>
    <x v="419"/>
    <s v="Списание с расчетного счета 00БП-005873 от 27.08.2024 17:46:42"/>
    <s v="27.08.24"/>
    <n v="25000"/>
    <m/>
    <m/>
    <d v="2024-08-27T00:00:00"/>
    <n v="35"/>
    <x v="1"/>
    <x v="8"/>
    <x v="2"/>
    <x v="0"/>
    <m/>
    <m/>
    <m/>
  </r>
  <r>
    <s v="60.02"/>
    <x v="30"/>
    <x v="419"/>
    <s v="Списание с расчетного счета 00БП-006497 от 13.09.2024 18:48:12"/>
    <s v="13.09.24"/>
    <n v="13500"/>
    <m/>
    <m/>
    <d v="2024-09-13T00:00:00"/>
    <n v="18"/>
    <x v="2"/>
    <x v="8"/>
    <x v="2"/>
    <x v="0"/>
    <m/>
    <m/>
    <m/>
  </r>
  <r>
    <s v="60.02"/>
    <x v="30"/>
    <x v="639"/>
    <s v="Списание с расчетного счета 00БП-004820 от 19.07.2024 18:44:00"/>
    <s v="19.07.24"/>
    <n v="6600"/>
    <m/>
    <m/>
    <d v="2024-07-19T00:00:00"/>
    <n v="74"/>
    <x v="1"/>
    <x v="8"/>
    <x v="2"/>
    <x v="0"/>
    <m/>
    <m/>
    <m/>
  </r>
  <r>
    <s v="60.02"/>
    <x v="30"/>
    <x v="639"/>
    <s v="Списание с расчетного счета 00БП-005295 от 07.08.2024 17:40:24"/>
    <s v="07.08.24"/>
    <n v="6600"/>
    <m/>
    <m/>
    <d v="2024-08-07T00:00:00"/>
    <n v="55"/>
    <x v="1"/>
    <x v="8"/>
    <x v="2"/>
    <x v="0"/>
    <m/>
    <m/>
    <m/>
  </r>
  <r>
    <s v="60.02"/>
    <x v="30"/>
    <x v="639"/>
    <s v="Списание с расчетного счета 00БП-006495 от 13.09.2024 18:48:10"/>
    <s v="13.09.24"/>
    <n v="6600"/>
    <m/>
    <m/>
    <d v="2024-09-13T00:00:00"/>
    <n v="18"/>
    <x v="2"/>
    <x v="8"/>
    <x v="2"/>
    <x v="0"/>
    <m/>
    <m/>
    <m/>
  </r>
  <r>
    <s v="60.02"/>
    <x v="30"/>
    <x v="48"/>
    <s v="Списание с расчетного счета 00БП-004883 от 24.07.2024 18:44:52"/>
    <s v="24.07.24"/>
    <n v="6600"/>
    <m/>
    <m/>
    <d v="2024-07-24T00:00:00"/>
    <n v="69"/>
    <x v="1"/>
    <x v="8"/>
    <x v="2"/>
    <x v="0"/>
    <m/>
    <m/>
    <m/>
  </r>
  <r>
    <s v="60.02"/>
    <x v="30"/>
    <x v="48"/>
    <s v="Списание с расчетного счета 00БП-005141 от 30.07.2024 18:40:03"/>
    <s v="30.07.24"/>
    <n v="25000"/>
    <m/>
    <m/>
    <d v="2024-07-30T00:00:00"/>
    <n v="63"/>
    <x v="1"/>
    <x v="8"/>
    <x v="2"/>
    <x v="0"/>
    <m/>
    <m/>
    <m/>
  </r>
  <r>
    <s v="60.02"/>
    <x v="30"/>
    <x v="48"/>
    <s v="Списание с расчетного счета 00БП-005991 от 28.08.2024 18:11:47"/>
    <s v="28.08.24"/>
    <n v="25000"/>
    <m/>
    <m/>
    <d v="2024-08-28T00:00:00"/>
    <n v="34"/>
    <x v="1"/>
    <x v="8"/>
    <x v="2"/>
    <x v="0"/>
    <m/>
    <m/>
    <m/>
  </r>
  <r>
    <s v="60.02"/>
    <x v="30"/>
    <x v="48"/>
    <s v="Списание с расчетного счета 00БП-006624 от 19.09.2024 18:14:25"/>
    <s v="19.09.24"/>
    <n v="13500"/>
    <m/>
    <m/>
    <d v="2024-09-19T00:00:00"/>
    <n v="12"/>
    <x v="2"/>
    <x v="8"/>
    <x v="2"/>
    <x v="0"/>
    <m/>
    <m/>
    <m/>
  </r>
  <r>
    <s v="60.02"/>
    <x v="30"/>
    <x v="421"/>
    <s v="Списание с расчетного счета 00БП-005225 от 02.08.2024 18:04:47"/>
    <s v="02.08.24"/>
    <n v="25000"/>
    <m/>
    <m/>
    <d v="2024-08-02T00:00:00"/>
    <n v="60"/>
    <x v="1"/>
    <x v="8"/>
    <x v="2"/>
    <x v="0"/>
    <m/>
    <m/>
    <m/>
  </r>
  <r>
    <s v="60.02"/>
    <x v="30"/>
    <x v="421"/>
    <s v="Списание с расчетного счета 00БП-006149 от 05.09.2024 20:11:19"/>
    <s v="05.09.24"/>
    <n v="25000"/>
    <m/>
    <m/>
    <d v="2024-09-05T00:00:00"/>
    <n v="26"/>
    <x v="2"/>
    <x v="8"/>
    <x v="2"/>
    <x v="0"/>
    <m/>
    <m/>
    <m/>
  </r>
  <r>
    <s v="60.02"/>
    <x v="30"/>
    <x v="422"/>
    <s v="Списание с расчетного счета 00БП-004412 от 11.07.2024 17:53:01"/>
    <s v="11.07.24"/>
    <n v="25000"/>
    <m/>
    <m/>
    <d v="2024-07-11T00:00:00"/>
    <n v="82"/>
    <x v="1"/>
    <x v="8"/>
    <x v="2"/>
    <x v="0"/>
    <m/>
    <m/>
    <m/>
  </r>
  <r>
    <s v="60.02"/>
    <x v="30"/>
    <x v="422"/>
    <s v="Списание с расчетного счета 00БП-005762 от 20.08.2024 18:37:34"/>
    <s v="20.08.24"/>
    <n v="25000"/>
    <m/>
    <m/>
    <d v="2024-08-20T00:00:00"/>
    <n v="42"/>
    <x v="1"/>
    <x v="8"/>
    <x v="2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127"/>
    <x v="0"/>
    <x v="8"/>
    <x v="2"/>
    <x v="0"/>
    <m/>
    <m/>
    <m/>
  </r>
  <r>
    <s v="60.02"/>
    <x v="30"/>
    <x v="50"/>
    <s v="Списание с расчетного счета 00БП-006127 от 04.09.2024 19:56:09"/>
    <s v="04.09.24"/>
    <n v="25200"/>
    <m/>
    <m/>
    <d v="2024-09-04T00:00:00"/>
    <n v="27"/>
    <x v="2"/>
    <x v="8"/>
    <x v="2"/>
    <x v="0"/>
    <m/>
    <m/>
    <m/>
  </r>
  <r>
    <s v="60.02"/>
    <x v="30"/>
    <x v="423"/>
    <s v="Списание с расчетного счета 00БП-005872 от 27.08.2024 17:46:41"/>
    <s v="27.08.24"/>
    <n v="25000"/>
    <m/>
    <m/>
    <d v="2024-08-27T00:00:00"/>
    <n v="35"/>
    <x v="1"/>
    <x v="8"/>
    <x v="2"/>
    <x v="0"/>
    <m/>
    <m/>
    <m/>
  </r>
  <r>
    <s v="60.02"/>
    <x v="30"/>
    <x v="424"/>
    <s v="Списание с расчетного счета 00БП-004824 от 19.07.2024 18:44:04"/>
    <s v="19.07.24"/>
    <n v="25000"/>
    <m/>
    <m/>
    <d v="2024-07-19T00:00:00"/>
    <n v="74"/>
    <x v="1"/>
    <x v="8"/>
    <x v="2"/>
    <x v="0"/>
    <m/>
    <m/>
    <m/>
  </r>
  <r>
    <s v="60.02"/>
    <x v="30"/>
    <x v="424"/>
    <s v="Списание с расчетного счета 00БП-006500 от 13.09.2024 18:48:15"/>
    <s v="13.09.24"/>
    <n v="25000"/>
    <m/>
    <m/>
    <d v="2024-09-13T00:00:00"/>
    <n v="18"/>
    <x v="2"/>
    <x v="8"/>
    <x v="2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85"/>
    <x v="1"/>
    <x v="8"/>
    <x v="2"/>
    <x v="0"/>
    <m/>
    <m/>
    <m/>
  </r>
  <r>
    <s v="60.02"/>
    <x v="30"/>
    <x v="51"/>
    <s v="Списание с расчетного счета 00БП-005687 от 15.08.2024 20:47:52"/>
    <s v="15.08.24"/>
    <n v="6600"/>
    <m/>
    <m/>
    <d v="2024-08-15T00:00:00"/>
    <n v="47"/>
    <x v="1"/>
    <x v="8"/>
    <x v="2"/>
    <x v="0"/>
    <m/>
    <m/>
    <m/>
  </r>
  <r>
    <s v="60.02"/>
    <x v="30"/>
    <x v="425"/>
    <s v="Списание с расчетного счета 00БП-006499 от 13.09.2024 18:48:14"/>
    <s v="13.09.24"/>
    <n v="25000"/>
    <m/>
    <m/>
    <d v="2024-09-13T00:00:00"/>
    <n v="18"/>
    <x v="2"/>
    <x v="8"/>
    <x v="2"/>
    <x v="0"/>
    <m/>
    <m/>
    <m/>
  </r>
  <r>
    <s v="60.02"/>
    <x v="30"/>
    <x v="426"/>
    <s v="Списание с расчетного счета 00БП-005855 от 27.08.2024 17:46:24"/>
    <s v="27.08.24"/>
    <n v="6600"/>
    <m/>
    <m/>
    <d v="2024-08-27T00:00:00"/>
    <n v="35"/>
    <x v="1"/>
    <x v="8"/>
    <x v="2"/>
    <x v="0"/>
    <m/>
    <m/>
    <m/>
  </r>
  <r>
    <s v="60.02"/>
    <x v="30"/>
    <x v="1016"/>
    <s v="Списание с расчетного счета 00БП-003249 от 05.06.2024 18:43:42"/>
    <s v="05.06.24"/>
    <n v="6600"/>
    <m/>
    <m/>
    <d v="2024-06-05T00:00:00"/>
    <n v="118"/>
    <x v="4"/>
    <x v="8"/>
    <x v="2"/>
    <x v="0"/>
    <m/>
    <m/>
    <m/>
  </r>
  <r>
    <s v="60.02"/>
    <x v="30"/>
    <x v="52"/>
    <s v="Списание с расчетного счета 00БП-005761 от 20.08.2024 18:37:33"/>
    <s v="20.08.24"/>
    <n v="25000"/>
    <m/>
    <m/>
    <d v="2024-08-20T00:00:00"/>
    <n v="42"/>
    <x v="1"/>
    <x v="8"/>
    <x v="2"/>
    <x v="0"/>
    <m/>
    <m/>
    <m/>
  </r>
  <r>
    <s v="60.02"/>
    <x v="30"/>
    <x v="1017"/>
    <s v="Списание с расчетного счета 00БП-004727 от 16.07.2024 19:05:00"/>
    <s v="16.07.24"/>
    <n v="6600"/>
    <m/>
    <m/>
    <d v="2024-07-16T00:00:00"/>
    <n v="77"/>
    <x v="1"/>
    <x v="8"/>
    <x v="2"/>
    <x v="0"/>
    <m/>
    <m/>
    <m/>
  </r>
  <r>
    <s v="60.02"/>
    <x v="30"/>
    <x v="1017"/>
    <s v="Списание с расчетного счета 00БП-005224 от 02.08.2024 18:04:46"/>
    <s v="02.08.24"/>
    <n v="25000"/>
    <m/>
    <m/>
    <d v="2024-08-02T00:00:00"/>
    <n v="60"/>
    <x v="1"/>
    <x v="8"/>
    <x v="2"/>
    <x v="0"/>
    <m/>
    <m/>
    <m/>
  </r>
  <r>
    <s v="60.02"/>
    <x v="30"/>
    <x v="428"/>
    <s v="Списание с расчетного счета 00БП-006329 от 12.09.2024 17:27:42"/>
    <s v="12.09.24"/>
    <n v="18400"/>
    <m/>
    <m/>
    <d v="2024-09-12T00:00:00"/>
    <n v="19"/>
    <x v="2"/>
    <x v="8"/>
    <x v="2"/>
    <x v="0"/>
    <m/>
    <m/>
    <m/>
  </r>
  <r>
    <s v="60.02"/>
    <x v="30"/>
    <x v="365"/>
    <s v="Списание с расчетного счета 00БП-005688 от 15.08.2024 20:47:53"/>
    <s v="15.08.24"/>
    <n v="25000"/>
    <m/>
    <m/>
    <d v="2024-08-15T00:00:00"/>
    <n v="47"/>
    <x v="1"/>
    <x v="8"/>
    <x v="2"/>
    <x v="0"/>
    <m/>
    <m/>
    <m/>
  </r>
  <r>
    <s v="60.02"/>
    <x v="30"/>
    <x v="365"/>
    <s v="Списание с расчетного счета 00БП-006792 от 26.09.2024 21:12:38"/>
    <s v="26.09.24"/>
    <n v="6600"/>
    <m/>
    <m/>
    <d v="2024-09-26T00:00:00"/>
    <n v="5"/>
    <x v="2"/>
    <x v="8"/>
    <x v="2"/>
    <x v="0"/>
    <m/>
    <m/>
    <m/>
  </r>
  <r>
    <s v="60.02"/>
    <x v="377"/>
    <x v="1018"/>
    <s v="Списание с расчетного счета 00БП-000616 от 01.03.2024 17:23:23"/>
    <s v="01.03.24"/>
    <n v="1700000"/>
    <m/>
    <m/>
    <d v="2024-03-01T00:00:00"/>
    <n v="214"/>
    <x v="3"/>
    <x v="8"/>
    <x v="2"/>
    <x v="0"/>
    <m/>
    <m/>
    <m/>
  </r>
  <r>
    <s v="60.02"/>
    <x v="36"/>
    <x v="643"/>
    <s v="Списание с расчетного счета 00БП-002737 от 15.05.2024 18:13:45"/>
    <s v="15.05.24"/>
    <n v="2323.89"/>
    <m/>
    <m/>
    <d v="2024-05-15T00:00:00"/>
    <n v="139"/>
    <x v="0"/>
    <x v="8"/>
    <x v="2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1163"/>
    <x v="5"/>
    <x v="8"/>
    <x v="2"/>
    <x v="0"/>
    <m/>
    <m/>
    <m/>
  </r>
  <r>
    <s v="60.02"/>
    <x v="378"/>
    <x v="1019"/>
    <s v="Списание с расчетного счета 00БП-006702 от 24.09.2024 17:45:13"/>
    <s v="24.09.24"/>
    <n v="889500"/>
    <m/>
    <m/>
    <d v="2024-09-24T00:00:00"/>
    <n v="7"/>
    <x v="2"/>
    <x v="8"/>
    <x v="2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168"/>
    <x v="0"/>
    <x v="8"/>
    <x v="2"/>
    <x v="0"/>
    <m/>
    <m/>
    <m/>
  </r>
  <r>
    <s v="60.02"/>
    <x v="38"/>
    <x v="1020"/>
    <s v="Списание с расчетного счета 00БП-002321 от 03.05.2024 19:41:04"/>
    <s v="03.05.24"/>
    <n v="590475.6"/>
    <m/>
    <m/>
    <d v="2024-05-03T00:00:00"/>
    <n v="151"/>
    <x v="0"/>
    <x v="8"/>
    <x v="2"/>
    <x v="0"/>
    <m/>
    <m/>
    <m/>
  </r>
  <r>
    <s v="60.02"/>
    <x v="38"/>
    <x v="1020"/>
    <s v="Списание с расчетного счета 00БП-005346 от 09.08.2024 17:00:54"/>
    <s v="09.08.24"/>
    <n v="115897.60000000001"/>
    <m/>
    <m/>
    <d v="2024-08-09T00:00:00"/>
    <n v="53"/>
    <x v="1"/>
    <x v="8"/>
    <x v="2"/>
    <x v="0"/>
    <m/>
    <m/>
    <m/>
  </r>
  <r>
    <s v="60.02"/>
    <x v="38"/>
    <x v="1021"/>
    <s v="Списание с расчетного счета 00БП-006866 от 27.09.2024 20:02:38"/>
    <s v="27.09.24"/>
    <n v="14000"/>
    <m/>
    <m/>
    <d v="2024-09-27T00:00:00"/>
    <n v="4"/>
    <x v="2"/>
    <x v="8"/>
    <x v="2"/>
    <x v="0"/>
    <m/>
    <m/>
    <m/>
  </r>
  <r>
    <s v="60.02"/>
    <x v="379"/>
    <x v="1022"/>
    <s v="Списание с расчетного счета 00БП-006934 от 30.09.2024 23:59:59"/>
    <s v="30.09.24"/>
    <n v="26200"/>
    <m/>
    <m/>
    <d v="2024-09-30T00:00:00"/>
    <n v="1"/>
    <x v="2"/>
    <x v="8"/>
    <x v="2"/>
    <x v="0"/>
    <m/>
    <m/>
    <m/>
  </r>
  <r>
    <s v="60.02"/>
    <x v="40"/>
    <x v="238"/>
    <s v="Корректировка поступления 00БП-000018 от 20.06.2024 18:44:44"/>
    <s v="20.06.24"/>
    <n v="1351"/>
    <m/>
    <m/>
    <d v="2024-06-20T00:00:00"/>
    <n v="103"/>
    <x v="4"/>
    <x v="8"/>
    <x v="2"/>
    <x v="0"/>
    <m/>
    <m/>
    <m/>
  </r>
  <r>
    <s v="60.02"/>
    <x v="40"/>
    <x v="83"/>
    <s v="Списание с расчетного счета 00БП-003308 от 06.06.2024 23:59:59"/>
    <s v="06.06.24"/>
    <n v="5955"/>
    <m/>
    <m/>
    <d v="2024-06-06T00:00:00"/>
    <n v="117"/>
    <x v="4"/>
    <x v="8"/>
    <x v="2"/>
    <x v="9"/>
    <m/>
    <m/>
    <m/>
  </r>
  <r>
    <s v="60.02"/>
    <x v="41"/>
    <x v="1023"/>
    <s v="Списание с расчетного счета 00БП-004832 от 19.07.2024 18:44:12"/>
    <s v="19.07.24"/>
    <n v="2186"/>
    <m/>
    <m/>
    <d v="2024-07-19T00:00:00"/>
    <n v="74"/>
    <x v="1"/>
    <x v="8"/>
    <x v="2"/>
    <x v="0"/>
    <m/>
    <m/>
    <m/>
  </r>
  <r>
    <s v="60.02"/>
    <x v="365"/>
    <x v="1024"/>
    <s v="Списание с расчетного счета 00БП-002312 от 03.05.2024 19:40:55"/>
    <s v="03.05.24"/>
    <n v="29399"/>
    <m/>
    <m/>
    <d v="2024-05-03T00:00:00"/>
    <n v="151"/>
    <x v="0"/>
    <x v="8"/>
    <x v="2"/>
    <x v="0"/>
    <m/>
    <m/>
    <m/>
  </r>
  <r>
    <s v="60.02"/>
    <x v="365"/>
    <x v="960"/>
    <s v="Списание с расчетного счета 00БП-002698 от 14.05.2024 19:02:10"/>
    <s v="14.05.24"/>
    <n v="2999"/>
    <m/>
    <m/>
    <d v="2024-05-14T00:00:00"/>
    <n v="140"/>
    <x v="0"/>
    <x v="8"/>
    <x v="2"/>
    <x v="0"/>
    <m/>
    <m/>
    <m/>
  </r>
  <r>
    <s v="60.02"/>
    <x v="204"/>
    <x v="1025"/>
    <s v="Списание с расчетного счета 00БП-006665 от 23.09.2024 19:07:30"/>
    <s v="23.09.24"/>
    <n v="50000"/>
    <m/>
    <m/>
    <d v="2024-09-23T00:00:00"/>
    <n v="8"/>
    <x v="2"/>
    <x v="8"/>
    <x v="2"/>
    <x v="0"/>
    <m/>
    <m/>
    <m/>
  </r>
  <r>
    <s v="60.02"/>
    <x v="380"/>
    <x v="1026"/>
    <s v="Списание с расчетного счета 00БП-005476 от 13.09.2023 21:56:45"/>
    <s v="13.09.23"/>
    <n v="127.61"/>
    <m/>
    <m/>
    <d v="2023-09-13T00:00:00"/>
    <n v="384"/>
    <x v="5"/>
    <x v="8"/>
    <x v="2"/>
    <x v="0"/>
    <m/>
    <m/>
    <m/>
  </r>
  <r>
    <s v="60.02"/>
    <x v="381"/>
    <x v="73"/>
    <s v="Авансовый отчет 00БП-000025 от 06.03.2024 17:14:54"/>
    <s v="06.03.24"/>
    <n v="7800"/>
    <m/>
    <m/>
    <d v="2024-03-06T00:00:00"/>
    <n v="209"/>
    <x v="3"/>
    <x v="8"/>
    <x v="2"/>
    <x v="0"/>
    <m/>
    <m/>
    <m/>
  </r>
  <r>
    <s v="60.02"/>
    <x v="271"/>
    <x v="1027"/>
    <s v="Списание с расчетного счета 00БП-004414 от 11.07.2024 17:53:03"/>
    <s v="11.07.24"/>
    <n v="77060"/>
    <m/>
    <m/>
    <d v="2024-07-11T00:00:00"/>
    <n v="82"/>
    <x v="1"/>
    <x v="8"/>
    <x v="2"/>
    <x v="0"/>
    <m/>
    <m/>
    <m/>
  </r>
  <r>
    <s v="60.02"/>
    <x v="207"/>
    <x v="73"/>
    <s v="Авансовый отчет 00БП-000286 от 30.09.2024 16:59:05"/>
    <s v="30.09.24"/>
    <n v="1300"/>
    <m/>
    <m/>
    <d v="2024-09-30T00:00:00"/>
    <n v="1"/>
    <x v="2"/>
    <x v="8"/>
    <x v="2"/>
    <x v="0"/>
    <m/>
    <m/>
    <m/>
  </r>
  <r>
    <s v="60.02"/>
    <x v="208"/>
    <x v="461"/>
    <s v="Списание с расчетного счета 00БП-003336 от 07.06.2024 20:17:33"/>
    <s v="07.06.24"/>
    <n v="1000"/>
    <m/>
    <m/>
    <d v="2024-06-07T00:00:00"/>
    <n v="116"/>
    <x v="4"/>
    <x v="8"/>
    <x v="2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966"/>
    <x v="5"/>
    <x v="8"/>
    <x v="2"/>
    <x v="8"/>
    <m/>
    <m/>
    <m/>
  </r>
  <r>
    <s v="60.02"/>
    <x v="48"/>
    <x v="123"/>
    <s v="Корректировка долга 00БП-000112 от 31.07.2022 13:59:59"/>
    <s v="31.07.22"/>
    <n v="14913.96"/>
    <m/>
    <m/>
    <d v="2022-07-31T00:00:00"/>
    <n v="793"/>
    <x v="5"/>
    <x v="8"/>
    <x v="2"/>
    <x v="0"/>
    <m/>
    <m/>
    <m/>
  </r>
  <r>
    <s v="60.02"/>
    <x v="48"/>
    <x v="1028"/>
    <s v="Списание с расчетного счета 00БП-004187 от 02.07.2024 18:09:51"/>
    <s v="02.07.24"/>
    <n v="180600"/>
    <m/>
    <m/>
    <d v="2024-07-02T00:00:00"/>
    <n v="91"/>
    <x v="4"/>
    <x v="8"/>
    <x v="2"/>
    <x v="0"/>
    <m/>
    <m/>
    <m/>
  </r>
  <r>
    <s v="60.02"/>
    <x v="213"/>
    <x v="479"/>
    <s v="Списание с расчетного счета 00БП-003273 от 05.06.2024 18:44:06"/>
    <s v="05.06.24"/>
    <n v="2220000"/>
    <m/>
    <m/>
    <d v="2024-06-05T00:00:00"/>
    <n v="118"/>
    <x v="4"/>
    <x v="8"/>
    <x v="2"/>
    <x v="20"/>
    <m/>
    <m/>
    <m/>
  </r>
  <r>
    <s v="60.02"/>
    <x v="213"/>
    <x v="480"/>
    <s v="Списание с расчетного счета 00БП-007991 от 28.12.2023 15:20:52"/>
    <s v="28.12.23"/>
    <n v="442208.48"/>
    <m/>
    <m/>
    <d v="2023-12-28T00:00:00"/>
    <n v="278"/>
    <x v="6"/>
    <x v="8"/>
    <x v="2"/>
    <x v="0"/>
    <m/>
    <m/>
    <m/>
  </r>
  <r>
    <s v="60.02"/>
    <x v="213"/>
    <x v="1029"/>
    <s v="Списание с расчетного счета 00БП-005678 от 14.08.2024 19:23:08"/>
    <s v="14.08.24"/>
    <n v="1490000"/>
    <m/>
    <m/>
    <d v="2024-08-14T00:00:00"/>
    <n v="48"/>
    <x v="1"/>
    <x v="8"/>
    <x v="2"/>
    <x v="0"/>
    <m/>
    <m/>
    <m/>
  </r>
  <r>
    <s v="60.02"/>
    <x v="213"/>
    <x v="1030"/>
    <s v="Списание с расчетного счета 00БП-006567 от 16.09.2024 19:20:39"/>
    <s v="16.09.24"/>
    <n v="282000"/>
    <m/>
    <m/>
    <d v="2024-09-16T00:00:00"/>
    <n v="15"/>
    <x v="2"/>
    <x v="8"/>
    <x v="2"/>
    <x v="0"/>
    <m/>
    <m/>
    <m/>
  </r>
  <r>
    <s v="60.02"/>
    <x v="54"/>
    <x v="961"/>
    <s v="Списание с расчетного счета 00БП-006563 от 16.09.2024 19:20:35"/>
    <s v="16.09.24"/>
    <n v="24080"/>
    <m/>
    <m/>
    <d v="2024-09-16T00:00:00"/>
    <n v="15"/>
    <x v="2"/>
    <x v="8"/>
    <x v="2"/>
    <x v="0"/>
    <m/>
    <m/>
    <m/>
  </r>
  <r>
    <s v="60.02"/>
    <x v="382"/>
    <x v="1031"/>
    <s v="Списание с расчетного счета 00БП-003596 от 24.06.2021 19:11:18"/>
    <s v="24.06.21"/>
    <n v="340.4"/>
    <m/>
    <m/>
    <d v="2021-06-24T00:00:00"/>
    <n v="1195"/>
    <x v="5"/>
    <x v="8"/>
    <x v="2"/>
    <x v="0"/>
    <m/>
    <m/>
    <m/>
  </r>
  <r>
    <s v="60.02"/>
    <x v="56"/>
    <x v="1032"/>
    <s v="Списание с расчетного счета 00БП-005142 от 30.07.2024 18:40:04"/>
    <s v="30.07.24"/>
    <n v="25737"/>
    <m/>
    <m/>
    <d v="2024-07-30T00:00:00"/>
    <n v="63"/>
    <x v="1"/>
    <x v="8"/>
    <x v="2"/>
    <x v="0"/>
    <m/>
    <m/>
    <m/>
  </r>
  <r>
    <s v="60.02"/>
    <x v="58"/>
    <x v="1033"/>
    <s v="Списание с расчетного счета 00БП-006188 от 06.09.2024 17:41:08"/>
    <s v="06.09.24"/>
    <n v="170000"/>
    <m/>
    <m/>
    <d v="2024-09-06T00:00:00"/>
    <n v="25"/>
    <x v="2"/>
    <x v="8"/>
    <x v="2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371"/>
    <x v="5"/>
    <x v="8"/>
    <x v="2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015"/>
    <x v="5"/>
    <x v="8"/>
    <x v="2"/>
    <x v="0"/>
    <m/>
    <m/>
    <m/>
  </r>
  <r>
    <s v="60.02"/>
    <x v="62"/>
    <x v="144"/>
    <s v="Списание с расчетного счета 00БП-001959 от 19.04.2024 20:35:31"/>
    <s v="19.04.24"/>
    <n v="8850"/>
    <m/>
    <m/>
    <d v="2024-04-19T00:00:00"/>
    <n v="165"/>
    <x v="0"/>
    <x v="8"/>
    <x v="2"/>
    <x v="0"/>
    <m/>
    <m/>
    <m/>
  </r>
  <r>
    <s v="60.02"/>
    <x v="282"/>
    <x v="1034"/>
    <s v="Списание с расчетного счета 00БП-003971 от 13.07.2022 17:26:09"/>
    <s v="13.07.22"/>
    <n v="28572"/>
    <m/>
    <m/>
    <d v="2022-07-13T00:00:00"/>
    <n v="811"/>
    <x v="5"/>
    <x v="8"/>
    <x v="2"/>
    <x v="0"/>
    <m/>
    <m/>
    <m/>
  </r>
  <r>
    <s v="60.02"/>
    <x v="282"/>
    <x v="1035"/>
    <s v="Списание с расчетного счета 00БП-003969 от 13.07.2022 17:26:07"/>
    <s v="13.07.22"/>
    <n v="5520"/>
    <m/>
    <m/>
    <d v="2022-07-13T00:00:00"/>
    <n v="811"/>
    <x v="5"/>
    <x v="8"/>
    <x v="2"/>
    <x v="0"/>
    <m/>
    <m/>
    <m/>
  </r>
  <r>
    <s v="60.02"/>
    <x v="282"/>
    <x v="1036"/>
    <s v="Списание с расчетного счета 00БП-000615 от 03.03.2023 23:59:59"/>
    <s v="03.03.23"/>
    <n v="4600"/>
    <m/>
    <m/>
    <d v="2023-03-03T00:00:00"/>
    <n v="578"/>
    <x v="5"/>
    <x v="8"/>
    <x v="2"/>
    <x v="0"/>
    <m/>
    <m/>
    <m/>
  </r>
  <r>
    <s v="60.02"/>
    <x v="282"/>
    <x v="1037"/>
    <s v="Списание с расчетного счета 00БП-001134 от 28.03.2023 19:09:59"/>
    <s v="28.03.23"/>
    <n v="27200"/>
    <m/>
    <m/>
    <d v="2023-03-28T00:00:00"/>
    <n v="553"/>
    <x v="5"/>
    <x v="8"/>
    <x v="2"/>
    <x v="0"/>
    <m/>
    <m/>
    <m/>
  </r>
  <r>
    <s v="60.02"/>
    <x v="71"/>
    <x v="1038"/>
    <s v="Списание с расчетного счета 00БП-006941 от 30.09.2024 23:59:59"/>
    <s v="30.09.24"/>
    <n v="158800"/>
    <m/>
    <m/>
    <d v="2024-09-30T00:00:00"/>
    <n v="1"/>
    <x v="2"/>
    <x v="8"/>
    <x v="2"/>
    <x v="0"/>
    <m/>
    <m/>
    <m/>
  </r>
  <r>
    <s v="60.02"/>
    <x v="73"/>
    <x v="1039"/>
    <s v="Списание с расчетного счета 00БП-004349 от 09.07.2024 18:56:44"/>
    <s v="09.07.24"/>
    <n v="5550"/>
    <m/>
    <m/>
    <d v="2024-07-09T00:00:00"/>
    <n v="84"/>
    <x v="1"/>
    <x v="8"/>
    <x v="2"/>
    <x v="0"/>
    <m/>
    <m/>
    <m/>
  </r>
  <r>
    <s v="60.02"/>
    <x v="383"/>
    <x v="1040"/>
    <s v="Списание с расчетного счета 00БП-000297 от 09.02.2024 11:07:06"/>
    <s v="09.02.24"/>
    <n v="32600"/>
    <m/>
    <m/>
    <d v="2024-02-09T00:00:00"/>
    <n v="235"/>
    <x v="3"/>
    <x v="8"/>
    <x v="2"/>
    <x v="0"/>
    <m/>
    <m/>
    <m/>
  </r>
  <r>
    <s v="60.02"/>
    <x v="383"/>
    <x v="1041"/>
    <s v="Списание с расчетного счета 00БП-006605 от 18.09.2024 17:45:52"/>
    <s v="18.09.24"/>
    <n v="10520"/>
    <m/>
    <m/>
    <d v="2024-09-18T00:00:00"/>
    <n v="13"/>
    <x v="2"/>
    <x v="8"/>
    <x v="2"/>
    <x v="0"/>
    <m/>
    <m/>
    <m/>
  </r>
  <r>
    <s v="60.02"/>
    <x v="75"/>
    <x v="968"/>
    <s v="Списание с расчетного счета 00БП-006042 от 29.08.2024 19:07:06"/>
    <s v="29.08.24"/>
    <n v="123310"/>
    <m/>
    <m/>
    <d v="2024-08-29T00:00:00"/>
    <n v="33"/>
    <x v="1"/>
    <x v="8"/>
    <x v="2"/>
    <x v="0"/>
    <m/>
    <m/>
    <m/>
  </r>
  <r>
    <s v="60.02"/>
    <x v="75"/>
    <x v="968"/>
    <s v="Списание с расчетного счета 00БП-006608 от 18.09.2024 17:45:55"/>
    <s v="18.09.24"/>
    <n v="250030"/>
    <m/>
    <m/>
    <d v="2024-09-18T00:00:00"/>
    <n v="13"/>
    <x v="2"/>
    <x v="8"/>
    <x v="2"/>
    <x v="0"/>
    <m/>
    <m/>
    <m/>
  </r>
  <r>
    <s v="60.02"/>
    <x v="384"/>
    <x v="1042"/>
    <s v="Списание с расчетного счета 00БП-004911 от 25.07.2024 16:44:22"/>
    <s v="25.07.24"/>
    <n v="133000"/>
    <m/>
    <m/>
    <d v="2024-07-25T00:00:00"/>
    <n v="68"/>
    <x v="1"/>
    <x v="8"/>
    <x v="2"/>
    <x v="0"/>
    <m/>
    <m/>
    <m/>
  </r>
  <r>
    <s v="60.02"/>
    <x v="77"/>
    <x v="735"/>
    <s v="Списание с расчетного счета 00БП-002727 от 15.05.2024 18:13:35"/>
    <s v="15.05.24"/>
    <n v="37818.47"/>
    <m/>
    <m/>
    <d v="2024-05-15T00:00:00"/>
    <n v="139"/>
    <x v="0"/>
    <x v="8"/>
    <x v="2"/>
    <x v="0"/>
    <m/>
    <m/>
    <m/>
  </r>
  <r>
    <s v="60.02"/>
    <x v="78"/>
    <x v="501"/>
    <s v="Списание с расчетного счета 00БП-002496 от 23.05.2023 18:50:13"/>
    <s v="23.05.23"/>
    <n v="1715565.24"/>
    <m/>
    <m/>
    <d v="2023-05-23T00:00:00"/>
    <n v="497"/>
    <x v="5"/>
    <x v="8"/>
    <x v="2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175"/>
    <x v="0"/>
    <x v="8"/>
    <x v="2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167"/>
    <x v="0"/>
    <x v="8"/>
    <x v="2"/>
    <x v="0"/>
    <m/>
    <m/>
    <m/>
  </r>
  <r>
    <s v="60.02"/>
    <x v="78"/>
    <x v="508"/>
    <s v="Списание с расчетного счета 00БП-003849 от 24.06.2024 17:54:34"/>
    <s v="24.06.24"/>
    <n v="6277.48"/>
    <m/>
    <m/>
    <d v="2024-06-24T00:00:00"/>
    <n v="99"/>
    <x v="4"/>
    <x v="8"/>
    <x v="2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96"/>
    <x v="4"/>
    <x v="8"/>
    <x v="2"/>
    <x v="0"/>
    <m/>
    <m/>
    <m/>
  </r>
  <r>
    <s v="60.02"/>
    <x v="78"/>
    <x v="969"/>
    <s v="Списание с расчетного счета 00БП-004331 от 08.07.2024 18:30:05"/>
    <s v="08.07.24"/>
    <n v="995281.85"/>
    <m/>
    <m/>
    <d v="2024-07-08T00:00:00"/>
    <n v="85"/>
    <x v="1"/>
    <x v="8"/>
    <x v="2"/>
    <x v="0"/>
    <m/>
    <m/>
    <m/>
  </r>
  <r>
    <s v="60.02"/>
    <x v="78"/>
    <x v="512"/>
    <s v="Списание с расчетного счета 00БП-004303 от 05.07.2024 18:28:48"/>
    <s v="05.07.24"/>
    <n v="2.4"/>
    <m/>
    <m/>
    <d v="2024-07-05T00:00:00"/>
    <n v="88"/>
    <x v="1"/>
    <x v="8"/>
    <x v="2"/>
    <x v="0"/>
    <m/>
    <m/>
    <m/>
  </r>
  <r>
    <s v="60.02"/>
    <x v="78"/>
    <x v="970"/>
    <s v="Списание с расчетного счета 00БП-004325 от 08.07.2024 18:29:59"/>
    <s v="08.07.24"/>
    <n v="31.2"/>
    <m/>
    <m/>
    <d v="2024-07-08T00:00:00"/>
    <n v="85"/>
    <x v="1"/>
    <x v="8"/>
    <x v="2"/>
    <x v="0"/>
    <m/>
    <m/>
    <m/>
  </r>
  <r>
    <s v="60.02"/>
    <x v="78"/>
    <x v="971"/>
    <s v="Списание с расчетного счета 00БП-005804 от 23.08.2024 17:14:33"/>
    <s v="23.08.24"/>
    <n v="395493.5"/>
    <m/>
    <m/>
    <d v="2024-08-23T00:00:00"/>
    <n v="39"/>
    <x v="1"/>
    <x v="8"/>
    <x v="2"/>
    <x v="0"/>
    <m/>
    <m/>
    <m/>
  </r>
  <r>
    <s v="60.02"/>
    <x v="78"/>
    <x v="972"/>
    <s v="Списание с расчетного счета 00БП-005196 от 01.08.2024 17:40:43"/>
    <s v="01.08.24"/>
    <n v="36345.29"/>
    <m/>
    <m/>
    <d v="2024-08-01T00:00:00"/>
    <n v="61"/>
    <x v="1"/>
    <x v="8"/>
    <x v="2"/>
    <x v="0"/>
    <m/>
    <m/>
    <m/>
  </r>
  <r>
    <s v="60.02"/>
    <x v="78"/>
    <x v="973"/>
    <s v="Списание с расчетного счета 00БП-005317 от 08.08.2024 17:52:20"/>
    <s v="08.08.24"/>
    <n v="35878.480000000003"/>
    <m/>
    <m/>
    <d v="2024-08-08T00:00:00"/>
    <n v="54"/>
    <x v="1"/>
    <x v="8"/>
    <x v="2"/>
    <x v="0"/>
    <m/>
    <m/>
    <m/>
  </r>
  <r>
    <s v="60.02"/>
    <x v="78"/>
    <x v="520"/>
    <s v="Списание с расчетного счета 00БП-005316 от 08.08.2024 17:52:19"/>
    <s v="08.08.24"/>
    <n v="13920"/>
    <m/>
    <m/>
    <d v="2024-08-08T00:00:00"/>
    <n v="54"/>
    <x v="1"/>
    <x v="8"/>
    <x v="2"/>
    <x v="0"/>
    <m/>
    <m/>
    <m/>
  </r>
  <r>
    <s v="60.02"/>
    <x v="78"/>
    <x v="522"/>
    <s v="Списание с расчетного счета 00БП-005769 от 20.08.2024 18:37:41"/>
    <s v="20.08.24"/>
    <n v="355885.99"/>
    <m/>
    <m/>
    <d v="2024-08-20T00:00:00"/>
    <n v="42"/>
    <x v="1"/>
    <x v="8"/>
    <x v="2"/>
    <x v="0"/>
    <m/>
    <m/>
    <m/>
  </r>
  <r>
    <s v="60.02"/>
    <x v="78"/>
    <x v="523"/>
    <s v="Списание с расчетного счета 00БП-005912 от 27.08.2024 17:47:21"/>
    <s v="27.08.24"/>
    <n v="21441.599999999999"/>
    <m/>
    <m/>
    <d v="2024-08-27T00:00:00"/>
    <n v="35"/>
    <x v="1"/>
    <x v="8"/>
    <x v="2"/>
    <x v="0"/>
    <m/>
    <m/>
    <m/>
  </r>
  <r>
    <s v="60.02"/>
    <x v="78"/>
    <x v="524"/>
    <s v="Списание с расчетного счета 00БП-006187 от 06.09.2024 17:41:07"/>
    <s v="06.09.24"/>
    <n v="121190.09"/>
    <m/>
    <m/>
    <d v="2024-09-06T00:00:00"/>
    <n v="25"/>
    <x v="2"/>
    <x v="8"/>
    <x v="2"/>
    <x v="0"/>
    <m/>
    <m/>
    <m/>
  </r>
  <r>
    <s v="60.02"/>
    <x v="345"/>
    <x v="884"/>
    <s v="Списание с расчетного счета 00БП-006932 от 30.09.2024 23:59:59"/>
    <s v="30.09.24"/>
    <n v="9500"/>
    <m/>
    <m/>
    <d v="2024-09-30T00:00:00"/>
    <n v="1"/>
    <x v="2"/>
    <x v="8"/>
    <x v="2"/>
    <x v="0"/>
    <m/>
    <m/>
    <m/>
  </r>
  <r>
    <s v="60.02"/>
    <x v="366"/>
    <x v="974"/>
    <s v="Списание с расчетного счета 00БП-006566 от 16.09.2024 19:20:38"/>
    <s v="16.09.24"/>
    <n v="250800"/>
    <m/>
    <m/>
    <d v="2024-09-16T00:00:00"/>
    <n v="15"/>
    <x v="2"/>
    <x v="8"/>
    <x v="2"/>
    <x v="0"/>
    <m/>
    <m/>
    <m/>
  </r>
  <r>
    <s v="60.02"/>
    <x v="287"/>
    <x v="742"/>
    <s v="Списание с расчетного счета 00БП-001891 от 16.04.2024 20:42:38"/>
    <s v="16.04.24"/>
    <n v="1207500"/>
    <m/>
    <m/>
    <d v="2024-04-16T00:00:00"/>
    <n v="168"/>
    <x v="0"/>
    <x v="8"/>
    <x v="2"/>
    <x v="0"/>
    <m/>
    <m/>
    <m/>
  </r>
  <r>
    <s v="60.02"/>
    <x v="79"/>
    <x v="182"/>
    <s v="Списание с расчетного счета 00БП-003210 от 03.06.2024 19:19:42"/>
    <s v="03.06.24"/>
    <n v="412.02"/>
    <m/>
    <m/>
    <d v="2024-06-03T00:00:00"/>
    <n v="120"/>
    <x v="4"/>
    <x v="8"/>
    <x v="2"/>
    <x v="0"/>
    <m/>
    <m/>
    <m/>
  </r>
  <r>
    <s v="60.02"/>
    <x v="79"/>
    <x v="182"/>
    <s v="Списание с расчетного счета 00БП-004274 от 04.07.2024 18:48:02"/>
    <s v="04.07.24"/>
    <n v="500"/>
    <m/>
    <m/>
    <d v="2024-07-04T00:00:00"/>
    <n v="89"/>
    <x v="1"/>
    <x v="8"/>
    <x v="2"/>
    <x v="0"/>
    <m/>
    <m/>
    <m/>
  </r>
  <r>
    <s v="60.02"/>
    <x v="79"/>
    <x v="183"/>
    <s v="Списание с расчетного счета 00БП-003211 от 03.06.2024 19:19:43"/>
    <s v="03.06.24"/>
    <n v="138.34"/>
    <m/>
    <m/>
    <d v="2024-06-03T00:00:00"/>
    <n v="120"/>
    <x v="4"/>
    <x v="8"/>
    <x v="2"/>
    <x v="0"/>
    <m/>
    <m/>
    <m/>
  </r>
  <r>
    <s v="60.02"/>
    <x v="79"/>
    <x v="183"/>
    <s v="Списание с расчетного счета 00БП-006245 от 10.09.2024 23:59:59"/>
    <s v="10.09.24"/>
    <n v="2000"/>
    <m/>
    <m/>
    <d v="2024-09-10T00:00:00"/>
    <n v="21"/>
    <x v="2"/>
    <x v="8"/>
    <x v="2"/>
    <x v="0"/>
    <m/>
    <m/>
    <m/>
  </r>
  <r>
    <s v="60.02"/>
    <x v="79"/>
    <x v="184"/>
    <s v="Списание с расчетного счета 00БП-004281 от 04.07.2024 18:48:09"/>
    <s v="04.07.24"/>
    <n v="3560.35"/>
    <m/>
    <m/>
    <d v="2024-07-04T00:00:00"/>
    <n v="89"/>
    <x v="1"/>
    <x v="8"/>
    <x v="2"/>
    <x v="0"/>
    <m/>
    <m/>
    <m/>
  </r>
  <r>
    <s v="60.02"/>
    <x v="79"/>
    <x v="184"/>
    <s v="Списание с расчетного счета 00БП-006249 от 10.09.2024 23:59:59"/>
    <s v="10.09.24"/>
    <n v="5000"/>
    <m/>
    <m/>
    <d v="2024-09-10T00:00:00"/>
    <n v="21"/>
    <x v="2"/>
    <x v="8"/>
    <x v="2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006"/>
    <x v="5"/>
    <x v="8"/>
    <x v="2"/>
    <x v="0"/>
    <m/>
    <m/>
    <m/>
  </r>
  <r>
    <s v="60.02"/>
    <x v="79"/>
    <x v="186"/>
    <s v="Списание с расчетного счета 00БП-004278 от 04.07.2024 18:48:06"/>
    <s v="04.07.24"/>
    <n v="1679.71"/>
    <m/>
    <m/>
    <d v="2024-07-04T00:00:00"/>
    <n v="89"/>
    <x v="1"/>
    <x v="8"/>
    <x v="2"/>
    <x v="0"/>
    <m/>
    <m/>
    <m/>
  </r>
  <r>
    <s v="60.02"/>
    <x v="79"/>
    <x v="186"/>
    <s v="Списание с расчетного счета 00БП-006244 от 10.09.2024 23:59:59"/>
    <s v="10.09.24"/>
    <n v="2000"/>
    <m/>
    <m/>
    <d v="2024-09-10T00:00:00"/>
    <n v="21"/>
    <x v="2"/>
    <x v="8"/>
    <x v="2"/>
    <x v="0"/>
    <m/>
    <m/>
    <m/>
  </r>
  <r>
    <s v="60.02"/>
    <x v="79"/>
    <x v="187"/>
    <s v="Списание с расчетного счета 00БП-004275 от 04.07.2024 18:48:03"/>
    <s v="04.07.24"/>
    <n v="492.13"/>
    <m/>
    <m/>
    <d v="2024-07-04T00:00:00"/>
    <n v="89"/>
    <x v="1"/>
    <x v="8"/>
    <x v="2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333"/>
    <x v="6"/>
    <x v="8"/>
    <x v="2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231"/>
    <x v="3"/>
    <x v="8"/>
    <x v="2"/>
    <x v="0"/>
    <m/>
    <m/>
    <m/>
  </r>
  <r>
    <s v="60.02"/>
    <x v="79"/>
    <x v="189"/>
    <s v="Списание с расчетного счета 00БП-004277 от 04.07.2024 18:48:05"/>
    <s v="04.07.24"/>
    <n v="1771.47"/>
    <m/>
    <m/>
    <d v="2024-07-04T00:00:00"/>
    <n v="89"/>
    <x v="1"/>
    <x v="8"/>
    <x v="2"/>
    <x v="0"/>
    <m/>
    <m/>
    <m/>
  </r>
  <r>
    <s v="60.02"/>
    <x v="79"/>
    <x v="189"/>
    <s v="Списание с расчетного счета 00БП-006246 от 10.09.2024 23:59:59"/>
    <s v="10.09.24"/>
    <n v="2000"/>
    <m/>
    <m/>
    <d v="2024-09-10T00:00:00"/>
    <n v="21"/>
    <x v="2"/>
    <x v="8"/>
    <x v="2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098"/>
    <x v="5"/>
    <x v="8"/>
    <x v="2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065"/>
    <x v="5"/>
    <x v="8"/>
    <x v="2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1749"/>
    <x v="5"/>
    <x v="8"/>
    <x v="2"/>
    <x v="0"/>
    <m/>
    <m/>
    <m/>
  </r>
  <r>
    <s v="60.02"/>
    <x v="79"/>
    <x v="191"/>
    <m/>
    <m/>
    <n v="68.27"/>
    <m/>
    <m/>
    <d v="1899-12-30T00:00:00"/>
    <n v="45566"/>
    <x v="5"/>
    <x v="8"/>
    <x v="2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137"/>
    <x v="5"/>
    <x v="8"/>
    <x v="2"/>
    <x v="0"/>
    <m/>
    <m/>
    <m/>
  </r>
  <r>
    <s v="60.02"/>
    <x v="79"/>
    <x v="193"/>
    <s v="Поступление (акт, накладная, УПД) 00БП-001200 от 31.08.2024 23:59:59"/>
    <s v="31.08.24"/>
    <n v="869"/>
    <m/>
    <m/>
    <d v="2024-08-31T00:00:00"/>
    <n v="31"/>
    <x v="1"/>
    <x v="8"/>
    <x v="2"/>
    <x v="0"/>
    <m/>
    <m/>
    <m/>
  </r>
  <r>
    <s v="60.02"/>
    <x v="79"/>
    <x v="193"/>
    <s v="Списание с расчетного счета 00БП-006248 от 10.09.2024 23:59:59"/>
    <s v="10.09.24"/>
    <n v="3220.76"/>
    <m/>
    <m/>
    <d v="2024-09-10T00:00:00"/>
    <n v="21"/>
    <x v="2"/>
    <x v="8"/>
    <x v="2"/>
    <x v="0"/>
    <m/>
    <m/>
    <m/>
  </r>
  <r>
    <s v="60.02"/>
    <x v="223"/>
    <x v="73"/>
    <s v="Авансовый отчет 00БП-000186 от 20.06.2024 15:24:21"/>
    <s v="20.06.24"/>
    <n v="380"/>
    <m/>
    <m/>
    <d v="2024-06-20T00:00:00"/>
    <n v="103"/>
    <x v="4"/>
    <x v="8"/>
    <x v="2"/>
    <x v="0"/>
    <m/>
    <m/>
    <m/>
  </r>
  <r>
    <s v="60.02"/>
    <x v="223"/>
    <x v="73"/>
    <s v="Авансовый отчет 00БП-000272 от 12.09.2024 16:53:22"/>
    <s v="12.09.24"/>
    <n v="3120"/>
    <m/>
    <m/>
    <d v="2024-09-12T00:00:00"/>
    <n v="19"/>
    <x v="2"/>
    <x v="8"/>
    <x v="2"/>
    <x v="0"/>
    <m/>
    <m/>
    <m/>
  </r>
  <r>
    <s v="60.02"/>
    <x v="385"/>
    <x v="1043"/>
    <s v="Списание с расчетного счета 00БП-006691 от 24.09.2024 17:45:02"/>
    <s v="24.09.24"/>
    <n v="12800"/>
    <m/>
    <m/>
    <d v="2024-09-24T00:00:00"/>
    <n v="7"/>
    <x v="2"/>
    <x v="8"/>
    <x v="2"/>
    <x v="0"/>
    <m/>
    <m/>
    <m/>
  </r>
  <r>
    <s v="60.02"/>
    <x v="386"/>
    <x v="1044"/>
    <s v="Списание с расчетного счета 00БП-004065 от 28.06.2024 19:03:24"/>
    <s v="28.06.24"/>
    <n v="50000"/>
    <m/>
    <m/>
    <d v="2024-06-28T00:00:00"/>
    <n v="95"/>
    <x v="4"/>
    <x v="8"/>
    <x v="2"/>
    <x v="0"/>
    <m/>
    <m/>
    <m/>
  </r>
  <r>
    <s v="60.02"/>
    <x v="91"/>
    <x v="977"/>
    <s v="Списание с расчетного счета 00БП-001137 от 26.03.2024 18:50:21"/>
    <s v="26.03.24"/>
    <n v="117612.25"/>
    <m/>
    <m/>
    <d v="2024-03-26T00:00:00"/>
    <n v="189"/>
    <x v="3"/>
    <x v="8"/>
    <x v="2"/>
    <x v="0"/>
    <m/>
    <m/>
    <m/>
  </r>
  <r>
    <s v="60.02"/>
    <x v="92"/>
    <x v="211"/>
    <s v="Списание с расчетного счета 00БП-006645 от 20.09.2024 18:25:32"/>
    <s v="20.09.24"/>
    <n v="504800.68"/>
    <m/>
    <m/>
    <d v="2024-09-20T00:00:00"/>
    <n v="11"/>
    <x v="2"/>
    <x v="8"/>
    <x v="2"/>
    <x v="0"/>
    <m/>
    <m/>
    <m/>
  </r>
  <r>
    <s v="60.02"/>
    <x v="92"/>
    <x v="211"/>
    <s v="Списание с расчетного счета 00БП-006797 от 26.09.2024 21:12:43"/>
    <s v="26.09.24"/>
    <n v="768972.23"/>
    <m/>
    <m/>
    <d v="2024-09-26T00:00:00"/>
    <n v="5"/>
    <x v="2"/>
    <x v="8"/>
    <x v="2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348"/>
    <x v="6"/>
    <x v="8"/>
    <x v="2"/>
    <x v="13"/>
    <m/>
    <m/>
    <m/>
  </r>
  <r>
    <s v="60.02"/>
    <x v="96"/>
    <x v="1045"/>
    <s v="Списание с расчетного счета 00БП-006705 от 24.09.2024 17:45:16"/>
    <s v="24.09.24"/>
    <n v="43750000"/>
    <m/>
    <m/>
    <d v="2024-09-24T00:00:00"/>
    <n v="7"/>
    <x v="2"/>
    <x v="8"/>
    <x v="2"/>
    <x v="0"/>
    <m/>
    <m/>
    <m/>
  </r>
  <r>
    <s v="60.02"/>
    <x v="387"/>
    <x v="1046"/>
    <s v="Списание с расчетного счета 00БП-006918 от 27.09.2024 20:03:30"/>
    <s v="27.09.24"/>
    <n v="72000"/>
    <m/>
    <m/>
    <d v="2024-09-27T00:00:00"/>
    <n v="4"/>
    <x v="2"/>
    <x v="8"/>
    <x v="2"/>
    <x v="0"/>
    <m/>
    <m/>
    <m/>
  </r>
  <r>
    <s v="60.02"/>
    <x v="388"/>
    <x v="1047"/>
    <s v="Списание с расчетного счета 00БП-006695 от 24.09.2024 17:45:06"/>
    <s v="24.09.24"/>
    <n v="79190"/>
    <m/>
    <m/>
    <d v="2024-09-24T00:00:00"/>
    <n v="7"/>
    <x v="2"/>
    <x v="8"/>
    <x v="2"/>
    <x v="0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25"/>
    <x v="2"/>
    <x v="8"/>
    <x v="2"/>
    <x v="8"/>
    <m/>
    <m/>
    <m/>
  </r>
  <r>
    <s v="60.02"/>
    <x v="100"/>
    <x v="73"/>
    <s v="Списание с расчетного счета 00БП-004270 от 01.08.2023 17:47:37"/>
    <s v="01.08.23"/>
    <n v="1977.15"/>
    <m/>
    <m/>
    <d v="2023-08-01T00:00:00"/>
    <n v="427"/>
    <x v="5"/>
    <x v="8"/>
    <x v="2"/>
    <x v="0"/>
    <m/>
    <m/>
    <m/>
  </r>
  <r>
    <s v="60.02"/>
    <x v="100"/>
    <x v="73"/>
    <s v="Документ расчетов с контрагентом 00БП-000002 от 16.08.2024 20:35:50"/>
    <s v="16.08.24"/>
    <n v="1358"/>
    <m/>
    <m/>
    <d v="2024-08-16T00:00:00"/>
    <n v="46"/>
    <x v="1"/>
    <x v="8"/>
    <x v="2"/>
    <x v="0"/>
    <m/>
    <m/>
    <m/>
  </r>
  <r>
    <s v="60.02"/>
    <x v="348"/>
    <x v="892"/>
    <s v="Списание с расчетного счета 00БП-004733 от 16.07.2024 19:05:06"/>
    <s v="16.07.24"/>
    <n v="60000"/>
    <m/>
    <m/>
    <d v="2024-07-16T00:00:00"/>
    <n v="77"/>
    <x v="1"/>
    <x v="8"/>
    <x v="2"/>
    <x v="0"/>
    <m/>
    <m/>
    <m/>
  </r>
  <r>
    <s v="60.02"/>
    <x v="102"/>
    <x v="1048"/>
    <s v="Списание с расчетного счета 00БП-006660 от 20.09.2024 18:25:52"/>
    <s v="20.09.24"/>
    <n v="210000"/>
    <m/>
    <m/>
    <d v="2024-09-20T00:00:00"/>
    <n v="11"/>
    <x v="2"/>
    <x v="8"/>
    <x v="2"/>
    <x v="0"/>
    <m/>
    <m/>
    <m/>
  </r>
  <r>
    <s v="60.02"/>
    <x v="298"/>
    <x v="1049"/>
    <s v="Списание с расчетного счета 00БП-002382 от 07.05.2024 18:28:16"/>
    <s v="07.05.24"/>
    <n v="672200"/>
    <m/>
    <m/>
    <d v="2024-05-07T00:00:00"/>
    <n v="147"/>
    <x v="0"/>
    <x v="8"/>
    <x v="2"/>
    <x v="0"/>
    <m/>
    <m/>
    <m/>
  </r>
  <r>
    <s v="60.02"/>
    <x v="298"/>
    <x v="1049"/>
    <s v="Списание с расчетного счета 00БП-002788 от 17.05.2024 19:52:31"/>
    <s v="17.05.24"/>
    <n v="672200"/>
    <m/>
    <m/>
    <d v="2024-05-17T00:00:00"/>
    <n v="137"/>
    <x v="0"/>
    <x v="8"/>
    <x v="2"/>
    <x v="0"/>
    <m/>
    <m/>
    <m/>
  </r>
  <r>
    <s v="60.02"/>
    <x v="298"/>
    <x v="1050"/>
    <s v="Списание с расчетного счета 00БП-002383 от 07.05.2024 18:28:17"/>
    <s v="07.05.24"/>
    <n v="819540"/>
    <m/>
    <m/>
    <d v="2024-05-07T00:00:00"/>
    <n v="147"/>
    <x v="0"/>
    <x v="8"/>
    <x v="2"/>
    <x v="0"/>
    <m/>
    <m/>
    <m/>
  </r>
  <r>
    <s v="60.02"/>
    <x v="298"/>
    <x v="1050"/>
    <s v="Списание с расчетного счета 00БП-002789 от 17.05.2024 19:52:32"/>
    <s v="17.05.24"/>
    <n v="819540"/>
    <m/>
    <m/>
    <d v="2024-05-17T00:00:00"/>
    <n v="137"/>
    <x v="0"/>
    <x v="8"/>
    <x v="2"/>
    <x v="0"/>
    <m/>
    <m/>
    <m/>
  </r>
  <r>
    <s v="60.02"/>
    <x v="298"/>
    <x v="1051"/>
    <s v="Списание с расчетного счета 00БП-002381 от 07.05.2024 18:28:15"/>
    <s v="07.05.24"/>
    <n v="491400"/>
    <m/>
    <m/>
    <d v="2024-05-07T00:00:00"/>
    <n v="147"/>
    <x v="0"/>
    <x v="8"/>
    <x v="2"/>
    <x v="0"/>
    <m/>
    <m/>
    <m/>
  </r>
  <r>
    <s v="60.02"/>
    <x v="298"/>
    <x v="1051"/>
    <s v="Списание с расчетного счета 00БП-002787 от 17.05.2024 19:52:30"/>
    <s v="17.05.24"/>
    <n v="491400"/>
    <m/>
    <m/>
    <d v="2024-05-17T00:00:00"/>
    <n v="137"/>
    <x v="0"/>
    <x v="8"/>
    <x v="2"/>
    <x v="0"/>
    <m/>
    <m/>
    <m/>
  </r>
  <r>
    <s v="60.02"/>
    <x v="298"/>
    <x v="1052"/>
    <s v="Списание с расчетного счета 00БП-002646 от 13.05.2024 19:05:16"/>
    <s v="13.05.24"/>
    <n v="678200"/>
    <m/>
    <m/>
    <d v="2024-05-13T00:00:00"/>
    <n v="141"/>
    <x v="0"/>
    <x v="8"/>
    <x v="2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698"/>
    <x v="5"/>
    <x v="8"/>
    <x v="2"/>
    <x v="8"/>
    <m/>
    <m/>
    <m/>
  </r>
  <r>
    <s v="60.02"/>
    <x v="110"/>
    <x v="1053"/>
    <s v="Списание с расчетного счета 00БП-001989 от 22.04.2024 19:03:56"/>
    <s v="22.04.24"/>
    <n v="8910.81"/>
    <m/>
    <m/>
    <d v="2024-04-22T00:00:00"/>
    <n v="162"/>
    <x v="0"/>
    <x v="8"/>
    <x v="2"/>
    <x v="0"/>
    <m/>
    <m/>
    <m/>
  </r>
  <r>
    <s v="60.02"/>
    <x v="110"/>
    <x v="1054"/>
    <s v="Списание с расчетного счета 00БП-002027 от 23.04.2024 18:58:01"/>
    <s v="23.04.24"/>
    <n v="6442.4"/>
    <m/>
    <m/>
    <d v="2024-04-23T00:00:00"/>
    <n v="161"/>
    <x v="0"/>
    <x v="8"/>
    <x v="2"/>
    <x v="0"/>
    <m/>
    <m/>
    <m/>
  </r>
  <r>
    <s v="60.02"/>
    <x v="234"/>
    <x v="1055"/>
    <s v="Списание с расчетного счета 00БП-006371 от 20.10.2023 19:16:58"/>
    <s v="20.10.23"/>
    <n v="36897.74"/>
    <m/>
    <m/>
    <d v="2023-10-20T00:00:00"/>
    <n v="347"/>
    <x v="6"/>
    <x v="8"/>
    <x v="2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677"/>
    <x v="5"/>
    <x v="8"/>
    <x v="2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278"/>
    <x v="6"/>
    <x v="8"/>
    <x v="2"/>
    <x v="0"/>
    <m/>
    <m/>
    <m/>
  </r>
  <r>
    <s v="60.02"/>
    <x v="113"/>
    <x v="766"/>
    <s v="Списание с расчетного счета 00БП-001884 от 16.04.2024 20:42:31"/>
    <s v="16.04.24"/>
    <n v="0.3"/>
    <m/>
    <m/>
    <d v="2024-04-16T00:00:00"/>
    <n v="168"/>
    <x v="0"/>
    <x v="8"/>
    <x v="2"/>
    <x v="0"/>
    <m/>
    <m/>
    <m/>
  </r>
  <r>
    <s v="60.02"/>
    <x v="113"/>
    <x v="767"/>
    <s v="Списание с расчетного счета 00БП-006212 от 09.09.2024 17:46:15"/>
    <s v="09.09.24"/>
    <n v="103189.11"/>
    <m/>
    <m/>
    <d v="2024-09-09T00:00:00"/>
    <n v="22"/>
    <x v="2"/>
    <x v="8"/>
    <x v="2"/>
    <x v="0"/>
    <m/>
    <m/>
    <m/>
  </r>
  <r>
    <s v="60.02"/>
    <x v="305"/>
    <x v="778"/>
    <s v="Списание с расчетного счета 00БП-003884 от 25.06.2024 17:39:50"/>
    <s v="25.06.24"/>
    <n v="87700"/>
    <m/>
    <m/>
    <d v="2024-06-25T00:00:00"/>
    <n v="98"/>
    <x v="4"/>
    <x v="8"/>
    <x v="2"/>
    <x v="0"/>
    <m/>
    <m/>
    <m/>
  </r>
  <r>
    <s v="60.02"/>
    <x v="305"/>
    <x v="779"/>
    <s v="Списание с расчетного счета 00БП-001780 от 15.04.2024 18:48:46"/>
    <s v="15.04.24"/>
    <n v="17267"/>
    <m/>
    <m/>
    <d v="2024-04-15T00:00:00"/>
    <n v="169"/>
    <x v="0"/>
    <x v="8"/>
    <x v="2"/>
    <x v="0"/>
    <m/>
    <m/>
    <m/>
  </r>
  <r>
    <s v="60.02"/>
    <x v="306"/>
    <x v="780"/>
    <s v="Списание с расчетного счета 00БП-006641 от 20.09.2024 18:25:28"/>
    <s v="20.09.24"/>
    <n v="66810"/>
    <m/>
    <m/>
    <d v="2024-09-20T00:00:00"/>
    <n v="11"/>
    <x v="2"/>
    <x v="8"/>
    <x v="2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366"/>
    <x v="5"/>
    <x v="8"/>
    <x v="2"/>
    <x v="8"/>
    <m/>
    <m/>
    <m/>
  </r>
  <r>
    <s v="60.02"/>
    <x v="352"/>
    <x v="1056"/>
    <s v="Списание с расчетного счета 00БП-005195 от 01.08.2024 17:40:42"/>
    <s v="01.08.24"/>
    <n v="23000"/>
    <m/>
    <m/>
    <d v="2024-08-01T00:00:00"/>
    <n v="61"/>
    <x v="1"/>
    <x v="8"/>
    <x v="2"/>
    <x v="0"/>
    <m/>
    <m/>
    <m/>
  </r>
  <r>
    <s v="60.02"/>
    <x v="389"/>
    <x v="1057"/>
    <s v="Списание с расчетного счета 00БП-006795 от 26.09.2024 21:12:41"/>
    <s v="26.09.24"/>
    <n v="45000"/>
    <m/>
    <m/>
    <d v="2024-09-26T00:00:00"/>
    <n v="5"/>
    <x v="2"/>
    <x v="8"/>
    <x v="2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456"/>
    <x v="5"/>
    <x v="8"/>
    <x v="2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379"/>
    <x v="5"/>
    <x v="8"/>
    <x v="2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110"/>
    <x v="4"/>
    <x v="8"/>
    <x v="2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314"/>
    <x v="6"/>
    <x v="8"/>
    <x v="2"/>
    <x v="8"/>
    <m/>
    <m/>
    <m/>
  </r>
  <r>
    <s v="60.02"/>
    <x v="122"/>
    <x v="1058"/>
    <s v="Списание с расчетного счета 00БП-006790 от 26.09.2024 21:12:36"/>
    <s v="26.09.24"/>
    <n v="1500"/>
    <m/>
    <m/>
    <d v="2024-09-26T00:00:00"/>
    <n v="5"/>
    <x v="2"/>
    <x v="8"/>
    <x v="2"/>
    <x v="0"/>
    <m/>
    <m/>
    <m/>
  </r>
  <r>
    <s v="60.02"/>
    <x v="122"/>
    <x v="1059"/>
    <s v="Списание с расчетного счета 00БП-006864 от 27.09.2024 20:02:36"/>
    <s v="27.09.24"/>
    <n v="6580"/>
    <m/>
    <m/>
    <d v="2024-09-27T00:00:00"/>
    <n v="4"/>
    <x v="2"/>
    <x v="8"/>
    <x v="2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544"/>
    <x v="5"/>
    <x v="8"/>
    <x v="2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363"/>
    <x v="5"/>
    <x v="8"/>
    <x v="2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1887"/>
    <x v="5"/>
    <x v="8"/>
    <x v="2"/>
    <x v="8"/>
    <m/>
    <m/>
    <m/>
  </r>
  <r>
    <s v="60.02"/>
    <x v="125"/>
    <x v="1060"/>
    <s v="Списание с расчетного счета 00БП-004809 от 18.07.2024 17:42:32"/>
    <s v="18.07.24"/>
    <n v="1900"/>
    <m/>
    <m/>
    <d v="2024-07-18T00:00:00"/>
    <n v="75"/>
    <x v="1"/>
    <x v="8"/>
    <x v="2"/>
    <x v="0"/>
    <m/>
    <m/>
    <m/>
  </r>
  <r>
    <s v="60.02"/>
    <x v="237"/>
    <x v="926"/>
    <s v="Списание с расчетного счета 00БП-006732 от 25.09.2024 19:26:59"/>
    <s v="25.09.24"/>
    <n v="1000"/>
    <m/>
    <m/>
    <d v="2024-09-25T00:00:00"/>
    <n v="6"/>
    <x v="2"/>
    <x v="8"/>
    <x v="2"/>
    <x v="0"/>
    <m/>
    <m/>
    <m/>
  </r>
  <r>
    <s v="60.02"/>
    <x v="390"/>
    <x v="1061"/>
    <s v="Списание с расчетного счета 00БП-005627 от 13.08.2024 20:01:41"/>
    <s v="13.08.24"/>
    <n v="489500"/>
    <m/>
    <m/>
    <d v="2024-08-13T00:00:00"/>
    <n v="49"/>
    <x v="1"/>
    <x v="8"/>
    <x v="2"/>
    <x v="0"/>
    <m/>
    <m/>
    <m/>
  </r>
  <r>
    <s v="60.02"/>
    <x v="390"/>
    <x v="1062"/>
    <s v="Списание с расчетного счета 00БП-005626 от 13.08.2024 20:01:40"/>
    <s v="13.08.24"/>
    <n v="486500"/>
    <m/>
    <m/>
    <d v="2024-08-13T00:00:00"/>
    <n v="49"/>
    <x v="1"/>
    <x v="8"/>
    <x v="2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174"/>
    <x v="0"/>
    <x v="8"/>
    <x v="2"/>
    <x v="2"/>
    <m/>
    <m/>
    <m/>
  </r>
  <r>
    <s v="60.02"/>
    <x v="310"/>
    <x v="931"/>
    <s v="Списание с расчетного счета 00БП-006380 от 12.09.2024 17:28:33"/>
    <s v="12.09.24"/>
    <n v="87494.399999999994"/>
    <m/>
    <m/>
    <d v="2024-09-12T00:00:00"/>
    <n v="19"/>
    <x v="2"/>
    <x v="8"/>
    <x v="2"/>
    <x v="0"/>
    <m/>
    <m/>
    <m/>
  </r>
  <r>
    <s v="60.02"/>
    <x v="355"/>
    <x v="1063"/>
    <s v="Списание с расчетного счета 00БП-000864 от 13.03.2024 23:59:59"/>
    <s v="13.03.24"/>
    <n v="1425656"/>
    <m/>
    <m/>
    <d v="2024-03-13T00:00:00"/>
    <n v="202"/>
    <x v="3"/>
    <x v="8"/>
    <x v="2"/>
    <x v="0"/>
    <m/>
    <m/>
    <m/>
  </r>
  <r>
    <s v="60.02"/>
    <x v="355"/>
    <x v="1064"/>
    <s v="Списание с расчетного счета 00БП-007736 от 07.12.2023 12:00:12"/>
    <s v="07.12.23"/>
    <n v="6050"/>
    <m/>
    <m/>
    <d v="2023-12-07T00:00:00"/>
    <n v="299"/>
    <x v="6"/>
    <x v="8"/>
    <x v="2"/>
    <x v="0"/>
    <m/>
    <m/>
    <m/>
  </r>
  <r>
    <s v="60.02"/>
    <x v="355"/>
    <x v="1065"/>
    <s v="Списание с расчетного счета 00БП-000118 от 22.01.2024 12:00:04"/>
    <s v="22.01.24"/>
    <n v="11000"/>
    <m/>
    <m/>
    <d v="2024-01-22T00:00:00"/>
    <n v="253"/>
    <x v="3"/>
    <x v="8"/>
    <x v="2"/>
    <x v="0"/>
    <m/>
    <m/>
    <m/>
  </r>
  <r>
    <s v="60.02"/>
    <x v="391"/>
    <x v="1066"/>
    <s v="Списание с расчетного счета 00БП-004513 от 28.07.2021 19:49:24"/>
    <s v="28.07.21"/>
    <n v="50000"/>
    <m/>
    <m/>
    <d v="2021-07-28T00:00:00"/>
    <n v="1161"/>
    <x v="5"/>
    <x v="8"/>
    <x v="2"/>
    <x v="0"/>
    <m/>
    <m/>
    <m/>
  </r>
  <r>
    <s v="60.02"/>
    <x v="392"/>
    <x v="1067"/>
    <s v="Списание с расчетного счета 00БП-004176 от 02.07.2024 18:09:40"/>
    <s v="02.07.24"/>
    <n v="6400"/>
    <m/>
    <m/>
    <d v="2024-07-02T00:00:00"/>
    <n v="91"/>
    <x v="4"/>
    <x v="8"/>
    <x v="2"/>
    <x v="0"/>
    <m/>
    <m/>
    <m/>
  </r>
  <r>
    <s v="60.02"/>
    <x v="137"/>
    <x v="303"/>
    <s v="Списание с расчетного счета 00БП-005471 от 12.08.2024 18:37:49"/>
    <s v="12.08.24"/>
    <n v="345500"/>
    <m/>
    <m/>
    <d v="2024-08-12T00:00:00"/>
    <n v="50"/>
    <x v="1"/>
    <x v="8"/>
    <x v="2"/>
    <x v="0"/>
    <m/>
    <m/>
    <m/>
  </r>
  <r>
    <s v="60.02"/>
    <x v="137"/>
    <x v="935"/>
    <s v="Списание с расчетного счета 00БП-005467 от 12.08.2024 18:37:45"/>
    <s v="12.08.24"/>
    <n v="241680"/>
    <m/>
    <m/>
    <d v="2024-08-12T00:00:00"/>
    <n v="50"/>
    <x v="1"/>
    <x v="8"/>
    <x v="2"/>
    <x v="0"/>
    <m/>
    <m/>
    <m/>
  </r>
  <r>
    <s v="60.02"/>
    <x v="317"/>
    <x v="73"/>
    <s v="Авансовый отчет 00БП-000027 от 07.03.2024 17:38:37"/>
    <s v="07.03.24"/>
    <n v="2000"/>
    <m/>
    <m/>
    <d v="2024-03-07T00:00:00"/>
    <n v="208"/>
    <x v="3"/>
    <x v="8"/>
    <x v="2"/>
    <x v="0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32"/>
    <x v="1"/>
    <x v="8"/>
    <x v="2"/>
    <x v="18"/>
    <m/>
    <s v="Экологический отдел"/>
    <m/>
  </r>
  <r>
    <s v="60.02"/>
    <x v="145"/>
    <x v="313"/>
    <s v="Списание с расчетного счета 00БП-001542 от 10.04.2024 19:30:33"/>
    <s v="10.04.24"/>
    <n v="2648.14"/>
    <m/>
    <m/>
    <d v="2024-04-10T00:00:00"/>
    <n v="174"/>
    <x v="0"/>
    <x v="8"/>
    <x v="2"/>
    <x v="0"/>
    <m/>
    <m/>
    <m/>
  </r>
  <r>
    <s v="60.02"/>
    <x v="145"/>
    <x v="937"/>
    <s v="Списание с расчетного счета 00БП-001502 от 09.04.2024 19:39:54"/>
    <s v="09.04.24"/>
    <n v="401.23"/>
    <m/>
    <m/>
    <d v="2024-04-09T00:00:00"/>
    <n v="175"/>
    <x v="0"/>
    <x v="8"/>
    <x v="2"/>
    <x v="0"/>
    <m/>
    <m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972"/>
    <x v="5"/>
    <x v="8"/>
    <x v="2"/>
    <x v="2"/>
    <m/>
    <m/>
    <m/>
  </r>
  <r>
    <s v="60.02"/>
    <x v="147"/>
    <x v="1068"/>
    <s v="Списание с расчетного счета 00БП-003343 от 07.06.2024 20:17:40"/>
    <s v="07.06.24"/>
    <n v="37271"/>
    <m/>
    <m/>
    <d v="2024-06-07T00:00:00"/>
    <n v="116"/>
    <x v="4"/>
    <x v="8"/>
    <x v="2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47"/>
    <x v="1"/>
    <x v="8"/>
    <x v="2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342"/>
    <x v="6"/>
    <x v="8"/>
    <x v="2"/>
    <x v="0"/>
    <m/>
    <m/>
    <m/>
  </r>
  <r>
    <s v="60.02"/>
    <x v="149"/>
    <x v="1069"/>
    <s v="Списание с расчетного счета 00БП-002617 от 08.05.2024 18:51:26"/>
    <s v="08.05.24"/>
    <n v="31487.94"/>
    <m/>
    <m/>
    <d v="2024-05-08T00:00:00"/>
    <n v="146"/>
    <x v="0"/>
    <x v="8"/>
    <x v="2"/>
    <x v="0"/>
    <m/>
    <m/>
    <m/>
  </r>
  <r>
    <s v="60.02"/>
    <x v="150"/>
    <x v="1070"/>
    <s v="Списание с расчетного счета 00БП-000281 от 07.02.2024 12:00:11"/>
    <s v="07.02.24"/>
    <n v="30600"/>
    <m/>
    <m/>
    <d v="2024-02-07T00:00:00"/>
    <n v="237"/>
    <x v="3"/>
    <x v="8"/>
    <x v="2"/>
    <x v="0"/>
    <m/>
    <m/>
    <m/>
  </r>
  <r>
    <s v="60.02"/>
    <x v="249"/>
    <x v="1071"/>
    <s v="Списание с расчетного счета 00БП-002747 от 15.05.2024 18:13:58"/>
    <s v="15.05.24"/>
    <n v="804565.4"/>
    <m/>
    <m/>
    <d v="2024-05-15T00:00:00"/>
    <n v="139"/>
    <x v="0"/>
    <x v="8"/>
    <x v="2"/>
    <x v="0"/>
    <m/>
    <m/>
    <m/>
  </r>
  <r>
    <s v="60.02"/>
    <x v="153"/>
    <x v="1072"/>
    <s v="Списание с расчетного счета 00БП-005820 от 26.08.2024 19:29:25"/>
    <s v="26.08.24"/>
    <n v="67500"/>
    <m/>
    <m/>
    <d v="2024-08-26T00:00:00"/>
    <n v="36"/>
    <x v="1"/>
    <x v="8"/>
    <x v="2"/>
    <x v="0"/>
    <m/>
    <m/>
    <m/>
  </r>
  <r>
    <s v="60.02"/>
    <x v="318"/>
    <x v="73"/>
    <s v="Авансовый отчет 00БП-000282 от 25.09.2024 11:31:29"/>
    <s v="25.09.24"/>
    <n v="750"/>
    <m/>
    <m/>
    <d v="2024-09-25T00:00:00"/>
    <n v="6"/>
    <x v="2"/>
    <x v="8"/>
    <x v="2"/>
    <x v="0"/>
    <m/>
    <m/>
    <m/>
  </r>
  <r>
    <s v="60.02"/>
    <x v="393"/>
    <x v="1073"/>
    <s v="Списание с расчетного счета 00БП-001361 от 02.04.2024 17:31:31"/>
    <s v="02.04.24"/>
    <n v="920000"/>
    <m/>
    <m/>
    <d v="2024-04-02T00:00:00"/>
    <n v="182"/>
    <x v="3"/>
    <x v="8"/>
    <x v="2"/>
    <x v="0"/>
    <m/>
    <m/>
    <m/>
  </r>
  <r>
    <s v="60.02"/>
    <x v="157"/>
    <x v="1074"/>
    <s v="Списание с расчетного счета 00БП-001916 от 17.04.2024 20:48:16"/>
    <s v="17.04.24"/>
    <n v="9719.6"/>
    <m/>
    <m/>
    <d v="2024-04-17T00:00:00"/>
    <n v="167"/>
    <x v="0"/>
    <x v="8"/>
    <x v="2"/>
    <x v="0"/>
    <m/>
    <m/>
    <m/>
  </r>
  <r>
    <s v="60.02"/>
    <x v="157"/>
    <x v="1075"/>
    <s v="Корректировка поступления 00БП-000004 от 01.06.2023 0:00:00"/>
    <s v="01.06.23"/>
    <n v="0.4"/>
    <m/>
    <m/>
    <d v="2023-06-01T00:00:00"/>
    <n v="488"/>
    <x v="5"/>
    <x v="8"/>
    <x v="2"/>
    <x v="0"/>
    <m/>
    <m/>
    <m/>
  </r>
  <r>
    <s v="60.02"/>
    <x v="359"/>
    <x v="940"/>
    <s v="Списание с расчетного счета 00БП-005351 от 09.08.2024 17:00:59"/>
    <s v="09.08.24"/>
    <n v="474600"/>
    <m/>
    <m/>
    <d v="2024-08-09T00:00:00"/>
    <n v="53"/>
    <x v="1"/>
    <x v="8"/>
    <x v="2"/>
    <x v="0"/>
    <m/>
    <m/>
    <m/>
  </r>
  <r>
    <s v="60.02"/>
    <x v="394"/>
    <x v="1076"/>
    <s v="Списание с расчетного счета 00БП-006862 от 27.09.2024 20:02:34"/>
    <s v="27.09.24"/>
    <n v="1097.3399999999999"/>
    <m/>
    <m/>
    <d v="2024-09-27T00:00:00"/>
    <n v="4"/>
    <x v="2"/>
    <x v="8"/>
    <x v="2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706"/>
    <x v="5"/>
    <x v="8"/>
    <x v="2"/>
    <x v="0"/>
    <m/>
    <m/>
    <m/>
  </r>
  <r>
    <s v="60.02"/>
    <x v="162"/>
    <x v="1077"/>
    <s v="Списание с расчетного счета 00БП-005563 от 20.09.2023 17:53:24"/>
    <s v="20.09.23"/>
    <n v="2094390"/>
    <m/>
    <m/>
    <d v="2023-09-20T00:00:00"/>
    <n v="377"/>
    <x v="5"/>
    <x v="8"/>
    <x v="2"/>
    <x v="0"/>
    <m/>
    <m/>
    <m/>
  </r>
  <r>
    <s v="60.02"/>
    <x v="326"/>
    <x v="943"/>
    <s v="Списание с расчетного счета 00БП-003369 от 10.06.2024 23:59:59"/>
    <s v="10.06.24"/>
    <n v="154140.10999999999"/>
    <m/>
    <m/>
    <d v="2024-06-10T00:00:00"/>
    <n v="113"/>
    <x v="4"/>
    <x v="8"/>
    <x v="2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12"/>
    <x v="2"/>
    <x v="8"/>
    <x v="2"/>
    <x v="13"/>
    <m/>
    <m/>
    <m/>
  </r>
  <r>
    <s v="60.32"/>
    <x v="171"/>
    <x v="1078"/>
    <s v="Списание с расчетного счета 00БП-005766 от 20.08.2024 18:37:38"/>
    <s v="20.08.24"/>
    <n v="203455"/>
    <m/>
    <m/>
    <d v="2024-08-20T00:00:00"/>
    <n v="42"/>
    <x v="1"/>
    <x v="8"/>
    <x v="2"/>
    <x v="0"/>
    <m/>
    <m/>
    <m/>
  </r>
  <r>
    <s v="60.32"/>
    <x v="171"/>
    <x v="1078"/>
    <s v="Списание с расчетного счета 00БП-005770 от 20.08.2024 18:37:42"/>
    <s v="20.08.24"/>
    <n v="2262500.98"/>
    <m/>
    <m/>
    <d v="2024-08-20T00:00:00"/>
    <n v="42"/>
    <x v="1"/>
    <x v="8"/>
    <x v="2"/>
    <x v="0"/>
    <m/>
    <m/>
    <m/>
  </r>
  <r>
    <s v="60.32"/>
    <x v="38"/>
    <x v="992"/>
    <s v="Списание с расчетного счета 00БП-005352 от 09.08.2024 17:01:00"/>
    <s v="09.08.24"/>
    <n v="79619.820000000007"/>
    <m/>
    <m/>
    <d v="2024-08-09T00:00:00"/>
    <n v="53"/>
    <x v="1"/>
    <x v="8"/>
    <x v="2"/>
    <x v="0"/>
    <m/>
    <m/>
    <m/>
  </r>
  <r>
    <s v="60.32"/>
    <x v="38"/>
    <x v="1079"/>
    <s v="Списание с расчетного счета 00БП-000264 от 06.02.2024 12:00:05"/>
    <s v="06.02.24"/>
    <n v="1657.1"/>
    <m/>
    <m/>
    <d v="2024-02-06T00:00:00"/>
    <n v="238"/>
    <x v="3"/>
    <x v="8"/>
    <x v="2"/>
    <x v="0"/>
    <m/>
    <m/>
    <m/>
  </r>
  <r>
    <s v="60.32"/>
    <x v="395"/>
    <x v="1080"/>
    <s v="Списание с расчетного счета 00БП-001939 от 18.04.2024 20:17:23"/>
    <s v="18.04.24"/>
    <n v="2485087.63"/>
    <m/>
    <m/>
    <d v="2024-04-18T00:00:00"/>
    <n v="166"/>
    <x v="0"/>
    <x v="8"/>
    <x v="2"/>
    <x v="0"/>
    <m/>
    <m/>
    <m/>
  </r>
  <r>
    <s v="60.32"/>
    <x v="396"/>
    <x v="1081"/>
    <s v="Списание с расчетного счета 00БП-000406 от 16.02.2024 16:04:46"/>
    <s v="16.02.24"/>
    <n v="299766.39"/>
    <m/>
    <m/>
    <d v="2024-02-16T00:00:00"/>
    <n v="228"/>
    <x v="3"/>
    <x v="8"/>
    <x v="2"/>
    <x v="0"/>
    <m/>
    <m/>
    <m/>
  </r>
  <r>
    <s v="60.32"/>
    <x v="106"/>
    <x v="595"/>
    <s v="Списание с расчетного счета 00БП-005176 от 31.07.2024 23:59:59"/>
    <s v="31.07.24"/>
    <n v="348705"/>
    <m/>
    <m/>
    <d v="2024-07-31T00:00:00"/>
    <n v="62"/>
    <x v="1"/>
    <x v="8"/>
    <x v="2"/>
    <x v="0"/>
    <m/>
    <m/>
    <m/>
  </r>
  <r>
    <s v="60.32"/>
    <x v="310"/>
    <x v="1082"/>
    <s v="Списание с расчетного счета 00БП-000228 от 01.02.2024 9:57:34"/>
    <s v="01.02.24"/>
    <n v="4237847.28"/>
    <m/>
    <m/>
    <d v="2024-02-01T00:00:00"/>
    <n v="243"/>
    <x v="3"/>
    <x v="8"/>
    <x v="2"/>
    <x v="0"/>
    <m/>
    <m/>
    <m/>
  </r>
  <r>
    <s v="60.02"/>
    <x v="397"/>
    <x v="1083"/>
    <s v="Списание с расчетного счета 00БП-004417 от 10.08.2023 18:11:46"/>
    <s v="10.08.23"/>
    <n v="440"/>
    <m/>
    <m/>
    <d v="2023-08-10T00:00:00"/>
    <n v="326"/>
    <x v="6"/>
    <x v="9"/>
    <x v="2"/>
    <x v="0"/>
    <m/>
    <m/>
    <m/>
  </r>
  <r>
    <s v="60.02"/>
    <x v="373"/>
    <x v="1084"/>
    <s v="Списание с расчетного счета 00БП-004070 от 28.06.2024 19:03:29"/>
    <s v="28.06.24"/>
    <n v="380525"/>
    <m/>
    <m/>
    <d v="2024-06-28T00:00:00"/>
    <n v="3"/>
    <x v="2"/>
    <x v="9"/>
    <x v="2"/>
    <x v="0"/>
    <m/>
    <m/>
    <m/>
  </r>
  <r>
    <s v="60.02"/>
    <x v="398"/>
    <x v="1085"/>
    <s v="Списание с расчетного счета 00БП-003319 от 06.06.2024 23:59:59"/>
    <s v="06.06.24"/>
    <n v="77000"/>
    <m/>
    <m/>
    <d v="2024-06-06T00:00:00"/>
    <n v="25"/>
    <x v="2"/>
    <x v="9"/>
    <x v="2"/>
    <x v="0"/>
    <m/>
    <m/>
    <m/>
  </r>
  <r>
    <s v="60.02"/>
    <x v="0"/>
    <x v="820"/>
    <s v="Списание с расчетного счета 00БП-003158 от 16.06.2023 21:01:03"/>
    <s v="16.06.23"/>
    <n v="2800"/>
    <m/>
    <m/>
    <d v="2023-06-16T00:00:00"/>
    <n v="381"/>
    <x v="5"/>
    <x v="9"/>
    <x v="2"/>
    <x v="0"/>
    <m/>
    <m/>
    <m/>
  </r>
  <r>
    <s v="60.02"/>
    <x v="399"/>
    <x v="1086"/>
    <s v="Списание с расчетного счета 00БП-002029 от 23.04.2024 18:58:03"/>
    <s v="23.04.24"/>
    <n v="126296.52"/>
    <m/>
    <m/>
    <d v="2024-04-23T00:00:00"/>
    <n v="69"/>
    <x v="1"/>
    <x v="9"/>
    <x v="2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423"/>
    <x v="5"/>
    <x v="9"/>
    <x v="2"/>
    <x v="0"/>
    <m/>
    <m/>
    <m/>
  </r>
  <r>
    <s v="60.02"/>
    <x v="12"/>
    <x v="996"/>
    <s v="Списание с расчетного счета 00БП-000670 от 05.03.2024 17:27:34"/>
    <s v="05.03.24"/>
    <n v="1017.07"/>
    <m/>
    <m/>
    <d v="2024-03-05T00:00:00"/>
    <n v="118"/>
    <x v="4"/>
    <x v="9"/>
    <x v="2"/>
    <x v="0"/>
    <m/>
    <m/>
    <m/>
  </r>
  <r>
    <s v="60.02"/>
    <x v="12"/>
    <x v="997"/>
    <s v="Списание с расчетного счета 00БП-002269 от 02.05.2024 23:59:59"/>
    <s v="02.05.24"/>
    <n v="2011.81"/>
    <m/>
    <m/>
    <d v="2024-05-02T00:00:00"/>
    <n v="60"/>
    <x v="1"/>
    <x v="9"/>
    <x v="2"/>
    <x v="0"/>
    <m/>
    <m/>
    <m/>
  </r>
  <r>
    <s v="60.02"/>
    <x v="400"/>
    <x v="1087"/>
    <s v="Списание с расчетного счета 00БП-002082 от 26.04.2024 18:26:01"/>
    <s v="26.04.24"/>
    <n v="267937.38"/>
    <m/>
    <m/>
    <d v="2024-04-26T00:00:00"/>
    <n v="66"/>
    <x v="1"/>
    <x v="9"/>
    <x v="2"/>
    <x v="0"/>
    <m/>
    <m/>
    <m/>
  </r>
  <r>
    <s v="60.02"/>
    <x v="191"/>
    <x v="73"/>
    <s v="Авансовый отчет 00БП-000025 от 06.03.2024 17:14:54"/>
    <s v="06.03.24"/>
    <n v="15925"/>
    <m/>
    <m/>
    <d v="2024-03-06T00:00:00"/>
    <n v="117"/>
    <x v="4"/>
    <x v="9"/>
    <x v="2"/>
    <x v="0"/>
    <m/>
    <m/>
    <m/>
  </r>
  <r>
    <s v="60.02"/>
    <x v="374"/>
    <x v="304"/>
    <s v="Авансовый отчет 00БП-000038 от 19.03.2024 10:31:48"/>
    <s v="19.03.24"/>
    <n v="1330"/>
    <m/>
    <m/>
    <d v="2024-03-19T00:00:00"/>
    <n v="104"/>
    <x v="4"/>
    <x v="9"/>
    <x v="2"/>
    <x v="0"/>
    <m/>
    <m/>
    <m/>
  </r>
  <r>
    <s v="60.02"/>
    <x v="401"/>
    <x v="238"/>
    <s v="Авансовый отчет 00БП-000181 от 17.06.2024 12:13:36"/>
    <s v="17.06.24"/>
    <n v="17495"/>
    <m/>
    <m/>
    <d v="2024-06-17T00:00:00"/>
    <n v="14"/>
    <x v="2"/>
    <x v="9"/>
    <x v="2"/>
    <x v="0"/>
    <m/>
    <m/>
    <m/>
  </r>
  <r>
    <s v="60.02"/>
    <x v="330"/>
    <x v="1088"/>
    <s v="Списание с расчетного счета 00БП-003818 от 21.06.2024 19:45:24"/>
    <s v="21.06.24"/>
    <n v="61000"/>
    <m/>
    <m/>
    <d v="2024-06-21T00:00:00"/>
    <n v="10"/>
    <x v="2"/>
    <x v="9"/>
    <x v="2"/>
    <x v="0"/>
    <m/>
    <m/>
    <m/>
  </r>
  <r>
    <s v="60.02"/>
    <x v="262"/>
    <x v="622"/>
    <s v="Списание с расчетного счета 00БП-000908 от 14.03.2024 17:41:36"/>
    <s v="14.03.24"/>
    <n v="12470"/>
    <m/>
    <m/>
    <d v="2024-03-14T00:00:00"/>
    <n v="109"/>
    <x v="4"/>
    <x v="9"/>
    <x v="2"/>
    <x v="0"/>
    <m/>
    <m/>
    <m/>
  </r>
  <r>
    <s v="60.02"/>
    <x v="18"/>
    <x v="952"/>
    <s v="Списание с расчетного счета 00БП-001451 от 05.04.2024 17:41:34"/>
    <s v="05.04.24"/>
    <n v="660800"/>
    <m/>
    <m/>
    <d v="2024-04-05T00:00:00"/>
    <n v="87"/>
    <x v="1"/>
    <x v="9"/>
    <x v="2"/>
    <x v="0"/>
    <m/>
    <m/>
    <m/>
  </r>
  <r>
    <s v="60.02"/>
    <x v="402"/>
    <x v="1089"/>
    <s v="Списание с расчетного счета 00БП-004067 от 28.06.2024 19:03:26"/>
    <s v="28.06.24"/>
    <n v="75000"/>
    <m/>
    <m/>
    <d v="2024-06-28T00:00:00"/>
    <n v="3"/>
    <x v="2"/>
    <x v="9"/>
    <x v="2"/>
    <x v="0"/>
    <m/>
    <m/>
    <m/>
  </r>
  <r>
    <s v="60.02"/>
    <x v="19"/>
    <x v="28"/>
    <s v="Списание с расчетного счета 00БП-007903 от 22.12.2023 12:00:09"/>
    <s v="22.12.23"/>
    <n v="33000"/>
    <m/>
    <m/>
    <d v="2023-12-22T00:00:00"/>
    <n v="192"/>
    <x v="3"/>
    <x v="9"/>
    <x v="2"/>
    <x v="0"/>
    <m/>
    <m/>
    <m/>
  </r>
  <r>
    <s v="60.02"/>
    <x v="403"/>
    <x v="304"/>
    <s v="Авансовый отчет 00БП-000025 от 06.03.2024 17:14:54"/>
    <s v="06.03.24"/>
    <n v="23484"/>
    <m/>
    <m/>
    <d v="2024-03-06T00:00:00"/>
    <n v="117"/>
    <x v="4"/>
    <x v="9"/>
    <x v="2"/>
    <x v="0"/>
    <m/>
    <m/>
    <m/>
  </r>
  <r>
    <s v="60.02"/>
    <x v="263"/>
    <x v="623"/>
    <s v="Списание с расчетного счета 00БП-001227 от 31.03.2023 23:59:59"/>
    <s v="31.03.23"/>
    <n v="6879"/>
    <m/>
    <m/>
    <d v="2023-03-31T00:00:00"/>
    <n v="458"/>
    <x v="5"/>
    <x v="9"/>
    <x v="2"/>
    <x v="0"/>
    <m/>
    <m/>
    <m/>
  </r>
  <r>
    <s v="60.02"/>
    <x v="22"/>
    <x v="1002"/>
    <s v="Списание с расчетного счета 00БП-003133 от 30.05.2024 17:47:52"/>
    <s v="30.05.24"/>
    <n v="191594"/>
    <m/>
    <m/>
    <d v="2024-05-30T00:00:00"/>
    <n v="32"/>
    <x v="1"/>
    <x v="9"/>
    <x v="2"/>
    <x v="0"/>
    <m/>
    <m/>
    <m/>
  </r>
  <r>
    <s v="60.02"/>
    <x v="404"/>
    <x v="1090"/>
    <s v="Списание с расчетного счета 00БП-003756 от 19.06.2024 17:29:36"/>
    <s v="19.06.24"/>
    <n v="210000"/>
    <m/>
    <m/>
    <d v="2024-06-19T00:00:00"/>
    <n v="12"/>
    <x v="2"/>
    <x v="9"/>
    <x v="2"/>
    <x v="0"/>
    <m/>
    <m/>
    <m/>
  </r>
  <r>
    <s v="60.02"/>
    <x v="23"/>
    <x v="1003"/>
    <s v="Списание с расчетного счета 00БП-000508 от 26.02.2024 14:37:26"/>
    <s v="26.02.24"/>
    <n v="923305.64"/>
    <m/>
    <m/>
    <d v="2024-02-26T00:00:00"/>
    <n v="126"/>
    <x v="0"/>
    <x v="9"/>
    <x v="2"/>
    <x v="0"/>
    <m/>
    <m/>
    <m/>
  </r>
  <r>
    <s v="60.02"/>
    <x v="405"/>
    <x v="1091"/>
    <s v="Списание с расчетного счета 00БП-001699 от 12.04.2024 19:18:27"/>
    <s v="12.04.24"/>
    <n v="62410"/>
    <m/>
    <m/>
    <d v="2024-04-12T00:00:00"/>
    <n v="80"/>
    <x v="1"/>
    <x v="9"/>
    <x v="2"/>
    <x v="0"/>
    <m/>
    <m/>
    <m/>
  </r>
  <r>
    <s v="60.02"/>
    <x v="405"/>
    <x v="1092"/>
    <s v="Списание с расчетного счета 00БП-001988 от 22.04.2024 19:03:55"/>
    <s v="22.04.24"/>
    <n v="38340"/>
    <m/>
    <m/>
    <d v="2024-04-22T00:00:00"/>
    <n v="70"/>
    <x v="1"/>
    <x v="9"/>
    <x v="2"/>
    <x v="0"/>
    <m/>
    <m/>
    <m/>
  </r>
  <r>
    <s v="60.02"/>
    <x v="405"/>
    <x v="1093"/>
    <s v="Списание с расчетного счета 00БП-002843 от 22.05.2024 18:43:40"/>
    <s v="22.05.24"/>
    <n v="13685"/>
    <m/>
    <m/>
    <d v="2024-05-22T00:00:00"/>
    <n v="40"/>
    <x v="1"/>
    <x v="9"/>
    <x v="2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75"/>
    <x v="1"/>
    <x v="9"/>
    <x v="2"/>
    <x v="9"/>
    <m/>
    <m/>
    <m/>
  </r>
  <r>
    <s v="60.02"/>
    <x v="196"/>
    <x v="73"/>
    <s v="Авансовый отчет 00БП-000021 от 05.03.2024 15:58:49"/>
    <s v="05.03.24"/>
    <n v="21470"/>
    <m/>
    <m/>
    <d v="2024-03-05T00:00:00"/>
    <n v="118"/>
    <x v="4"/>
    <x v="9"/>
    <x v="2"/>
    <x v="0"/>
    <m/>
    <m/>
    <m/>
  </r>
  <r>
    <s v="60.02"/>
    <x v="196"/>
    <x v="73"/>
    <s v="Авансовый отчет 00БП-000155 от 23.05.2024 11:45:39"/>
    <s v="23.05.24"/>
    <n v="14750"/>
    <m/>
    <m/>
    <d v="2024-05-23T00:00:00"/>
    <n v="39"/>
    <x v="1"/>
    <x v="9"/>
    <x v="2"/>
    <x v="0"/>
    <m/>
    <m/>
    <m/>
  </r>
  <r>
    <s v="60.02"/>
    <x v="196"/>
    <x v="73"/>
    <s v="Авансовый отчет 00БП-000163 от 03.06.2024 10:49:06"/>
    <s v="03.06.24"/>
    <n v="10300"/>
    <m/>
    <m/>
    <d v="2024-06-03T00:00:00"/>
    <n v="28"/>
    <x v="2"/>
    <x v="9"/>
    <x v="2"/>
    <x v="0"/>
    <m/>
    <m/>
    <m/>
  </r>
  <r>
    <s v="60.02"/>
    <x v="196"/>
    <x v="73"/>
    <s v="Авансовый отчет 00БП-000164 от 04.06.2024 9:25:14"/>
    <s v="04.06.24"/>
    <n v="10040"/>
    <m/>
    <m/>
    <d v="2024-06-04T00:00:00"/>
    <n v="27"/>
    <x v="2"/>
    <x v="9"/>
    <x v="2"/>
    <x v="0"/>
    <m/>
    <m/>
    <m/>
  </r>
  <r>
    <s v="60.02"/>
    <x v="196"/>
    <x v="73"/>
    <s v="Авансовый отчет 00БП-000176 от 13.06.2024 9:43:43"/>
    <s v="13.06.24"/>
    <n v="6800"/>
    <m/>
    <m/>
    <d v="2024-06-13T00:00:00"/>
    <n v="18"/>
    <x v="2"/>
    <x v="9"/>
    <x v="2"/>
    <x v="0"/>
    <m/>
    <m/>
    <m/>
  </r>
  <r>
    <s v="60.02"/>
    <x v="364"/>
    <x v="1094"/>
    <s v="Списание с расчетного счета 00БП-003057 от 28.05.2024 18:55:34"/>
    <s v="28.05.24"/>
    <n v="80000"/>
    <m/>
    <m/>
    <d v="2024-05-28T00:00:00"/>
    <n v="34"/>
    <x v="1"/>
    <x v="9"/>
    <x v="2"/>
    <x v="0"/>
    <m/>
    <m/>
    <m/>
  </r>
  <r>
    <s v="60.02"/>
    <x v="406"/>
    <x v="1095"/>
    <s v="Списание с расчетного счета 00БП-001253 от 28.03.2024 17:35:53"/>
    <s v="28.03.24"/>
    <n v="110769.5"/>
    <m/>
    <m/>
    <d v="2024-03-28T00:00:00"/>
    <n v="95"/>
    <x v="4"/>
    <x v="9"/>
    <x v="2"/>
    <x v="0"/>
    <m/>
    <m/>
    <m/>
  </r>
  <r>
    <s v="60.02"/>
    <x v="28"/>
    <x v="1096"/>
    <s v="Списание с расчетного счета 00БП-002694 от 14.05.2024 19:02:06"/>
    <s v="14.05.24"/>
    <n v="6400"/>
    <m/>
    <m/>
    <d v="2024-05-14T00:00:00"/>
    <n v="48"/>
    <x v="1"/>
    <x v="9"/>
    <x v="2"/>
    <x v="0"/>
    <m/>
    <m/>
    <m/>
  </r>
  <r>
    <s v="60.02"/>
    <x v="29"/>
    <x v="1009"/>
    <s v="Списание с расчетного счета 00БП-007086 от 10.11.2023 16:36:34"/>
    <s v="10.11.23"/>
    <n v="8750"/>
    <m/>
    <m/>
    <d v="2023-11-10T00:00:00"/>
    <n v="234"/>
    <x v="3"/>
    <x v="9"/>
    <x v="2"/>
    <x v="0"/>
    <m/>
    <m/>
    <m/>
  </r>
  <r>
    <s v="60.02"/>
    <x v="29"/>
    <x v="1097"/>
    <s v="Списание с расчетного счета 00БП-003754 от 19.06.2024 17:29:34"/>
    <s v="19.06.24"/>
    <n v="183380"/>
    <m/>
    <m/>
    <d v="2024-06-19T00:00:00"/>
    <n v="12"/>
    <x v="2"/>
    <x v="9"/>
    <x v="2"/>
    <x v="0"/>
    <m/>
    <m/>
    <m/>
  </r>
  <r>
    <s v="60.02"/>
    <x v="29"/>
    <x v="1010"/>
    <s v="Списание с расчетного счета 00БП-003320 от 06.06.2024 23:59:59"/>
    <s v="06.06.24"/>
    <n v="537"/>
    <m/>
    <m/>
    <d v="2024-06-06T00:00:00"/>
    <n v="25"/>
    <x v="2"/>
    <x v="9"/>
    <x v="2"/>
    <x v="0"/>
    <m/>
    <m/>
    <m/>
  </r>
  <r>
    <s v="60.02"/>
    <x v="29"/>
    <x v="1011"/>
    <s v="Списание с расчетного счета 00БП-003315 от 06.06.2024 23:59:59"/>
    <s v="06.06.24"/>
    <n v="907"/>
    <m/>
    <m/>
    <d v="2024-06-06T00:00:00"/>
    <n v="25"/>
    <x v="2"/>
    <x v="9"/>
    <x v="2"/>
    <x v="0"/>
    <m/>
    <m/>
    <m/>
  </r>
  <r>
    <s v="60.02"/>
    <x v="29"/>
    <x v="1012"/>
    <s v="Списание с расчетного счета 00БП-003193 от 03.06.2024 18:14:12"/>
    <s v="03.06.24"/>
    <n v="232770"/>
    <m/>
    <m/>
    <d v="2024-06-03T00:00:00"/>
    <n v="28"/>
    <x v="2"/>
    <x v="9"/>
    <x v="2"/>
    <x v="0"/>
    <m/>
    <m/>
    <m/>
  </r>
  <r>
    <s v="60.02"/>
    <x v="29"/>
    <x v="1098"/>
    <s v="Списание с расчетного счета 00БП-003856 от 24.06.2024 17:54:41"/>
    <s v="24.06.24"/>
    <n v="41425"/>
    <m/>
    <m/>
    <d v="2024-06-24T00:00:00"/>
    <n v="7"/>
    <x v="2"/>
    <x v="9"/>
    <x v="2"/>
    <x v="0"/>
    <m/>
    <m/>
    <m/>
  </r>
  <r>
    <s v="60.02"/>
    <x v="407"/>
    <x v="1099"/>
    <s v="Списание с расчетного счета 00БП-002487 от 08.05.2024 18:49:12"/>
    <s v="08.05.24"/>
    <n v="65900"/>
    <m/>
    <m/>
    <d v="2024-05-08T00:00:00"/>
    <n v="54"/>
    <x v="1"/>
    <x v="9"/>
    <x v="2"/>
    <x v="0"/>
    <m/>
    <m/>
    <m/>
  </r>
  <r>
    <s v="60.02"/>
    <x v="30"/>
    <x v="46"/>
    <s v="Списание с расчетного счета 00БП-003251 от 05.06.2024 18:43:44"/>
    <s v="05.06.24"/>
    <n v="6600"/>
    <m/>
    <m/>
    <d v="2024-06-05T00:00:00"/>
    <n v="26"/>
    <x v="2"/>
    <x v="9"/>
    <x v="2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3"/>
    <x v="2"/>
    <x v="9"/>
    <x v="2"/>
    <x v="0"/>
    <m/>
    <m/>
    <m/>
  </r>
  <r>
    <s v="60.02"/>
    <x v="30"/>
    <x v="418"/>
    <s v="Списание с расчетного счета 00БП-002800 от 20.05.2024 19:51:34"/>
    <s v="20.05.24"/>
    <n v="6600"/>
    <m/>
    <m/>
    <d v="2024-05-20T00:00:00"/>
    <n v="42"/>
    <x v="1"/>
    <x v="9"/>
    <x v="2"/>
    <x v="0"/>
    <m/>
    <m/>
    <m/>
  </r>
  <r>
    <s v="60.02"/>
    <x v="30"/>
    <x v="47"/>
    <s v="Списание с расчетного счета 00БП-003842 от 27.07.2020 18:29:17"/>
    <s v="27.07.20"/>
    <n v="6600"/>
    <m/>
    <m/>
    <d v="2020-07-27T00:00:00"/>
    <n v="1435"/>
    <x v="5"/>
    <x v="9"/>
    <x v="2"/>
    <x v="0"/>
    <m/>
    <m/>
    <m/>
  </r>
  <r>
    <s v="60.02"/>
    <x v="30"/>
    <x v="47"/>
    <s v="Списание с расчетного счета 00БП-003676 от 14.06.2024 20:14:09"/>
    <s v="14.06.24"/>
    <n v="6600"/>
    <m/>
    <m/>
    <d v="2024-06-14T00:00:00"/>
    <n v="17"/>
    <x v="2"/>
    <x v="9"/>
    <x v="2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7"/>
    <x v="2"/>
    <x v="9"/>
    <x v="2"/>
    <x v="0"/>
    <m/>
    <m/>
    <m/>
  </r>
  <r>
    <s v="60.02"/>
    <x v="30"/>
    <x v="1100"/>
    <s v="Списание с расчетного счета 00БП-003250 от 05.06.2024 18:43:43"/>
    <s v="05.06.24"/>
    <n v="6600"/>
    <m/>
    <m/>
    <d v="2024-06-05T00:00:00"/>
    <n v="26"/>
    <x v="2"/>
    <x v="9"/>
    <x v="2"/>
    <x v="0"/>
    <m/>
    <m/>
    <m/>
  </r>
  <r>
    <s v="60.02"/>
    <x v="30"/>
    <x v="419"/>
    <s v="Списание с расчетного счета 00БП-003179 от 03.06.2024 18:13:58"/>
    <s v="03.06.24"/>
    <n v="6600"/>
    <m/>
    <m/>
    <d v="2024-06-03T00:00:00"/>
    <n v="28"/>
    <x v="2"/>
    <x v="9"/>
    <x v="2"/>
    <x v="0"/>
    <m/>
    <m/>
    <m/>
  </r>
  <r>
    <s v="60.02"/>
    <x v="30"/>
    <x v="419"/>
    <s v="Списание с расчетного счета 00БП-003919 от 26.06.2024 19:23:28"/>
    <s v="26.06.24"/>
    <n v="6600"/>
    <m/>
    <m/>
    <d v="2024-06-26T00:00:00"/>
    <n v="5"/>
    <x v="2"/>
    <x v="9"/>
    <x v="2"/>
    <x v="0"/>
    <m/>
    <m/>
    <m/>
  </r>
  <r>
    <s v="60.02"/>
    <x v="30"/>
    <x v="639"/>
    <s v="Списание с расчетного счета 00БП-003254 от 05.06.2024 18:43:47"/>
    <s v="05.06.24"/>
    <n v="6600"/>
    <m/>
    <m/>
    <d v="2024-06-05T00:00:00"/>
    <n v="26"/>
    <x v="2"/>
    <x v="9"/>
    <x v="2"/>
    <x v="0"/>
    <m/>
    <m/>
    <m/>
  </r>
  <r>
    <s v="60.02"/>
    <x v="30"/>
    <x v="639"/>
    <s v="Списание с расчетного счета 00БП-003874 от 25.06.2024 17:39:40"/>
    <s v="25.06.24"/>
    <n v="6600"/>
    <m/>
    <m/>
    <d v="2024-06-25T00:00:00"/>
    <n v="6"/>
    <x v="2"/>
    <x v="9"/>
    <x v="2"/>
    <x v="0"/>
    <m/>
    <m/>
    <m/>
  </r>
  <r>
    <s v="60.02"/>
    <x v="30"/>
    <x v="48"/>
    <s v="Списание с расчетного счета 00БП-003253 от 05.06.2024 18:43:46"/>
    <s v="05.06.24"/>
    <n v="6600"/>
    <m/>
    <m/>
    <d v="2024-06-05T00:00:00"/>
    <n v="26"/>
    <x v="2"/>
    <x v="9"/>
    <x v="2"/>
    <x v="0"/>
    <m/>
    <m/>
    <m/>
  </r>
  <r>
    <s v="60.02"/>
    <x v="30"/>
    <x v="48"/>
    <s v="Списание с расчетного счета 00БП-003700 от 17.06.2024 20:28:32"/>
    <s v="17.06.24"/>
    <n v="6600"/>
    <m/>
    <m/>
    <d v="2024-06-17T00:00:00"/>
    <n v="14"/>
    <x v="2"/>
    <x v="9"/>
    <x v="2"/>
    <x v="0"/>
    <m/>
    <m/>
    <m/>
  </r>
  <r>
    <s v="60.02"/>
    <x v="30"/>
    <x v="48"/>
    <s v="Списание с расчетного счета 00БП-003875 от 25.06.2024 17:39:41"/>
    <s v="25.06.24"/>
    <n v="6600"/>
    <m/>
    <m/>
    <d v="2024-06-25T00:00:00"/>
    <n v="6"/>
    <x v="2"/>
    <x v="9"/>
    <x v="2"/>
    <x v="0"/>
    <m/>
    <m/>
    <m/>
  </r>
  <r>
    <s v="60.02"/>
    <x v="30"/>
    <x v="421"/>
    <s v="Списание с расчетного счета 00БП-003255 от 05.06.2024 18:43:48"/>
    <s v="05.06.24"/>
    <n v="6600"/>
    <m/>
    <m/>
    <d v="2024-06-05T00:00:00"/>
    <n v="26"/>
    <x v="2"/>
    <x v="9"/>
    <x v="2"/>
    <x v="0"/>
    <m/>
    <m/>
    <m/>
  </r>
  <r>
    <s v="60.02"/>
    <x v="30"/>
    <x v="422"/>
    <s v="Списание с расчетного счета 00БП-003256 от 05.06.2024 18:43:49"/>
    <s v="05.06.24"/>
    <n v="6600"/>
    <m/>
    <m/>
    <d v="2024-06-05T00:00:00"/>
    <n v="26"/>
    <x v="2"/>
    <x v="9"/>
    <x v="2"/>
    <x v="0"/>
    <m/>
    <m/>
    <m/>
  </r>
  <r>
    <s v="60.02"/>
    <x v="30"/>
    <x v="49"/>
    <s v="Списание с расчетного счета 00БП-002799 от 20.05.2024 19:51:33"/>
    <s v="20.05.24"/>
    <n v="6600"/>
    <m/>
    <m/>
    <d v="2024-05-20T00:00:00"/>
    <n v="42"/>
    <x v="1"/>
    <x v="9"/>
    <x v="2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35"/>
    <x v="1"/>
    <x v="9"/>
    <x v="2"/>
    <x v="0"/>
    <m/>
    <m/>
    <m/>
  </r>
  <r>
    <s v="60.02"/>
    <x v="30"/>
    <x v="50"/>
    <s v="Списание с расчетного счета 00БП-003182 от 03.06.2024 18:14:01"/>
    <s v="03.06.24"/>
    <n v="6800"/>
    <m/>
    <m/>
    <d v="2024-06-03T00:00:00"/>
    <n v="28"/>
    <x v="2"/>
    <x v="9"/>
    <x v="2"/>
    <x v="0"/>
    <m/>
    <m/>
    <m/>
  </r>
  <r>
    <s v="60.02"/>
    <x v="30"/>
    <x v="423"/>
    <s v="Списание с расчетного счета 00БП-003180 от 03.06.2024 18:13:59"/>
    <s v="03.06.24"/>
    <n v="6600"/>
    <m/>
    <m/>
    <d v="2024-06-03T00:00:00"/>
    <n v="28"/>
    <x v="2"/>
    <x v="9"/>
    <x v="2"/>
    <x v="0"/>
    <m/>
    <m/>
    <m/>
  </r>
  <r>
    <s v="60.02"/>
    <x v="30"/>
    <x v="424"/>
    <s v="Списание с расчетного счета 00БП-003181 от 03.06.2024 18:14:00"/>
    <s v="03.06.24"/>
    <n v="6600"/>
    <m/>
    <m/>
    <d v="2024-06-03T00:00:00"/>
    <n v="28"/>
    <x v="2"/>
    <x v="9"/>
    <x v="2"/>
    <x v="0"/>
    <m/>
    <m/>
    <m/>
  </r>
  <r>
    <s v="60.02"/>
    <x v="30"/>
    <x v="1101"/>
    <s v="Списание с расчетного счета 00БП-003177 от 03.06.2024 18:13:56"/>
    <s v="03.06.24"/>
    <n v="6600"/>
    <m/>
    <m/>
    <d v="2024-06-03T00:00:00"/>
    <n v="28"/>
    <x v="2"/>
    <x v="9"/>
    <x v="2"/>
    <x v="0"/>
    <m/>
    <m/>
    <m/>
  </r>
  <r>
    <s v="60.02"/>
    <x v="30"/>
    <x v="425"/>
    <s v="Списание с расчетного счета 00БП-003178 от 03.06.2024 18:13:57"/>
    <s v="03.06.24"/>
    <n v="6600"/>
    <m/>
    <m/>
    <d v="2024-06-03T00:00:00"/>
    <n v="28"/>
    <x v="2"/>
    <x v="9"/>
    <x v="2"/>
    <x v="0"/>
    <m/>
    <m/>
    <m/>
  </r>
  <r>
    <s v="60.02"/>
    <x v="30"/>
    <x v="1016"/>
    <s v="Списание с расчетного счета 00БП-003249 от 05.06.2024 18:43:42"/>
    <s v="05.06.24"/>
    <n v="6600"/>
    <m/>
    <m/>
    <d v="2024-06-05T00:00:00"/>
    <n v="26"/>
    <x v="2"/>
    <x v="9"/>
    <x v="2"/>
    <x v="0"/>
    <m/>
    <m/>
    <m/>
  </r>
  <r>
    <s v="60.02"/>
    <x v="30"/>
    <x v="52"/>
    <s v="Списание с расчетного счета 00БП-001956 от 19.04.2024 20:35:28"/>
    <s v="19.04.24"/>
    <n v="6600"/>
    <m/>
    <m/>
    <d v="2024-04-19T00:00:00"/>
    <n v="73"/>
    <x v="1"/>
    <x v="9"/>
    <x v="2"/>
    <x v="0"/>
    <m/>
    <m/>
    <m/>
  </r>
  <r>
    <s v="60.02"/>
    <x v="30"/>
    <x v="52"/>
    <s v="Списание с расчетного счета 00БП-003850 от 24.06.2024 17:54:35"/>
    <s v="24.06.24"/>
    <n v="6600"/>
    <m/>
    <m/>
    <d v="2024-06-24T00:00:00"/>
    <n v="7"/>
    <x v="2"/>
    <x v="9"/>
    <x v="2"/>
    <x v="0"/>
    <m/>
    <m/>
    <m/>
  </r>
  <r>
    <s v="60.02"/>
    <x v="30"/>
    <x v="52"/>
    <s v="Списание с расчетного счета 00БП-004062 от 28.06.2024 19:03:21"/>
    <s v="28.06.24"/>
    <n v="25000"/>
    <m/>
    <m/>
    <d v="2024-06-28T00:00:00"/>
    <n v="3"/>
    <x v="2"/>
    <x v="9"/>
    <x v="2"/>
    <x v="0"/>
    <m/>
    <m/>
    <m/>
  </r>
  <r>
    <s v="60.02"/>
    <x v="30"/>
    <x v="365"/>
    <s v="Списание с расчетного счета 00БП-003252 от 05.06.2024 18:43:45"/>
    <s v="05.06.24"/>
    <n v="6600"/>
    <m/>
    <m/>
    <d v="2024-06-05T00:00:00"/>
    <n v="26"/>
    <x v="2"/>
    <x v="9"/>
    <x v="2"/>
    <x v="0"/>
    <m/>
    <m/>
    <m/>
  </r>
  <r>
    <s v="60.02"/>
    <x v="30"/>
    <x v="365"/>
    <s v="Списание с расчетного счета 00БП-003876 от 25.06.2024 17:39:42"/>
    <s v="25.06.24"/>
    <n v="6600"/>
    <m/>
    <m/>
    <d v="2024-06-25T00:00:00"/>
    <n v="6"/>
    <x v="2"/>
    <x v="9"/>
    <x v="2"/>
    <x v="0"/>
    <m/>
    <m/>
    <m/>
  </r>
  <r>
    <s v="60.02"/>
    <x v="377"/>
    <x v="1018"/>
    <s v="Списание с расчетного счета 00БП-000616 от 01.03.2024 17:23:23"/>
    <s v="01.03.24"/>
    <n v="1700000"/>
    <m/>
    <m/>
    <d v="2024-03-01T00:00:00"/>
    <n v="122"/>
    <x v="0"/>
    <x v="9"/>
    <x v="2"/>
    <x v="0"/>
    <m/>
    <m/>
    <m/>
  </r>
  <r>
    <s v="60.02"/>
    <x v="408"/>
    <x v="1102"/>
    <s v="Списание с расчетного счета 00БП-003314 от 06.06.2024 23:59:59"/>
    <s v="06.06.24"/>
    <n v="35000"/>
    <m/>
    <m/>
    <d v="2024-06-06T00:00:00"/>
    <n v="25"/>
    <x v="2"/>
    <x v="9"/>
    <x v="2"/>
    <x v="0"/>
    <m/>
    <m/>
    <m/>
  </r>
  <r>
    <s v="60.02"/>
    <x v="33"/>
    <x v="59"/>
    <s v="Списание с расчетного счета 00БП-001994 от 22.04.2024 19:04:01"/>
    <s v="22.04.24"/>
    <n v="450456"/>
    <m/>
    <m/>
    <d v="2024-04-22T00:00:00"/>
    <n v="70"/>
    <x v="1"/>
    <x v="9"/>
    <x v="2"/>
    <x v="0"/>
    <m/>
    <m/>
    <m/>
  </r>
  <r>
    <s v="60.02"/>
    <x v="409"/>
    <x v="1103"/>
    <s v="Списание с расчетного счета 00БП-003823 от 21.06.2024 19:45:29"/>
    <s v="21.06.24"/>
    <n v="273056"/>
    <m/>
    <m/>
    <d v="2024-06-21T00:00:00"/>
    <n v="10"/>
    <x v="2"/>
    <x v="9"/>
    <x v="2"/>
    <x v="0"/>
    <m/>
    <m/>
    <m/>
  </r>
  <r>
    <s v="60.02"/>
    <x v="36"/>
    <x v="1104"/>
    <s v="Списание с расчетного счета 00БП-007616 от 15.12.2020 14:53:03"/>
    <s v="15.12.20"/>
    <n v="2324.42"/>
    <m/>
    <m/>
    <d v="2020-12-15T00:00:00"/>
    <n v="1294"/>
    <x v="5"/>
    <x v="9"/>
    <x v="2"/>
    <x v="0"/>
    <m/>
    <m/>
    <m/>
  </r>
  <r>
    <s v="60.02"/>
    <x v="36"/>
    <x v="1105"/>
    <s v="Списание с расчетного счета 00БП-000190 от 30.01.2024 12:00:03"/>
    <s v="30.01.24"/>
    <n v="13500"/>
    <m/>
    <m/>
    <d v="2024-01-30T00:00:00"/>
    <n v="153"/>
    <x v="0"/>
    <x v="9"/>
    <x v="2"/>
    <x v="0"/>
    <m/>
    <m/>
    <m/>
  </r>
  <r>
    <s v="60.02"/>
    <x v="36"/>
    <x v="1106"/>
    <s v="Списание с расчетного счета 00БП-000760 от 11.03.2024 17:53:28"/>
    <s v="11.03.24"/>
    <n v="720359.13"/>
    <m/>
    <m/>
    <d v="2024-03-11T00:00:00"/>
    <n v="112"/>
    <x v="4"/>
    <x v="9"/>
    <x v="2"/>
    <x v="0"/>
    <m/>
    <m/>
    <m/>
  </r>
  <r>
    <s v="60.02"/>
    <x v="36"/>
    <x v="1107"/>
    <s v="Списание с расчетного счета 00БП-002730 от 15.05.2024 18:13:38"/>
    <s v="15.05.24"/>
    <n v="4470"/>
    <m/>
    <m/>
    <d v="2024-05-15T00:00:00"/>
    <n v="47"/>
    <x v="1"/>
    <x v="9"/>
    <x v="2"/>
    <x v="0"/>
    <m/>
    <m/>
    <m/>
  </r>
  <r>
    <s v="60.02"/>
    <x v="36"/>
    <x v="643"/>
    <s v="Списание с расчетного счета 00БП-002737 от 15.05.2024 18:13:45"/>
    <s v="15.05.24"/>
    <n v="53053.14"/>
    <m/>
    <m/>
    <d v="2024-05-15T00:00:00"/>
    <n v="47"/>
    <x v="1"/>
    <x v="9"/>
    <x v="2"/>
    <x v="0"/>
    <m/>
    <m/>
    <m/>
  </r>
  <r>
    <s v="60.02"/>
    <x v="36"/>
    <x v="1108"/>
    <s v="Списание с расчетного счета 00БП-000981 от 18.03.2024 18:19:10"/>
    <s v="18.03.24"/>
    <n v="1160000"/>
    <m/>
    <m/>
    <d v="2024-03-18T00:00:00"/>
    <n v="105"/>
    <x v="4"/>
    <x v="9"/>
    <x v="2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1071"/>
    <x v="5"/>
    <x v="9"/>
    <x v="2"/>
    <x v="0"/>
    <m/>
    <m/>
    <m/>
  </r>
  <r>
    <s v="60.02"/>
    <x v="410"/>
    <x v="1109"/>
    <s v="Авансовый отчет 00БП-000148 от 20.05.2024 12:28:10"/>
    <s v="20.05.24"/>
    <n v="775"/>
    <m/>
    <m/>
    <d v="2024-05-20T00:00:00"/>
    <n v="42"/>
    <x v="1"/>
    <x v="9"/>
    <x v="2"/>
    <x v="0"/>
    <m/>
    <m/>
    <m/>
  </r>
  <r>
    <s v="60.02"/>
    <x v="378"/>
    <x v="1110"/>
    <s v="Списание с расчетного счета 00БП-003195 от 03.06.2024 18:14:14"/>
    <s v="03.06.24"/>
    <n v="1000000"/>
    <m/>
    <m/>
    <d v="2024-06-03T00:00:00"/>
    <n v="28"/>
    <x v="2"/>
    <x v="9"/>
    <x v="2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76"/>
    <x v="1"/>
    <x v="9"/>
    <x v="2"/>
    <x v="0"/>
    <m/>
    <m/>
    <m/>
  </r>
  <r>
    <s v="60.02"/>
    <x v="38"/>
    <x v="1020"/>
    <s v="Списание с расчетного счета 00БП-002321 от 03.05.2024 19:41:04"/>
    <s v="03.05.24"/>
    <n v="590475.6"/>
    <m/>
    <m/>
    <d v="2024-05-03T00:00:00"/>
    <n v="59"/>
    <x v="1"/>
    <x v="9"/>
    <x v="2"/>
    <x v="0"/>
    <m/>
    <m/>
    <m/>
  </r>
  <r>
    <s v="60.02"/>
    <x v="411"/>
    <x v="1111"/>
    <s v="Списание с расчетного счета 00БП-003859 от 24.06.2024 17:54:44"/>
    <s v="24.06.24"/>
    <n v="302030"/>
    <m/>
    <m/>
    <d v="2024-06-24T00:00:00"/>
    <n v="7"/>
    <x v="2"/>
    <x v="9"/>
    <x v="2"/>
    <x v="0"/>
    <m/>
    <m/>
    <m/>
  </r>
  <r>
    <s v="60.02"/>
    <x v="411"/>
    <x v="1111"/>
    <s v="Списание с расчетного счета 00БП-003864 от 24.06.2024 17:54:49"/>
    <s v="24.06.24"/>
    <n v="1574532"/>
    <m/>
    <m/>
    <d v="2024-06-24T00:00:00"/>
    <n v="7"/>
    <x v="2"/>
    <x v="9"/>
    <x v="2"/>
    <x v="0"/>
    <m/>
    <m/>
    <m/>
  </r>
  <r>
    <s v="60.02"/>
    <x v="411"/>
    <x v="1112"/>
    <s v="Списание с расчетного счета 00БП-003649 от 13.06.2024 19:28:21"/>
    <s v="13.06.24"/>
    <n v="4387900"/>
    <m/>
    <m/>
    <d v="2024-06-13T00:00:00"/>
    <n v="18"/>
    <x v="2"/>
    <x v="9"/>
    <x v="2"/>
    <x v="0"/>
    <m/>
    <m/>
    <m/>
  </r>
  <r>
    <s v="60.02"/>
    <x v="412"/>
    <x v="1113"/>
    <s v="Списание с расчетного счета 00БП-002729 от 15.05.2024 18:13:37"/>
    <s v="15.05.24"/>
    <n v="195000"/>
    <m/>
    <m/>
    <d v="2024-05-15T00:00:00"/>
    <n v="47"/>
    <x v="1"/>
    <x v="9"/>
    <x v="2"/>
    <x v="0"/>
    <m/>
    <m/>
    <m/>
  </r>
  <r>
    <s v="60.02"/>
    <x v="379"/>
    <x v="1114"/>
    <s v="Списание с расчетного счета 00БП-002028 от 23.04.2024 18:58:02"/>
    <s v="23.04.24"/>
    <n v="38528"/>
    <m/>
    <m/>
    <d v="2024-04-23T00:00:00"/>
    <n v="69"/>
    <x v="1"/>
    <x v="9"/>
    <x v="2"/>
    <x v="0"/>
    <m/>
    <m/>
    <m/>
  </r>
  <r>
    <s v="60.02"/>
    <x v="379"/>
    <x v="1115"/>
    <s v="Списание с расчетного счета 00БП-002828 от 21.05.2024 19:24:41"/>
    <s v="21.05.24"/>
    <n v="168650"/>
    <m/>
    <m/>
    <d v="2024-05-21T00:00:00"/>
    <n v="41"/>
    <x v="1"/>
    <x v="9"/>
    <x v="2"/>
    <x v="0"/>
    <m/>
    <m/>
    <m/>
  </r>
  <r>
    <s v="60.02"/>
    <x v="379"/>
    <x v="1116"/>
    <s v="Списание с расчетного счета 00БП-003742 от 19.06.2024 17:29:22"/>
    <s v="19.06.24"/>
    <n v="18700"/>
    <m/>
    <m/>
    <d v="2024-06-19T00:00:00"/>
    <n v="12"/>
    <x v="2"/>
    <x v="9"/>
    <x v="2"/>
    <x v="0"/>
    <m/>
    <m/>
    <m/>
  </r>
  <r>
    <s v="60.02"/>
    <x v="379"/>
    <x v="1117"/>
    <s v="Списание с расчетного счета 00БП-003916 от 26.06.2024 19:23:25"/>
    <s v="26.06.24"/>
    <n v="5100"/>
    <m/>
    <m/>
    <d v="2024-06-26T00:00:00"/>
    <n v="5"/>
    <x v="2"/>
    <x v="9"/>
    <x v="2"/>
    <x v="0"/>
    <m/>
    <m/>
    <m/>
  </r>
  <r>
    <s v="60.02"/>
    <x v="40"/>
    <x v="238"/>
    <s v="Списание с расчетного счета 00БП-002996 от 09.06.2023 21:23:56"/>
    <s v="09.06.23"/>
    <n v="204"/>
    <m/>
    <m/>
    <d v="2023-06-09T00:00:00"/>
    <n v="388"/>
    <x v="5"/>
    <x v="9"/>
    <x v="2"/>
    <x v="0"/>
    <m/>
    <m/>
    <m/>
  </r>
  <r>
    <s v="60.02"/>
    <x v="40"/>
    <x v="238"/>
    <s v="Списание с расчетного счета 00БП-003636 от 11.07.2023 17:48:56"/>
    <s v="11.07.23"/>
    <n v="1060"/>
    <m/>
    <m/>
    <d v="2023-07-11T00:00:00"/>
    <n v="356"/>
    <x v="6"/>
    <x v="9"/>
    <x v="2"/>
    <x v="0"/>
    <m/>
    <m/>
    <m/>
  </r>
  <r>
    <s v="60.02"/>
    <x v="40"/>
    <x v="238"/>
    <s v="Корректировка поступления 00БП-000013 от 15.08.2023 11:54:38"/>
    <s v="15.08.23"/>
    <n v="260"/>
    <m/>
    <m/>
    <d v="2023-08-15T00:00:00"/>
    <n v="321"/>
    <x v="6"/>
    <x v="9"/>
    <x v="2"/>
    <x v="0"/>
    <m/>
    <m/>
    <m/>
  </r>
  <r>
    <s v="60.02"/>
    <x v="40"/>
    <x v="238"/>
    <s v="Списание с расчетного счета 00БП-005591 от 21.09.2023 17:19:10"/>
    <s v="21.09.23"/>
    <n v="740"/>
    <m/>
    <m/>
    <d v="2023-09-21T00:00:00"/>
    <n v="284"/>
    <x v="6"/>
    <x v="9"/>
    <x v="2"/>
    <x v="0"/>
    <m/>
    <m/>
    <m/>
  </r>
  <r>
    <s v="60.02"/>
    <x v="40"/>
    <x v="238"/>
    <s v="Списание с расчетного счета 00БП-005762 от 27.09.2023 18:16:25"/>
    <s v="27.09.23"/>
    <n v="1050"/>
    <m/>
    <m/>
    <d v="2023-09-27T00:00:00"/>
    <n v="278"/>
    <x v="6"/>
    <x v="9"/>
    <x v="2"/>
    <x v="0"/>
    <m/>
    <m/>
    <m/>
  </r>
  <r>
    <s v="60.02"/>
    <x v="40"/>
    <x v="1118"/>
    <s v="Списание с расчетного счета 00БП-000975 от 18.03.2024 18:19:04"/>
    <s v="18.03.24"/>
    <n v="291"/>
    <m/>
    <m/>
    <d v="2024-03-18T00:00:00"/>
    <n v="105"/>
    <x v="4"/>
    <x v="9"/>
    <x v="2"/>
    <x v="0"/>
    <m/>
    <m/>
    <m/>
  </r>
  <r>
    <s v="60.02"/>
    <x v="40"/>
    <x v="1118"/>
    <s v="Корректировка поступления 00БП-000016 от 20.06.2024 18:44:42"/>
    <s v="20.06.24"/>
    <n v="10000"/>
    <m/>
    <m/>
    <d v="2024-06-20T00:00:00"/>
    <n v="11"/>
    <x v="2"/>
    <x v="9"/>
    <x v="2"/>
    <x v="0"/>
    <m/>
    <m/>
    <m/>
  </r>
  <r>
    <s v="60.02"/>
    <x v="40"/>
    <x v="1118"/>
    <s v="Корректировка поступления 00БП-000017 от 20.06.2024 18:44:43"/>
    <s v="20.06.24"/>
    <n v="11396"/>
    <m/>
    <m/>
    <d v="2024-06-20T00:00:00"/>
    <n v="11"/>
    <x v="2"/>
    <x v="9"/>
    <x v="2"/>
    <x v="0"/>
    <m/>
    <m/>
    <m/>
  </r>
  <r>
    <s v="60.02"/>
    <x v="40"/>
    <x v="1118"/>
    <s v="Корректировка поступления 00БП-000018 от 20.06.2024 18:44:44"/>
    <s v="20.06.24"/>
    <n v="3958"/>
    <m/>
    <m/>
    <d v="2024-06-20T00:00:00"/>
    <n v="11"/>
    <x v="2"/>
    <x v="9"/>
    <x v="2"/>
    <x v="0"/>
    <m/>
    <m/>
    <m/>
  </r>
  <r>
    <s v="60.02"/>
    <x v="40"/>
    <x v="1119"/>
    <s v="Списание с расчетного счета 00БП-003817 от 21.06.2024 19:45:23"/>
    <s v="21.06.24"/>
    <n v="57300"/>
    <m/>
    <m/>
    <d v="2024-06-21T00:00:00"/>
    <n v="10"/>
    <x v="2"/>
    <x v="9"/>
    <x v="2"/>
    <x v="0"/>
    <m/>
    <m/>
    <m/>
  </r>
  <r>
    <s v="60.02"/>
    <x v="40"/>
    <x v="1120"/>
    <s v="Списание с расчетного счета 00БП-003310 от 06.06.2024 23:59:59"/>
    <s v="06.06.24"/>
    <n v="11197"/>
    <m/>
    <m/>
    <d v="2024-06-06T00:00:00"/>
    <n v="25"/>
    <x v="2"/>
    <x v="9"/>
    <x v="2"/>
    <x v="0"/>
    <m/>
    <m/>
    <m/>
  </r>
  <r>
    <s v="60.02"/>
    <x v="40"/>
    <x v="1121"/>
    <s v="Списание с расчетного счета 00БП-003980 от 27.06.2024 23:59:59"/>
    <s v="27.06.24"/>
    <n v="30332"/>
    <m/>
    <m/>
    <d v="2024-06-27T00:00:00"/>
    <n v="4"/>
    <x v="2"/>
    <x v="9"/>
    <x v="2"/>
    <x v="0"/>
    <m/>
    <m/>
    <m/>
  </r>
  <r>
    <s v="60.02"/>
    <x v="40"/>
    <x v="83"/>
    <s v="Списание с расчетного счета 00БП-003308 от 06.06.2024 23:59:59"/>
    <s v="06.06.24"/>
    <n v="5955"/>
    <m/>
    <m/>
    <d v="2024-06-06T00:00:00"/>
    <n v="25"/>
    <x v="2"/>
    <x v="9"/>
    <x v="2"/>
    <x v="9"/>
    <m/>
    <m/>
    <m/>
  </r>
  <r>
    <s v="60.02"/>
    <x v="40"/>
    <x v="1122"/>
    <s v="Списание с расчетного счета 00БП-003699 от 17.06.2024 20:28:31"/>
    <s v="17.06.24"/>
    <n v="6255"/>
    <m/>
    <m/>
    <d v="2024-06-17T00:00:00"/>
    <n v="14"/>
    <x v="2"/>
    <x v="9"/>
    <x v="2"/>
    <x v="0"/>
    <m/>
    <m/>
    <m/>
  </r>
  <r>
    <s v="60.02"/>
    <x v="40"/>
    <x v="1123"/>
    <s v="Списание с расчетного счета 00БП-004059 от 28.06.2024 19:03:18"/>
    <s v="28.06.24"/>
    <n v="8083"/>
    <m/>
    <m/>
    <d v="2024-06-28T00:00:00"/>
    <n v="3"/>
    <x v="2"/>
    <x v="9"/>
    <x v="2"/>
    <x v="0"/>
    <m/>
    <m/>
    <m/>
  </r>
  <r>
    <s v="60.02"/>
    <x v="40"/>
    <x v="1124"/>
    <s v="Списание с расчетного счета 00БП-003174 от 03.06.2024 18:13:53"/>
    <s v="03.06.24"/>
    <n v="3878"/>
    <m/>
    <m/>
    <d v="2024-06-03T00:00:00"/>
    <n v="28"/>
    <x v="2"/>
    <x v="9"/>
    <x v="2"/>
    <x v="0"/>
    <m/>
    <m/>
    <m/>
  </r>
  <r>
    <s v="60.02"/>
    <x v="40"/>
    <x v="1125"/>
    <s v="Списание с расчетного счета 00БП-003706 от 17.06.2024 20:28:38"/>
    <s v="17.06.24"/>
    <n v="95914"/>
    <m/>
    <m/>
    <d v="2024-06-17T00:00:00"/>
    <n v="14"/>
    <x v="2"/>
    <x v="9"/>
    <x v="2"/>
    <x v="0"/>
    <m/>
    <m/>
    <m/>
  </r>
  <r>
    <s v="60.02"/>
    <x v="40"/>
    <x v="1126"/>
    <s v="Списание с расчетного счета 00БП-002802 от 20.05.2024 19:51:36"/>
    <s v="20.05.24"/>
    <n v="42562"/>
    <m/>
    <m/>
    <d v="2024-05-20T00:00:00"/>
    <n v="42"/>
    <x v="1"/>
    <x v="9"/>
    <x v="2"/>
    <x v="0"/>
    <m/>
    <m/>
    <m/>
  </r>
  <r>
    <s v="60.02"/>
    <x v="40"/>
    <x v="1127"/>
    <s v="Списание с расчетного счета 00БП-003317 от 06.06.2024 23:59:59"/>
    <s v="06.06.24"/>
    <n v="54343"/>
    <m/>
    <m/>
    <d v="2024-06-06T00:00:00"/>
    <n v="25"/>
    <x v="2"/>
    <x v="9"/>
    <x v="2"/>
    <x v="0"/>
    <m/>
    <m/>
    <m/>
  </r>
  <r>
    <s v="60.02"/>
    <x v="40"/>
    <x v="1128"/>
    <s v="Списание с расчетного счета 00БП-003913 от 26.06.2024 19:23:22"/>
    <s v="26.06.24"/>
    <n v="2260"/>
    <m/>
    <m/>
    <d v="2024-06-26T00:00:00"/>
    <n v="5"/>
    <x v="2"/>
    <x v="9"/>
    <x v="2"/>
    <x v="0"/>
    <m/>
    <m/>
    <m/>
  </r>
  <r>
    <s v="60.02"/>
    <x v="41"/>
    <x v="1129"/>
    <s v="Списание с расчетного счета 00БП-002000 от 22.04.2024 19:04:07"/>
    <s v="22.04.24"/>
    <n v="500000"/>
    <m/>
    <m/>
    <d v="2024-04-22T00:00:00"/>
    <n v="70"/>
    <x v="1"/>
    <x v="9"/>
    <x v="2"/>
    <x v="0"/>
    <m/>
    <m/>
    <m/>
  </r>
  <r>
    <s v="60.02"/>
    <x v="41"/>
    <x v="1023"/>
    <s v="Списание с расчетного счета 00БП-003829 от 21.06.2024 19:45:35"/>
    <s v="21.06.24"/>
    <n v="468775.8"/>
    <m/>
    <m/>
    <d v="2024-06-21T00:00:00"/>
    <n v="10"/>
    <x v="2"/>
    <x v="9"/>
    <x v="2"/>
    <x v="0"/>
    <m/>
    <m/>
    <m/>
  </r>
  <r>
    <s v="60.02"/>
    <x v="42"/>
    <x v="1130"/>
    <s v="Списание с расчетного счета 00БП-003237 от 04.06.2024 23:59:47"/>
    <s v="04.06.24"/>
    <n v="8599"/>
    <m/>
    <m/>
    <d v="2024-06-04T00:00:00"/>
    <n v="27"/>
    <x v="2"/>
    <x v="9"/>
    <x v="2"/>
    <x v="0"/>
    <m/>
    <m/>
    <m/>
  </r>
  <r>
    <s v="60.02"/>
    <x v="365"/>
    <x v="1024"/>
    <s v="Списание с расчетного счета 00БП-002312 от 03.05.2024 19:40:55"/>
    <s v="03.05.24"/>
    <n v="29399"/>
    <m/>
    <m/>
    <d v="2024-05-03T00:00:00"/>
    <n v="59"/>
    <x v="1"/>
    <x v="9"/>
    <x v="2"/>
    <x v="0"/>
    <m/>
    <m/>
    <m/>
  </r>
  <r>
    <s v="60.02"/>
    <x v="365"/>
    <x v="960"/>
    <s v="Списание с расчетного счета 00БП-002698 от 14.05.2024 19:02:10"/>
    <s v="14.05.24"/>
    <n v="2999"/>
    <m/>
    <m/>
    <d v="2024-05-14T00:00:00"/>
    <n v="48"/>
    <x v="1"/>
    <x v="9"/>
    <x v="2"/>
    <x v="0"/>
    <m/>
    <m/>
    <m/>
  </r>
  <r>
    <s v="60.02"/>
    <x v="380"/>
    <x v="1026"/>
    <s v="Списание с расчетного счета 00БП-005476 от 13.09.2023 21:56:45"/>
    <s v="13.09.23"/>
    <n v="127.61"/>
    <m/>
    <m/>
    <d v="2023-09-13T00:00:00"/>
    <n v="292"/>
    <x v="6"/>
    <x v="9"/>
    <x v="2"/>
    <x v="0"/>
    <m/>
    <m/>
    <m/>
  </r>
  <r>
    <s v="60.02"/>
    <x v="381"/>
    <x v="73"/>
    <s v="Авансовый отчет 00БП-000025 от 06.03.2024 17:14:54"/>
    <s v="06.03.24"/>
    <n v="7800"/>
    <m/>
    <m/>
    <d v="2024-03-06T00:00:00"/>
    <n v="117"/>
    <x v="4"/>
    <x v="9"/>
    <x v="2"/>
    <x v="0"/>
    <m/>
    <m/>
    <m/>
  </r>
  <r>
    <s v="60.02"/>
    <x v="47"/>
    <x v="1131"/>
    <s v="Списание с расчетного счета 00БП-002735 от 15.05.2024 18:13:43"/>
    <s v="15.05.24"/>
    <n v="132597.98000000001"/>
    <m/>
    <m/>
    <d v="2024-05-15T00:00:00"/>
    <n v="47"/>
    <x v="1"/>
    <x v="9"/>
    <x v="2"/>
    <x v="0"/>
    <m/>
    <m/>
    <m/>
  </r>
  <r>
    <s v="60.02"/>
    <x v="47"/>
    <x v="1131"/>
    <s v="Списание с расчетного счета 00БП-003199 от 03.06.2024 18:14:18"/>
    <s v="03.06.24"/>
    <n v="1201781.8400000001"/>
    <m/>
    <m/>
    <d v="2024-06-03T00:00:00"/>
    <n v="28"/>
    <x v="2"/>
    <x v="9"/>
    <x v="2"/>
    <x v="0"/>
    <m/>
    <m/>
    <m/>
  </r>
  <r>
    <s v="60.02"/>
    <x v="207"/>
    <x v="73"/>
    <s v="Авансовый отчет 00БП-000148 от 20.05.2024 12:28:10"/>
    <s v="20.05.24"/>
    <n v="7500"/>
    <m/>
    <m/>
    <d v="2024-05-20T00:00:00"/>
    <n v="42"/>
    <x v="1"/>
    <x v="9"/>
    <x v="2"/>
    <x v="0"/>
    <m/>
    <m/>
    <m/>
  </r>
  <r>
    <s v="60.02"/>
    <x v="208"/>
    <x v="461"/>
    <s v="Списание с расчетного счета 00БП-003336 от 07.06.2024 20:17:33"/>
    <s v="07.06.24"/>
    <n v="1000"/>
    <m/>
    <m/>
    <d v="2024-06-07T00:00:00"/>
    <n v="24"/>
    <x v="2"/>
    <x v="9"/>
    <x v="2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874"/>
    <x v="5"/>
    <x v="9"/>
    <x v="2"/>
    <x v="8"/>
    <m/>
    <m/>
    <m/>
  </r>
  <r>
    <s v="60.02"/>
    <x v="413"/>
    <x v="1132"/>
    <s v="Списание с расчетного счета 00БП-004063 от 28.06.2024 19:03:22"/>
    <s v="28.06.24"/>
    <n v="35000"/>
    <m/>
    <m/>
    <d v="2024-06-28T00:00:00"/>
    <n v="3"/>
    <x v="2"/>
    <x v="9"/>
    <x v="2"/>
    <x v="0"/>
    <m/>
    <m/>
    <m/>
  </r>
  <r>
    <s v="60.02"/>
    <x v="48"/>
    <x v="123"/>
    <s v="Корректировка долга 00БП-000112 от 31.07.2022 13:59:59"/>
    <s v="31.07.22"/>
    <n v="14913.96"/>
    <m/>
    <m/>
    <d v="2022-07-31T00:00:00"/>
    <n v="701"/>
    <x v="5"/>
    <x v="9"/>
    <x v="2"/>
    <x v="0"/>
    <m/>
    <m/>
    <m/>
  </r>
  <r>
    <s v="60.02"/>
    <x v="48"/>
    <x v="1028"/>
    <s v="Списание с расчетного счета 00БП-002323 от 03.05.2024 19:41:06"/>
    <s v="03.05.24"/>
    <n v="620985.06999999995"/>
    <m/>
    <m/>
    <d v="2024-05-03T00:00:00"/>
    <n v="59"/>
    <x v="1"/>
    <x v="9"/>
    <x v="2"/>
    <x v="0"/>
    <m/>
    <m/>
    <m/>
  </r>
  <r>
    <s v="60.02"/>
    <x v="48"/>
    <x v="1028"/>
    <s v="Списание с расчетного счета 00БП-002380 от 07.05.2024 18:28:14"/>
    <s v="07.05.24"/>
    <n v="393204.93"/>
    <m/>
    <m/>
    <d v="2024-05-07T00:00:00"/>
    <n v="55"/>
    <x v="1"/>
    <x v="9"/>
    <x v="2"/>
    <x v="0"/>
    <m/>
    <m/>
    <m/>
  </r>
  <r>
    <s v="60.02"/>
    <x v="213"/>
    <x v="1133"/>
    <s v="Списание с расчетного счета 00БП-003270 от 05.06.2024 18:44:03"/>
    <s v="05.06.24"/>
    <n v="2510000"/>
    <m/>
    <m/>
    <d v="2024-06-05T00:00:00"/>
    <n v="26"/>
    <x v="2"/>
    <x v="9"/>
    <x v="2"/>
    <x v="0"/>
    <m/>
    <m/>
    <m/>
  </r>
  <r>
    <s v="60.02"/>
    <x v="213"/>
    <x v="1133"/>
    <s v="Списание с расчетного счета 00БП-003322 от 06.06.2024 23:59:59"/>
    <s v="06.06.24"/>
    <n v="510000"/>
    <m/>
    <m/>
    <d v="2024-06-06T00:00:00"/>
    <n v="25"/>
    <x v="2"/>
    <x v="9"/>
    <x v="2"/>
    <x v="0"/>
    <m/>
    <m/>
    <m/>
  </r>
  <r>
    <s v="60.02"/>
    <x v="213"/>
    <x v="479"/>
    <s v="Списание с расчетного счета 00БП-003273 от 05.06.2024 18:44:06"/>
    <s v="05.06.24"/>
    <n v="2988000"/>
    <m/>
    <m/>
    <d v="2024-06-05T00:00:00"/>
    <n v="26"/>
    <x v="2"/>
    <x v="9"/>
    <x v="2"/>
    <x v="20"/>
    <m/>
    <m/>
    <m/>
  </r>
  <r>
    <s v="60.02"/>
    <x v="213"/>
    <x v="1134"/>
    <s v="Списание с расчетного счета 00БП-007191 от 16.11.2023 18:12:35"/>
    <s v="16.11.23"/>
    <n v="10500000"/>
    <m/>
    <m/>
    <d v="2023-11-16T00:00:00"/>
    <n v="228"/>
    <x v="3"/>
    <x v="9"/>
    <x v="2"/>
    <x v="0"/>
    <m/>
    <m/>
    <m/>
  </r>
  <r>
    <s v="60.02"/>
    <x v="213"/>
    <x v="480"/>
    <s v="Списание с расчетного счета 00БП-007991 от 28.12.2023 15:20:52"/>
    <s v="28.12.23"/>
    <n v="442208.48"/>
    <m/>
    <m/>
    <d v="2023-12-28T00:00:00"/>
    <n v="186"/>
    <x v="3"/>
    <x v="9"/>
    <x v="2"/>
    <x v="0"/>
    <m/>
    <m/>
    <m/>
  </r>
  <r>
    <s v="60.02"/>
    <x v="213"/>
    <x v="1135"/>
    <s v="Списание с расчетного счета 00БП-003854 от 24.06.2024 17:54:39"/>
    <s v="24.06.24"/>
    <n v="35000"/>
    <m/>
    <m/>
    <d v="2024-06-24T00:00:00"/>
    <n v="7"/>
    <x v="2"/>
    <x v="9"/>
    <x v="2"/>
    <x v="0"/>
    <m/>
    <m/>
    <m/>
  </r>
  <r>
    <s v="60.02"/>
    <x v="53"/>
    <x v="1136"/>
    <s v="Списание с расчетного счета 00БП-003342 от 07.06.2024 20:17:39"/>
    <s v="07.06.24"/>
    <n v="78500"/>
    <m/>
    <m/>
    <d v="2024-06-07T00:00:00"/>
    <n v="24"/>
    <x v="2"/>
    <x v="9"/>
    <x v="2"/>
    <x v="0"/>
    <m/>
    <m/>
    <m/>
  </r>
  <r>
    <s v="60.02"/>
    <x v="54"/>
    <x v="1137"/>
    <s v="Списание с расчетного счета 00БП-001423 от 04.04.2024 18:11:08"/>
    <s v="04.04.24"/>
    <n v="48315.9"/>
    <m/>
    <m/>
    <d v="2024-04-04T00:00:00"/>
    <n v="88"/>
    <x v="1"/>
    <x v="9"/>
    <x v="2"/>
    <x v="0"/>
    <m/>
    <m/>
    <m/>
  </r>
  <r>
    <s v="60.02"/>
    <x v="54"/>
    <x v="1138"/>
    <s v="Списание с расчетного счета 00БП-002038 от 24.04.2024 18:50:24"/>
    <s v="24.04.24"/>
    <n v="1064"/>
    <m/>
    <m/>
    <d v="2024-04-24T00:00:00"/>
    <n v="68"/>
    <x v="1"/>
    <x v="9"/>
    <x v="2"/>
    <x v="0"/>
    <m/>
    <m/>
    <m/>
  </r>
  <r>
    <s v="60.02"/>
    <x v="382"/>
    <x v="1031"/>
    <s v="Списание с расчетного счета 00БП-003596 от 24.06.2021 19:11:18"/>
    <s v="24.06.21"/>
    <n v="340.4"/>
    <m/>
    <m/>
    <d v="2021-06-24T00:00:00"/>
    <n v="1103"/>
    <x v="5"/>
    <x v="9"/>
    <x v="2"/>
    <x v="0"/>
    <m/>
    <m/>
    <m/>
  </r>
  <r>
    <s v="60.02"/>
    <x v="58"/>
    <x v="139"/>
    <s v="Списание с расчетного счета 00БП-005685 от 26.09.2023 22:54:03"/>
    <s v="26.09.23"/>
    <n v="33500"/>
    <m/>
    <m/>
    <d v="2023-09-26T00:00:00"/>
    <n v="279"/>
    <x v="6"/>
    <x v="9"/>
    <x v="2"/>
    <x v="0"/>
    <m/>
    <m/>
    <m/>
  </r>
  <r>
    <s v="60.02"/>
    <x v="414"/>
    <x v="1139"/>
    <s v="Списание с расчетного счета 00БП-002827 от 21.05.2024 19:24:40"/>
    <s v="21.05.24"/>
    <n v="150500"/>
    <m/>
    <m/>
    <d v="2024-05-21T00:00:00"/>
    <n v="41"/>
    <x v="1"/>
    <x v="9"/>
    <x v="2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923"/>
    <x v="5"/>
    <x v="9"/>
    <x v="2"/>
    <x v="0"/>
    <m/>
    <m/>
    <m/>
  </r>
  <r>
    <s v="60.02"/>
    <x v="62"/>
    <x v="144"/>
    <s v="Списание с расчетного счета 00БП-001959 от 19.04.2024 20:35:31"/>
    <s v="19.04.24"/>
    <n v="8850"/>
    <m/>
    <m/>
    <d v="2024-04-19T00:00:00"/>
    <n v="73"/>
    <x v="1"/>
    <x v="9"/>
    <x v="2"/>
    <x v="0"/>
    <m/>
    <m/>
    <m/>
  </r>
  <r>
    <s v="60.02"/>
    <x v="415"/>
    <x v="1140"/>
    <s v="Списание с расчетного счета 00БП-003810 от 21.06.2024 19:45:16"/>
    <s v="21.06.24"/>
    <n v="14250"/>
    <m/>
    <m/>
    <d v="2024-06-21T00:00:00"/>
    <n v="10"/>
    <x v="2"/>
    <x v="9"/>
    <x v="2"/>
    <x v="0"/>
    <m/>
    <m/>
    <m/>
  </r>
  <r>
    <s v="60.02"/>
    <x v="63"/>
    <x v="1141"/>
    <s v="Списание с расчетного счета 00БП-000189 от 30.01.2024 12:00:02"/>
    <s v="30.01.24"/>
    <n v="12000"/>
    <m/>
    <m/>
    <d v="2024-01-30T00:00:00"/>
    <n v="153"/>
    <x v="0"/>
    <x v="9"/>
    <x v="2"/>
    <x v="0"/>
    <m/>
    <m/>
    <m/>
  </r>
  <r>
    <s v="60.02"/>
    <x v="416"/>
    <x v="1142"/>
    <s v="Списание с расчетного счета 00БП-001481 от 08.04.2024 19:44:48"/>
    <s v="08.04.24"/>
    <n v="30000"/>
    <m/>
    <m/>
    <d v="2024-04-08T00:00:00"/>
    <n v="84"/>
    <x v="1"/>
    <x v="9"/>
    <x v="2"/>
    <x v="0"/>
    <m/>
    <m/>
    <m/>
  </r>
  <r>
    <s v="60.02"/>
    <x v="416"/>
    <x v="1143"/>
    <s v="Списание с расчетного счета 00БП-007750 от 08.12.2023 15:55:12"/>
    <s v="08.12.23"/>
    <n v="3800"/>
    <m/>
    <m/>
    <d v="2023-12-08T00:00:00"/>
    <n v="206"/>
    <x v="3"/>
    <x v="9"/>
    <x v="2"/>
    <x v="0"/>
    <m/>
    <m/>
    <m/>
  </r>
  <r>
    <s v="60.02"/>
    <x v="282"/>
    <x v="1034"/>
    <s v="Списание с расчетного счета 00БП-003971 от 13.07.2022 17:26:09"/>
    <s v="13.07.22"/>
    <n v="28572"/>
    <m/>
    <m/>
    <d v="2022-07-13T00:00:00"/>
    <n v="719"/>
    <x v="5"/>
    <x v="9"/>
    <x v="2"/>
    <x v="0"/>
    <m/>
    <m/>
    <m/>
  </r>
  <r>
    <s v="60.02"/>
    <x v="282"/>
    <x v="1035"/>
    <s v="Списание с расчетного счета 00БП-003969 от 13.07.2022 17:26:07"/>
    <s v="13.07.22"/>
    <n v="5520"/>
    <m/>
    <m/>
    <d v="2022-07-13T00:00:00"/>
    <n v="719"/>
    <x v="5"/>
    <x v="9"/>
    <x v="2"/>
    <x v="0"/>
    <m/>
    <m/>
    <m/>
  </r>
  <r>
    <s v="60.02"/>
    <x v="282"/>
    <x v="1144"/>
    <s v="Списание с расчетного счета 00БП-007990 от 28.12.2023 15:20:51"/>
    <s v="28.12.23"/>
    <n v="2593867.69"/>
    <m/>
    <m/>
    <d v="2023-12-28T00:00:00"/>
    <n v="186"/>
    <x v="3"/>
    <x v="9"/>
    <x v="2"/>
    <x v="0"/>
    <m/>
    <m/>
    <m/>
  </r>
  <r>
    <s v="60.02"/>
    <x v="282"/>
    <x v="1144"/>
    <s v="Списание с расчетного счета 00БП-001999 от 22.04.2024 19:04:06"/>
    <s v="22.04.24"/>
    <n v="1220616.7"/>
    <m/>
    <m/>
    <d v="2024-04-22T00:00:00"/>
    <n v="70"/>
    <x v="1"/>
    <x v="9"/>
    <x v="2"/>
    <x v="0"/>
    <m/>
    <m/>
    <m/>
  </r>
  <r>
    <s v="60.02"/>
    <x v="282"/>
    <x v="1036"/>
    <s v="Списание с расчетного счета 00БП-000615 от 03.03.2023 23:59:59"/>
    <s v="03.03.23"/>
    <n v="4600"/>
    <m/>
    <m/>
    <d v="2023-03-03T00:00:00"/>
    <n v="486"/>
    <x v="5"/>
    <x v="9"/>
    <x v="2"/>
    <x v="0"/>
    <m/>
    <m/>
    <m/>
  </r>
  <r>
    <s v="60.02"/>
    <x v="282"/>
    <x v="1037"/>
    <s v="Списание с расчетного счета 00БП-001134 от 28.03.2023 19:09:59"/>
    <s v="28.03.23"/>
    <n v="27200"/>
    <m/>
    <m/>
    <d v="2023-03-28T00:00:00"/>
    <n v="461"/>
    <x v="5"/>
    <x v="9"/>
    <x v="2"/>
    <x v="0"/>
    <m/>
    <m/>
    <m/>
  </r>
  <r>
    <s v="60.02"/>
    <x v="72"/>
    <x v="73"/>
    <s v="Списание с расчетного счета 00БП-002875 от 24.05.2024 18:28:07"/>
    <s v="24.05.24"/>
    <n v="2321606.86"/>
    <m/>
    <m/>
    <d v="2024-05-24T00:00:00"/>
    <n v="38"/>
    <x v="1"/>
    <x v="9"/>
    <x v="2"/>
    <x v="0"/>
    <m/>
    <m/>
    <m/>
  </r>
  <r>
    <s v="60.02"/>
    <x v="72"/>
    <x v="73"/>
    <s v="Списание с расчетного счета 00БП-003272 от 05.06.2024 18:44:05"/>
    <s v="05.06.24"/>
    <n v="2973701.63"/>
    <m/>
    <m/>
    <d v="2024-06-05T00:00:00"/>
    <n v="26"/>
    <x v="2"/>
    <x v="9"/>
    <x v="2"/>
    <x v="0"/>
    <m/>
    <m/>
    <m/>
  </r>
  <r>
    <s v="60.02"/>
    <x v="72"/>
    <x v="73"/>
    <s v="Списание с расчетного счета 00БП-003866 от 24.06.2024 17:54:51"/>
    <s v="24.06.24"/>
    <n v="3964935.5"/>
    <m/>
    <m/>
    <d v="2024-06-24T00:00:00"/>
    <n v="7"/>
    <x v="2"/>
    <x v="9"/>
    <x v="2"/>
    <x v="0"/>
    <m/>
    <m/>
    <m/>
  </r>
  <r>
    <s v="60.02"/>
    <x v="73"/>
    <x v="1145"/>
    <s v="Списание с расчетного счета 00БП-001564 от 11.04.2024 14:53:27"/>
    <s v="11.04.24"/>
    <n v="31400"/>
    <m/>
    <m/>
    <d v="2024-04-11T00:00:00"/>
    <n v="81"/>
    <x v="1"/>
    <x v="9"/>
    <x v="2"/>
    <x v="0"/>
    <m/>
    <m/>
    <m/>
  </r>
  <r>
    <s v="60.02"/>
    <x v="73"/>
    <x v="1146"/>
    <s v="Списание с расчетного счета 00БП-001563 от 11.04.2024 14:53:26"/>
    <s v="11.04.24"/>
    <n v="26900"/>
    <m/>
    <m/>
    <d v="2024-04-11T00:00:00"/>
    <n v="81"/>
    <x v="1"/>
    <x v="9"/>
    <x v="2"/>
    <x v="0"/>
    <m/>
    <m/>
    <m/>
  </r>
  <r>
    <s v="60.02"/>
    <x v="417"/>
    <x v="1147"/>
    <s v="Списание с расчетного счета 00БП-001052 от 21.03.2024 18:37:46"/>
    <s v="21.03.24"/>
    <n v="250000"/>
    <m/>
    <m/>
    <d v="2024-03-21T00:00:00"/>
    <n v="102"/>
    <x v="4"/>
    <x v="9"/>
    <x v="2"/>
    <x v="0"/>
    <m/>
    <m/>
    <m/>
  </r>
  <r>
    <s v="60.02"/>
    <x v="417"/>
    <x v="1147"/>
    <s v="Списание с расчетного счета 00БП-003321 от 06.06.2024 23:59:59"/>
    <s v="06.06.24"/>
    <n v="250000"/>
    <m/>
    <m/>
    <d v="2024-06-06T00:00:00"/>
    <n v="25"/>
    <x v="2"/>
    <x v="9"/>
    <x v="2"/>
    <x v="0"/>
    <m/>
    <m/>
    <m/>
  </r>
  <r>
    <s v="60.02"/>
    <x v="383"/>
    <x v="1040"/>
    <s v="Списание с расчетного счета 00БП-000297 от 09.02.2024 11:07:06"/>
    <s v="09.02.24"/>
    <n v="32600"/>
    <m/>
    <m/>
    <d v="2024-02-09T00:00:00"/>
    <n v="143"/>
    <x v="0"/>
    <x v="9"/>
    <x v="2"/>
    <x v="0"/>
    <m/>
    <m/>
    <m/>
  </r>
  <r>
    <s v="60.02"/>
    <x v="418"/>
    <x v="1148"/>
    <s v="Списание с расчетного счета 00БП-003787 от 20.06.2024 17:26:12"/>
    <s v="20.06.24"/>
    <n v="26539.200000000001"/>
    <m/>
    <m/>
    <d v="2024-06-20T00:00:00"/>
    <n v="11"/>
    <x v="2"/>
    <x v="9"/>
    <x v="2"/>
    <x v="0"/>
    <m/>
    <m/>
    <m/>
  </r>
  <r>
    <s v="60.02"/>
    <x v="419"/>
    <x v="304"/>
    <s v="Авансовый отчет 00БП-000026 от 29.02.2024 0:00:00"/>
    <s v="29.02.24"/>
    <n v="6000"/>
    <m/>
    <m/>
    <d v="2024-02-29T00:00:00"/>
    <n v="123"/>
    <x v="0"/>
    <x v="9"/>
    <x v="2"/>
    <x v="0"/>
    <m/>
    <m/>
    <m/>
  </r>
  <r>
    <s v="60.02"/>
    <x v="77"/>
    <x v="304"/>
    <s v="Списание с расчетного счета 00БП-002796 от 06.06.2023 23:59:59"/>
    <s v="06.06.23"/>
    <n v="16151.71"/>
    <m/>
    <m/>
    <d v="2023-06-06T00:00:00"/>
    <n v="391"/>
    <x v="5"/>
    <x v="9"/>
    <x v="2"/>
    <x v="0"/>
    <m/>
    <m/>
    <m/>
  </r>
  <r>
    <s v="60.02"/>
    <x v="77"/>
    <x v="735"/>
    <s v="Списание с расчетного счета 00БП-002727 от 15.05.2024 18:13:35"/>
    <s v="15.05.24"/>
    <n v="60000"/>
    <m/>
    <m/>
    <d v="2024-05-15T00:00:00"/>
    <n v="47"/>
    <x v="1"/>
    <x v="9"/>
    <x v="2"/>
    <x v="0"/>
    <m/>
    <m/>
    <m/>
  </r>
  <r>
    <s v="60.02"/>
    <x v="78"/>
    <x v="501"/>
    <s v="Списание с расчетного счета 00БП-002496 от 23.05.2023 18:50:13"/>
    <s v="23.05.23"/>
    <n v="1695324.05"/>
    <m/>
    <m/>
    <d v="2023-05-23T00:00:00"/>
    <n v="405"/>
    <x v="5"/>
    <x v="9"/>
    <x v="2"/>
    <x v="0"/>
    <m/>
    <m/>
    <m/>
  </r>
  <r>
    <s v="60.02"/>
    <x v="78"/>
    <x v="1149"/>
    <s v="Списание с расчетного счета 00БП-001525 от 09.04.2024 19:40:17"/>
    <s v="09.04.24"/>
    <n v="3428065.53"/>
    <m/>
    <m/>
    <d v="2024-04-09T00:00:00"/>
    <n v="83"/>
    <x v="1"/>
    <x v="9"/>
    <x v="2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83"/>
    <x v="1"/>
    <x v="9"/>
    <x v="2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75"/>
    <x v="1"/>
    <x v="9"/>
    <x v="2"/>
    <x v="0"/>
    <m/>
    <m/>
    <m/>
  </r>
  <r>
    <s v="60.02"/>
    <x v="78"/>
    <x v="1150"/>
    <s v="Списание с расчетного счета 00БП-002475 от 08.05.2024 18:49:00"/>
    <s v="08.05.24"/>
    <n v="39177.5"/>
    <m/>
    <m/>
    <d v="2024-05-08T00:00:00"/>
    <n v="54"/>
    <x v="1"/>
    <x v="9"/>
    <x v="2"/>
    <x v="0"/>
    <m/>
    <m/>
    <m/>
  </r>
  <r>
    <s v="60.02"/>
    <x v="78"/>
    <x v="1151"/>
    <s v="Списание с расчетного счета 00БП-002758 от 16.05.2024 18:25:54"/>
    <s v="16.05.24"/>
    <n v="369619.99"/>
    <m/>
    <m/>
    <d v="2024-05-16T00:00:00"/>
    <n v="46"/>
    <x v="1"/>
    <x v="9"/>
    <x v="2"/>
    <x v="0"/>
    <m/>
    <m/>
    <m/>
  </r>
  <r>
    <s v="60.02"/>
    <x v="78"/>
    <x v="508"/>
    <s v="Списание с расчетного счета 00БП-003849 от 24.06.2024 17:54:34"/>
    <s v="24.06.24"/>
    <n v="6277.48"/>
    <m/>
    <m/>
    <d v="2024-06-24T00:00:00"/>
    <n v="7"/>
    <x v="2"/>
    <x v="9"/>
    <x v="2"/>
    <x v="0"/>
    <m/>
    <m/>
    <m/>
  </r>
  <r>
    <s v="60.02"/>
    <x v="78"/>
    <x v="1152"/>
    <s v="Списание с расчетного счета 00БП-003945 от 27.06.2024 23:59:59"/>
    <s v="27.06.24"/>
    <n v="9302.4"/>
    <m/>
    <m/>
    <d v="2024-06-27T00:00:00"/>
    <n v="4"/>
    <x v="2"/>
    <x v="9"/>
    <x v="2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4"/>
    <x v="2"/>
    <x v="9"/>
    <x v="2"/>
    <x v="0"/>
    <m/>
    <m/>
    <m/>
  </r>
  <r>
    <s v="60.02"/>
    <x v="287"/>
    <x v="742"/>
    <s v="Списание с расчетного счета 00БП-001891 от 16.04.2024 20:42:38"/>
    <s v="16.04.24"/>
    <n v="1207500"/>
    <m/>
    <m/>
    <d v="2024-04-16T00:00:00"/>
    <n v="76"/>
    <x v="1"/>
    <x v="9"/>
    <x v="2"/>
    <x v="0"/>
    <m/>
    <m/>
    <m/>
  </r>
  <r>
    <s v="60.02"/>
    <x v="79"/>
    <x v="182"/>
    <s v="Списание с расчетного счета 00БП-002277 от 02.05.2024 23:59:59"/>
    <s v="02.05.24"/>
    <n v="672.02"/>
    <m/>
    <m/>
    <d v="2024-05-02T00:00:00"/>
    <n v="60"/>
    <x v="1"/>
    <x v="9"/>
    <x v="2"/>
    <x v="0"/>
    <m/>
    <m/>
    <m/>
  </r>
  <r>
    <s v="60.02"/>
    <x v="79"/>
    <x v="182"/>
    <s v="Списание с расчетного счета 00БП-003210 от 03.06.2024 19:19:42"/>
    <s v="03.06.24"/>
    <n v="1000"/>
    <m/>
    <m/>
    <d v="2024-06-03T00:00:00"/>
    <n v="28"/>
    <x v="2"/>
    <x v="9"/>
    <x v="2"/>
    <x v="0"/>
    <m/>
    <m/>
    <m/>
  </r>
  <r>
    <s v="60.02"/>
    <x v="79"/>
    <x v="183"/>
    <s v="Списание с расчетного счета 00БП-002275 от 02.05.2024 23:59:59"/>
    <s v="02.05.24"/>
    <n v="728.34"/>
    <m/>
    <m/>
    <d v="2024-05-02T00:00:00"/>
    <n v="60"/>
    <x v="1"/>
    <x v="9"/>
    <x v="2"/>
    <x v="0"/>
    <m/>
    <m/>
    <m/>
  </r>
  <r>
    <s v="60.02"/>
    <x v="79"/>
    <x v="183"/>
    <s v="Списание с расчетного счета 00БП-003211 от 03.06.2024 19:19:43"/>
    <s v="03.06.24"/>
    <n v="2000"/>
    <m/>
    <m/>
    <d v="2024-06-03T00:00:00"/>
    <n v="28"/>
    <x v="2"/>
    <x v="9"/>
    <x v="2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1914"/>
    <x v="5"/>
    <x v="9"/>
    <x v="2"/>
    <x v="0"/>
    <m/>
    <m/>
    <m/>
  </r>
  <r>
    <s v="60.02"/>
    <x v="79"/>
    <x v="186"/>
    <s v="Списание с расчетного счета 00БП-003213 от 03.06.2024 19:19:45"/>
    <s v="03.06.24"/>
    <n v="2895.81"/>
    <m/>
    <m/>
    <d v="2024-06-03T00:00:00"/>
    <n v="28"/>
    <x v="2"/>
    <x v="9"/>
    <x v="2"/>
    <x v="0"/>
    <m/>
    <m/>
    <m/>
  </r>
  <r>
    <s v="60.02"/>
    <x v="79"/>
    <x v="187"/>
    <s v="Списание с расчетного счета 00БП-007526 от 02.12.2022 12:00:08"/>
    <s v="02.12.22"/>
    <n v="84.13"/>
    <m/>
    <m/>
    <d v="2022-12-02T00:00:00"/>
    <n v="577"/>
    <x v="5"/>
    <x v="9"/>
    <x v="2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241"/>
    <x v="3"/>
    <x v="9"/>
    <x v="2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139"/>
    <x v="0"/>
    <x v="9"/>
    <x v="2"/>
    <x v="0"/>
    <m/>
    <m/>
    <m/>
  </r>
  <r>
    <s v="60.02"/>
    <x v="79"/>
    <x v="189"/>
    <s v="Списание с расчетного счета 00БП-002278 от 02.05.2024 23:59:59"/>
    <s v="02.05.24"/>
    <n v="1951.67"/>
    <m/>
    <m/>
    <d v="2024-05-02T00:00:00"/>
    <n v="60"/>
    <x v="1"/>
    <x v="9"/>
    <x v="2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006"/>
    <x v="5"/>
    <x v="9"/>
    <x v="2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2973"/>
    <x v="5"/>
    <x v="9"/>
    <x v="2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1657"/>
    <x v="5"/>
    <x v="9"/>
    <x v="2"/>
    <x v="0"/>
    <m/>
    <m/>
    <m/>
  </r>
  <r>
    <s v="60.02"/>
    <x v="79"/>
    <x v="191"/>
    <m/>
    <m/>
    <n v="68.27"/>
    <m/>
    <m/>
    <d v="1899-12-30T00:00:00"/>
    <n v="45474"/>
    <x v="5"/>
    <x v="9"/>
    <x v="2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045"/>
    <x v="5"/>
    <x v="9"/>
    <x v="2"/>
    <x v="0"/>
    <m/>
    <m/>
    <m/>
  </r>
  <r>
    <s v="60.02"/>
    <x v="79"/>
    <x v="193"/>
    <s v="Списание с расчетного счета 00БП-002282 от 02.05.2024 23:59:59"/>
    <s v="02.05.24"/>
    <n v="438.76"/>
    <m/>
    <m/>
    <d v="2024-05-02T00:00:00"/>
    <n v="60"/>
    <x v="1"/>
    <x v="9"/>
    <x v="2"/>
    <x v="0"/>
    <m/>
    <m/>
    <m/>
  </r>
  <r>
    <s v="60.02"/>
    <x v="79"/>
    <x v="193"/>
    <s v="Списание с расчетного счета 00БП-003215 от 03.06.2024 19:19:47"/>
    <s v="03.06.24"/>
    <n v="5000"/>
    <m/>
    <m/>
    <d v="2024-06-03T00:00:00"/>
    <n v="28"/>
    <x v="2"/>
    <x v="9"/>
    <x v="2"/>
    <x v="0"/>
    <m/>
    <m/>
    <m/>
  </r>
  <r>
    <s v="60.02"/>
    <x v="420"/>
    <x v="1153"/>
    <s v="Списание с расчетного счета 00БП-001399 от 03.04.2024 17:55:06"/>
    <s v="03.04.24"/>
    <n v="26688816.989999998"/>
    <m/>
    <m/>
    <d v="2024-04-03T00:00:00"/>
    <n v="89"/>
    <x v="1"/>
    <x v="9"/>
    <x v="2"/>
    <x v="0"/>
    <m/>
    <m/>
    <m/>
  </r>
  <r>
    <s v="60.02"/>
    <x v="420"/>
    <x v="1153"/>
    <s v="Списание с расчетного счета 00БП-003197 от 03.06.2024 18:14:16"/>
    <s v="03.06.24"/>
    <n v="1094086.98"/>
    <m/>
    <m/>
    <d v="2024-06-03T00:00:00"/>
    <n v="28"/>
    <x v="2"/>
    <x v="9"/>
    <x v="2"/>
    <x v="0"/>
    <m/>
    <m/>
    <m/>
  </r>
  <r>
    <s v="60.02"/>
    <x v="420"/>
    <x v="1153"/>
    <s v="Списание с расчетного счета 00БП-003198 от 03.06.2024 18:14:17"/>
    <s v="03.06.24"/>
    <n v="1111327.6499999999"/>
    <m/>
    <m/>
    <d v="2024-06-03T00:00:00"/>
    <n v="28"/>
    <x v="2"/>
    <x v="9"/>
    <x v="2"/>
    <x v="0"/>
    <m/>
    <m/>
    <m/>
  </r>
  <r>
    <s v="60.02"/>
    <x v="420"/>
    <x v="1153"/>
    <s v="Списание с расчетного счета 00БП-003225 от 04.06.2024 23:59:33"/>
    <s v="04.06.24"/>
    <n v="1086961.82"/>
    <m/>
    <m/>
    <d v="2024-06-04T00:00:00"/>
    <n v="27"/>
    <x v="2"/>
    <x v="9"/>
    <x v="2"/>
    <x v="0"/>
    <m/>
    <m/>
    <m/>
  </r>
  <r>
    <s v="60.02"/>
    <x v="420"/>
    <x v="1153"/>
    <s v="Списание с расчетного счета 00БП-003268 от 05.06.2024 18:44:01"/>
    <s v="05.06.24"/>
    <n v="1145947.77"/>
    <m/>
    <m/>
    <d v="2024-06-05T00:00:00"/>
    <n v="26"/>
    <x v="2"/>
    <x v="9"/>
    <x v="2"/>
    <x v="0"/>
    <m/>
    <m/>
    <m/>
  </r>
  <r>
    <s v="60.02"/>
    <x v="420"/>
    <x v="1153"/>
    <s v="Списание с расчетного счета 00БП-003269 от 05.06.2024 18:44:02"/>
    <s v="05.06.24"/>
    <n v="1151218.44"/>
    <m/>
    <m/>
    <d v="2024-06-05T00:00:00"/>
    <n v="26"/>
    <x v="2"/>
    <x v="9"/>
    <x v="2"/>
    <x v="0"/>
    <m/>
    <m/>
    <m/>
  </r>
  <r>
    <s v="60.02"/>
    <x v="420"/>
    <x v="1153"/>
    <s v="Списание с расчетного счета 00БП-003324 от 06.06.2024 23:59:59"/>
    <s v="06.06.24"/>
    <n v="1050902.33"/>
    <m/>
    <m/>
    <d v="2024-06-06T00:00:00"/>
    <n v="25"/>
    <x v="2"/>
    <x v="9"/>
    <x v="2"/>
    <x v="0"/>
    <m/>
    <m/>
    <m/>
  </r>
  <r>
    <s v="60.02"/>
    <x v="420"/>
    <x v="1153"/>
    <s v="Списание с расчетного счета 00БП-003376 от 10.06.2024 23:59:59"/>
    <s v="10.06.24"/>
    <n v="1091451.6499999999"/>
    <m/>
    <m/>
    <d v="2024-06-10T00:00:00"/>
    <n v="21"/>
    <x v="2"/>
    <x v="9"/>
    <x v="2"/>
    <x v="0"/>
    <m/>
    <m/>
    <m/>
  </r>
  <r>
    <s v="60.02"/>
    <x v="420"/>
    <x v="1153"/>
    <s v="Списание с расчетного счета 00БП-003377 от 10.06.2024 23:59:59"/>
    <s v="10.06.24"/>
    <n v="1094640.08"/>
    <m/>
    <m/>
    <d v="2024-06-10T00:00:00"/>
    <n v="21"/>
    <x v="2"/>
    <x v="9"/>
    <x v="2"/>
    <x v="0"/>
    <m/>
    <m/>
    <m/>
  </r>
  <r>
    <s v="60.02"/>
    <x v="420"/>
    <x v="1153"/>
    <s v="Списание с расчетного счета 00БП-003379 от 10.06.2024 23:59:59"/>
    <s v="10.06.24"/>
    <n v="1108217.19"/>
    <m/>
    <m/>
    <d v="2024-06-10T00:00:00"/>
    <n v="21"/>
    <x v="2"/>
    <x v="9"/>
    <x v="2"/>
    <x v="0"/>
    <m/>
    <m/>
    <m/>
  </r>
  <r>
    <s v="60.02"/>
    <x v="420"/>
    <x v="1153"/>
    <s v="Списание с расчетного счета 00БП-003709 от 17.06.2024 20:28:41"/>
    <s v="17.06.24"/>
    <n v="1089620.6100000001"/>
    <m/>
    <m/>
    <d v="2024-06-17T00:00:00"/>
    <n v="14"/>
    <x v="2"/>
    <x v="9"/>
    <x v="2"/>
    <x v="0"/>
    <m/>
    <m/>
    <m/>
  </r>
  <r>
    <s v="60.02"/>
    <x v="420"/>
    <x v="1153"/>
    <s v="Списание с расчетного счета 00БП-003710 от 17.06.2024 20:28:42"/>
    <s v="17.06.24"/>
    <n v="1092664.8899999999"/>
    <m/>
    <m/>
    <d v="2024-06-17T00:00:00"/>
    <n v="14"/>
    <x v="2"/>
    <x v="9"/>
    <x v="2"/>
    <x v="0"/>
    <m/>
    <m/>
    <m/>
  </r>
  <r>
    <s v="60.02"/>
    <x v="420"/>
    <x v="1153"/>
    <s v="Списание с расчетного счета 00БП-003711 от 17.06.2024 20:28:43"/>
    <s v="17.06.24"/>
    <n v="1094915.01"/>
    <m/>
    <m/>
    <d v="2024-06-17T00:00:00"/>
    <n v="14"/>
    <x v="2"/>
    <x v="9"/>
    <x v="2"/>
    <x v="0"/>
    <m/>
    <m/>
    <m/>
  </r>
  <r>
    <s v="60.02"/>
    <x v="420"/>
    <x v="1153"/>
    <s v="Списание с расчетного счета 00БП-003712 от 17.06.2024 20:28:44"/>
    <s v="17.06.24"/>
    <n v="1098687.27"/>
    <m/>
    <m/>
    <d v="2024-06-17T00:00:00"/>
    <n v="14"/>
    <x v="2"/>
    <x v="9"/>
    <x v="2"/>
    <x v="0"/>
    <m/>
    <m/>
    <m/>
  </r>
  <r>
    <s v="60.02"/>
    <x v="420"/>
    <x v="1153"/>
    <s v="Списание с расчетного счета 00БП-003763 от 19.06.2024 17:29:43"/>
    <s v="19.06.24"/>
    <n v="1111393.83"/>
    <m/>
    <m/>
    <d v="2024-06-19T00:00:00"/>
    <n v="12"/>
    <x v="2"/>
    <x v="9"/>
    <x v="2"/>
    <x v="0"/>
    <m/>
    <m/>
    <m/>
  </r>
  <r>
    <s v="60.02"/>
    <x v="420"/>
    <x v="1153"/>
    <s v="Списание с расчетного счета 00БП-003793 от 20.06.2024 17:26:18"/>
    <s v="20.06.24"/>
    <n v="1102360.26"/>
    <m/>
    <m/>
    <d v="2024-06-20T00:00:00"/>
    <n v="11"/>
    <x v="2"/>
    <x v="9"/>
    <x v="2"/>
    <x v="0"/>
    <m/>
    <m/>
    <m/>
  </r>
  <r>
    <s v="60.02"/>
    <x v="420"/>
    <x v="1153"/>
    <s v="Списание с расчетного счета 00БП-003828 от 21.06.2024 19:45:34"/>
    <s v="21.06.24"/>
    <n v="1119302.3400000001"/>
    <m/>
    <m/>
    <d v="2024-06-21T00:00:00"/>
    <n v="10"/>
    <x v="2"/>
    <x v="9"/>
    <x v="2"/>
    <x v="0"/>
    <m/>
    <m/>
    <m/>
  </r>
  <r>
    <s v="60.02"/>
    <x v="420"/>
    <x v="1153"/>
    <s v="Списание с расчетного счета 00БП-003860 от 24.06.2024 17:54:45"/>
    <s v="24.06.24"/>
    <n v="574872.12"/>
    <m/>
    <m/>
    <d v="2024-06-24T00:00:00"/>
    <n v="7"/>
    <x v="2"/>
    <x v="9"/>
    <x v="2"/>
    <x v="0"/>
    <m/>
    <m/>
    <m/>
  </r>
  <r>
    <s v="60.02"/>
    <x v="420"/>
    <x v="1153"/>
    <s v="Списание с расчетного счета 00БП-003861 от 24.06.2024 17:54:46"/>
    <s v="24.06.24"/>
    <n v="1096503.33"/>
    <m/>
    <m/>
    <d v="2024-06-24T00:00:00"/>
    <n v="7"/>
    <x v="2"/>
    <x v="9"/>
    <x v="2"/>
    <x v="0"/>
    <m/>
    <m/>
    <m/>
  </r>
  <r>
    <s v="60.02"/>
    <x v="420"/>
    <x v="1153"/>
    <s v="Списание с расчетного счета 00БП-003862 от 24.06.2024 17:54:47"/>
    <s v="24.06.24"/>
    <n v="1099746.1499999999"/>
    <m/>
    <m/>
    <d v="2024-06-24T00:00:00"/>
    <n v="7"/>
    <x v="2"/>
    <x v="9"/>
    <x v="2"/>
    <x v="0"/>
    <m/>
    <m/>
    <m/>
  </r>
  <r>
    <s v="60.02"/>
    <x v="420"/>
    <x v="1153"/>
    <s v="Списание с расчетного счета 00БП-003863 от 24.06.2024 17:54:48"/>
    <s v="24.06.24"/>
    <n v="1117184.58"/>
    <m/>
    <m/>
    <d v="2024-06-24T00:00:00"/>
    <n v="7"/>
    <x v="2"/>
    <x v="9"/>
    <x v="2"/>
    <x v="0"/>
    <m/>
    <m/>
    <m/>
  </r>
  <r>
    <s v="60.02"/>
    <x v="421"/>
    <x v="1154"/>
    <s v="Авансовый отчет 00БП-000067 от 22.04.2024 14:40:56"/>
    <s v="22.04.24"/>
    <n v="10600"/>
    <m/>
    <m/>
    <d v="2024-04-22T00:00:00"/>
    <n v="70"/>
    <x v="1"/>
    <x v="9"/>
    <x v="2"/>
    <x v="0"/>
    <m/>
    <m/>
    <m/>
  </r>
  <r>
    <s v="60.02"/>
    <x v="223"/>
    <x v="73"/>
    <s v="Авансовый отчет 00БП-000165 от 04.06.2024 10:33:55"/>
    <s v="04.06.24"/>
    <n v="15000"/>
    <m/>
    <m/>
    <d v="2024-06-04T00:00:00"/>
    <n v="27"/>
    <x v="2"/>
    <x v="9"/>
    <x v="2"/>
    <x v="0"/>
    <m/>
    <m/>
    <m/>
  </r>
  <r>
    <s v="60.02"/>
    <x v="223"/>
    <x v="73"/>
    <s v="Авансовый отчет 00БП-000166 от 05.06.2024 9:32:17"/>
    <s v="05.06.24"/>
    <n v="600"/>
    <m/>
    <m/>
    <d v="2024-06-05T00:00:00"/>
    <n v="26"/>
    <x v="2"/>
    <x v="9"/>
    <x v="2"/>
    <x v="0"/>
    <m/>
    <m/>
    <m/>
  </r>
  <r>
    <s v="60.02"/>
    <x v="223"/>
    <x v="73"/>
    <s v="Авансовый отчет 00БП-000186 от 20.06.2024 15:24:21"/>
    <s v="20.06.24"/>
    <n v="3500"/>
    <m/>
    <m/>
    <d v="2024-06-20T00:00:00"/>
    <n v="11"/>
    <x v="2"/>
    <x v="9"/>
    <x v="2"/>
    <x v="0"/>
    <m/>
    <m/>
    <m/>
  </r>
  <r>
    <s v="60.02"/>
    <x v="422"/>
    <x v="1155"/>
    <s v="Списание с расчетного счета 00БП-003819 от 21.06.2024 19:45:25"/>
    <s v="21.06.24"/>
    <n v="73400"/>
    <m/>
    <m/>
    <d v="2024-06-21T00:00:00"/>
    <n v="10"/>
    <x v="2"/>
    <x v="9"/>
    <x v="2"/>
    <x v="0"/>
    <m/>
    <m/>
    <m/>
  </r>
  <r>
    <s v="60.02"/>
    <x v="422"/>
    <x v="1156"/>
    <s v="Списание с расчетного счета 00БП-003927 от 26.06.2024 19:23:36"/>
    <s v="26.06.24"/>
    <n v="95040"/>
    <m/>
    <m/>
    <d v="2024-06-26T00:00:00"/>
    <n v="5"/>
    <x v="2"/>
    <x v="9"/>
    <x v="2"/>
    <x v="0"/>
    <m/>
    <m/>
    <m/>
  </r>
  <r>
    <s v="60.02"/>
    <x v="423"/>
    <x v="1157"/>
    <s v="Списание с расчетного счета 00БП-004060 от 28.06.2024 19:03:19"/>
    <s v="28.06.24"/>
    <n v="20000"/>
    <m/>
    <m/>
    <d v="2024-06-28T00:00:00"/>
    <n v="3"/>
    <x v="2"/>
    <x v="9"/>
    <x v="2"/>
    <x v="0"/>
    <m/>
    <m/>
    <m/>
  </r>
  <r>
    <s v="60.02"/>
    <x v="88"/>
    <x v="1158"/>
    <s v="Списание с расчетного счета 00БП-002972 от 10.06.2022 20:59:25"/>
    <s v="10.06.22"/>
    <n v="0.01"/>
    <m/>
    <m/>
    <d v="2022-06-10T00:00:00"/>
    <n v="752"/>
    <x v="5"/>
    <x v="9"/>
    <x v="2"/>
    <x v="0"/>
    <m/>
    <m/>
    <m/>
  </r>
  <r>
    <s v="60.02"/>
    <x v="424"/>
    <x v="1159"/>
    <s v="Списание с расчетного счета 00БП-002734 от 15.05.2024 18:13:42"/>
    <s v="15.05.24"/>
    <n v="426035"/>
    <m/>
    <m/>
    <d v="2024-05-15T00:00:00"/>
    <n v="47"/>
    <x v="1"/>
    <x v="9"/>
    <x v="2"/>
    <x v="0"/>
    <m/>
    <m/>
    <m/>
  </r>
  <r>
    <s v="60.02"/>
    <x v="386"/>
    <x v="1044"/>
    <s v="Списание с расчетного счета 00БП-004065 от 28.06.2024 19:03:24"/>
    <s v="28.06.24"/>
    <n v="50000"/>
    <m/>
    <m/>
    <d v="2024-06-28T00:00:00"/>
    <n v="3"/>
    <x v="2"/>
    <x v="9"/>
    <x v="2"/>
    <x v="0"/>
    <m/>
    <m/>
    <m/>
  </r>
  <r>
    <s v="60.02"/>
    <x v="91"/>
    <x v="977"/>
    <s v="Списание с расчетного счета 00БП-001137 от 26.03.2024 18:50:21"/>
    <s v="26.03.24"/>
    <n v="188179.6"/>
    <m/>
    <m/>
    <d v="2024-03-26T00:00:00"/>
    <n v="97"/>
    <x v="4"/>
    <x v="9"/>
    <x v="2"/>
    <x v="0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256"/>
    <x v="3"/>
    <x v="9"/>
    <x v="2"/>
    <x v="13"/>
    <m/>
    <m/>
    <m/>
  </r>
  <r>
    <s v="60.02"/>
    <x v="92"/>
    <x v="1160"/>
    <s v="Списание с расчетного счета 00БП-003275 от 05.06.2024 18:44:08"/>
    <s v="05.06.24"/>
    <n v="8411846"/>
    <m/>
    <m/>
    <d v="2024-06-05T00:00:00"/>
    <n v="26"/>
    <x v="2"/>
    <x v="9"/>
    <x v="2"/>
    <x v="0"/>
    <m/>
    <m/>
    <m/>
  </r>
  <r>
    <s v="60.02"/>
    <x v="95"/>
    <x v="1161"/>
    <s v="Списание с расчетного счета 00БП-002080 от 26.04.2024 18:25:59"/>
    <s v="26.04.24"/>
    <n v="40784"/>
    <m/>
    <m/>
    <d v="2024-04-26T00:00:00"/>
    <n v="66"/>
    <x v="1"/>
    <x v="9"/>
    <x v="2"/>
    <x v="0"/>
    <m/>
    <m/>
    <m/>
  </r>
  <r>
    <s v="60.02"/>
    <x v="96"/>
    <x v="1162"/>
    <s v="Списание с расчетного счета 00БП-003330 от 06.06.2024 23:59:59"/>
    <s v="06.06.24"/>
    <n v="35630000"/>
    <m/>
    <m/>
    <d v="2024-06-06T00:00:00"/>
    <n v="25"/>
    <x v="2"/>
    <x v="9"/>
    <x v="2"/>
    <x v="0"/>
    <m/>
    <m/>
    <m/>
  </r>
  <r>
    <s v="60.02"/>
    <x v="98"/>
    <x v="1163"/>
    <s v="Списание с расчетного счета 00БП-001954 от 19.04.2024 20:35:26"/>
    <s v="19.04.24"/>
    <n v="4319.3100000000004"/>
    <m/>
    <m/>
    <d v="2024-04-19T00:00:00"/>
    <n v="73"/>
    <x v="1"/>
    <x v="9"/>
    <x v="2"/>
    <x v="8"/>
    <m/>
    <m/>
    <m/>
  </r>
  <r>
    <s v="60.02"/>
    <x v="100"/>
    <x v="73"/>
    <s v="Списание с расчетного счета 00БП-004270 от 01.08.2023 17:47:37"/>
    <s v="01.08.23"/>
    <n v="3866.66"/>
    <m/>
    <m/>
    <d v="2023-08-01T00:00:00"/>
    <n v="335"/>
    <x v="6"/>
    <x v="9"/>
    <x v="2"/>
    <x v="0"/>
    <m/>
    <m/>
    <m/>
  </r>
  <r>
    <s v="60.02"/>
    <x v="425"/>
    <x v="1164"/>
    <s v="Списание с расчетного счета 00БП-003813 от 21.06.2024 19:45:19"/>
    <s v="21.06.24"/>
    <n v="23539.23"/>
    <m/>
    <m/>
    <d v="2024-06-21T00:00:00"/>
    <n v="10"/>
    <x v="2"/>
    <x v="9"/>
    <x v="2"/>
    <x v="0"/>
    <m/>
    <m/>
    <m/>
  </r>
  <r>
    <s v="60.02"/>
    <x v="425"/>
    <x v="1165"/>
    <s v="Списание с расчетного счета 00БП-003826 от 21.06.2024 19:45:32"/>
    <s v="21.06.24"/>
    <n v="2100"/>
    <m/>
    <m/>
    <d v="2024-06-21T00:00:00"/>
    <n v="10"/>
    <x v="2"/>
    <x v="9"/>
    <x v="2"/>
    <x v="0"/>
    <m/>
    <m/>
    <m/>
  </r>
  <r>
    <s v="60.02"/>
    <x v="425"/>
    <x v="1166"/>
    <s v="Списание с расчетного счета 00БП-003747 от 19.06.2024 17:29:27"/>
    <s v="19.06.24"/>
    <n v="42192"/>
    <m/>
    <m/>
    <d v="2024-06-19T00:00:00"/>
    <n v="12"/>
    <x v="2"/>
    <x v="9"/>
    <x v="2"/>
    <x v="0"/>
    <m/>
    <m/>
    <m/>
  </r>
  <r>
    <s v="60.02"/>
    <x v="426"/>
    <x v="1167"/>
    <s v="Списание с расчетного счета 00БП-003340 от 07.06.2024 20:17:37"/>
    <s v="07.06.24"/>
    <n v="12669"/>
    <m/>
    <m/>
    <d v="2024-06-07T00:00:00"/>
    <n v="24"/>
    <x v="2"/>
    <x v="9"/>
    <x v="2"/>
    <x v="0"/>
    <m/>
    <m/>
    <m/>
  </r>
  <r>
    <s v="60.02"/>
    <x v="427"/>
    <x v="1168"/>
    <s v="Списание с расчетного счета 00БП-003312 от 06.06.2024 23:59:59"/>
    <s v="06.06.24"/>
    <n v="14720"/>
    <m/>
    <m/>
    <d v="2024-06-06T00:00:00"/>
    <n v="25"/>
    <x v="2"/>
    <x v="9"/>
    <x v="2"/>
    <x v="0"/>
    <m/>
    <m/>
    <m/>
  </r>
  <r>
    <s v="60.02"/>
    <x v="428"/>
    <x v="1169"/>
    <s v="Списание с расчетного счета 00БП-001129 от 26.03.2024 18:50:13"/>
    <s v="26.03.24"/>
    <n v="28800"/>
    <m/>
    <m/>
    <d v="2024-03-26T00:00:00"/>
    <n v="97"/>
    <x v="4"/>
    <x v="9"/>
    <x v="2"/>
    <x v="0"/>
    <m/>
    <m/>
    <m/>
  </r>
  <r>
    <s v="60.02"/>
    <x v="429"/>
    <x v="1170"/>
    <s v="Списание с расчетного счета 00БП-007157 от 24.11.2022 12:50:37"/>
    <s v="24.11.22"/>
    <n v="1889400"/>
    <m/>
    <m/>
    <d v="2022-11-24T00:00:00"/>
    <n v="585"/>
    <x v="5"/>
    <x v="9"/>
    <x v="2"/>
    <x v="0"/>
    <m/>
    <m/>
    <m/>
  </r>
  <r>
    <s v="60.02"/>
    <x v="430"/>
    <x v="1171"/>
    <s v="Списание с расчетного счета 00БП-001973 от 19.04.2024 20:35:45"/>
    <s v="19.04.24"/>
    <n v="15498000"/>
    <m/>
    <m/>
    <d v="2024-04-19T00:00:00"/>
    <n v="73"/>
    <x v="1"/>
    <x v="9"/>
    <x v="2"/>
    <x v="0"/>
    <m/>
    <m/>
    <m/>
  </r>
  <r>
    <s v="60.02"/>
    <x v="298"/>
    <x v="1049"/>
    <s v="Списание с расчетного счета 00БП-002382 от 07.05.2024 18:28:16"/>
    <s v="07.05.24"/>
    <n v="672200"/>
    <m/>
    <m/>
    <d v="2024-05-07T00:00:00"/>
    <n v="55"/>
    <x v="1"/>
    <x v="9"/>
    <x v="2"/>
    <x v="0"/>
    <m/>
    <m/>
    <m/>
  </r>
  <r>
    <s v="60.02"/>
    <x v="298"/>
    <x v="1049"/>
    <s v="Списание с расчетного счета 00БП-002788 от 17.05.2024 19:52:31"/>
    <s v="17.05.24"/>
    <n v="672200"/>
    <m/>
    <m/>
    <d v="2024-05-17T00:00:00"/>
    <n v="45"/>
    <x v="1"/>
    <x v="9"/>
    <x v="2"/>
    <x v="0"/>
    <m/>
    <m/>
    <m/>
  </r>
  <r>
    <s v="60.02"/>
    <x v="298"/>
    <x v="1050"/>
    <s v="Списание с расчетного счета 00БП-002383 от 07.05.2024 18:28:17"/>
    <s v="07.05.24"/>
    <n v="819540"/>
    <m/>
    <m/>
    <d v="2024-05-07T00:00:00"/>
    <n v="55"/>
    <x v="1"/>
    <x v="9"/>
    <x v="2"/>
    <x v="0"/>
    <m/>
    <m/>
    <m/>
  </r>
  <r>
    <s v="60.02"/>
    <x v="298"/>
    <x v="1050"/>
    <s v="Списание с расчетного счета 00БП-002789 от 17.05.2024 19:52:32"/>
    <s v="17.05.24"/>
    <n v="819540"/>
    <m/>
    <m/>
    <d v="2024-05-17T00:00:00"/>
    <n v="45"/>
    <x v="1"/>
    <x v="9"/>
    <x v="2"/>
    <x v="0"/>
    <m/>
    <m/>
    <m/>
  </r>
  <r>
    <s v="60.02"/>
    <x v="298"/>
    <x v="1051"/>
    <s v="Списание с расчетного счета 00БП-002381 от 07.05.2024 18:28:15"/>
    <s v="07.05.24"/>
    <n v="491400"/>
    <m/>
    <m/>
    <d v="2024-05-07T00:00:00"/>
    <n v="55"/>
    <x v="1"/>
    <x v="9"/>
    <x v="2"/>
    <x v="0"/>
    <m/>
    <m/>
    <m/>
  </r>
  <r>
    <s v="60.02"/>
    <x v="298"/>
    <x v="1051"/>
    <s v="Списание с расчетного счета 00БП-002787 от 17.05.2024 19:52:30"/>
    <s v="17.05.24"/>
    <n v="491400"/>
    <m/>
    <m/>
    <d v="2024-05-17T00:00:00"/>
    <n v="45"/>
    <x v="1"/>
    <x v="9"/>
    <x v="2"/>
    <x v="0"/>
    <m/>
    <m/>
    <m/>
  </r>
  <r>
    <s v="60.02"/>
    <x v="298"/>
    <x v="1052"/>
    <s v="Списание с расчетного счета 00БП-002646 от 13.05.2024 19:05:16"/>
    <s v="13.05.24"/>
    <n v="678200"/>
    <m/>
    <m/>
    <d v="2024-05-13T00:00:00"/>
    <n v="49"/>
    <x v="1"/>
    <x v="9"/>
    <x v="2"/>
    <x v="0"/>
    <m/>
    <m/>
    <m/>
  </r>
  <r>
    <s v="60.02"/>
    <x v="431"/>
    <x v="1172"/>
    <s v="Списание с расчетного счета 00БП-002752 от 16.05.2024 18:25:48"/>
    <s v="16.05.24"/>
    <n v="4400"/>
    <m/>
    <m/>
    <d v="2024-05-16T00:00:00"/>
    <n v="46"/>
    <x v="1"/>
    <x v="9"/>
    <x v="2"/>
    <x v="0"/>
    <m/>
    <m/>
    <m/>
  </r>
  <r>
    <s v="60.02"/>
    <x v="106"/>
    <x v="1173"/>
    <s v="Списание с расчетного счета 00БП-003946 от 27.06.2024 23:59:59"/>
    <s v="27.06.24"/>
    <n v="14500"/>
    <m/>
    <m/>
    <d v="2024-06-27T00:00:00"/>
    <n v="4"/>
    <x v="2"/>
    <x v="9"/>
    <x v="2"/>
    <x v="0"/>
    <m/>
    <m/>
    <m/>
  </r>
  <r>
    <s v="60.02"/>
    <x v="432"/>
    <x v="1174"/>
    <s v="Списание с расчетного счета 00БП-003816 от 21.06.2024 19:45:22"/>
    <s v="21.06.24"/>
    <n v="57110.400000000001"/>
    <m/>
    <m/>
    <d v="2024-06-21T00:00:00"/>
    <n v="10"/>
    <x v="2"/>
    <x v="9"/>
    <x v="2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606"/>
    <x v="5"/>
    <x v="9"/>
    <x v="2"/>
    <x v="8"/>
    <m/>
    <m/>
    <m/>
  </r>
  <r>
    <s v="60.02"/>
    <x v="110"/>
    <x v="1053"/>
    <s v="Списание с расчетного счета 00БП-001989 от 22.04.2024 19:03:56"/>
    <s v="22.04.24"/>
    <n v="8910.81"/>
    <m/>
    <m/>
    <d v="2024-04-22T00:00:00"/>
    <n v="70"/>
    <x v="1"/>
    <x v="9"/>
    <x v="2"/>
    <x v="0"/>
    <m/>
    <m/>
    <m/>
  </r>
  <r>
    <s v="60.02"/>
    <x v="110"/>
    <x v="1054"/>
    <s v="Списание с расчетного счета 00БП-002027 от 23.04.2024 18:58:01"/>
    <s v="23.04.24"/>
    <n v="6442.4"/>
    <m/>
    <m/>
    <d v="2024-04-23T00:00:00"/>
    <n v="69"/>
    <x v="1"/>
    <x v="9"/>
    <x v="2"/>
    <x v="0"/>
    <m/>
    <m/>
    <m/>
  </r>
  <r>
    <s v="60.02"/>
    <x v="234"/>
    <x v="1055"/>
    <s v="Списание с расчетного счета 00БП-006371 от 20.10.2023 19:16:58"/>
    <s v="20.10.23"/>
    <n v="36897.74"/>
    <m/>
    <m/>
    <d v="2023-10-20T00:00:00"/>
    <n v="255"/>
    <x v="3"/>
    <x v="9"/>
    <x v="2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585"/>
    <x v="5"/>
    <x v="9"/>
    <x v="2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186"/>
    <x v="3"/>
    <x v="9"/>
    <x v="2"/>
    <x v="0"/>
    <m/>
    <m/>
    <m/>
  </r>
  <r>
    <s v="60.02"/>
    <x v="113"/>
    <x v="766"/>
    <s v="Списание с расчетного счета 00БП-001884 от 16.04.2024 20:42:31"/>
    <s v="16.04.24"/>
    <n v="0.3"/>
    <m/>
    <m/>
    <d v="2024-04-16T00:00:00"/>
    <n v="76"/>
    <x v="1"/>
    <x v="9"/>
    <x v="2"/>
    <x v="0"/>
    <m/>
    <m/>
    <m/>
  </r>
  <r>
    <s v="60.02"/>
    <x v="303"/>
    <x v="1175"/>
    <s v="Списание с расчетного счета 00БП-003680 от 14.06.2024 20:14:13"/>
    <s v="14.06.24"/>
    <n v="180000"/>
    <m/>
    <m/>
    <d v="2024-06-14T00:00:00"/>
    <n v="17"/>
    <x v="2"/>
    <x v="9"/>
    <x v="2"/>
    <x v="0"/>
    <m/>
    <m/>
    <m/>
  </r>
  <r>
    <s v="60.02"/>
    <x v="304"/>
    <x v="1176"/>
    <s v="Списание с расчетного счета 00БП-002633 от 13.05.2024 19:05:03"/>
    <s v="13.05.24"/>
    <n v="35000"/>
    <m/>
    <m/>
    <d v="2024-05-13T00:00:00"/>
    <n v="49"/>
    <x v="1"/>
    <x v="9"/>
    <x v="2"/>
    <x v="0"/>
    <m/>
    <m/>
    <m/>
  </r>
  <r>
    <s v="60.02"/>
    <x v="116"/>
    <x v="1177"/>
    <s v="Списание с расчетного счета 00БП-003871 от 25.06.2024 17:39:37"/>
    <s v="25.06.24"/>
    <n v="182"/>
    <m/>
    <m/>
    <d v="2024-06-25T00:00:00"/>
    <n v="6"/>
    <x v="2"/>
    <x v="9"/>
    <x v="2"/>
    <x v="0"/>
    <m/>
    <m/>
    <m/>
  </r>
  <r>
    <s v="60.02"/>
    <x v="305"/>
    <x v="1178"/>
    <s v="Списание с расчетного счета 00БП-003267 от 05.06.2024 18:44:00"/>
    <s v="05.06.24"/>
    <n v="6215"/>
    <m/>
    <m/>
    <d v="2024-06-05T00:00:00"/>
    <n v="26"/>
    <x v="2"/>
    <x v="9"/>
    <x v="2"/>
    <x v="0"/>
    <m/>
    <m/>
    <m/>
  </r>
  <r>
    <s v="60.02"/>
    <x v="305"/>
    <x v="778"/>
    <s v="Списание с расчетного счета 00БП-003884 от 25.06.2024 17:39:50"/>
    <s v="25.06.24"/>
    <n v="87700"/>
    <m/>
    <m/>
    <d v="2024-06-25T00:00:00"/>
    <n v="6"/>
    <x v="2"/>
    <x v="9"/>
    <x v="2"/>
    <x v="0"/>
    <m/>
    <m/>
    <m/>
  </r>
  <r>
    <s v="60.02"/>
    <x v="305"/>
    <x v="779"/>
    <s v="Списание с расчетного счета 00БП-001780 от 15.04.2024 18:48:46"/>
    <s v="15.04.24"/>
    <n v="18597"/>
    <m/>
    <m/>
    <d v="2024-04-15T00:00:00"/>
    <n v="77"/>
    <x v="1"/>
    <x v="9"/>
    <x v="2"/>
    <x v="0"/>
    <m/>
    <m/>
    <m/>
  </r>
  <r>
    <s v="60.02"/>
    <x v="305"/>
    <x v="1179"/>
    <s v="Списание с расчетного счета 00БП-001909 от 17.04.2024 20:48:09"/>
    <s v="17.04.24"/>
    <n v="1350"/>
    <m/>
    <m/>
    <d v="2024-04-17T00:00:00"/>
    <n v="75"/>
    <x v="1"/>
    <x v="9"/>
    <x v="2"/>
    <x v="0"/>
    <m/>
    <m/>
    <m/>
  </r>
  <r>
    <s v="60.02"/>
    <x v="306"/>
    <x v="1180"/>
    <s v="Списание с расчетного счета 00БП-001166 от 27.03.2024 23:59:59"/>
    <s v="27.03.24"/>
    <n v="16897"/>
    <m/>
    <m/>
    <d v="2024-03-27T00:00:00"/>
    <n v="96"/>
    <x v="4"/>
    <x v="9"/>
    <x v="2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274"/>
    <x v="6"/>
    <x v="9"/>
    <x v="2"/>
    <x v="8"/>
    <m/>
    <m/>
    <m/>
  </r>
  <r>
    <s v="60.02"/>
    <x v="433"/>
    <x v="304"/>
    <s v="Авансовый отчет 00БП-000175 от 10.06.2024 11:04:29"/>
    <s v="10.06.24"/>
    <n v="3200"/>
    <m/>
    <m/>
    <d v="2024-06-10T00:00:00"/>
    <n v="21"/>
    <x v="2"/>
    <x v="9"/>
    <x v="2"/>
    <x v="0"/>
    <m/>
    <m/>
    <m/>
  </r>
  <r>
    <s v="60.02"/>
    <x v="434"/>
    <x v="73"/>
    <s v="Авансовый отчет 00БП-000025 от 06.03.2024 17:14:54"/>
    <s v="06.03.24"/>
    <n v="1287"/>
    <m/>
    <m/>
    <d v="2024-03-06T00:00:00"/>
    <n v="117"/>
    <x v="4"/>
    <x v="9"/>
    <x v="2"/>
    <x v="0"/>
    <m/>
    <m/>
    <m/>
  </r>
  <r>
    <s v="60.02"/>
    <x v="369"/>
    <x v="1181"/>
    <s v="Списание с расчетного счета 00БП-001510 от 09.04.2024 19:40:02"/>
    <s v="09.04.24"/>
    <n v="96900"/>
    <m/>
    <m/>
    <d v="2024-04-09T00:00:00"/>
    <n v="83"/>
    <x v="1"/>
    <x v="9"/>
    <x v="2"/>
    <x v="0"/>
    <m/>
    <m/>
    <m/>
  </r>
  <r>
    <s v="60.02"/>
    <x v="369"/>
    <x v="1182"/>
    <s v="Списание с расчетного счета 00БП-001511 от 09.04.2024 19:40:03"/>
    <s v="09.04.24"/>
    <n v="122700"/>
    <m/>
    <m/>
    <d v="2024-04-09T00:00:00"/>
    <n v="83"/>
    <x v="1"/>
    <x v="9"/>
    <x v="2"/>
    <x v="0"/>
    <m/>
    <m/>
    <m/>
  </r>
  <r>
    <s v="60.02"/>
    <x v="122"/>
    <x v="238"/>
    <s v="Списание с расчетного счета 00БП-002139 от 27.04.2024 18:41:27"/>
    <s v="27.04.24"/>
    <n v="23090"/>
    <m/>
    <m/>
    <d v="2024-04-27T00:00:00"/>
    <n v="65"/>
    <x v="1"/>
    <x v="9"/>
    <x v="2"/>
    <x v="0"/>
    <m/>
    <m/>
    <m/>
  </r>
  <r>
    <s v="60.02"/>
    <x v="122"/>
    <x v="1183"/>
    <s v="Списание с расчетного счета 00БП-004066 от 28.06.2024 19:03:25"/>
    <s v="28.06.24"/>
    <n v="71490"/>
    <m/>
    <m/>
    <d v="2024-06-28T00:00:00"/>
    <n v="3"/>
    <x v="2"/>
    <x v="9"/>
    <x v="2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364"/>
    <x v="5"/>
    <x v="9"/>
    <x v="2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287"/>
    <x v="6"/>
    <x v="9"/>
    <x v="2"/>
    <x v="8"/>
    <m/>
    <m/>
    <m/>
  </r>
  <r>
    <s v="60.02"/>
    <x v="122"/>
    <x v="1184"/>
    <s v="Списание с расчетного счета 00БП-003339 от 07.06.2024 20:17:36"/>
    <s v="07.06.24"/>
    <n v="3250"/>
    <m/>
    <m/>
    <d v="2024-06-07T00:00:00"/>
    <n v="24"/>
    <x v="2"/>
    <x v="9"/>
    <x v="2"/>
    <x v="0"/>
    <m/>
    <m/>
    <m/>
  </r>
  <r>
    <s v="60.02"/>
    <x v="122"/>
    <x v="1185"/>
    <s v="Списание с расчетного счета 00БП-003366 от 10.06.2024 23:59:59"/>
    <s v="10.06.24"/>
    <n v="24940"/>
    <m/>
    <m/>
    <d v="2024-06-10T00:00:00"/>
    <n v="21"/>
    <x v="2"/>
    <x v="9"/>
    <x v="2"/>
    <x v="0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18"/>
    <x v="2"/>
    <x v="9"/>
    <x v="2"/>
    <x v="8"/>
    <m/>
    <m/>
    <m/>
  </r>
  <r>
    <s v="60.02"/>
    <x v="122"/>
    <x v="1186"/>
    <s v="Списание с расчетного счета 00БП-003675 от 14.06.2024 20:14:08"/>
    <s v="14.06.24"/>
    <n v="2000"/>
    <m/>
    <m/>
    <d v="2024-06-14T00:00:00"/>
    <n v="17"/>
    <x v="2"/>
    <x v="9"/>
    <x v="2"/>
    <x v="0"/>
    <m/>
    <m/>
    <m/>
  </r>
  <r>
    <s v="60.02"/>
    <x v="122"/>
    <x v="1187"/>
    <s v="Списание с расчетного счета 00БП-003807 от 21.06.2024 19:45:13"/>
    <s v="21.06.24"/>
    <n v="11620"/>
    <m/>
    <m/>
    <d v="2024-06-21T00:00:00"/>
    <n v="10"/>
    <x v="2"/>
    <x v="9"/>
    <x v="2"/>
    <x v="0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222"/>
    <x v="3"/>
    <x v="9"/>
    <x v="2"/>
    <x v="8"/>
    <m/>
    <m/>
    <m/>
  </r>
  <r>
    <s v="60.02"/>
    <x v="122"/>
    <x v="1188"/>
    <s v="Списание с расчетного счета 00БП-003912 от 26.06.2024 19:23:21"/>
    <s v="26.06.24"/>
    <n v="2000"/>
    <m/>
    <m/>
    <d v="2024-06-26T00:00:00"/>
    <n v="5"/>
    <x v="2"/>
    <x v="9"/>
    <x v="2"/>
    <x v="0"/>
    <m/>
    <m/>
    <m/>
  </r>
  <r>
    <s v="60.02"/>
    <x v="122"/>
    <x v="1189"/>
    <s v="Списание с расчетного счета 00БП-003925 от 26.06.2024 19:23:34"/>
    <s v="26.06.24"/>
    <n v="62310"/>
    <m/>
    <m/>
    <d v="2024-06-26T00:00:00"/>
    <n v="5"/>
    <x v="2"/>
    <x v="9"/>
    <x v="2"/>
    <x v="0"/>
    <m/>
    <m/>
    <m/>
  </r>
  <r>
    <s v="60.02"/>
    <x v="122"/>
    <x v="1190"/>
    <s v="Списание с расчетного счета 00БП-004054 от 28.06.2024 19:03:13"/>
    <s v="28.06.24"/>
    <n v="2404"/>
    <m/>
    <m/>
    <d v="2024-06-28T00:00:00"/>
    <n v="3"/>
    <x v="2"/>
    <x v="9"/>
    <x v="2"/>
    <x v="0"/>
    <m/>
    <m/>
    <m/>
  </r>
  <r>
    <s v="60.02"/>
    <x v="122"/>
    <x v="1191"/>
    <s v="Списание с расчетного счета 00БП-003914 от 26.06.2024 19:23:23"/>
    <s v="26.06.24"/>
    <n v="3650"/>
    <m/>
    <m/>
    <d v="2024-06-26T00:00:00"/>
    <n v="5"/>
    <x v="2"/>
    <x v="9"/>
    <x v="2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452"/>
    <x v="5"/>
    <x v="9"/>
    <x v="2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271"/>
    <x v="6"/>
    <x v="9"/>
    <x v="2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1795"/>
    <x v="5"/>
    <x v="9"/>
    <x v="2"/>
    <x v="8"/>
    <m/>
    <m/>
    <m/>
  </r>
  <r>
    <s v="60.02"/>
    <x v="435"/>
    <x v="1192"/>
    <s v="Списание с расчетного счета 00БП-003749 от 19.06.2024 17:29:29"/>
    <s v="19.06.24"/>
    <n v="48643.76"/>
    <m/>
    <m/>
    <d v="2024-06-19T00:00:00"/>
    <n v="12"/>
    <x v="2"/>
    <x v="9"/>
    <x v="2"/>
    <x v="0"/>
    <m/>
    <m/>
    <m/>
  </r>
  <r>
    <s v="60.02"/>
    <x v="435"/>
    <x v="1193"/>
    <s v="Списание с расчетного счета 00БП-004073 от 28.06.2024 19:03:32"/>
    <s v="28.06.24"/>
    <n v="1720800"/>
    <m/>
    <m/>
    <d v="2024-06-28T00:00:00"/>
    <n v="3"/>
    <x v="2"/>
    <x v="9"/>
    <x v="2"/>
    <x v="0"/>
    <m/>
    <m/>
    <m/>
  </r>
  <r>
    <s v="60.02"/>
    <x v="125"/>
    <x v="1194"/>
    <s v="Списание с расчетного счета 00БП-003858 от 24.06.2024 17:54:43"/>
    <s v="24.06.24"/>
    <n v="178000"/>
    <m/>
    <m/>
    <d v="2024-06-24T00:00:00"/>
    <n v="7"/>
    <x v="2"/>
    <x v="9"/>
    <x v="2"/>
    <x v="0"/>
    <m/>
    <m/>
    <m/>
  </r>
  <r>
    <s v="60.02"/>
    <x v="237"/>
    <x v="1195"/>
    <s v="Списание с расчетного счета 00БП-002907 от 27.05.2024 18:19:22"/>
    <s v="27.05.24"/>
    <n v="14200"/>
    <m/>
    <m/>
    <d v="2024-05-27T00:00:00"/>
    <n v="35"/>
    <x v="1"/>
    <x v="9"/>
    <x v="2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82"/>
    <x v="1"/>
    <x v="9"/>
    <x v="2"/>
    <x v="2"/>
    <m/>
    <m/>
    <m/>
  </r>
  <r>
    <s v="60.02"/>
    <x v="127"/>
    <x v="1196"/>
    <s v="Списание с расчетного счета 00БП-003745 от 19.06.2024 17:29:25"/>
    <s v="19.06.24"/>
    <n v="24860"/>
    <m/>
    <m/>
    <d v="2024-06-19T00:00:00"/>
    <n v="12"/>
    <x v="2"/>
    <x v="9"/>
    <x v="2"/>
    <x v="0"/>
    <m/>
    <m/>
    <m/>
  </r>
  <r>
    <s v="60.02"/>
    <x v="436"/>
    <x v="1197"/>
    <s v="Списание с расчетного счета 00БП-002806 от 20.05.2024 19:51:40"/>
    <s v="20.05.24"/>
    <n v="43935"/>
    <m/>
    <m/>
    <d v="2024-05-20T00:00:00"/>
    <n v="42"/>
    <x v="1"/>
    <x v="9"/>
    <x v="2"/>
    <x v="0"/>
    <m/>
    <m/>
    <m/>
  </r>
  <r>
    <s v="60.02"/>
    <x v="310"/>
    <x v="1198"/>
    <s v="Списание с расчетного счета 00БП-003364 от 10.06.2024 23:59:59"/>
    <s v="10.06.24"/>
    <n v="6334.8"/>
    <m/>
    <m/>
    <d v="2024-06-10T00:00:00"/>
    <n v="21"/>
    <x v="2"/>
    <x v="9"/>
    <x v="2"/>
    <x v="0"/>
    <m/>
    <m/>
    <m/>
  </r>
  <r>
    <s v="60.02"/>
    <x v="310"/>
    <x v="1199"/>
    <s v="Списание с расчетного счета 00БП-001694 от 12.04.2024 19:18:22"/>
    <s v="12.04.24"/>
    <n v="2272.8000000000002"/>
    <m/>
    <m/>
    <d v="2024-04-12T00:00:00"/>
    <n v="80"/>
    <x v="1"/>
    <x v="9"/>
    <x v="2"/>
    <x v="0"/>
    <m/>
    <m/>
    <m/>
  </r>
  <r>
    <s v="60.02"/>
    <x v="310"/>
    <x v="1200"/>
    <s v="Списание с расчетного счета 00БП-002084 от 26.04.2024 18:26:03"/>
    <s v="26.04.24"/>
    <n v="432903.6"/>
    <m/>
    <m/>
    <d v="2024-04-26T00:00:00"/>
    <n v="66"/>
    <x v="1"/>
    <x v="9"/>
    <x v="2"/>
    <x v="0"/>
    <m/>
    <m/>
    <m/>
  </r>
  <r>
    <s v="60.02"/>
    <x v="355"/>
    <x v="1063"/>
    <s v="Списание с расчетного счета 00БП-000864 от 13.03.2024 23:59:59"/>
    <s v="13.03.24"/>
    <n v="1425656"/>
    <m/>
    <m/>
    <d v="2024-03-13T00:00:00"/>
    <n v="110"/>
    <x v="4"/>
    <x v="9"/>
    <x v="2"/>
    <x v="0"/>
    <m/>
    <m/>
    <m/>
  </r>
  <r>
    <s v="60.02"/>
    <x v="355"/>
    <x v="1064"/>
    <s v="Списание с расчетного счета 00БП-007736 от 07.12.2023 12:00:12"/>
    <s v="07.12.23"/>
    <n v="6050"/>
    <m/>
    <m/>
    <d v="2023-12-07T00:00:00"/>
    <n v="207"/>
    <x v="3"/>
    <x v="9"/>
    <x v="2"/>
    <x v="0"/>
    <m/>
    <m/>
    <m/>
  </r>
  <r>
    <s v="60.02"/>
    <x v="355"/>
    <x v="1065"/>
    <s v="Списание с расчетного счета 00БП-000118 от 22.01.2024 12:00:04"/>
    <s v="22.01.24"/>
    <n v="11000"/>
    <m/>
    <m/>
    <d v="2024-01-22T00:00:00"/>
    <n v="161"/>
    <x v="0"/>
    <x v="9"/>
    <x v="2"/>
    <x v="0"/>
    <m/>
    <m/>
    <m/>
  </r>
  <r>
    <s v="60.02"/>
    <x v="391"/>
    <x v="1066"/>
    <s v="Списание с расчетного счета 00БП-004513 от 28.07.2021 19:49:24"/>
    <s v="28.07.21"/>
    <n v="50000"/>
    <m/>
    <m/>
    <d v="2021-07-28T00:00:00"/>
    <n v="1069"/>
    <x v="5"/>
    <x v="9"/>
    <x v="2"/>
    <x v="0"/>
    <m/>
    <m/>
    <m/>
  </r>
  <r>
    <s v="60.02"/>
    <x v="437"/>
    <x v="1201"/>
    <s v="Списание с расчетного счета 00БП-003811 от 21.06.2024 19:45:17"/>
    <s v="21.06.24"/>
    <n v="14790"/>
    <m/>
    <m/>
    <d v="2024-06-21T00:00:00"/>
    <n v="10"/>
    <x v="2"/>
    <x v="9"/>
    <x v="2"/>
    <x v="0"/>
    <m/>
    <m/>
    <m/>
  </r>
  <r>
    <s v="60.02"/>
    <x v="438"/>
    <x v="1202"/>
    <s v="Списание с расчетного счета 00БП-002728 от 15.05.2024 18:13:36"/>
    <s v="15.05.24"/>
    <n v="190000"/>
    <m/>
    <m/>
    <d v="2024-05-15T00:00:00"/>
    <n v="47"/>
    <x v="1"/>
    <x v="9"/>
    <x v="2"/>
    <x v="0"/>
    <m/>
    <m/>
    <m/>
  </r>
  <r>
    <s v="60.02"/>
    <x v="438"/>
    <x v="1202"/>
    <s v="Списание с расчетного счета 00БП-003058 от 28.05.2024 18:55:35"/>
    <s v="28.05.24"/>
    <n v="190000"/>
    <m/>
    <m/>
    <d v="2024-05-28T00:00:00"/>
    <n v="34"/>
    <x v="1"/>
    <x v="9"/>
    <x v="2"/>
    <x v="0"/>
    <m/>
    <m/>
    <m/>
  </r>
  <r>
    <s v="60.02"/>
    <x v="317"/>
    <x v="73"/>
    <s v="Авансовый отчет 00БП-000027 от 07.03.2024 17:38:37"/>
    <s v="07.03.24"/>
    <n v="2000"/>
    <m/>
    <m/>
    <d v="2024-03-07T00:00:00"/>
    <n v="116"/>
    <x v="4"/>
    <x v="9"/>
    <x v="2"/>
    <x v="0"/>
    <m/>
    <m/>
    <m/>
  </r>
  <r>
    <s v="60.02"/>
    <x v="317"/>
    <x v="73"/>
    <s v="Авансовый отчет 00БП-000038 от 19.03.2024 10:31:48"/>
    <s v="19.03.24"/>
    <n v="1250"/>
    <m/>
    <m/>
    <d v="2024-03-19T00:00:00"/>
    <n v="104"/>
    <x v="4"/>
    <x v="9"/>
    <x v="2"/>
    <x v="0"/>
    <m/>
    <m/>
    <m/>
  </r>
  <r>
    <s v="60.02"/>
    <x v="141"/>
    <x v="1203"/>
    <s v="Списание с расчетного счета 00БП-003784 от 20.06.2024 17:26:09"/>
    <s v="20.06.24"/>
    <n v="16500"/>
    <m/>
    <m/>
    <d v="2024-06-20T00:00:00"/>
    <n v="11"/>
    <x v="2"/>
    <x v="9"/>
    <x v="2"/>
    <x v="0"/>
    <m/>
    <m/>
    <m/>
  </r>
  <r>
    <s v="60.02"/>
    <x v="245"/>
    <x v="1204"/>
    <s v="Авансовый отчет 00БП-000038 от 19.03.2024 10:31:48"/>
    <s v="19.03.24"/>
    <n v="3570"/>
    <m/>
    <m/>
    <d v="2024-03-19T00:00:00"/>
    <n v="104"/>
    <x v="4"/>
    <x v="9"/>
    <x v="2"/>
    <x v="0"/>
    <m/>
    <m/>
    <m/>
  </r>
  <r>
    <s v="60.02"/>
    <x v="145"/>
    <x v="313"/>
    <s v="Списание с расчетного счета 00БП-001542 от 10.04.2024 19:30:33"/>
    <s v="10.04.24"/>
    <n v="2648.14"/>
    <m/>
    <m/>
    <d v="2024-04-10T00:00:00"/>
    <n v="82"/>
    <x v="1"/>
    <x v="9"/>
    <x v="2"/>
    <x v="0"/>
    <m/>
    <m/>
    <m/>
  </r>
  <r>
    <s v="60.02"/>
    <x v="145"/>
    <x v="937"/>
    <s v="Списание с расчетного счета 00БП-001502 от 09.04.2024 19:39:54"/>
    <s v="09.04.24"/>
    <n v="401.23"/>
    <m/>
    <m/>
    <d v="2024-04-09T00:00:00"/>
    <n v="83"/>
    <x v="1"/>
    <x v="9"/>
    <x v="2"/>
    <x v="0"/>
    <m/>
    <s v="Экологический отдел"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880"/>
    <x v="5"/>
    <x v="9"/>
    <x v="2"/>
    <x v="2"/>
    <m/>
    <m/>
    <m/>
  </r>
  <r>
    <s v="60.02"/>
    <x v="147"/>
    <x v="1068"/>
    <s v="Списание с расчетного счета 00БП-003343 от 07.06.2024 20:17:40"/>
    <s v="07.06.24"/>
    <n v="111835.29"/>
    <m/>
    <m/>
    <d v="2024-06-07T00:00:00"/>
    <n v="24"/>
    <x v="2"/>
    <x v="9"/>
    <x v="2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250"/>
    <x v="3"/>
    <x v="9"/>
    <x v="2"/>
    <x v="0"/>
    <m/>
    <m/>
    <m/>
  </r>
  <r>
    <s v="60.02"/>
    <x v="149"/>
    <x v="1069"/>
    <s v="Списание с расчетного счета 00БП-002617 от 08.05.2024 18:51:26"/>
    <s v="08.05.24"/>
    <n v="207739.69"/>
    <m/>
    <m/>
    <d v="2024-05-08T00:00:00"/>
    <n v="54"/>
    <x v="1"/>
    <x v="9"/>
    <x v="2"/>
    <x v="0"/>
    <m/>
    <m/>
    <m/>
  </r>
  <r>
    <s v="60.02"/>
    <x v="150"/>
    <x v="1070"/>
    <s v="Списание с расчетного счета 00БП-000281 от 07.02.2024 12:00:11"/>
    <s v="07.02.24"/>
    <n v="30600"/>
    <m/>
    <m/>
    <d v="2024-02-07T00:00:00"/>
    <n v="145"/>
    <x v="0"/>
    <x v="9"/>
    <x v="2"/>
    <x v="0"/>
    <m/>
    <m/>
    <m/>
  </r>
  <r>
    <s v="60.02"/>
    <x v="248"/>
    <x v="1205"/>
    <s v="Списание с расчетного счета 00БП-002782 от 17.05.2024 19:52:25"/>
    <s v="17.05.24"/>
    <n v="22000"/>
    <m/>
    <m/>
    <d v="2024-05-17T00:00:00"/>
    <n v="45"/>
    <x v="1"/>
    <x v="9"/>
    <x v="2"/>
    <x v="0"/>
    <m/>
    <m/>
    <m/>
  </r>
  <r>
    <s v="60.02"/>
    <x v="249"/>
    <x v="1206"/>
    <s v="Списание с расчетного счета 00БП-002747 от 15.05.2024 18:13:58"/>
    <s v="15.05.24"/>
    <n v="1003351.97"/>
    <m/>
    <m/>
    <d v="2024-05-15T00:00:00"/>
    <n v="47"/>
    <x v="1"/>
    <x v="9"/>
    <x v="2"/>
    <x v="0"/>
    <m/>
    <m/>
    <m/>
  </r>
  <r>
    <s v="60.02"/>
    <x v="152"/>
    <x v="1207"/>
    <s v="Списание с расчетного счета 00БП-005827 от 28.09.2023 20:05:46"/>
    <s v="28.09.23"/>
    <n v="15500"/>
    <m/>
    <m/>
    <d v="2023-09-28T00:00:00"/>
    <n v="277"/>
    <x v="6"/>
    <x v="9"/>
    <x v="2"/>
    <x v="0"/>
    <m/>
    <m/>
    <m/>
  </r>
  <r>
    <s v="60.02"/>
    <x v="439"/>
    <x v="1208"/>
    <s v="Списание с расчетного счета 00БП-003200 от 03.06.2024 18:14:19"/>
    <s v="03.06.24"/>
    <n v="2758870.5"/>
    <m/>
    <m/>
    <d v="2024-06-03T00:00:00"/>
    <n v="28"/>
    <x v="2"/>
    <x v="9"/>
    <x v="2"/>
    <x v="0"/>
    <m/>
    <m/>
    <m/>
  </r>
  <r>
    <s v="60.02"/>
    <x v="440"/>
    <x v="1209"/>
    <s v="Списание с расчетного счета 00БП-003879 от 25.06.2024 17:39:45"/>
    <s v="25.06.24"/>
    <n v="19000"/>
    <m/>
    <m/>
    <d v="2024-06-25T00:00:00"/>
    <n v="6"/>
    <x v="2"/>
    <x v="9"/>
    <x v="2"/>
    <x v="0"/>
    <m/>
    <m/>
    <m/>
  </r>
  <r>
    <s v="60.02"/>
    <x v="318"/>
    <x v="73"/>
    <s v="Авансовый отчет 00БП-000161 от 29.05.2024 10:56:15"/>
    <s v="29.05.24"/>
    <n v="4000"/>
    <m/>
    <m/>
    <d v="2024-05-29T00:00:00"/>
    <n v="33"/>
    <x v="1"/>
    <x v="9"/>
    <x v="2"/>
    <x v="0"/>
    <m/>
    <m/>
    <m/>
  </r>
  <r>
    <s v="60.02"/>
    <x v="441"/>
    <x v="1210"/>
    <s v="Списание с расчетного счета 00БП-003183 от 03.06.2024 18:14:02"/>
    <s v="03.06.24"/>
    <n v="8850"/>
    <m/>
    <m/>
    <d v="2024-06-03T00:00:00"/>
    <n v="28"/>
    <x v="2"/>
    <x v="9"/>
    <x v="2"/>
    <x v="0"/>
    <m/>
    <m/>
    <m/>
  </r>
  <r>
    <s v="60.02"/>
    <x v="393"/>
    <x v="1073"/>
    <s v="Списание с расчетного счета 00БП-001361 от 02.04.2024 17:31:31"/>
    <s v="02.04.24"/>
    <n v="920000"/>
    <m/>
    <m/>
    <d v="2024-04-02T00:00:00"/>
    <n v="90"/>
    <x v="1"/>
    <x v="9"/>
    <x v="2"/>
    <x v="0"/>
    <m/>
    <m/>
    <m/>
  </r>
  <r>
    <s v="60.02"/>
    <x v="157"/>
    <x v="1074"/>
    <s v="Списание с расчетного счета 00БП-001916 от 17.04.2024 20:48:16"/>
    <s v="17.04.24"/>
    <n v="9719.6"/>
    <m/>
    <m/>
    <d v="2024-04-17T00:00:00"/>
    <n v="75"/>
    <x v="1"/>
    <x v="9"/>
    <x v="2"/>
    <x v="0"/>
    <m/>
    <m/>
    <m/>
  </r>
  <r>
    <s v="60.02"/>
    <x v="157"/>
    <x v="1075"/>
    <s v="Корректировка поступления 00БП-000004 от 01.06.2023 0:00:00"/>
    <s v="01.06.23"/>
    <n v="0.4"/>
    <m/>
    <m/>
    <d v="2023-06-01T00:00:00"/>
    <n v="396"/>
    <x v="5"/>
    <x v="9"/>
    <x v="2"/>
    <x v="0"/>
    <m/>
    <m/>
    <m/>
  </r>
  <r>
    <s v="60.02"/>
    <x v="324"/>
    <x v="1211"/>
    <s v="Списание с расчетного счета 00БП-007277 от 22.11.2023 15:47:00"/>
    <s v="22.11.23"/>
    <n v="313500"/>
    <m/>
    <m/>
    <d v="2023-11-22T00:00:00"/>
    <n v="222"/>
    <x v="3"/>
    <x v="9"/>
    <x v="2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614"/>
    <x v="5"/>
    <x v="9"/>
    <x v="2"/>
    <x v="0"/>
    <m/>
    <m/>
    <m/>
  </r>
  <r>
    <s v="60.02"/>
    <x v="162"/>
    <x v="1077"/>
    <s v="Списание с расчетного счета 00БП-005563 от 20.09.2023 17:53:24"/>
    <s v="20.09.23"/>
    <n v="2094390"/>
    <m/>
    <m/>
    <d v="2023-09-20T00:00:00"/>
    <n v="285"/>
    <x v="6"/>
    <x v="9"/>
    <x v="2"/>
    <x v="0"/>
    <m/>
    <m/>
    <m/>
  </r>
  <r>
    <s v="60.02"/>
    <x v="442"/>
    <x v="1212"/>
    <s v="Списание с расчетного счета 00БП-000417 от 19.02.2024 16:12:24"/>
    <s v="19.02.24"/>
    <n v="26485.919999999998"/>
    <m/>
    <m/>
    <d v="2024-02-19T00:00:00"/>
    <n v="133"/>
    <x v="0"/>
    <x v="9"/>
    <x v="2"/>
    <x v="0"/>
    <m/>
    <m/>
    <m/>
  </r>
  <r>
    <s v="60.02"/>
    <x v="326"/>
    <x v="943"/>
    <s v="Списание с расчетного счета 00БП-003369 от 10.06.2024 23:59:59"/>
    <s v="10.06.24"/>
    <n v="185371.36"/>
    <m/>
    <m/>
    <d v="2024-06-10T00:00:00"/>
    <n v="21"/>
    <x v="2"/>
    <x v="9"/>
    <x v="2"/>
    <x v="0"/>
    <m/>
    <m/>
    <m/>
  </r>
  <r>
    <s v="60.32"/>
    <x v="38"/>
    <x v="1079"/>
    <s v="Списание с расчетного счета 00БП-000264 от 06.02.2024 12:00:05"/>
    <s v="06.02.24"/>
    <n v="57739.34"/>
    <m/>
    <m/>
    <d v="2024-02-06T00:00:00"/>
    <n v="146"/>
    <x v="0"/>
    <x v="9"/>
    <x v="2"/>
    <x v="0"/>
    <m/>
    <m/>
    <m/>
  </r>
  <r>
    <s v="60.32"/>
    <x v="395"/>
    <x v="1080"/>
    <s v="Списание с расчетного счета 00БП-001939 от 18.04.2024 20:17:23"/>
    <s v="18.04.24"/>
    <n v="2485087.63"/>
    <m/>
    <m/>
    <d v="2024-04-18T00:00:00"/>
    <n v="74"/>
    <x v="1"/>
    <x v="9"/>
    <x v="2"/>
    <x v="0"/>
    <m/>
    <m/>
    <m/>
  </r>
  <r>
    <s v="60.32"/>
    <x v="396"/>
    <x v="1081"/>
    <s v="Списание с расчетного счета 00БП-000406 от 16.02.2024 16:04:46"/>
    <s v="16.02.24"/>
    <n v="1178770.51"/>
    <m/>
    <m/>
    <d v="2024-02-16T00:00:00"/>
    <n v="136"/>
    <x v="0"/>
    <x v="9"/>
    <x v="2"/>
    <x v="0"/>
    <m/>
    <m/>
    <m/>
  </r>
  <r>
    <s v="60.32"/>
    <x v="78"/>
    <x v="1213"/>
    <s v="Списание с расчетного счета 00БП-006364 от 19.10.2023 17:19:30"/>
    <s v="19.10.23"/>
    <n v="545854.66"/>
    <m/>
    <m/>
    <d v="2023-10-19T00:00:00"/>
    <n v="256"/>
    <x v="3"/>
    <x v="9"/>
    <x v="2"/>
    <x v="0"/>
    <m/>
    <m/>
    <m/>
  </r>
  <r>
    <s v="60.32"/>
    <x v="78"/>
    <x v="1213"/>
    <s v="Списание с расчетного счета 00БП-000912 от 14.03.2024 17:41:40"/>
    <s v="14.03.24"/>
    <n v="3013009.97"/>
    <m/>
    <m/>
    <d v="2024-03-14T00:00:00"/>
    <n v="109"/>
    <x v="4"/>
    <x v="9"/>
    <x v="2"/>
    <x v="0"/>
    <m/>
    <m/>
    <m/>
  </r>
  <r>
    <s v="60.32"/>
    <x v="106"/>
    <x v="595"/>
    <s v="Списание с расчетного счета 00БП-004072 от 28.06.2024 19:03:31"/>
    <s v="28.06.24"/>
    <n v="1132762.98"/>
    <m/>
    <m/>
    <d v="2024-06-28T00:00:00"/>
    <n v="3"/>
    <x v="2"/>
    <x v="9"/>
    <x v="2"/>
    <x v="0"/>
    <m/>
    <m/>
    <m/>
  </r>
  <r>
    <s v="60.32"/>
    <x v="106"/>
    <x v="1214"/>
    <s v="Списание с расчетного счета 00БП-004075 от 28.06.2024 19:03:34"/>
    <s v="28.06.24"/>
    <n v="2339143.89"/>
    <m/>
    <m/>
    <d v="2024-06-28T00:00:00"/>
    <n v="3"/>
    <x v="2"/>
    <x v="9"/>
    <x v="2"/>
    <x v="0"/>
    <m/>
    <m/>
    <m/>
  </r>
  <r>
    <s v="60.32"/>
    <x v="127"/>
    <x v="1215"/>
    <s v="Списание с расчетного счета 00БП-001011 от 19.03.2024 18:12:20"/>
    <s v="19.03.24"/>
    <n v="5874261.6299999999"/>
    <m/>
    <m/>
    <d v="2024-03-19T00:00:00"/>
    <n v="104"/>
    <x v="4"/>
    <x v="9"/>
    <x v="2"/>
    <x v="0"/>
    <m/>
    <m/>
    <m/>
  </r>
  <r>
    <s v="60.32"/>
    <x v="310"/>
    <x v="1082"/>
    <s v="Списание с расчетного счета 00БП-000228 от 01.02.2024 9:57:34"/>
    <s v="01.02.24"/>
    <n v="4237847.28"/>
    <m/>
    <m/>
    <d v="2024-02-01T00:00:00"/>
    <n v="151"/>
    <x v="0"/>
    <x v="9"/>
    <x v="2"/>
    <x v="0"/>
    <m/>
    <m/>
    <m/>
  </r>
  <r>
    <s v="60.02"/>
    <x v="397"/>
    <x v="1083"/>
    <s v="Списание с расчетного счета 00БП-004417 от 10.08.2023 18:11:46"/>
    <s v="10.08.23"/>
    <n v="440"/>
    <m/>
    <m/>
    <d v="2023-08-10T00:00:00"/>
    <n v="235"/>
    <x v="3"/>
    <x v="10"/>
    <x v="2"/>
    <x v="0"/>
    <m/>
    <m/>
    <m/>
  </r>
  <r>
    <s v="60.02"/>
    <x v="0"/>
    <x v="820"/>
    <s v="Списание с расчетного счета 00БП-003158 от 16.06.2023 21:01:03"/>
    <s v="16.06.23"/>
    <n v="5200"/>
    <m/>
    <m/>
    <d v="2023-06-16T00:00:00"/>
    <n v="290"/>
    <x v="6"/>
    <x v="10"/>
    <x v="2"/>
    <x v="0"/>
    <m/>
    <m/>
    <m/>
  </r>
  <r>
    <s v="60.02"/>
    <x v="3"/>
    <x v="1216"/>
    <s v="Списание с расчетного счета 00БП-007190 от 16.11.2023 18:12:34"/>
    <s v="16.11.23"/>
    <n v="5547126.2000000002"/>
    <m/>
    <m/>
    <d v="2023-11-16T00:00:00"/>
    <n v="137"/>
    <x v="0"/>
    <x v="10"/>
    <x v="2"/>
    <x v="0"/>
    <m/>
    <m/>
    <m/>
  </r>
  <r>
    <s v="60.02"/>
    <x v="3"/>
    <x v="1216"/>
    <s v="Списание с расчетного счета 00БП-000467 от 22.02.2024 15:49:18"/>
    <s v="22.02.24"/>
    <n v="1832272.8"/>
    <m/>
    <m/>
    <d v="2024-02-22T00:00:00"/>
    <n v="39"/>
    <x v="1"/>
    <x v="10"/>
    <x v="2"/>
    <x v="0"/>
    <m/>
    <m/>
    <m/>
  </r>
  <r>
    <s v="60.02"/>
    <x v="3"/>
    <x v="1217"/>
    <s v="Списание с расчетного счета 00БП-007189 от 16.11.2023 18:12:33"/>
    <s v="16.11.23"/>
    <n v="5143632.9000000004"/>
    <m/>
    <m/>
    <d v="2023-11-16T00:00:00"/>
    <n v="137"/>
    <x v="0"/>
    <x v="10"/>
    <x v="2"/>
    <x v="0"/>
    <m/>
    <m/>
    <m/>
  </r>
  <r>
    <s v="60.02"/>
    <x v="3"/>
    <x v="1217"/>
    <s v="Списание с расчетного счета 00БП-000470 от 22.02.2024 15:49:21"/>
    <s v="22.02.24"/>
    <n v="2204414.1"/>
    <m/>
    <m/>
    <d v="2024-02-22T00:00:00"/>
    <n v="39"/>
    <x v="1"/>
    <x v="10"/>
    <x v="2"/>
    <x v="0"/>
    <m/>
    <m/>
    <m/>
  </r>
  <r>
    <s v="60.02"/>
    <x v="3"/>
    <x v="1218"/>
    <s v="Списание с расчетного счета 00БП-007188 от 16.11.2023 18:12:32"/>
    <s v="16.11.23"/>
    <n v="4313673"/>
    <m/>
    <m/>
    <d v="2023-11-16T00:00:00"/>
    <n v="137"/>
    <x v="0"/>
    <x v="10"/>
    <x v="2"/>
    <x v="0"/>
    <m/>
    <m/>
    <m/>
  </r>
  <r>
    <s v="60.02"/>
    <x v="3"/>
    <x v="1218"/>
    <s v="Списание с расчетного счета 00БП-000468 от 22.02.2024 15:49:19"/>
    <s v="22.02.24"/>
    <n v="1848717"/>
    <m/>
    <m/>
    <d v="2024-02-22T00:00:00"/>
    <n v="39"/>
    <x v="1"/>
    <x v="10"/>
    <x v="2"/>
    <x v="0"/>
    <m/>
    <m/>
    <m/>
  </r>
  <r>
    <s v="60.02"/>
    <x v="3"/>
    <x v="1219"/>
    <s v="Списание с расчетного счета 00БП-007263 от 21.11.2023 15:55:25"/>
    <s v="21.11.23"/>
    <n v="4498242.53"/>
    <m/>
    <m/>
    <d v="2023-11-21T00:00:00"/>
    <n v="132"/>
    <x v="0"/>
    <x v="10"/>
    <x v="2"/>
    <x v="0"/>
    <m/>
    <m/>
    <m/>
  </r>
  <r>
    <s v="60.02"/>
    <x v="3"/>
    <x v="1219"/>
    <s v="Списание с расчетного счета 00БП-000469 от 22.02.2024 15:49:20"/>
    <s v="22.02.24"/>
    <n v="1927818.22"/>
    <m/>
    <m/>
    <d v="2024-02-22T00:00:00"/>
    <n v="39"/>
    <x v="1"/>
    <x v="10"/>
    <x v="2"/>
    <x v="0"/>
    <m/>
    <m/>
    <m/>
  </r>
  <r>
    <s v="60.02"/>
    <x v="3"/>
    <x v="1220"/>
    <s v="Списание с расчетного счета 00БП-007185 от 16.11.2023 18:12:29"/>
    <s v="16.11.23"/>
    <n v="625893.61"/>
    <m/>
    <m/>
    <d v="2023-11-16T00:00:00"/>
    <n v="137"/>
    <x v="0"/>
    <x v="10"/>
    <x v="2"/>
    <x v="0"/>
    <m/>
    <m/>
    <m/>
  </r>
  <r>
    <s v="60.02"/>
    <x v="3"/>
    <x v="1220"/>
    <s v="Списание с расчетного счета 00БП-000462 от 22.02.2024 15:49:13"/>
    <s v="22.02.24"/>
    <n v="268240.12"/>
    <m/>
    <m/>
    <d v="2024-02-22T00:00:00"/>
    <n v="39"/>
    <x v="1"/>
    <x v="10"/>
    <x v="2"/>
    <x v="0"/>
    <m/>
    <m/>
    <m/>
  </r>
  <r>
    <s v="60.02"/>
    <x v="4"/>
    <x v="1221"/>
    <s v="Списание с расчетного счета 00БП-007766 от 11.12.2023 16:35:04"/>
    <s v="11.12.23"/>
    <n v="14700000"/>
    <m/>
    <m/>
    <d v="2023-12-11T00:00:00"/>
    <n v="112"/>
    <x v="4"/>
    <x v="10"/>
    <x v="2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332"/>
    <x v="6"/>
    <x v="10"/>
    <x v="2"/>
    <x v="0"/>
    <m/>
    <m/>
    <m/>
  </r>
  <r>
    <s v="60.02"/>
    <x v="443"/>
    <x v="1222"/>
    <s v="Списание с расчетного счета 00БП-001039 от 20.03.2024 18:33:59"/>
    <s v="20.03.24"/>
    <n v="1613200"/>
    <m/>
    <m/>
    <d v="2024-03-20T00:00:00"/>
    <n v="12"/>
    <x v="2"/>
    <x v="10"/>
    <x v="2"/>
    <x v="0"/>
    <m/>
    <m/>
    <m/>
  </r>
  <r>
    <s v="60.02"/>
    <x v="444"/>
    <x v="1223"/>
    <s v="Списание с расчетного счета 00БП-007988 от 28.12.2023 15:20:49"/>
    <s v="28.12.23"/>
    <n v="4185400"/>
    <m/>
    <m/>
    <d v="2023-12-28T00:00:00"/>
    <n v="95"/>
    <x v="4"/>
    <x v="10"/>
    <x v="2"/>
    <x v="0"/>
    <m/>
    <m/>
    <m/>
  </r>
  <r>
    <s v="60.02"/>
    <x v="10"/>
    <x v="17"/>
    <s v="Списание с расчетного счета 00БП-007689 от 04.12.2023 18:08:53"/>
    <s v="04.12.23"/>
    <n v="149579232"/>
    <m/>
    <m/>
    <d v="2023-12-04T00:00:00"/>
    <n v="119"/>
    <x v="4"/>
    <x v="10"/>
    <x v="2"/>
    <x v="0"/>
    <m/>
    <m/>
    <m/>
  </r>
  <r>
    <s v="60.02"/>
    <x v="12"/>
    <x v="996"/>
    <s v="Списание с расчетного счета 00БП-000670 от 05.03.2024 17:27:34"/>
    <s v="05.03.24"/>
    <n v="1017.07"/>
    <m/>
    <m/>
    <d v="2024-03-05T00:00:00"/>
    <n v="27"/>
    <x v="2"/>
    <x v="10"/>
    <x v="2"/>
    <x v="0"/>
    <m/>
    <m/>
    <m/>
  </r>
  <r>
    <s v="60.02"/>
    <x v="191"/>
    <x v="73"/>
    <s v="Авансовый отчет 00БП-000025 от 06.03.2024 17:14:54"/>
    <s v="06.03.24"/>
    <n v="15925"/>
    <m/>
    <m/>
    <d v="2024-03-06T00:00:00"/>
    <n v="26"/>
    <x v="2"/>
    <x v="10"/>
    <x v="2"/>
    <x v="0"/>
    <m/>
    <m/>
    <m/>
  </r>
  <r>
    <s v="60.02"/>
    <x v="374"/>
    <x v="304"/>
    <s v="Авансовый отчет 00БП-000038 от 19.03.2024 10:31:48"/>
    <s v="19.03.24"/>
    <n v="1330"/>
    <m/>
    <m/>
    <d v="2024-03-19T00:00:00"/>
    <n v="13"/>
    <x v="2"/>
    <x v="10"/>
    <x v="2"/>
    <x v="0"/>
    <m/>
    <m/>
    <m/>
  </r>
  <r>
    <s v="60.02"/>
    <x v="374"/>
    <x v="1224"/>
    <s v="Списание с расчетного счета 00БП-000577 от 29.02.2024 23:59:59"/>
    <s v="29.02.24"/>
    <n v="2100"/>
    <m/>
    <m/>
    <d v="2024-02-29T00:00:00"/>
    <n v="32"/>
    <x v="1"/>
    <x v="10"/>
    <x v="2"/>
    <x v="0"/>
    <m/>
    <m/>
    <m/>
  </r>
  <r>
    <s v="60.02"/>
    <x v="171"/>
    <x v="1225"/>
    <s v="Списание с расчетного счета 00БП-000996 от 19.03.2024 18:12:05"/>
    <s v="19.03.24"/>
    <n v="88800"/>
    <m/>
    <m/>
    <d v="2024-03-19T00:00:00"/>
    <n v="13"/>
    <x v="2"/>
    <x v="10"/>
    <x v="2"/>
    <x v="0"/>
    <m/>
    <m/>
    <m/>
  </r>
  <r>
    <s v="60.02"/>
    <x v="445"/>
    <x v="1226"/>
    <s v="Списание с расчетного счета 00БП-000471 от 22.02.2024 15:49:22"/>
    <s v="22.02.24"/>
    <n v="2800000"/>
    <m/>
    <m/>
    <d v="2024-02-22T00:00:00"/>
    <n v="39"/>
    <x v="1"/>
    <x v="10"/>
    <x v="2"/>
    <x v="0"/>
    <m/>
    <m/>
    <m/>
  </r>
  <r>
    <s v="60.02"/>
    <x v="445"/>
    <x v="1226"/>
    <s v="Списание с расчетного счета 00БП-000937 от 15.03.2024 20:34:29"/>
    <s v="15.03.24"/>
    <n v="3200000"/>
    <m/>
    <m/>
    <d v="2024-03-15T00:00:00"/>
    <n v="17"/>
    <x v="2"/>
    <x v="10"/>
    <x v="2"/>
    <x v="0"/>
    <m/>
    <m/>
    <m/>
  </r>
  <r>
    <s v="60.02"/>
    <x v="16"/>
    <x v="1227"/>
    <s v="Списание с расчетного счета 00БП-000389 от 15.02.2024 17:30:55"/>
    <s v="15.02.24"/>
    <n v="29124"/>
    <m/>
    <m/>
    <d v="2024-02-15T00:00:00"/>
    <n v="46"/>
    <x v="1"/>
    <x v="10"/>
    <x v="2"/>
    <x v="0"/>
    <m/>
    <m/>
    <m/>
  </r>
  <r>
    <s v="60.02"/>
    <x v="16"/>
    <x v="1228"/>
    <s v="Списание с расчетного счета 00БП-001031 от 20.03.2024 18:33:51"/>
    <s v="20.03.24"/>
    <n v="286485.26"/>
    <m/>
    <m/>
    <d v="2024-03-20T00:00:00"/>
    <n v="12"/>
    <x v="2"/>
    <x v="10"/>
    <x v="2"/>
    <x v="0"/>
    <m/>
    <m/>
    <m/>
  </r>
  <r>
    <s v="60.02"/>
    <x v="262"/>
    <x v="622"/>
    <s v="Списание с расчетного счета 00БП-000908 от 14.03.2024 17:41:36"/>
    <s v="14.03.24"/>
    <n v="12470"/>
    <m/>
    <m/>
    <d v="2024-03-14T00:00:00"/>
    <n v="18"/>
    <x v="2"/>
    <x v="10"/>
    <x v="2"/>
    <x v="0"/>
    <m/>
    <m/>
    <m/>
  </r>
  <r>
    <s v="60.02"/>
    <x v="19"/>
    <x v="28"/>
    <s v="Списание с расчетного счета 00БП-007903 от 22.12.2023 12:00:09"/>
    <s v="22.12.23"/>
    <n v="49500"/>
    <m/>
    <m/>
    <d v="2023-12-22T00:00:00"/>
    <n v="101"/>
    <x v="4"/>
    <x v="10"/>
    <x v="2"/>
    <x v="0"/>
    <m/>
    <m/>
    <m/>
  </r>
  <r>
    <s v="60.02"/>
    <x v="403"/>
    <x v="304"/>
    <s v="Авансовый отчет 00БП-000025 от 06.03.2024 17:14:54"/>
    <s v="06.03.24"/>
    <n v="23484"/>
    <m/>
    <m/>
    <d v="2024-03-06T00:00:00"/>
    <n v="26"/>
    <x v="2"/>
    <x v="10"/>
    <x v="2"/>
    <x v="0"/>
    <m/>
    <m/>
    <m/>
  </r>
  <r>
    <s v="60.02"/>
    <x v="263"/>
    <x v="623"/>
    <s v="Списание с расчетного счета 00БП-001227 от 31.03.2023 23:59:59"/>
    <s v="31.03.23"/>
    <n v="6879"/>
    <m/>
    <m/>
    <d v="2023-03-31T00:00:00"/>
    <n v="367"/>
    <x v="5"/>
    <x v="10"/>
    <x v="2"/>
    <x v="0"/>
    <m/>
    <m/>
    <m/>
  </r>
  <r>
    <s v="60.02"/>
    <x v="23"/>
    <x v="1003"/>
    <s v="Списание с расчетного счета 00БП-000508 от 26.02.2024 14:37:26"/>
    <s v="26.02.24"/>
    <n v="1615784.87"/>
    <m/>
    <m/>
    <d v="2024-02-26T00:00:00"/>
    <n v="35"/>
    <x v="1"/>
    <x v="10"/>
    <x v="2"/>
    <x v="0"/>
    <m/>
    <m/>
    <m/>
  </r>
  <r>
    <s v="60.02"/>
    <x v="446"/>
    <x v="1229"/>
    <s v="Списание с расчетного счета 00БП-001026 от 20.03.2024 18:33:46"/>
    <s v="20.03.24"/>
    <n v="41540"/>
    <m/>
    <m/>
    <d v="2024-03-20T00:00:00"/>
    <n v="12"/>
    <x v="2"/>
    <x v="10"/>
    <x v="2"/>
    <x v="0"/>
    <m/>
    <m/>
    <m/>
  </r>
  <r>
    <s v="60.02"/>
    <x v="446"/>
    <x v="1229"/>
    <s v="Списание с расчетного счета 00БП-001121 от 25.03.2024 17:31:18"/>
    <s v="25.03.24"/>
    <n v="600000"/>
    <m/>
    <m/>
    <d v="2024-03-25T00:00:00"/>
    <n v="7"/>
    <x v="2"/>
    <x v="10"/>
    <x v="2"/>
    <x v="0"/>
    <m/>
    <m/>
    <m/>
  </r>
  <r>
    <s v="60.02"/>
    <x v="196"/>
    <x v="73"/>
    <s v="Авансовый отчет 00БП-000021 от 05.03.2024 15:58:49"/>
    <s v="05.03.24"/>
    <n v="21470"/>
    <m/>
    <m/>
    <d v="2024-03-05T00:00:00"/>
    <n v="27"/>
    <x v="2"/>
    <x v="10"/>
    <x v="2"/>
    <x v="0"/>
    <m/>
    <m/>
    <m/>
  </r>
  <r>
    <s v="60.02"/>
    <x v="447"/>
    <x v="1230"/>
    <s v="Списание с расчетного счета 00БП-000520 от 27.02.2024 16:35:16"/>
    <s v="27.02.24"/>
    <n v="200000"/>
    <m/>
    <m/>
    <d v="2024-02-27T00:00:00"/>
    <n v="34"/>
    <x v="1"/>
    <x v="10"/>
    <x v="2"/>
    <x v="0"/>
    <m/>
    <m/>
    <m/>
  </r>
  <r>
    <s v="60.02"/>
    <x v="447"/>
    <x v="1230"/>
    <s v="Списание с расчетного счета 00БП-000549 от 28.02.2024 23:59:59"/>
    <s v="28.02.24"/>
    <n v="200000"/>
    <m/>
    <m/>
    <d v="2024-02-28T00:00:00"/>
    <n v="33"/>
    <x v="1"/>
    <x v="10"/>
    <x v="2"/>
    <x v="0"/>
    <m/>
    <m/>
    <m/>
  </r>
  <r>
    <s v="60.02"/>
    <x v="406"/>
    <x v="1095"/>
    <s v="Списание с расчетного счета 00БП-001253 от 28.03.2024 17:35:53"/>
    <s v="28.03.24"/>
    <n v="110769.5"/>
    <m/>
    <m/>
    <d v="2024-03-28T00:00:00"/>
    <n v="4"/>
    <x v="2"/>
    <x v="10"/>
    <x v="2"/>
    <x v="0"/>
    <m/>
    <m/>
    <m/>
  </r>
  <r>
    <s v="60.02"/>
    <x v="29"/>
    <x v="1009"/>
    <s v="Списание с расчетного счета 00БП-007086 от 10.11.2023 16:36:34"/>
    <s v="10.11.23"/>
    <n v="8750"/>
    <m/>
    <m/>
    <d v="2023-11-10T00:00:00"/>
    <n v="143"/>
    <x v="0"/>
    <x v="10"/>
    <x v="2"/>
    <x v="0"/>
    <m/>
    <m/>
    <m/>
  </r>
  <r>
    <s v="60.02"/>
    <x v="29"/>
    <x v="1231"/>
    <s v="Списание с расчетного счета 00БП-000848 от 13.03.2024 23:59:59"/>
    <s v="13.03.24"/>
    <n v="73765"/>
    <m/>
    <m/>
    <d v="2024-03-13T00:00:00"/>
    <n v="19"/>
    <x v="2"/>
    <x v="10"/>
    <x v="2"/>
    <x v="0"/>
    <m/>
    <m/>
    <m/>
  </r>
  <r>
    <s v="60.02"/>
    <x v="30"/>
    <x v="47"/>
    <s v="Списание с расчетного счета 00БП-003842 от 27.07.2020 18:29:17"/>
    <s v="27.07.20"/>
    <n v="6600"/>
    <m/>
    <m/>
    <d v="2020-07-27T00:00:00"/>
    <n v="1344"/>
    <x v="5"/>
    <x v="10"/>
    <x v="2"/>
    <x v="0"/>
    <m/>
    <m/>
    <m/>
  </r>
  <r>
    <s v="60.02"/>
    <x v="30"/>
    <x v="428"/>
    <s v="Списание с расчетного счета 00БП-007511 от 24.11.2023 17:56:41"/>
    <s v="24.11.23"/>
    <n v="6600"/>
    <m/>
    <m/>
    <d v="2023-11-24T00:00:00"/>
    <n v="129"/>
    <x v="0"/>
    <x v="10"/>
    <x v="2"/>
    <x v="0"/>
    <m/>
    <m/>
    <m/>
  </r>
  <r>
    <s v="60.02"/>
    <x v="377"/>
    <x v="1018"/>
    <s v="Списание с расчетного счета 00БП-000616 от 01.03.2024 17:23:23"/>
    <s v="01.03.24"/>
    <n v="1700000"/>
    <m/>
    <m/>
    <d v="2024-03-01T00:00:00"/>
    <n v="31"/>
    <x v="1"/>
    <x v="10"/>
    <x v="2"/>
    <x v="0"/>
    <m/>
    <m/>
    <m/>
  </r>
  <r>
    <s v="60.02"/>
    <x v="448"/>
    <x v="1232"/>
    <s v="Списание с расчетного счета 00БП-000509 от 26.02.2024 14:37:27"/>
    <s v="26.02.24"/>
    <n v="3375000"/>
    <m/>
    <m/>
    <d v="2024-02-26T00:00:00"/>
    <n v="35"/>
    <x v="1"/>
    <x v="10"/>
    <x v="2"/>
    <x v="0"/>
    <m/>
    <m/>
    <m/>
  </r>
  <r>
    <s v="60.02"/>
    <x v="449"/>
    <x v="1233"/>
    <s v="Списание с расчетного счета 00БП-000011 от 09.01.2024 12:00:12"/>
    <s v="09.01.24"/>
    <n v="7168371"/>
    <m/>
    <m/>
    <d v="2024-01-09T00:00:00"/>
    <n v="83"/>
    <x v="1"/>
    <x v="10"/>
    <x v="2"/>
    <x v="0"/>
    <m/>
    <m/>
    <m/>
  </r>
  <r>
    <s v="60.02"/>
    <x v="449"/>
    <x v="1233"/>
    <s v="Списание с расчетного счета 00БП-000718 от 07.03.2024 17:38:03"/>
    <s v="07.03.24"/>
    <n v="3584185.5"/>
    <m/>
    <m/>
    <d v="2024-03-07T00:00:00"/>
    <n v="25"/>
    <x v="2"/>
    <x v="10"/>
    <x v="2"/>
    <x v="0"/>
    <m/>
    <m/>
    <m/>
  </r>
  <r>
    <s v="60.02"/>
    <x v="449"/>
    <x v="1234"/>
    <s v="Списание с расчетного счета 00БП-000103 от 19.01.2024 12:00:03"/>
    <s v="19.01.24"/>
    <n v="1230000"/>
    <m/>
    <m/>
    <d v="2024-01-19T00:00:00"/>
    <n v="73"/>
    <x v="1"/>
    <x v="10"/>
    <x v="2"/>
    <x v="0"/>
    <m/>
    <m/>
    <m/>
  </r>
  <r>
    <s v="60.02"/>
    <x v="449"/>
    <x v="1234"/>
    <s v="Списание с расчетного счета 00БП-000713 от 07.03.2024 17:37:58"/>
    <s v="07.03.24"/>
    <n v="615000"/>
    <m/>
    <m/>
    <d v="2024-03-07T00:00:00"/>
    <n v="25"/>
    <x v="2"/>
    <x v="10"/>
    <x v="2"/>
    <x v="0"/>
    <m/>
    <m/>
    <m/>
  </r>
  <r>
    <s v="60.02"/>
    <x v="449"/>
    <x v="1235"/>
    <s v="Списание с расчетного счета 00БП-000102 от 19.01.2024 12:00:02"/>
    <s v="19.01.24"/>
    <n v="1200000"/>
    <m/>
    <m/>
    <d v="2024-01-19T00:00:00"/>
    <n v="73"/>
    <x v="1"/>
    <x v="10"/>
    <x v="2"/>
    <x v="0"/>
    <m/>
    <m/>
    <m/>
  </r>
  <r>
    <s v="60.02"/>
    <x v="449"/>
    <x v="1235"/>
    <s v="Списание с расчетного счета 00БП-000712 от 07.03.2024 17:37:57"/>
    <s v="07.03.24"/>
    <n v="600000"/>
    <m/>
    <m/>
    <d v="2024-03-07T00:00:00"/>
    <n v="25"/>
    <x v="2"/>
    <x v="10"/>
    <x v="2"/>
    <x v="0"/>
    <m/>
    <m/>
    <m/>
  </r>
  <r>
    <s v="60.02"/>
    <x v="409"/>
    <x v="1236"/>
    <s v="Списание с расчетного счета 00БП-001133 от 26.03.2024 18:50:17"/>
    <s v="26.03.24"/>
    <n v="162017"/>
    <m/>
    <m/>
    <d v="2024-03-26T00:00:00"/>
    <n v="6"/>
    <x v="2"/>
    <x v="10"/>
    <x v="2"/>
    <x v="0"/>
    <m/>
    <m/>
    <m/>
  </r>
  <r>
    <s v="60.02"/>
    <x v="36"/>
    <x v="1104"/>
    <s v="Списание с расчетного счета 00БП-007616 от 15.12.2020 14:53:03"/>
    <s v="15.12.20"/>
    <n v="2324.42"/>
    <m/>
    <m/>
    <d v="2020-12-15T00:00:00"/>
    <n v="1203"/>
    <x v="5"/>
    <x v="10"/>
    <x v="2"/>
    <x v="0"/>
    <m/>
    <m/>
    <m/>
  </r>
  <r>
    <s v="60.02"/>
    <x v="36"/>
    <x v="1105"/>
    <s v="Списание с расчетного счета 00БП-000190 от 30.01.2024 12:00:03"/>
    <s v="30.01.24"/>
    <n v="16260"/>
    <m/>
    <m/>
    <d v="2024-01-30T00:00:00"/>
    <n v="62"/>
    <x v="1"/>
    <x v="10"/>
    <x v="2"/>
    <x v="0"/>
    <m/>
    <m/>
    <m/>
  </r>
  <r>
    <s v="60.02"/>
    <x v="36"/>
    <x v="1106"/>
    <s v="Списание с расчетного счета 00БП-000760 от 11.03.2024 17:53:28"/>
    <s v="11.03.24"/>
    <n v="8393433.7400000002"/>
    <m/>
    <m/>
    <d v="2024-03-11T00:00:00"/>
    <n v="21"/>
    <x v="2"/>
    <x v="10"/>
    <x v="2"/>
    <x v="0"/>
    <m/>
    <m/>
    <m/>
  </r>
  <r>
    <s v="60.02"/>
    <x v="36"/>
    <x v="1237"/>
    <s v="Списание с расчетного счета 00БП-000982 от 18.03.2024 18:19:11"/>
    <s v="18.03.24"/>
    <n v="2817154.92"/>
    <m/>
    <m/>
    <d v="2024-03-18T00:00:00"/>
    <n v="14"/>
    <x v="2"/>
    <x v="10"/>
    <x v="2"/>
    <x v="0"/>
    <m/>
    <m/>
    <m/>
  </r>
  <r>
    <s v="60.02"/>
    <x v="36"/>
    <x v="1238"/>
    <s v="Списание с расчетного счета 00БП-000402 от 16.02.2024 16:04:42"/>
    <s v="16.02.24"/>
    <n v="577124.5"/>
    <m/>
    <m/>
    <d v="2024-02-16T00:00:00"/>
    <n v="45"/>
    <x v="1"/>
    <x v="10"/>
    <x v="2"/>
    <x v="0"/>
    <m/>
    <m/>
    <m/>
  </r>
  <r>
    <s v="60.02"/>
    <x v="36"/>
    <x v="1239"/>
    <s v="Списание с расчетного счета 00БП-000404 от 16.02.2024 16:04:44"/>
    <s v="16.02.24"/>
    <n v="876825"/>
    <m/>
    <m/>
    <d v="2024-02-16T00:00:00"/>
    <n v="45"/>
    <x v="1"/>
    <x v="10"/>
    <x v="2"/>
    <x v="0"/>
    <m/>
    <m/>
    <m/>
  </r>
  <r>
    <s v="60.02"/>
    <x v="36"/>
    <x v="1107"/>
    <s v="Списание с расчетного счета 00БП-000401 от 16.02.2024 16:04:41"/>
    <s v="16.02.24"/>
    <n v="265474"/>
    <m/>
    <m/>
    <d v="2024-02-16T00:00:00"/>
    <n v="45"/>
    <x v="1"/>
    <x v="10"/>
    <x v="2"/>
    <x v="0"/>
    <m/>
    <m/>
    <m/>
  </r>
  <r>
    <s v="60.02"/>
    <x v="36"/>
    <x v="643"/>
    <s v="Списание с расчетного счета 00БП-000176 от 29.01.2024 12:00:05"/>
    <s v="29.01.24"/>
    <n v="8096035.8600000003"/>
    <m/>
    <m/>
    <d v="2024-01-29T00:00:00"/>
    <n v="63"/>
    <x v="1"/>
    <x v="10"/>
    <x v="2"/>
    <x v="0"/>
    <m/>
    <m/>
    <m/>
  </r>
  <r>
    <s v="60.02"/>
    <x v="36"/>
    <x v="1240"/>
    <s v="Списание с расчетного счета 00БП-000980 от 18.03.2024 18:19:09"/>
    <s v="18.03.24"/>
    <n v="1950000"/>
    <m/>
    <m/>
    <d v="2024-03-18T00:00:00"/>
    <n v="14"/>
    <x v="2"/>
    <x v="10"/>
    <x v="2"/>
    <x v="0"/>
    <m/>
    <m/>
    <m/>
  </r>
  <r>
    <s v="60.02"/>
    <x v="36"/>
    <x v="1108"/>
    <s v="Списание с расчетного счета 00БП-000981 от 18.03.2024 18:19:10"/>
    <s v="18.03.24"/>
    <n v="1950000"/>
    <m/>
    <m/>
    <d v="2024-03-18T00:00:00"/>
    <n v="14"/>
    <x v="2"/>
    <x v="10"/>
    <x v="2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980"/>
    <x v="5"/>
    <x v="10"/>
    <x v="2"/>
    <x v="0"/>
    <m/>
    <m/>
    <m/>
  </r>
  <r>
    <s v="60.02"/>
    <x v="38"/>
    <x v="78"/>
    <s v="Списание с расчетного счета 00БП-001255 от 28.03.2024 17:35:55"/>
    <s v="28.03.24"/>
    <n v="236857.5"/>
    <m/>
    <m/>
    <d v="2024-03-28T00:00:00"/>
    <n v="4"/>
    <x v="2"/>
    <x v="10"/>
    <x v="2"/>
    <x v="0"/>
    <m/>
    <m/>
    <m/>
  </r>
  <r>
    <s v="60.02"/>
    <x v="38"/>
    <x v="1241"/>
    <s v="Списание с расчетного счета 00БП-000227 от 01.02.2024 9:57:33"/>
    <s v="01.02.24"/>
    <n v="1648497"/>
    <m/>
    <m/>
    <d v="2024-02-01T00:00:00"/>
    <n v="60"/>
    <x v="1"/>
    <x v="10"/>
    <x v="2"/>
    <x v="0"/>
    <m/>
    <m/>
    <m/>
  </r>
  <r>
    <s v="60.02"/>
    <x v="38"/>
    <x v="1020"/>
    <s v="Списание с расчетного счета 00БП-008006 от 29.12.2023 12:00:12"/>
    <s v="29.12.23"/>
    <n v="677356.8"/>
    <m/>
    <m/>
    <d v="2023-12-29T00:00:00"/>
    <n v="94"/>
    <x v="4"/>
    <x v="10"/>
    <x v="2"/>
    <x v="0"/>
    <m/>
    <m/>
    <m/>
  </r>
  <r>
    <s v="60.02"/>
    <x v="450"/>
    <x v="1242"/>
    <s v="Списание с расчетного счета 00БП-001259 от 28.03.2024 17:35:59"/>
    <s v="28.03.24"/>
    <n v="503270.98"/>
    <m/>
    <m/>
    <d v="2024-03-28T00:00:00"/>
    <n v="4"/>
    <x v="2"/>
    <x v="10"/>
    <x v="2"/>
    <x v="0"/>
    <m/>
    <m/>
    <m/>
  </r>
  <r>
    <s v="60.02"/>
    <x v="333"/>
    <x v="1243"/>
    <s v="Списание с расчетного счета 00БП-001091 от 22.03.2024 20:02:46"/>
    <s v="22.03.24"/>
    <n v="2390300"/>
    <m/>
    <m/>
    <d v="2024-03-22T00:00:00"/>
    <n v="10"/>
    <x v="2"/>
    <x v="10"/>
    <x v="2"/>
    <x v="0"/>
    <m/>
    <m/>
    <m/>
  </r>
  <r>
    <s v="60.02"/>
    <x v="379"/>
    <x v="1244"/>
    <s v="Списание с расчетного счета 00БП-001194 от 27.03.2024 23:59:59"/>
    <s v="27.03.24"/>
    <n v="267500"/>
    <m/>
    <m/>
    <d v="2024-03-27T00:00:00"/>
    <n v="5"/>
    <x v="2"/>
    <x v="10"/>
    <x v="2"/>
    <x v="0"/>
    <m/>
    <m/>
    <m/>
  </r>
  <r>
    <s v="60.02"/>
    <x v="40"/>
    <x v="238"/>
    <s v="Списание с расчетного счета 00БП-001306 от 06.04.2023 19:01:57"/>
    <s v="06.04.23"/>
    <n v="266"/>
    <m/>
    <m/>
    <d v="2023-04-06T00:00:00"/>
    <n v="361"/>
    <x v="5"/>
    <x v="10"/>
    <x v="2"/>
    <x v="0"/>
    <m/>
    <m/>
    <m/>
  </r>
  <r>
    <s v="60.02"/>
    <x v="40"/>
    <x v="238"/>
    <s v="Списание с расчетного счета 00БП-001663 от 14.04.2023 20:37:05"/>
    <s v="14.04.23"/>
    <n v="1480"/>
    <m/>
    <m/>
    <d v="2023-04-14T00:00:00"/>
    <n v="353"/>
    <x v="6"/>
    <x v="10"/>
    <x v="2"/>
    <x v="0"/>
    <m/>
    <m/>
    <m/>
  </r>
  <r>
    <s v="60.02"/>
    <x v="40"/>
    <x v="238"/>
    <s v="Списание с расчетного счета 00БП-002380 от 16.05.2023 20:19:17"/>
    <s v="16.05.23"/>
    <n v="1220"/>
    <m/>
    <m/>
    <d v="2023-05-16T00:00:00"/>
    <n v="321"/>
    <x v="6"/>
    <x v="10"/>
    <x v="2"/>
    <x v="0"/>
    <m/>
    <m/>
    <m/>
  </r>
  <r>
    <s v="60.02"/>
    <x v="40"/>
    <x v="238"/>
    <s v="Списание с расчетного счета 00БП-002523 от 25.05.2023 19:25:33"/>
    <s v="25.05.23"/>
    <n v="790"/>
    <m/>
    <m/>
    <d v="2023-05-25T00:00:00"/>
    <n v="312"/>
    <x v="6"/>
    <x v="10"/>
    <x v="2"/>
    <x v="0"/>
    <m/>
    <m/>
    <m/>
  </r>
  <r>
    <s v="60.02"/>
    <x v="40"/>
    <x v="238"/>
    <s v="Списание с расчетного счета 00БП-002996 от 09.06.2023 21:23:56"/>
    <s v="09.06.23"/>
    <n v="840"/>
    <m/>
    <m/>
    <d v="2023-06-09T00:00:00"/>
    <n v="297"/>
    <x v="6"/>
    <x v="10"/>
    <x v="2"/>
    <x v="0"/>
    <m/>
    <m/>
    <m/>
  </r>
  <r>
    <s v="60.02"/>
    <x v="40"/>
    <x v="238"/>
    <s v="Списание с расчетного счета 00БП-003636 от 11.07.2023 17:48:56"/>
    <s v="11.07.23"/>
    <n v="1060"/>
    <m/>
    <m/>
    <d v="2023-07-11T00:00:00"/>
    <n v="265"/>
    <x v="3"/>
    <x v="10"/>
    <x v="2"/>
    <x v="0"/>
    <m/>
    <m/>
    <m/>
  </r>
  <r>
    <s v="60.02"/>
    <x v="40"/>
    <x v="238"/>
    <s v="Корректировка поступления 00БП-000013 от 15.08.2023 11:54:38"/>
    <s v="15.08.23"/>
    <n v="260"/>
    <m/>
    <m/>
    <d v="2023-08-15T00:00:00"/>
    <n v="230"/>
    <x v="3"/>
    <x v="10"/>
    <x v="2"/>
    <x v="0"/>
    <m/>
    <m/>
    <m/>
  </r>
  <r>
    <s v="60.02"/>
    <x v="40"/>
    <x v="238"/>
    <s v="Списание с расчетного счета 00БП-005591 от 21.09.2023 17:19:10"/>
    <s v="21.09.23"/>
    <n v="740"/>
    <m/>
    <m/>
    <d v="2023-09-21T00:00:00"/>
    <n v="193"/>
    <x v="3"/>
    <x v="10"/>
    <x v="2"/>
    <x v="0"/>
    <m/>
    <m/>
    <m/>
  </r>
  <r>
    <s v="60.02"/>
    <x v="40"/>
    <x v="238"/>
    <s v="Списание с расчетного счета 00БП-005762 от 27.09.2023 18:16:25"/>
    <s v="27.09.23"/>
    <n v="1050"/>
    <m/>
    <m/>
    <d v="2023-09-27T00:00:00"/>
    <n v="187"/>
    <x v="3"/>
    <x v="10"/>
    <x v="2"/>
    <x v="0"/>
    <m/>
    <m/>
    <m/>
  </r>
  <r>
    <s v="60.02"/>
    <x v="40"/>
    <x v="1118"/>
    <s v="Списание с расчетного счета 00БП-000975 от 18.03.2024 18:19:04"/>
    <s v="18.03.24"/>
    <n v="104686"/>
    <m/>
    <m/>
    <d v="2024-03-18T00:00:00"/>
    <n v="14"/>
    <x v="2"/>
    <x v="10"/>
    <x v="2"/>
    <x v="0"/>
    <m/>
    <m/>
    <m/>
  </r>
  <r>
    <s v="60.02"/>
    <x v="41"/>
    <x v="1245"/>
    <s v="Списание с расчетного счета 00БП-000405 от 16.02.2024 16:04:45"/>
    <s v="16.02.24"/>
    <n v="2849000"/>
    <m/>
    <m/>
    <d v="2024-02-16T00:00:00"/>
    <n v="45"/>
    <x v="1"/>
    <x v="10"/>
    <x v="2"/>
    <x v="0"/>
    <m/>
    <m/>
    <m/>
  </r>
  <r>
    <s v="60.02"/>
    <x v="41"/>
    <x v="1245"/>
    <s v="Списание с расчетного счета 00БП-001305 от 29.03.2024 18:50:40"/>
    <s v="29.03.24"/>
    <n v="500000"/>
    <m/>
    <m/>
    <d v="2024-03-29T00:00:00"/>
    <n v="3"/>
    <x v="2"/>
    <x v="10"/>
    <x v="2"/>
    <x v="0"/>
    <m/>
    <m/>
    <m/>
  </r>
  <r>
    <s v="60.02"/>
    <x v="42"/>
    <x v="1246"/>
    <s v="Списание с расчетного счета 00БП-001250 от 28.03.2024 17:35:50"/>
    <s v="28.03.24"/>
    <n v="70797"/>
    <m/>
    <m/>
    <d v="2024-03-28T00:00:00"/>
    <n v="4"/>
    <x v="2"/>
    <x v="10"/>
    <x v="2"/>
    <x v="0"/>
    <m/>
    <m/>
    <m/>
  </r>
  <r>
    <s v="60.02"/>
    <x v="380"/>
    <x v="1026"/>
    <s v="Списание с расчетного счета 00БП-005476 от 13.09.2023 21:56:45"/>
    <s v="13.09.23"/>
    <n v="127.61"/>
    <m/>
    <m/>
    <d v="2023-09-13T00:00:00"/>
    <n v="201"/>
    <x v="3"/>
    <x v="10"/>
    <x v="2"/>
    <x v="0"/>
    <m/>
    <m/>
    <m/>
  </r>
  <r>
    <s v="60.02"/>
    <x v="44"/>
    <x v="1247"/>
    <s v="Корректировка долга 00БП-000008 от 26.02.2024 14:37:38"/>
    <s v="26.02.24"/>
    <n v="24620"/>
    <m/>
    <m/>
    <d v="2024-02-26T00:00:00"/>
    <n v="35"/>
    <x v="1"/>
    <x v="10"/>
    <x v="2"/>
    <x v="0"/>
    <m/>
    <m/>
    <m/>
  </r>
  <r>
    <s v="60.02"/>
    <x v="44"/>
    <x v="1248"/>
    <s v="Корректировка долга 00БП-000008 от 26.02.2024 14:37:38"/>
    <s v="26.02.24"/>
    <n v="16859"/>
    <m/>
    <m/>
    <d v="2024-02-26T00:00:00"/>
    <n v="35"/>
    <x v="1"/>
    <x v="10"/>
    <x v="2"/>
    <x v="0"/>
    <m/>
    <m/>
    <m/>
  </r>
  <r>
    <s v="60.02"/>
    <x v="44"/>
    <x v="1249"/>
    <s v="Корректировка долга 00БП-000008 от 26.02.2024 14:37:38"/>
    <s v="26.02.24"/>
    <n v="1550"/>
    <m/>
    <m/>
    <d v="2024-02-26T00:00:00"/>
    <n v="35"/>
    <x v="1"/>
    <x v="10"/>
    <x v="2"/>
    <x v="0"/>
    <m/>
    <m/>
    <m/>
  </r>
  <r>
    <s v="60.02"/>
    <x v="44"/>
    <x v="1250"/>
    <s v="Корректировка долга 00БП-000008 от 26.02.2024 14:37:38"/>
    <s v="26.02.24"/>
    <n v="900"/>
    <m/>
    <m/>
    <d v="2024-02-26T00:00:00"/>
    <n v="35"/>
    <x v="1"/>
    <x v="10"/>
    <x v="2"/>
    <x v="0"/>
    <m/>
    <m/>
    <m/>
  </r>
  <r>
    <s v="60.02"/>
    <x v="44"/>
    <x v="1251"/>
    <s v="Корректировка долга 00БП-000008 от 26.02.2024 14:37:38"/>
    <s v="26.02.24"/>
    <n v="1300"/>
    <m/>
    <m/>
    <d v="2024-02-26T00:00:00"/>
    <n v="35"/>
    <x v="1"/>
    <x v="10"/>
    <x v="2"/>
    <x v="0"/>
    <m/>
    <m/>
    <m/>
  </r>
  <r>
    <s v="60.02"/>
    <x v="44"/>
    <x v="1252"/>
    <s v="Корректировка долга 00БП-000008 от 26.02.2024 14:37:38"/>
    <s v="26.02.24"/>
    <n v="600"/>
    <m/>
    <m/>
    <d v="2024-02-26T00:00:00"/>
    <n v="35"/>
    <x v="1"/>
    <x v="10"/>
    <x v="2"/>
    <x v="0"/>
    <m/>
    <m/>
    <m/>
  </r>
  <r>
    <s v="60.02"/>
    <x v="381"/>
    <x v="73"/>
    <s v="Авансовый отчет 00БП-000025 от 06.03.2024 17:14:54"/>
    <s v="06.03.24"/>
    <n v="7800"/>
    <m/>
    <m/>
    <d v="2024-03-06T00:00:00"/>
    <n v="26"/>
    <x v="2"/>
    <x v="10"/>
    <x v="2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783"/>
    <x v="5"/>
    <x v="10"/>
    <x v="2"/>
    <x v="8"/>
    <m/>
    <m/>
    <m/>
  </r>
  <r>
    <s v="60.02"/>
    <x v="413"/>
    <x v="1132"/>
    <s v="Списание с расчетного счета 00БП-001249 от 28.03.2024 17:35:49"/>
    <s v="28.03.24"/>
    <n v="35000"/>
    <m/>
    <m/>
    <d v="2024-03-28T00:00:00"/>
    <n v="4"/>
    <x v="2"/>
    <x v="10"/>
    <x v="2"/>
    <x v="0"/>
    <m/>
    <m/>
    <m/>
  </r>
  <r>
    <s v="60.02"/>
    <x v="48"/>
    <x v="123"/>
    <s v="Корректировка долга 00БП-000112 от 31.07.2022 13:59:59"/>
    <s v="31.07.22"/>
    <n v="14913.96"/>
    <m/>
    <m/>
    <d v="2022-07-31T00:00:00"/>
    <n v="610"/>
    <x v="5"/>
    <x v="10"/>
    <x v="2"/>
    <x v="0"/>
    <m/>
    <m/>
    <m/>
  </r>
  <r>
    <s v="60.02"/>
    <x v="48"/>
    <x v="1253"/>
    <s v="Списание с расчетного счета 00БП-000263 от 06.02.2024 12:00:04"/>
    <s v="06.02.24"/>
    <n v="1781.77"/>
    <m/>
    <m/>
    <d v="2024-02-06T00:00:00"/>
    <n v="55"/>
    <x v="1"/>
    <x v="10"/>
    <x v="2"/>
    <x v="0"/>
    <m/>
    <m/>
    <m/>
  </r>
  <r>
    <s v="60.02"/>
    <x v="48"/>
    <x v="1254"/>
    <s v="Списание с расчетного счета 00БП-001001 от 19.03.2024 18:12:10"/>
    <s v="19.03.24"/>
    <n v="995032.3"/>
    <m/>
    <m/>
    <d v="2024-03-19T00:00:00"/>
    <n v="13"/>
    <x v="2"/>
    <x v="10"/>
    <x v="2"/>
    <x v="0"/>
    <m/>
    <m/>
    <m/>
  </r>
  <r>
    <s v="60.02"/>
    <x v="48"/>
    <x v="1028"/>
    <s v="Списание с расчетного счета 00БП-000272 от 06.02.2024 12:00:13"/>
    <s v="06.02.24"/>
    <n v="4858535.07"/>
    <m/>
    <m/>
    <d v="2024-02-06T00:00:00"/>
    <n v="55"/>
    <x v="1"/>
    <x v="10"/>
    <x v="2"/>
    <x v="0"/>
    <m/>
    <m/>
    <m/>
  </r>
  <r>
    <s v="60.02"/>
    <x v="48"/>
    <x v="1255"/>
    <s v="Списание с расчетного счета 00БП-000265 от 06.02.2024 12:00:06"/>
    <s v="06.02.24"/>
    <n v="380000"/>
    <m/>
    <m/>
    <d v="2024-02-06T00:00:00"/>
    <n v="55"/>
    <x v="1"/>
    <x v="10"/>
    <x v="2"/>
    <x v="0"/>
    <m/>
    <m/>
    <m/>
  </r>
  <r>
    <s v="60.02"/>
    <x v="213"/>
    <x v="1256"/>
    <s v="Списание с расчетного счета 00БП-006992 от 08.11.2023 17:30:28"/>
    <s v="08.11.23"/>
    <n v="7250000"/>
    <m/>
    <m/>
    <d v="2023-11-08T00:00:00"/>
    <n v="145"/>
    <x v="0"/>
    <x v="10"/>
    <x v="2"/>
    <x v="0"/>
    <m/>
    <m/>
    <m/>
  </r>
  <r>
    <s v="60.02"/>
    <x v="213"/>
    <x v="1256"/>
    <s v="Списание с расчетного счета 00БП-000865 от 13.03.2024 23:59:59"/>
    <s v="13.03.24"/>
    <n v="2900000"/>
    <m/>
    <m/>
    <d v="2024-03-13T00:00:00"/>
    <n v="19"/>
    <x v="2"/>
    <x v="10"/>
    <x v="2"/>
    <x v="0"/>
    <m/>
    <m/>
    <m/>
  </r>
  <r>
    <s v="60.02"/>
    <x v="213"/>
    <x v="1257"/>
    <s v="Списание с расчетного счета 00БП-007088 от 10.11.2023 16:36:36"/>
    <s v="10.11.23"/>
    <n v="15190000"/>
    <m/>
    <m/>
    <d v="2023-11-10T00:00:00"/>
    <n v="143"/>
    <x v="0"/>
    <x v="10"/>
    <x v="2"/>
    <x v="0"/>
    <m/>
    <m/>
    <m/>
  </r>
  <r>
    <s v="60.02"/>
    <x v="213"/>
    <x v="1257"/>
    <s v="Списание с расчетного счета 00БП-000201 от 31.01.2024 23:59:59"/>
    <s v="31.01.24"/>
    <n v="3255000"/>
    <m/>
    <m/>
    <d v="2024-01-31T00:00:00"/>
    <n v="61"/>
    <x v="1"/>
    <x v="10"/>
    <x v="2"/>
    <x v="0"/>
    <m/>
    <m/>
    <m/>
  </r>
  <r>
    <s v="60.02"/>
    <x v="213"/>
    <x v="1134"/>
    <s v="Списание с расчетного счета 00БП-007191 от 16.11.2023 18:12:35"/>
    <s v="16.11.23"/>
    <n v="10500000"/>
    <m/>
    <m/>
    <d v="2023-11-16T00:00:00"/>
    <n v="137"/>
    <x v="0"/>
    <x v="10"/>
    <x v="2"/>
    <x v="0"/>
    <m/>
    <m/>
    <m/>
  </r>
  <r>
    <s v="60.02"/>
    <x v="213"/>
    <x v="1258"/>
    <s v="Списание с расчетного счета 00БП-007262 от 21.11.2023 15:55:24"/>
    <s v="21.11.23"/>
    <n v="2700000"/>
    <m/>
    <m/>
    <d v="2023-11-21T00:00:00"/>
    <n v="132"/>
    <x v="0"/>
    <x v="10"/>
    <x v="2"/>
    <x v="0"/>
    <m/>
    <m/>
    <m/>
  </r>
  <r>
    <s v="60.02"/>
    <x v="213"/>
    <x v="1258"/>
    <s v="Списание с расчетного счета 00БП-000852 от 13.03.2024 23:59:59"/>
    <s v="13.03.24"/>
    <n v="900000"/>
    <m/>
    <m/>
    <d v="2024-03-13T00:00:00"/>
    <n v="19"/>
    <x v="2"/>
    <x v="10"/>
    <x v="2"/>
    <x v="0"/>
    <m/>
    <m/>
    <m/>
  </r>
  <r>
    <s v="60.02"/>
    <x v="213"/>
    <x v="480"/>
    <s v="Списание с расчетного счета 00БП-007991 от 28.12.2023 15:20:52"/>
    <s v="28.12.23"/>
    <n v="12772710.16"/>
    <m/>
    <m/>
    <d v="2023-12-28T00:00:00"/>
    <n v="95"/>
    <x v="4"/>
    <x v="10"/>
    <x v="2"/>
    <x v="0"/>
    <m/>
    <m/>
    <m/>
  </r>
  <r>
    <s v="60.02"/>
    <x v="382"/>
    <x v="1031"/>
    <s v="Списание с расчетного счета 00БП-003596 от 24.06.2021 19:11:18"/>
    <s v="24.06.21"/>
    <n v="340.4"/>
    <m/>
    <m/>
    <d v="2021-06-24T00:00:00"/>
    <n v="1012"/>
    <x v="5"/>
    <x v="10"/>
    <x v="2"/>
    <x v="0"/>
    <m/>
    <m/>
    <m/>
  </r>
  <r>
    <s v="60.02"/>
    <x v="451"/>
    <x v="1259"/>
    <s v="Списание с расчетного счета 00БП-001035 от 20.03.2024 18:33:55"/>
    <s v="20.03.24"/>
    <n v="792000"/>
    <m/>
    <m/>
    <d v="2024-03-20T00:00:00"/>
    <n v="12"/>
    <x v="2"/>
    <x v="10"/>
    <x v="2"/>
    <x v="0"/>
    <m/>
    <m/>
    <m/>
  </r>
  <r>
    <s v="60.02"/>
    <x v="451"/>
    <x v="1259"/>
    <s v="Списание с расчетного счета 00БП-001306 от 29.03.2024 18:50:41"/>
    <s v="29.03.24"/>
    <n v="600000"/>
    <m/>
    <m/>
    <d v="2024-03-29T00:00:00"/>
    <n v="3"/>
    <x v="2"/>
    <x v="10"/>
    <x v="2"/>
    <x v="0"/>
    <m/>
    <m/>
    <m/>
  </r>
  <r>
    <s v="60.02"/>
    <x v="451"/>
    <x v="1259"/>
    <s v="Списание с расчетного счета 00БП-001307 от 29.03.2024 18:50:42"/>
    <s v="29.03.24"/>
    <n v="672000"/>
    <m/>
    <m/>
    <d v="2024-03-29T00:00:00"/>
    <n v="3"/>
    <x v="2"/>
    <x v="10"/>
    <x v="2"/>
    <x v="0"/>
    <m/>
    <m/>
    <m/>
  </r>
  <r>
    <s v="60.02"/>
    <x v="58"/>
    <x v="139"/>
    <s v="Списание с расчетного счета 00БП-005685 от 26.09.2023 22:54:03"/>
    <s v="26.09.23"/>
    <n v="33500"/>
    <m/>
    <m/>
    <d v="2023-09-26T00:00:00"/>
    <n v="188"/>
    <x v="3"/>
    <x v="10"/>
    <x v="2"/>
    <x v="0"/>
    <m/>
    <m/>
    <m/>
  </r>
  <r>
    <s v="60.02"/>
    <x v="452"/>
    <x v="1260"/>
    <s v="Списание с расчетного счета 00БП-001117 от 25.03.2024 17:31:14"/>
    <s v="25.03.24"/>
    <n v="97200"/>
    <m/>
    <m/>
    <d v="2024-03-25T00:00:00"/>
    <n v="7"/>
    <x v="2"/>
    <x v="10"/>
    <x v="2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832"/>
    <x v="5"/>
    <x v="10"/>
    <x v="2"/>
    <x v="0"/>
    <m/>
    <m/>
    <m/>
  </r>
  <r>
    <s v="60.02"/>
    <x v="60"/>
    <x v="1261"/>
    <s v="Списание с расчетного счета 00БП-000925 от 15.03.2024 20:34:17"/>
    <s v="15.03.24"/>
    <n v="35200"/>
    <m/>
    <m/>
    <d v="2024-03-15T00:00:00"/>
    <n v="17"/>
    <x v="2"/>
    <x v="10"/>
    <x v="2"/>
    <x v="0"/>
    <m/>
    <m/>
    <m/>
  </r>
  <r>
    <s v="60.02"/>
    <x v="63"/>
    <x v="1141"/>
    <s v="Списание с расчетного счета 00БП-000189 от 30.01.2024 12:00:02"/>
    <s v="30.01.24"/>
    <n v="12000"/>
    <m/>
    <m/>
    <d v="2024-01-30T00:00:00"/>
    <n v="62"/>
    <x v="1"/>
    <x v="10"/>
    <x v="2"/>
    <x v="0"/>
    <m/>
    <m/>
    <m/>
  </r>
  <r>
    <s v="60.02"/>
    <x v="453"/>
    <x v="1262"/>
    <s v="Списание с расчетного счета 00БП-001131 от 26.03.2024 18:50:15"/>
    <s v="26.03.24"/>
    <n v="126000"/>
    <m/>
    <m/>
    <d v="2024-03-26T00:00:00"/>
    <n v="6"/>
    <x v="2"/>
    <x v="10"/>
    <x v="2"/>
    <x v="0"/>
    <m/>
    <m/>
    <m/>
  </r>
  <r>
    <s v="60.02"/>
    <x v="65"/>
    <x v="1263"/>
    <s v="Списание с расчетного счета 00БП-007764 от 11.12.2023 16:35:02"/>
    <s v="11.12.23"/>
    <n v="1763834.07"/>
    <m/>
    <m/>
    <d v="2023-12-11T00:00:00"/>
    <n v="112"/>
    <x v="4"/>
    <x v="10"/>
    <x v="2"/>
    <x v="0"/>
    <m/>
    <m/>
    <m/>
  </r>
  <r>
    <s v="60.02"/>
    <x v="454"/>
    <x v="1264"/>
    <s v="Списание с расчетного счета 00БП-001257 от 28.03.2024 17:35:57"/>
    <s v="28.03.24"/>
    <n v="302942.58"/>
    <m/>
    <m/>
    <d v="2024-03-28T00:00:00"/>
    <n v="4"/>
    <x v="2"/>
    <x v="10"/>
    <x v="2"/>
    <x v="0"/>
    <m/>
    <m/>
    <m/>
  </r>
  <r>
    <s v="60.02"/>
    <x v="416"/>
    <x v="1143"/>
    <s v="Списание с расчетного счета 00БП-007750 от 08.12.2023 15:55:12"/>
    <s v="08.12.23"/>
    <n v="3800"/>
    <m/>
    <m/>
    <d v="2023-12-08T00:00:00"/>
    <n v="115"/>
    <x v="4"/>
    <x v="10"/>
    <x v="2"/>
    <x v="0"/>
    <m/>
    <m/>
    <m/>
  </r>
  <r>
    <s v="60.02"/>
    <x v="282"/>
    <x v="1034"/>
    <s v="Списание с расчетного счета 00БП-003971 от 13.07.2022 17:26:09"/>
    <s v="13.07.22"/>
    <n v="28572"/>
    <m/>
    <m/>
    <d v="2022-07-13T00:00:00"/>
    <n v="628"/>
    <x v="5"/>
    <x v="10"/>
    <x v="2"/>
    <x v="0"/>
    <m/>
    <m/>
    <m/>
  </r>
  <r>
    <s v="60.02"/>
    <x v="282"/>
    <x v="1035"/>
    <s v="Списание с расчетного счета 00БП-003969 от 13.07.2022 17:26:07"/>
    <s v="13.07.22"/>
    <n v="5520"/>
    <m/>
    <m/>
    <d v="2022-07-13T00:00:00"/>
    <n v="628"/>
    <x v="5"/>
    <x v="10"/>
    <x v="2"/>
    <x v="0"/>
    <m/>
    <m/>
    <m/>
  </r>
  <r>
    <s v="60.02"/>
    <x v="282"/>
    <x v="1144"/>
    <s v="Списание с расчетного счета 00БП-007990 от 28.12.2023 15:20:51"/>
    <s v="28.12.23"/>
    <n v="11490964.939999999"/>
    <m/>
    <m/>
    <d v="2023-12-28T00:00:00"/>
    <n v="95"/>
    <x v="4"/>
    <x v="10"/>
    <x v="2"/>
    <x v="0"/>
    <m/>
    <m/>
    <m/>
  </r>
  <r>
    <s v="60.02"/>
    <x v="282"/>
    <x v="1036"/>
    <s v="Списание с расчетного счета 00БП-000615 от 03.03.2023 23:59:59"/>
    <s v="03.03.23"/>
    <n v="4600"/>
    <m/>
    <m/>
    <d v="2023-03-03T00:00:00"/>
    <n v="395"/>
    <x v="5"/>
    <x v="10"/>
    <x v="2"/>
    <x v="0"/>
    <m/>
    <m/>
    <m/>
  </r>
  <r>
    <s v="60.02"/>
    <x v="282"/>
    <x v="1037"/>
    <s v="Списание с расчетного счета 00БП-001134 от 28.03.2023 19:09:59"/>
    <s v="28.03.23"/>
    <n v="27200"/>
    <m/>
    <m/>
    <d v="2023-03-28T00:00:00"/>
    <n v="370"/>
    <x v="5"/>
    <x v="10"/>
    <x v="2"/>
    <x v="0"/>
    <m/>
    <m/>
    <m/>
  </r>
  <r>
    <s v="60.02"/>
    <x v="72"/>
    <x v="73"/>
    <s v="Списание с расчетного счета 00БП-001146 от 26.03.2024 18:50:30"/>
    <s v="26.03.24"/>
    <n v="2736436.96"/>
    <m/>
    <m/>
    <d v="2024-03-26T00:00:00"/>
    <n v="6"/>
    <x v="2"/>
    <x v="10"/>
    <x v="2"/>
    <x v="0"/>
    <m/>
    <m/>
    <m/>
  </r>
  <r>
    <s v="60.02"/>
    <x v="417"/>
    <x v="1147"/>
    <s v="Списание с расчетного счета 00БП-001052 от 21.03.2024 18:37:46"/>
    <s v="21.03.24"/>
    <n v="250000"/>
    <m/>
    <m/>
    <d v="2024-03-21T00:00:00"/>
    <n v="11"/>
    <x v="2"/>
    <x v="10"/>
    <x v="2"/>
    <x v="0"/>
    <m/>
    <m/>
    <m/>
  </r>
  <r>
    <s v="60.02"/>
    <x v="383"/>
    <x v="1040"/>
    <s v="Списание с расчетного счета 00БП-000297 от 09.02.2024 11:07:06"/>
    <s v="09.02.24"/>
    <n v="32600"/>
    <m/>
    <m/>
    <d v="2024-02-09T00:00:00"/>
    <n v="52"/>
    <x v="1"/>
    <x v="10"/>
    <x v="2"/>
    <x v="0"/>
    <m/>
    <m/>
    <m/>
  </r>
  <r>
    <s v="60.02"/>
    <x v="419"/>
    <x v="304"/>
    <s v="Авансовый отчет 00БП-000026 от 29.02.2024 0:00:00"/>
    <s v="29.02.24"/>
    <n v="6000"/>
    <m/>
    <m/>
    <d v="2024-02-29T00:00:00"/>
    <n v="32"/>
    <x v="1"/>
    <x v="10"/>
    <x v="2"/>
    <x v="0"/>
    <m/>
    <m/>
    <m/>
  </r>
  <r>
    <s v="60.02"/>
    <x v="76"/>
    <x v="1265"/>
    <s v="Списание с расчетного счета 00БП-000010 от 09.01.2024 12:00:11"/>
    <s v="09.01.24"/>
    <n v="1067220"/>
    <m/>
    <m/>
    <d v="2024-01-09T00:00:00"/>
    <n v="83"/>
    <x v="1"/>
    <x v="10"/>
    <x v="2"/>
    <x v="0"/>
    <m/>
    <m/>
    <m/>
  </r>
  <r>
    <s v="60.02"/>
    <x v="77"/>
    <x v="304"/>
    <s v="Списание с расчетного счета 00БП-002796 от 06.06.2023 23:59:59"/>
    <s v="06.06.23"/>
    <n v="20239.61"/>
    <m/>
    <m/>
    <d v="2023-06-06T00:00:00"/>
    <n v="300"/>
    <x v="6"/>
    <x v="10"/>
    <x v="2"/>
    <x v="0"/>
    <m/>
    <m/>
    <m/>
  </r>
  <r>
    <s v="60.02"/>
    <x v="78"/>
    <x v="501"/>
    <s v="Списание с расчетного счета 00БП-002496 от 23.05.2023 18:50:13"/>
    <s v="23.05.23"/>
    <n v="1695324.05"/>
    <m/>
    <m/>
    <d v="2023-05-23T00:00:00"/>
    <n v="314"/>
    <x v="6"/>
    <x v="10"/>
    <x v="2"/>
    <x v="0"/>
    <m/>
    <m/>
    <m/>
  </r>
  <r>
    <s v="60.02"/>
    <x v="79"/>
    <x v="182"/>
    <s v="Списание с расчетного счета 00БП-000350 от 13.02.2024 16:34:48"/>
    <s v="13.02.24"/>
    <n v="862.02"/>
    <m/>
    <m/>
    <d v="2024-02-13T00:00:00"/>
    <n v="48"/>
    <x v="1"/>
    <x v="10"/>
    <x v="2"/>
    <x v="0"/>
    <m/>
    <m/>
    <m/>
  </r>
  <r>
    <s v="60.02"/>
    <x v="79"/>
    <x v="183"/>
    <s v="Списание с расчетного счета 00БП-000352 от 13.02.2024 16:34:50"/>
    <s v="13.02.24"/>
    <n v="353.34"/>
    <m/>
    <m/>
    <d v="2024-02-13T00:00:00"/>
    <n v="48"/>
    <x v="1"/>
    <x v="10"/>
    <x v="2"/>
    <x v="0"/>
    <m/>
    <m/>
    <m/>
  </r>
  <r>
    <s v="60.02"/>
    <x v="79"/>
    <x v="183"/>
    <s v="Списание с расчетного счета 00БП-000695 от 06.03.2024 17:39:37"/>
    <s v="06.03.24"/>
    <n v="2000"/>
    <m/>
    <m/>
    <d v="2024-03-06T00:00:00"/>
    <n v="26"/>
    <x v="2"/>
    <x v="10"/>
    <x v="2"/>
    <x v="0"/>
    <m/>
    <m/>
    <m/>
  </r>
  <r>
    <s v="60.02"/>
    <x v="79"/>
    <x v="184"/>
    <s v="Списание с расчетного счета 00БП-007532 от 27.11.2023 15:36:44"/>
    <s v="27.11.23"/>
    <n v="2212.65"/>
    <m/>
    <m/>
    <d v="2023-11-27T00:00:00"/>
    <n v="126"/>
    <x v="0"/>
    <x v="10"/>
    <x v="2"/>
    <x v="0"/>
    <m/>
    <m/>
    <m/>
  </r>
  <r>
    <s v="60.02"/>
    <x v="79"/>
    <x v="184"/>
    <s v="Списание с расчетного счета 00БП-000351 от 13.02.2024 16:34:49"/>
    <s v="13.02.24"/>
    <n v="2000"/>
    <m/>
    <m/>
    <d v="2024-02-13T00:00:00"/>
    <n v="48"/>
    <x v="1"/>
    <x v="10"/>
    <x v="2"/>
    <x v="0"/>
    <m/>
    <m/>
    <m/>
  </r>
  <r>
    <s v="60.02"/>
    <x v="79"/>
    <x v="184"/>
    <s v="Списание с расчетного счета 00БП-000697 от 06.03.2024 17:39:39"/>
    <s v="06.03.24"/>
    <n v="3000"/>
    <m/>
    <m/>
    <d v="2024-03-06T00:00:00"/>
    <n v="26"/>
    <x v="2"/>
    <x v="10"/>
    <x v="2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1823"/>
    <x v="5"/>
    <x v="10"/>
    <x v="2"/>
    <x v="0"/>
    <m/>
    <m/>
    <m/>
  </r>
  <r>
    <s v="60.02"/>
    <x v="79"/>
    <x v="186"/>
    <s v="Списание с расчетного счета 00БП-000696 от 06.03.2024 17:39:38"/>
    <s v="06.03.24"/>
    <n v="1993.46"/>
    <m/>
    <m/>
    <d v="2024-03-06T00:00:00"/>
    <n v="26"/>
    <x v="2"/>
    <x v="10"/>
    <x v="2"/>
    <x v="0"/>
    <m/>
    <m/>
    <m/>
  </r>
  <r>
    <s v="60.02"/>
    <x v="79"/>
    <x v="187"/>
    <s v="Списание с расчетного счета 00БП-007526 от 02.12.2022 12:00:08"/>
    <s v="02.12.22"/>
    <n v="175.13"/>
    <m/>
    <m/>
    <d v="2022-12-02T00:00:00"/>
    <n v="486"/>
    <x v="5"/>
    <x v="10"/>
    <x v="2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150"/>
    <x v="0"/>
    <x v="10"/>
    <x v="2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48"/>
    <x v="1"/>
    <x v="10"/>
    <x v="2"/>
    <x v="0"/>
    <m/>
    <m/>
    <m/>
  </r>
  <r>
    <s v="60.02"/>
    <x v="79"/>
    <x v="189"/>
    <s v="Списание с расчетного счета 00БП-000112 от 19.01.2024 12:00:16"/>
    <s v="19.01.24"/>
    <n v="126.57"/>
    <m/>
    <m/>
    <d v="2024-01-19T00:00:00"/>
    <n v="73"/>
    <x v="1"/>
    <x v="10"/>
    <x v="2"/>
    <x v="0"/>
    <m/>
    <m/>
    <m/>
  </r>
  <r>
    <s v="60.02"/>
    <x v="79"/>
    <x v="189"/>
    <s v="Списание с расчетного счета 00БП-000349 от 13.02.2024 16:34:47"/>
    <s v="13.02.24"/>
    <n v="1000"/>
    <m/>
    <m/>
    <d v="2024-02-13T00:00:00"/>
    <n v="48"/>
    <x v="1"/>
    <x v="10"/>
    <x v="2"/>
    <x v="0"/>
    <m/>
    <m/>
    <m/>
  </r>
  <r>
    <s v="60.02"/>
    <x v="79"/>
    <x v="189"/>
    <s v="Списание с расчетного счета 00БП-000694 от 06.03.2024 17:39:36"/>
    <s v="06.03.24"/>
    <n v="2000"/>
    <m/>
    <m/>
    <d v="2024-03-06T00:00:00"/>
    <n v="26"/>
    <x v="2"/>
    <x v="10"/>
    <x v="2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2915"/>
    <x v="5"/>
    <x v="10"/>
    <x v="2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2882"/>
    <x v="5"/>
    <x v="10"/>
    <x v="2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1566"/>
    <x v="5"/>
    <x v="10"/>
    <x v="2"/>
    <x v="0"/>
    <m/>
    <m/>
    <m/>
  </r>
  <r>
    <s v="60.02"/>
    <x v="79"/>
    <x v="191"/>
    <m/>
    <m/>
    <n v="68.27"/>
    <m/>
    <m/>
    <d v="1899-12-30T00:00:00"/>
    <n v="45383"/>
    <x v="5"/>
    <x v="10"/>
    <x v="2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2954"/>
    <x v="5"/>
    <x v="10"/>
    <x v="2"/>
    <x v="0"/>
    <m/>
    <m/>
    <m/>
  </r>
  <r>
    <s v="60.02"/>
    <x v="79"/>
    <x v="193"/>
    <s v="Списание с расчетного счета 00БП-000698 от 06.03.2024 17:39:40"/>
    <s v="06.03.24"/>
    <n v="4847.3599999999997"/>
    <m/>
    <m/>
    <d v="2024-03-06T00:00:00"/>
    <n v="26"/>
    <x v="2"/>
    <x v="10"/>
    <x v="2"/>
    <x v="0"/>
    <m/>
    <m/>
    <m/>
  </r>
  <r>
    <s v="60.02"/>
    <x v="79"/>
    <x v="1266"/>
    <s v="Списание с расчетного счета 00БП-006849 от 03.11.2023 17:15:23"/>
    <s v="03.11.23"/>
    <n v="381.15"/>
    <m/>
    <m/>
    <d v="2023-11-03T00:00:00"/>
    <n v="150"/>
    <x v="0"/>
    <x v="10"/>
    <x v="2"/>
    <x v="0"/>
    <m/>
    <m/>
    <m/>
  </r>
  <r>
    <s v="60.02"/>
    <x v="420"/>
    <x v="1267"/>
    <s v="Корректировка поступления 00БП-000006 от 31.03.2024 10:00:00"/>
    <s v="31.03.24"/>
    <n v="0.14000000000000001"/>
    <m/>
    <m/>
    <d v="2024-03-31T00:00:00"/>
    <n v="1"/>
    <x v="2"/>
    <x v="10"/>
    <x v="2"/>
    <x v="0"/>
    <m/>
    <m/>
    <m/>
  </r>
  <r>
    <s v="60.02"/>
    <x v="420"/>
    <x v="1268"/>
    <s v="Списание с расчетного счета 00БП-000027 от 10.01.2024 12:00:15"/>
    <s v="10.01.24"/>
    <n v="23053906.75"/>
    <m/>
    <m/>
    <d v="2024-01-10T00:00:00"/>
    <n v="82"/>
    <x v="1"/>
    <x v="10"/>
    <x v="2"/>
    <x v="0"/>
    <m/>
    <m/>
    <m/>
  </r>
  <r>
    <s v="60.02"/>
    <x v="420"/>
    <x v="1268"/>
    <s v="Списание с расчетного счета 00БП-000580 от 29.02.2024 23:59:59"/>
    <s v="29.02.24"/>
    <n v="258396.6"/>
    <m/>
    <m/>
    <d v="2024-02-29T00:00:00"/>
    <n v="32"/>
    <x v="1"/>
    <x v="10"/>
    <x v="2"/>
    <x v="0"/>
    <m/>
    <m/>
    <m/>
  </r>
  <r>
    <s v="60.02"/>
    <x v="420"/>
    <x v="1268"/>
    <s v="Списание с расчетного счета 00БП-000592 от 29.02.2024 23:59:59"/>
    <s v="29.02.24"/>
    <n v="1223938.8"/>
    <m/>
    <m/>
    <d v="2024-02-29T00:00:00"/>
    <n v="32"/>
    <x v="1"/>
    <x v="10"/>
    <x v="2"/>
    <x v="0"/>
    <m/>
    <m/>
    <m/>
  </r>
  <r>
    <s v="60.02"/>
    <x v="420"/>
    <x v="1268"/>
    <s v="Списание с расчетного счета 00БП-000594 от 29.02.2024 23:59:59"/>
    <s v="29.02.24"/>
    <n v="1253105.7"/>
    <m/>
    <m/>
    <d v="2024-02-29T00:00:00"/>
    <n v="32"/>
    <x v="1"/>
    <x v="10"/>
    <x v="2"/>
    <x v="0"/>
    <m/>
    <m/>
    <m/>
  </r>
  <r>
    <s v="60.02"/>
    <x v="420"/>
    <x v="1268"/>
    <s v="Списание с расчетного счета 00БП-000595 от 29.02.2024 23:59:59"/>
    <s v="29.02.24"/>
    <n v="1270741.5"/>
    <m/>
    <m/>
    <d v="2024-02-29T00:00:00"/>
    <n v="32"/>
    <x v="1"/>
    <x v="10"/>
    <x v="2"/>
    <x v="0"/>
    <m/>
    <m/>
    <m/>
  </r>
  <r>
    <s v="60.02"/>
    <x v="420"/>
    <x v="1268"/>
    <s v="Списание с расчетного счета 00БП-000596 от 29.02.2024 23:59:59"/>
    <s v="29.02.24"/>
    <n v="1276989"/>
    <m/>
    <m/>
    <d v="2024-02-29T00:00:00"/>
    <n v="32"/>
    <x v="1"/>
    <x v="10"/>
    <x v="2"/>
    <x v="0"/>
    <m/>
    <m/>
    <m/>
  </r>
  <r>
    <s v="60.02"/>
    <x v="420"/>
    <x v="1268"/>
    <s v="Списание с расчетного счета 00БП-000611 от 01.03.2024 17:23:18"/>
    <s v="01.03.24"/>
    <n v="855376.2"/>
    <m/>
    <m/>
    <d v="2024-03-01T00:00:00"/>
    <n v="31"/>
    <x v="1"/>
    <x v="10"/>
    <x v="2"/>
    <x v="0"/>
    <m/>
    <m/>
    <m/>
  </r>
  <r>
    <s v="60.02"/>
    <x v="420"/>
    <x v="1268"/>
    <s v="Списание с расчетного счета 00БП-000612 от 01.03.2024 17:23:19"/>
    <s v="01.03.24"/>
    <n v="1061529.53"/>
    <m/>
    <m/>
    <d v="2024-03-01T00:00:00"/>
    <n v="31"/>
    <x v="1"/>
    <x v="10"/>
    <x v="2"/>
    <x v="0"/>
    <m/>
    <m/>
    <m/>
  </r>
  <r>
    <s v="60.02"/>
    <x v="420"/>
    <x v="1268"/>
    <s v="Списание с расчетного счета 00БП-000613 от 01.03.2024 17:23:20"/>
    <s v="01.03.24"/>
    <n v="1068502.05"/>
    <m/>
    <m/>
    <d v="2024-03-01T00:00:00"/>
    <n v="31"/>
    <x v="1"/>
    <x v="10"/>
    <x v="2"/>
    <x v="0"/>
    <m/>
    <m/>
    <m/>
  </r>
  <r>
    <s v="60.02"/>
    <x v="420"/>
    <x v="1268"/>
    <s v="Списание с расчетного счета 00БП-000636 от 04.03.2024 16:09:37"/>
    <s v="04.03.24"/>
    <n v="909570.38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37 от 04.03.2024 16:09:38"/>
    <s v="04.03.24"/>
    <n v="961101.23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38 от 04.03.2024 16:09:39"/>
    <s v="04.03.24"/>
    <n v="1061709.08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39 от 04.03.2024 16:09:40"/>
    <s v="04.03.24"/>
    <n v="1181170.2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0 от 04.03.2024 16:09:41"/>
    <s v="04.03.24"/>
    <n v="1211586.6000000001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1 от 04.03.2024 16:09:42"/>
    <s v="04.03.24"/>
    <n v="1220904.3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2 от 04.03.2024 16:09:43"/>
    <s v="04.03.24"/>
    <n v="1221618.3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3 от 04.03.2024 16:09:44"/>
    <s v="04.03.24"/>
    <n v="1225224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4 от 04.03.2024 16:09:45"/>
    <s v="04.03.24"/>
    <n v="1228044.3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5 от 04.03.2024 16:09:46"/>
    <s v="04.03.24"/>
    <n v="1228187.1000000001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6 от 04.03.2024 16:09:47"/>
    <s v="04.03.24"/>
    <n v="1236398.1000000001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7 от 04.03.2024 16:09:48"/>
    <s v="04.03.24"/>
    <n v="1241003.3999999999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8 от 04.03.2024 16:09:49"/>
    <s v="04.03.24"/>
    <n v="1249500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49 от 04.03.2024 16:09:50"/>
    <s v="04.03.24"/>
    <n v="1258068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50 от 04.03.2024 16:09:51"/>
    <s v="04.03.24"/>
    <n v="1265779.2"/>
    <m/>
    <m/>
    <d v="2024-03-04T00:00:00"/>
    <n v="28"/>
    <x v="2"/>
    <x v="10"/>
    <x v="2"/>
    <x v="0"/>
    <m/>
    <m/>
    <m/>
  </r>
  <r>
    <s v="60.02"/>
    <x v="420"/>
    <x v="1268"/>
    <s v="Списание с расчетного счета 00БП-000672 от 05.03.2024 17:27:36"/>
    <s v="05.03.24"/>
    <n v="1050547.05"/>
    <m/>
    <m/>
    <d v="2024-03-05T00:00:00"/>
    <n v="27"/>
    <x v="2"/>
    <x v="10"/>
    <x v="2"/>
    <x v="0"/>
    <m/>
    <m/>
    <m/>
  </r>
  <r>
    <s v="60.02"/>
    <x v="420"/>
    <x v="1268"/>
    <s v="Списание с расчетного счета 00БП-000673 от 05.03.2024 17:27:37"/>
    <s v="05.03.24"/>
    <n v="1069489.58"/>
    <m/>
    <m/>
    <d v="2024-03-05T00:00:00"/>
    <n v="27"/>
    <x v="2"/>
    <x v="10"/>
    <x v="2"/>
    <x v="0"/>
    <m/>
    <m/>
    <m/>
  </r>
  <r>
    <s v="60.02"/>
    <x v="420"/>
    <x v="1268"/>
    <s v="Списание с расчетного счета 00БП-000714 от 07.03.2024 17:37:59"/>
    <s v="07.03.24"/>
    <n v="1137402"/>
    <m/>
    <m/>
    <d v="2024-03-07T00:00:00"/>
    <n v="25"/>
    <x v="2"/>
    <x v="10"/>
    <x v="2"/>
    <x v="0"/>
    <m/>
    <m/>
    <m/>
  </r>
  <r>
    <s v="60.02"/>
    <x v="420"/>
    <x v="1268"/>
    <s v="Списание с расчетного счета 00БП-000715 от 07.03.2024 17:38:00"/>
    <s v="07.03.24"/>
    <n v="1181241.6000000001"/>
    <m/>
    <m/>
    <d v="2024-03-07T00:00:00"/>
    <n v="25"/>
    <x v="2"/>
    <x v="10"/>
    <x v="2"/>
    <x v="0"/>
    <m/>
    <m/>
    <m/>
  </r>
  <r>
    <s v="60.02"/>
    <x v="420"/>
    <x v="1268"/>
    <s v="Списание с расчетного счета 00БП-000716 от 07.03.2024 17:38:01"/>
    <s v="07.03.24"/>
    <n v="1244287.8"/>
    <m/>
    <m/>
    <d v="2024-03-07T00:00:00"/>
    <n v="25"/>
    <x v="2"/>
    <x v="10"/>
    <x v="2"/>
    <x v="0"/>
    <m/>
    <m/>
    <m/>
  </r>
  <r>
    <s v="60.02"/>
    <x v="420"/>
    <x v="1268"/>
    <s v="Списание с расчетного счета 00БП-000717 от 07.03.2024 17:38:02"/>
    <s v="07.03.24"/>
    <n v="1252820.1000000001"/>
    <m/>
    <m/>
    <d v="2024-03-07T00:00:00"/>
    <n v="25"/>
    <x v="2"/>
    <x v="10"/>
    <x v="2"/>
    <x v="0"/>
    <m/>
    <m/>
    <m/>
  </r>
  <r>
    <s v="60.02"/>
    <x v="420"/>
    <x v="1268"/>
    <s v="Списание с расчетного счета 00БП-000755 от 11.03.2024 17:53:23"/>
    <s v="11.03.24"/>
    <n v="266452.2"/>
    <m/>
    <m/>
    <d v="2024-03-11T00:00:00"/>
    <n v="21"/>
    <x v="2"/>
    <x v="10"/>
    <x v="2"/>
    <x v="0"/>
    <m/>
    <m/>
    <m/>
  </r>
  <r>
    <s v="60.02"/>
    <x v="420"/>
    <x v="1268"/>
    <s v="Списание с расчетного счета 00БП-000756 от 11.03.2024 17:53:24"/>
    <s v="11.03.24"/>
    <n v="918989.4"/>
    <m/>
    <m/>
    <d v="2024-03-11T00:00:00"/>
    <n v="21"/>
    <x v="2"/>
    <x v="10"/>
    <x v="2"/>
    <x v="0"/>
    <m/>
    <m/>
    <m/>
  </r>
  <r>
    <s v="60.02"/>
    <x v="420"/>
    <x v="1268"/>
    <s v="Списание с расчетного счета 00БП-000757 от 11.03.2024 17:53:25"/>
    <s v="11.03.24"/>
    <n v="1217548.5"/>
    <m/>
    <m/>
    <d v="2024-03-11T00:00:00"/>
    <n v="21"/>
    <x v="2"/>
    <x v="10"/>
    <x v="2"/>
    <x v="0"/>
    <m/>
    <m/>
    <m/>
  </r>
  <r>
    <s v="60.02"/>
    <x v="420"/>
    <x v="1268"/>
    <s v="Списание с расчетного счета 00БП-000758 от 11.03.2024 17:53:26"/>
    <s v="11.03.24"/>
    <n v="1252106.1000000001"/>
    <m/>
    <m/>
    <d v="2024-03-11T00:00:00"/>
    <n v="21"/>
    <x v="2"/>
    <x v="10"/>
    <x v="2"/>
    <x v="0"/>
    <m/>
    <m/>
    <m/>
  </r>
  <r>
    <s v="60.02"/>
    <x v="420"/>
    <x v="1268"/>
    <s v="Списание с расчетного счета 00БП-000759 от 11.03.2024 17:53:27"/>
    <s v="11.03.24"/>
    <n v="1294482"/>
    <m/>
    <m/>
    <d v="2024-03-11T00:00:00"/>
    <n v="21"/>
    <x v="2"/>
    <x v="10"/>
    <x v="2"/>
    <x v="0"/>
    <m/>
    <m/>
    <m/>
  </r>
  <r>
    <s v="60.02"/>
    <x v="420"/>
    <x v="1268"/>
    <s v="Списание с расчетного счета 00БП-000849 от 13.03.2024 23:59:59"/>
    <s v="13.03.24"/>
    <n v="136368.23000000001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0 от 13.03.2024 23:59:59"/>
    <s v="13.03.24"/>
    <n v="531946.80000000005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1 от 13.03.2024 23:59:59"/>
    <s v="13.03.24"/>
    <n v="671802.6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3 от 13.03.2024 23:59:59"/>
    <s v="13.03.24"/>
    <n v="1004731.88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4 от 13.03.2024 23:59:59"/>
    <s v="13.03.24"/>
    <n v="1032336.9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5 от 13.03.2024 23:59:59"/>
    <s v="13.03.24"/>
    <n v="1051444.8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6 от 13.03.2024 23:59:59"/>
    <s v="13.03.24"/>
    <n v="1054467.23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7 от 13.03.2024 23:59:59"/>
    <s v="13.03.24"/>
    <n v="1068771.3799999999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8 от 13.03.2024 23:59:59"/>
    <s v="13.03.24"/>
    <n v="1087136.3999999999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59 от 13.03.2024 23:59:59"/>
    <s v="13.03.24"/>
    <n v="1210801.2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60 от 13.03.2024 23:59:59"/>
    <s v="13.03.24"/>
    <n v="1221618.3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61 от 13.03.2024 23:59:59"/>
    <s v="13.03.24"/>
    <n v="1223974.5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62 от 13.03.2024 23:59:59"/>
    <s v="13.03.24"/>
    <n v="1229293.8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863 от 13.03.2024 23:59:59"/>
    <s v="13.03.24"/>
    <n v="1282843.8"/>
    <m/>
    <m/>
    <d v="2024-03-13T00:00:00"/>
    <n v="19"/>
    <x v="2"/>
    <x v="10"/>
    <x v="2"/>
    <x v="0"/>
    <m/>
    <m/>
    <m/>
  </r>
  <r>
    <s v="60.02"/>
    <x v="420"/>
    <x v="1268"/>
    <s v="Списание с расчетного счета 00БП-000934 от 15.03.2024 20:34:26"/>
    <s v="15.03.24"/>
    <n v="1205696.1000000001"/>
    <m/>
    <m/>
    <d v="2024-03-15T00:00:00"/>
    <n v="17"/>
    <x v="2"/>
    <x v="10"/>
    <x v="2"/>
    <x v="0"/>
    <m/>
    <m/>
    <m/>
  </r>
  <r>
    <s v="60.02"/>
    <x v="420"/>
    <x v="1268"/>
    <s v="Списание с расчетного счета 00БП-000935 от 15.03.2024 20:34:27"/>
    <s v="15.03.24"/>
    <n v="1226616.3"/>
    <m/>
    <m/>
    <d v="2024-03-15T00:00:00"/>
    <n v="17"/>
    <x v="2"/>
    <x v="10"/>
    <x v="2"/>
    <x v="0"/>
    <m/>
    <m/>
    <m/>
  </r>
  <r>
    <s v="60.02"/>
    <x v="420"/>
    <x v="1268"/>
    <s v="Списание с расчетного счета 00БП-000976 от 18.03.2024 18:19:05"/>
    <s v="18.03.24"/>
    <n v="456206.63"/>
    <m/>
    <m/>
    <d v="2024-03-18T00:00:00"/>
    <n v="14"/>
    <x v="2"/>
    <x v="10"/>
    <x v="2"/>
    <x v="0"/>
    <m/>
    <m/>
    <m/>
  </r>
  <r>
    <s v="60.02"/>
    <x v="420"/>
    <x v="1268"/>
    <s v="Списание с расчетного счета 00БП-000977 от 18.03.2024 18:19:06"/>
    <s v="18.03.24"/>
    <n v="645348.9"/>
    <m/>
    <m/>
    <d v="2024-03-18T00:00:00"/>
    <n v="14"/>
    <x v="2"/>
    <x v="10"/>
    <x v="2"/>
    <x v="0"/>
    <m/>
    <m/>
    <m/>
  </r>
  <r>
    <s v="60.02"/>
    <x v="420"/>
    <x v="1268"/>
    <s v="Списание с расчетного счета 00БП-000978 от 18.03.2024 18:19:07"/>
    <s v="18.03.24"/>
    <n v="1245680.1000000001"/>
    <m/>
    <m/>
    <d v="2024-03-18T00:00:00"/>
    <n v="14"/>
    <x v="2"/>
    <x v="10"/>
    <x v="2"/>
    <x v="0"/>
    <m/>
    <m/>
    <m/>
  </r>
  <r>
    <s v="60.02"/>
    <x v="420"/>
    <x v="1268"/>
    <s v="Списание с расчетного счета 00БП-001002 от 19.03.2024 18:12:11"/>
    <s v="19.03.24"/>
    <n v="1007754.3"/>
    <m/>
    <m/>
    <d v="2024-03-19T00:00:00"/>
    <n v="13"/>
    <x v="2"/>
    <x v="10"/>
    <x v="2"/>
    <x v="0"/>
    <m/>
    <m/>
    <m/>
  </r>
  <r>
    <s v="60.02"/>
    <x v="420"/>
    <x v="1268"/>
    <s v="Списание с расчетного счета 00БП-001003 от 19.03.2024 18:12:12"/>
    <s v="19.03.24"/>
    <n v="1049200.43"/>
    <m/>
    <m/>
    <d v="2024-03-19T00:00:00"/>
    <n v="13"/>
    <x v="2"/>
    <x v="10"/>
    <x v="2"/>
    <x v="0"/>
    <m/>
    <m/>
    <m/>
  </r>
  <r>
    <s v="60.02"/>
    <x v="420"/>
    <x v="1268"/>
    <s v="Списание с расчетного счета 00БП-001004 от 19.03.2024 18:12:13"/>
    <s v="19.03.24"/>
    <n v="1050756.53"/>
    <m/>
    <m/>
    <d v="2024-03-19T00:00:00"/>
    <n v="13"/>
    <x v="2"/>
    <x v="10"/>
    <x v="2"/>
    <x v="0"/>
    <m/>
    <m/>
    <m/>
  </r>
  <r>
    <s v="60.02"/>
    <x v="420"/>
    <x v="1268"/>
    <s v="Списание с расчетного счета 00БП-001005 от 19.03.2024 18:12:14"/>
    <s v="19.03.24"/>
    <n v="1053988.43"/>
    <m/>
    <m/>
    <d v="2024-03-19T00:00:00"/>
    <n v="13"/>
    <x v="2"/>
    <x v="10"/>
    <x v="2"/>
    <x v="0"/>
    <m/>
    <m/>
    <m/>
  </r>
  <r>
    <s v="60.02"/>
    <x v="420"/>
    <x v="1268"/>
    <s v="Списание с расчетного счета 00БП-001006 от 19.03.2024 18:12:15"/>
    <s v="19.03.24"/>
    <n v="1120961.25"/>
    <m/>
    <m/>
    <d v="2024-03-19T00:00:00"/>
    <n v="13"/>
    <x v="2"/>
    <x v="10"/>
    <x v="2"/>
    <x v="0"/>
    <m/>
    <m/>
    <m/>
  </r>
  <r>
    <s v="60.02"/>
    <x v="420"/>
    <x v="1268"/>
    <s v="Списание с расчетного счета 00БП-001036 от 20.03.2024 18:33:56"/>
    <s v="20.03.24"/>
    <n v="1057639.28"/>
    <m/>
    <m/>
    <d v="2024-03-20T00:00:00"/>
    <n v="12"/>
    <x v="2"/>
    <x v="10"/>
    <x v="2"/>
    <x v="0"/>
    <m/>
    <m/>
    <m/>
  </r>
  <r>
    <s v="60.02"/>
    <x v="420"/>
    <x v="1268"/>
    <s v="Списание с расчетного счета 00БП-001085 от 22.03.2024 20:02:40"/>
    <s v="22.03.24"/>
    <n v="1033250.4"/>
    <m/>
    <m/>
    <d v="2024-03-22T00:00:00"/>
    <n v="10"/>
    <x v="2"/>
    <x v="10"/>
    <x v="2"/>
    <x v="0"/>
    <m/>
    <m/>
    <m/>
  </r>
  <r>
    <s v="60.02"/>
    <x v="420"/>
    <x v="1268"/>
    <s v="Списание с расчетного счета 00БП-001086 от 22.03.2024 20:02:41"/>
    <s v="22.03.24"/>
    <n v="1044472.28"/>
    <m/>
    <m/>
    <d v="2024-03-22T00:00:00"/>
    <n v="10"/>
    <x v="2"/>
    <x v="10"/>
    <x v="2"/>
    <x v="0"/>
    <m/>
    <m/>
    <m/>
  </r>
  <r>
    <s v="60.02"/>
    <x v="420"/>
    <x v="1268"/>
    <s v="Списание с расчетного счета 00БП-001138 от 26.03.2024 18:50:22"/>
    <s v="26.03.24"/>
    <n v="370494.6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39 от 26.03.2024 18:50:23"/>
    <s v="26.03.24"/>
    <n v="1035105.75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40 от 26.03.2024 18:50:24"/>
    <s v="26.03.24"/>
    <n v="1051534.58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41 от 26.03.2024 18:50:25"/>
    <s v="26.03.24"/>
    <n v="1053210.3799999999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42 от 26.03.2024 18:50:26"/>
    <s v="26.03.24"/>
    <n v="1195378.8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43 от 26.03.2024 18:50:27"/>
    <s v="26.03.24"/>
    <n v="1220261.7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44 от 26.03.2024 18:50:28"/>
    <s v="26.03.24"/>
    <n v="1243930.8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145 от 26.03.2024 18:50:29"/>
    <s v="26.03.24"/>
    <n v="1247108.1000000001"/>
    <m/>
    <m/>
    <d v="2024-03-26T00:00:00"/>
    <n v="6"/>
    <x v="2"/>
    <x v="10"/>
    <x v="2"/>
    <x v="0"/>
    <m/>
    <m/>
    <m/>
  </r>
  <r>
    <s v="60.02"/>
    <x v="420"/>
    <x v="1268"/>
    <s v="Списание с расчетного счета 00БП-001263 от 28.03.2024 17:36:03"/>
    <s v="28.03.24"/>
    <n v="1156353"/>
    <m/>
    <m/>
    <d v="2024-03-28T00:00:00"/>
    <n v="4"/>
    <x v="2"/>
    <x v="10"/>
    <x v="2"/>
    <x v="0"/>
    <m/>
    <m/>
    <m/>
  </r>
  <r>
    <s v="60.02"/>
    <x v="455"/>
    <x v="1269"/>
    <s v="Списание с расчетного счета 00БП-000522 от 27.02.2024 16:35:18"/>
    <s v="27.02.24"/>
    <n v="222341"/>
    <m/>
    <m/>
    <d v="2024-02-27T00:00:00"/>
    <n v="34"/>
    <x v="1"/>
    <x v="10"/>
    <x v="2"/>
    <x v="0"/>
    <m/>
    <m/>
    <m/>
  </r>
  <r>
    <s v="60.02"/>
    <x v="289"/>
    <x v="1270"/>
    <s v="Списание с расчетного счета 00БП-000931 от 15.03.2024 20:34:23"/>
    <s v="15.03.24"/>
    <n v="746087.88"/>
    <m/>
    <m/>
    <d v="2024-03-15T00:00:00"/>
    <n v="17"/>
    <x v="2"/>
    <x v="10"/>
    <x v="2"/>
    <x v="0"/>
    <m/>
    <m/>
    <m/>
  </r>
  <r>
    <s v="60.02"/>
    <x v="456"/>
    <x v="1271"/>
    <s v="Списание с расчетного счета 00БП-000519 от 27.02.2024 16:35:15"/>
    <s v="27.02.24"/>
    <n v="156600"/>
    <m/>
    <m/>
    <d v="2024-02-27T00:00:00"/>
    <n v="34"/>
    <x v="1"/>
    <x v="10"/>
    <x v="2"/>
    <x v="0"/>
    <m/>
    <m/>
    <m/>
  </r>
  <r>
    <s v="60.02"/>
    <x v="456"/>
    <x v="1272"/>
    <s v="Списание с расчетного счета 00БП-000686 от 06.03.2024 17:39:23"/>
    <s v="06.03.24"/>
    <n v="42000"/>
    <m/>
    <m/>
    <d v="2024-03-06T00:00:00"/>
    <n v="26"/>
    <x v="2"/>
    <x v="10"/>
    <x v="2"/>
    <x v="0"/>
    <m/>
    <m/>
    <m/>
  </r>
  <r>
    <s v="60.02"/>
    <x v="457"/>
    <x v="1273"/>
    <s v="Списание с расчетного счета 00БП-006355 от 18.10.2023 17:44:57"/>
    <s v="18.10.23"/>
    <n v="2100000"/>
    <m/>
    <m/>
    <d v="2023-10-18T00:00:00"/>
    <n v="166"/>
    <x v="0"/>
    <x v="10"/>
    <x v="2"/>
    <x v="0"/>
    <m/>
    <m/>
    <m/>
  </r>
  <r>
    <s v="60.02"/>
    <x v="458"/>
    <x v="1274"/>
    <s v="Списание с расчетного счета 00БП-007724 от 06.12.2023 9:18:11"/>
    <s v="06.12.23"/>
    <n v="1062000"/>
    <m/>
    <m/>
    <d v="2023-12-06T00:00:00"/>
    <n v="117"/>
    <x v="4"/>
    <x v="10"/>
    <x v="2"/>
    <x v="0"/>
    <m/>
    <m/>
    <m/>
  </r>
  <r>
    <s v="60.02"/>
    <x v="88"/>
    <x v="1158"/>
    <s v="Списание с расчетного счета 00БП-002972 от 10.06.2022 20:59:25"/>
    <s v="10.06.22"/>
    <n v="0.01"/>
    <m/>
    <m/>
    <d v="2022-06-10T00:00:00"/>
    <n v="661"/>
    <x v="5"/>
    <x v="10"/>
    <x v="2"/>
    <x v="0"/>
    <m/>
    <m/>
    <m/>
  </r>
  <r>
    <s v="60.02"/>
    <x v="88"/>
    <x v="1275"/>
    <s v="Списание с расчетного счета 00БП-001032 от 20.03.2024 18:33:52"/>
    <s v="20.03.24"/>
    <n v="368532.87"/>
    <m/>
    <m/>
    <d v="2024-03-20T00:00:00"/>
    <n v="12"/>
    <x v="2"/>
    <x v="10"/>
    <x v="2"/>
    <x v="0"/>
    <m/>
    <m/>
    <m/>
  </r>
  <r>
    <s v="60.02"/>
    <x v="88"/>
    <x v="1276"/>
    <s v="Списание с расчетного счета 00БП-001029 от 20.03.2024 18:33:49"/>
    <s v="20.03.24"/>
    <n v="91044.6"/>
    <m/>
    <m/>
    <d v="2024-03-20T00:00:00"/>
    <n v="12"/>
    <x v="2"/>
    <x v="10"/>
    <x v="2"/>
    <x v="0"/>
    <m/>
    <m/>
    <m/>
  </r>
  <r>
    <s v="60.02"/>
    <x v="88"/>
    <x v="1277"/>
    <s v="Списание с расчетного счета 00БП-000933 от 15.03.2024 20:34:25"/>
    <s v="15.03.24"/>
    <n v="954597"/>
    <m/>
    <m/>
    <d v="2024-03-15T00:00:00"/>
    <n v="17"/>
    <x v="2"/>
    <x v="10"/>
    <x v="2"/>
    <x v="0"/>
    <m/>
    <m/>
    <m/>
  </r>
  <r>
    <s v="60.02"/>
    <x v="459"/>
    <x v="1278"/>
    <s v="Списание с расчетного счета 00БП-000507 от 26.02.2024 14:37:25"/>
    <s v="26.02.24"/>
    <n v="1305800"/>
    <m/>
    <m/>
    <d v="2024-02-26T00:00:00"/>
    <n v="35"/>
    <x v="1"/>
    <x v="10"/>
    <x v="2"/>
    <x v="0"/>
    <m/>
    <m/>
    <m/>
  </r>
  <r>
    <s v="60.02"/>
    <x v="90"/>
    <x v="1279"/>
    <s v="Списание с расчетного счета 00БП-007989 от 28.12.2023 15:20:50"/>
    <s v="28.12.23"/>
    <n v="26.67"/>
    <m/>
    <m/>
    <d v="2023-12-28T00:00:00"/>
    <n v="95"/>
    <x v="4"/>
    <x v="10"/>
    <x v="2"/>
    <x v="0"/>
    <m/>
    <m/>
    <m/>
  </r>
  <r>
    <s v="60.02"/>
    <x v="460"/>
    <x v="1280"/>
    <s v="Списание с расчетного счета 00БП-000907 от 14.03.2024 17:41:35"/>
    <s v="14.03.24"/>
    <n v="7860"/>
    <m/>
    <m/>
    <d v="2024-03-14T00:00:00"/>
    <n v="18"/>
    <x v="2"/>
    <x v="10"/>
    <x v="2"/>
    <x v="0"/>
    <m/>
    <m/>
    <m/>
  </r>
  <r>
    <s v="60.02"/>
    <x v="91"/>
    <x v="977"/>
    <s v="Списание с расчетного счета 00БП-001137 от 26.03.2024 18:50:21"/>
    <s v="26.03.24"/>
    <n v="258746.95"/>
    <m/>
    <m/>
    <d v="2024-03-26T00:00:00"/>
    <n v="6"/>
    <x v="2"/>
    <x v="10"/>
    <x v="2"/>
    <x v="0"/>
    <m/>
    <m/>
    <m/>
  </r>
  <r>
    <s v="60.02"/>
    <x v="92"/>
    <x v="211"/>
    <s v="Списание с расчетного счета 00БП-007512 от 24.11.2023 17:56:42"/>
    <s v="24.11.23"/>
    <n v="11590"/>
    <m/>
    <m/>
    <d v="2023-11-24T00:00:00"/>
    <n v="129"/>
    <x v="0"/>
    <x v="10"/>
    <x v="2"/>
    <x v="0"/>
    <m/>
    <m/>
    <m/>
  </r>
  <r>
    <s v="60.02"/>
    <x v="92"/>
    <x v="211"/>
    <s v="Списание с расчетного счета 00БП-000119 от 22.01.2024 12:00:05"/>
    <s v="22.01.24"/>
    <n v="5510992.4800000004"/>
    <m/>
    <m/>
    <d v="2024-01-22T00:00:00"/>
    <n v="70"/>
    <x v="1"/>
    <x v="10"/>
    <x v="2"/>
    <x v="0"/>
    <m/>
    <m/>
    <m/>
  </r>
  <r>
    <s v="60.02"/>
    <x v="92"/>
    <x v="215"/>
    <s v="Списание с расчетного счета 00БП-006363 от 19.10.2023 17:19:29"/>
    <s v="19.10.23"/>
    <n v="321728"/>
    <m/>
    <m/>
    <d v="2023-10-19T00:00:00"/>
    <n v="165"/>
    <x v="0"/>
    <x v="10"/>
    <x v="2"/>
    <x v="0"/>
    <m/>
    <m/>
    <m/>
  </r>
  <r>
    <s v="60.02"/>
    <x v="461"/>
    <x v="1281"/>
    <s v="Списание с расчетного счета 00БП-000521 от 27.02.2024 16:35:17"/>
    <s v="27.02.24"/>
    <n v="217869.2"/>
    <m/>
    <m/>
    <d v="2024-02-27T00:00:00"/>
    <n v="34"/>
    <x v="1"/>
    <x v="10"/>
    <x v="2"/>
    <x v="0"/>
    <m/>
    <m/>
    <m/>
  </r>
  <r>
    <s v="60.02"/>
    <x v="462"/>
    <x v="1282"/>
    <s v="Списание с расчетного счета 00БП-001079 от 22.03.2024 20:02:34"/>
    <s v="22.03.24"/>
    <n v="80000"/>
    <m/>
    <m/>
    <d v="2024-03-22T00:00:00"/>
    <n v="10"/>
    <x v="2"/>
    <x v="10"/>
    <x v="2"/>
    <x v="0"/>
    <m/>
    <m/>
    <m/>
  </r>
  <r>
    <s v="60.02"/>
    <x v="100"/>
    <x v="73"/>
    <s v="Списание с расчетного счета 00БП-004270 от 01.08.2023 17:47:37"/>
    <s v="01.08.23"/>
    <n v="4658.83"/>
    <m/>
    <m/>
    <d v="2023-08-01T00:00:00"/>
    <n v="244"/>
    <x v="3"/>
    <x v="10"/>
    <x v="2"/>
    <x v="0"/>
    <m/>
    <m/>
    <m/>
  </r>
  <r>
    <s v="60.02"/>
    <x v="425"/>
    <x v="1165"/>
    <s v="Списание с расчетного счета 00БП-001033 от 20.03.2024 18:33:53"/>
    <s v="20.03.24"/>
    <n v="386342.04"/>
    <m/>
    <m/>
    <d v="2024-03-20T00:00:00"/>
    <n v="12"/>
    <x v="2"/>
    <x v="10"/>
    <x v="2"/>
    <x v="0"/>
    <m/>
    <m/>
    <m/>
  </r>
  <r>
    <s v="60.02"/>
    <x v="425"/>
    <x v="1283"/>
    <s v="Списание с расчетного счета 00БП-001134 от 26.03.2024 18:50:18"/>
    <s v="26.03.24"/>
    <n v="189864.47"/>
    <m/>
    <m/>
    <d v="2024-03-26T00:00:00"/>
    <n v="6"/>
    <x v="2"/>
    <x v="10"/>
    <x v="2"/>
    <x v="0"/>
    <m/>
    <m/>
    <m/>
  </r>
  <r>
    <s v="60.02"/>
    <x v="425"/>
    <x v="1284"/>
    <s v="Списание с расчетного счета 00БП-001136 от 26.03.2024 18:50:20"/>
    <s v="26.03.24"/>
    <n v="252548.46"/>
    <m/>
    <m/>
    <d v="2024-03-26T00:00:00"/>
    <n v="6"/>
    <x v="2"/>
    <x v="10"/>
    <x v="2"/>
    <x v="0"/>
    <m/>
    <m/>
    <m/>
  </r>
  <r>
    <s v="60.02"/>
    <x v="428"/>
    <x v="1169"/>
    <s v="Списание с расчетного счета 00БП-001129 от 26.03.2024 18:50:13"/>
    <s v="26.03.24"/>
    <n v="28800"/>
    <m/>
    <m/>
    <d v="2024-03-26T00:00:00"/>
    <n v="6"/>
    <x v="2"/>
    <x v="10"/>
    <x v="2"/>
    <x v="0"/>
    <m/>
    <m/>
    <m/>
  </r>
  <r>
    <s v="60.02"/>
    <x v="429"/>
    <x v="1170"/>
    <s v="Списание с расчетного счета 00БП-007157 от 24.11.2022 12:50:37"/>
    <s v="24.11.22"/>
    <n v="1889400"/>
    <m/>
    <m/>
    <d v="2022-11-24T00:00:00"/>
    <n v="494"/>
    <x v="5"/>
    <x v="10"/>
    <x v="2"/>
    <x v="0"/>
    <m/>
    <m/>
    <m/>
  </r>
  <r>
    <s v="60.02"/>
    <x v="102"/>
    <x v="1285"/>
    <s v="Списание с расчетного счета 00БП-000779 от 11.03.2024 17:53:49"/>
    <s v="11.03.24"/>
    <n v="170000"/>
    <m/>
    <m/>
    <d v="2024-03-11T00:00:00"/>
    <n v="21"/>
    <x v="2"/>
    <x v="10"/>
    <x v="2"/>
    <x v="0"/>
    <m/>
    <m/>
    <m/>
  </r>
  <r>
    <s v="60.02"/>
    <x v="102"/>
    <x v="1286"/>
    <s v="Списание с расчетного счета 00БП-000775 от 11.03.2024 17:53:45"/>
    <s v="11.03.24"/>
    <n v="110000"/>
    <m/>
    <m/>
    <d v="2024-03-11T00:00:00"/>
    <n v="21"/>
    <x v="2"/>
    <x v="10"/>
    <x v="2"/>
    <x v="0"/>
    <m/>
    <m/>
    <m/>
  </r>
  <r>
    <s v="60.02"/>
    <x v="102"/>
    <x v="1287"/>
    <s v="Списание с расчетного счета 00БП-000777 от 11.03.2024 17:53:47"/>
    <s v="11.03.24"/>
    <n v="140000"/>
    <m/>
    <m/>
    <d v="2024-03-11T00:00:00"/>
    <n v="21"/>
    <x v="2"/>
    <x v="10"/>
    <x v="2"/>
    <x v="0"/>
    <m/>
    <m/>
    <m/>
  </r>
  <r>
    <s v="60.02"/>
    <x v="102"/>
    <x v="1288"/>
    <s v="Списание с расчетного счета 00БП-000776 от 11.03.2024 17:53:46"/>
    <s v="11.03.24"/>
    <n v="110000"/>
    <m/>
    <m/>
    <d v="2024-03-11T00:00:00"/>
    <n v="21"/>
    <x v="2"/>
    <x v="10"/>
    <x v="2"/>
    <x v="0"/>
    <m/>
    <m/>
    <m/>
  </r>
  <r>
    <s v="60.02"/>
    <x v="102"/>
    <x v="1289"/>
    <s v="Списание с расчетного счета 00БП-000780 от 11.03.2024 17:53:50"/>
    <s v="11.03.24"/>
    <n v="170000"/>
    <m/>
    <m/>
    <d v="2024-03-11T00:00:00"/>
    <n v="21"/>
    <x v="2"/>
    <x v="10"/>
    <x v="2"/>
    <x v="0"/>
    <m/>
    <m/>
    <m/>
  </r>
  <r>
    <s v="60.02"/>
    <x v="102"/>
    <x v="1290"/>
    <s v="Списание с расчетного счета 00БП-000778 от 11.03.2024 17:53:48"/>
    <s v="11.03.24"/>
    <n v="110000"/>
    <m/>
    <m/>
    <d v="2024-03-11T00:00:00"/>
    <n v="21"/>
    <x v="2"/>
    <x v="10"/>
    <x v="2"/>
    <x v="0"/>
    <m/>
    <m/>
    <m/>
  </r>
  <r>
    <s v="60.02"/>
    <x v="102"/>
    <x v="1291"/>
    <s v="Списание с расчетного счета 00БП-003624 от 10.07.2023 17:58:07"/>
    <s v="10.07.23"/>
    <n v="60000"/>
    <m/>
    <m/>
    <d v="2023-07-10T00:00:00"/>
    <n v="266"/>
    <x v="3"/>
    <x v="10"/>
    <x v="2"/>
    <x v="0"/>
    <m/>
    <m/>
    <m/>
  </r>
  <r>
    <s v="60.02"/>
    <x v="298"/>
    <x v="1292"/>
    <s v="Списание с расчетного счета 00БП-000999 от 19.03.2024 18:12:08"/>
    <s v="19.03.24"/>
    <n v="678200"/>
    <m/>
    <m/>
    <d v="2024-03-19T00:00:00"/>
    <n v="13"/>
    <x v="2"/>
    <x v="10"/>
    <x v="2"/>
    <x v="0"/>
    <m/>
    <m/>
    <m/>
  </r>
  <r>
    <s v="60.02"/>
    <x v="463"/>
    <x v="1293"/>
    <s v="Списание с расчетного счета 00БП-000427 от 20.02.2024 15:13:57"/>
    <s v="20.02.24"/>
    <n v="408186.9"/>
    <m/>
    <m/>
    <d v="2024-02-20T00:00:00"/>
    <n v="41"/>
    <x v="1"/>
    <x v="10"/>
    <x v="2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515"/>
    <x v="5"/>
    <x v="10"/>
    <x v="2"/>
    <x v="8"/>
    <m/>
    <m/>
    <m/>
  </r>
  <r>
    <s v="60.02"/>
    <x v="110"/>
    <x v="1294"/>
    <s v="Списание с расчетного счета 00БП-000220 от 01.02.2024 9:57:26"/>
    <s v="01.02.24"/>
    <n v="54446.34"/>
    <m/>
    <m/>
    <d v="2024-02-01T00:00:00"/>
    <n v="60"/>
    <x v="1"/>
    <x v="10"/>
    <x v="2"/>
    <x v="0"/>
    <m/>
    <m/>
    <m/>
  </r>
  <r>
    <s v="60.02"/>
    <x v="110"/>
    <x v="1294"/>
    <s v="Списание с расчетного счета 00БП-000222 от 01.02.2024 9:57:28"/>
    <s v="01.02.24"/>
    <n v="116977.31"/>
    <m/>
    <m/>
    <d v="2024-02-01T00:00:00"/>
    <n v="60"/>
    <x v="1"/>
    <x v="10"/>
    <x v="2"/>
    <x v="0"/>
    <m/>
    <m/>
    <m/>
  </r>
  <r>
    <s v="60.02"/>
    <x v="234"/>
    <x v="1055"/>
    <s v="Списание с расчетного счета 00БП-006371 от 20.10.2023 19:16:58"/>
    <s v="20.10.23"/>
    <n v="36897.74"/>
    <m/>
    <m/>
    <d v="2023-10-20T00:00:00"/>
    <n v="164"/>
    <x v="0"/>
    <x v="10"/>
    <x v="2"/>
    <x v="0"/>
    <m/>
    <m/>
    <m/>
  </r>
  <r>
    <s v="60.02"/>
    <x v="111"/>
    <x v="1295"/>
    <s v="Списание с расчетного счета 00БП-000242 от 02.02.2024 16:34:34"/>
    <s v="02.02.24"/>
    <n v="2587944.5"/>
    <m/>
    <m/>
    <d v="2024-02-02T00:00:00"/>
    <n v="59"/>
    <x v="1"/>
    <x v="10"/>
    <x v="2"/>
    <x v="0"/>
    <m/>
    <m/>
    <m/>
  </r>
  <r>
    <s v="60.02"/>
    <x v="111"/>
    <x v="1295"/>
    <s v="Списание с расчетного счета 00БП-000243 от 02.02.2024 16:34:35"/>
    <s v="02.02.24"/>
    <n v="10391500"/>
    <m/>
    <m/>
    <d v="2024-02-02T00:00:00"/>
    <n v="59"/>
    <x v="1"/>
    <x v="10"/>
    <x v="2"/>
    <x v="0"/>
    <m/>
    <m/>
    <m/>
  </r>
  <r>
    <s v="60.02"/>
    <x v="111"/>
    <x v="1296"/>
    <s v="Списание с расчетного счета 00БП-000275 от 07.02.2024 12:00:01"/>
    <s v="07.02.24"/>
    <n v="157500"/>
    <m/>
    <m/>
    <d v="2024-02-07T00:00:00"/>
    <n v="54"/>
    <x v="1"/>
    <x v="10"/>
    <x v="2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494"/>
    <x v="5"/>
    <x v="10"/>
    <x v="2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95"/>
    <x v="4"/>
    <x v="10"/>
    <x v="2"/>
    <x v="0"/>
    <m/>
    <m/>
    <m/>
  </r>
  <r>
    <s v="60.02"/>
    <x v="113"/>
    <x v="766"/>
    <s v="Списание с расчетного счета 00БП-000997 от 19.03.2024 18:12:06"/>
    <s v="19.03.24"/>
    <n v="116269.91"/>
    <m/>
    <m/>
    <d v="2024-03-19T00:00:00"/>
    <n v="13"/>
    <x v="2"/>
    <x v="10"/>
    <x v="2"/>
    <x v="0"/>
    <m/>
    <m/>
    <m/>
  </r>
  <r>
    <s v="60.02"/>
    <x v="115"/>
    <x v="1297"/>
    <s v="Списание с расчетного счета 00БП-000267 от 06.02.2024 12:00:08"/>
    <s v="06.02.24"/>
    <n v="840000"/>
    <m/>
    <m/>
    <d v="2024-02-06T00:00:00"/>
    <n v="55"/>
    <x v="1"/>
    <x v="10"/>
    <x v="2"/>
    <x v="0"/>
    <m/>
    <m/>
    <m/>
  </r>
  <r>
    <s v="60.02"/>
    <x v="115"/>
    <x v="1298"/>
    <s v="Списание с расчетного счета 00БП-000266 от 06.02.2024 12:00:07"/>
    <s v="06.02.24"/>
    <n v="840000"/>
    <m/>
    <m/>
    <d v="2024-02-06T00:00:00"/>
    <n v="55"/>
    <x v="1"/>
    <x v="10"/>
    <x v="2"/>
    <x v="0"/>
    <m/>
    <m/>
    <m/>
  </r>
  <r>
    <s v="60.02"/>
    <x v="115"/>
    <x v="1299"/>
    <s v="Списание с расчетного счета 00БП-000268 от 06.02.2024 12:00:09"/>
    <s v="06.02.24"/>
    <n v="840000"/>
    <m/>
    <m/>
    <d v="2024-02-06T00:00:00"/>
    <n v="55"/>
    <x v="1"/>
    <x v="10"/>
    <x v="2"/>
    <x v="0"/>
    <m/>
    <m/>
    <m/>
  </r>
  <r>
    <s v="60.02"/>
    <x v="115"/>
    <x v="1300"/>
    <s v="Списание с расчетного счета 00БП-000270 от 06.02.2024 12:00:11"/>
    <s v="06.02.24"/>
    <n v="1065000"/>
    <m/>
    <m/>
    <d v="2024-02-06T00:00:00"/>
    <n v="55"/>
    <x v="1"/>
    <x v="10"/>
    <x v="2"/>
    <x v="0"/>
    <m/>
    <m/>
    <m/>
  </r>
  <r>
    <s v="60.02"/>
    <x v="115"/>
    <x v="1301"/>
    <s v="Списание с расчетного счета 00БП-000545 от 28.02.2024 23:59:59"/>
    <s v="28.02.24"/>
    <n v="33200"/>
    <m/>
    <m/>
    <d v="2024-02-28T00:00:00"/>
    <n v="33"/>
    <x v="1"/>
    <x v="10"/>
    <x v="2"/>
    <x v="0"/>
    <m/>
    <m/>
    <m/>
  </r>
  <r>
    <s v="60.02"/>
    <x v="115"/>
    <x v="1302"/>
    <s v="Списание с расчетного счета 00БП-000547 от 28.02.2024 23:59:59"/>
    <s v="28.02.24"/>
    <n v="102000"/>
    <m/>
    <m/>
    <d v="2024-02-28T00:00:00"/>
    <n v="33"/>
    <x v="1"/>
    <x v="10"/>
    <x v="2"/>
    <x v="0"/>
    <m/>
    <m/>
    <m/>
  </r>
  <r>
    <s v="60.02"/>
    <x v="115"/>
    <x v="1303"/>
    <s v="Списание с расчетного счета 00БП-001080 от 22.03.2024 20:02:35"/>
    <s v="22.03.24"/>
    <n v="102000"/>
    <m/>
    <m/>
    <d v="2024-03-22T00:00:00"/>
    <n v="10"/>
    <x v="2"/>
    <x v="10"/>
    <x v="2"/>
    <x v="0"/>
    <m/>
    <m/>
    <m/>
  </r>
  <r>
    <s v="60.02"/>
    <x v="115"/>
    <x v="1304"/>
    <s v="Списание с расчетного счета 00БП-001077 от 22.03.2024 20:02:32"/>
    <s v="22.03.24"/>
    <n v="34100"/>
    <m/>
    <m/>
    <d v="2024-03-22T00:00:00"/>
    <n v="10"/>
    <x v="2"/>
    <x v="10"/>
    <x v="2"/>
    <x v="0"/>
    <m/>
    <m/>
    <m/>
  </r>
  <r>
    <s v="60.02"/>
    <x v="306"/>
    <x v="1180"/>
    <s v="Списание с расчетного счета 00БП-001166 от 27.03.2024 23:59:59"/>
    <s v="27.03.24"/>
    <n v="16897"/>
    <m/>
    <m/>
    <d v="2024-03-27T00:00:00"/>
    <n v="5"/>
    <x v="2"/>
    <x v="10"/>
    <x v="2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183"/>
    <x v="3"/>
    <x v="10"/>
    <x v="2"/>
    <x v="8"/>
    <m/>
    <m/>
    <m/>
  </r>
  <r>
    <s v="60.02"/>
    <x v="464"/>
    <x v="1305"/>
    <s v="Списание с расчетного счета 00БП-001078 от 22.03.2024 20:02:33"/>
    <s v="22.03.24"/>
    <n v="56400"/>
    <m/>
    <m/>
    <d v="2024-03-22T00:00:00"/>
    <n v="10"/>
    <x v="2"/>
    <x v="10"/>
    <x v="2"/>
    <x v="0"/>
    <m/>
    <m/>
    <m/>
  </r>
  <r>
    <s v="60.02"/>
    <x v="434"/>
    <x v="73"/>
    <s v="Авансовый отчет 00БП-000025 от 06.03.2024 17:14:54"/>
    <s v="06.03.24"/>
    <n v="1287"/>
    <m/>
    <m/>
    <d v="2024-03-06T00:00:00"/>
    <n v="26"/>
    <x v="2"/>
    <x v="10"/>
    <x v="2"/>
    <x v="0"/>
    <m/>
    <m/>
    <m/>
  </r>
  <r>
    <s v="60.02"/>
    <x v="465"/>
    <x v="1306"/>
    <s v="Списание с расчетного счета 00БП-000983 от 18.03.2024 18:19:12"/>
    <s v="18.03.24"/>
    <n v="25490000"/>
    <m/>
    <m/>
    <d v="2024-03-18T00:00:00"/>
    <n v="14"/>
    <x v="2"/>
    <x v="10"/>
    <x v="2"/>
    <x v="0"/>
    <m/>
    <m/>
    <m/>
  </r>
  <r>
    <s v="60.02"/>
    <x v="122"/>
    <x v="1307"/>
    <s v="Списание с расчетного счета 00БП-000298 от 09.02.2024 11:07:07"/>
    <s v="09.02.24"/>
    <n v="41580"/>
    <m/>
    <m/>
    <d v="2024-02-09T00:00:00"/>
    <n v="52"/>
    <x v="1"/>
    <x v="10"/>
    <x v="2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273"/>
    <x v="6"/>
    <x v="10"/>
    <x v="2"/>
    <x v="8"/>
    <m/>
    <m/>
    <m/>
  </r>
  <r>
    <s v="60.02"/>
    <x v="122"/>
    <x v="1308"/>
    <s v="Списание с расчетного счета 00БП-000979 от 18.03.2024 18:19:08"/>
    <s v="18.03.24"/>
    <n v="1650000"/>
    <m/>
    <m/>
    <d v="2024-03-18T00:00:00"/>
    <n v="14"/>
    <x v="2"/>
    <x v="10"/>
    <x v="2"/>
    <x v="0"/>
    <m/>
    <m/>
    <m/>
  </r>
  <r>
    <s v="60.02"/>
    <x v="122"/>
    <x v="1309"/>
    <s v="Списание с расчетного счета 00БП-001038 от 20.03.2024 18:33:58"/>
    <s v="20.03.24"/>
    <n v="1700000"/>
    <m/>
    <m/>
    <d v="2024-03-20T00:00:00"/>
    <n v="12"/>
    <x v="2"/>
    <x v="10"/>
    <x v="2"/>
    <x v="0"/>
    <m/>
    <m/>
    <m/>
  </r>
  <r>
    <s v="60.02"/>
    <x v="122"/>
    <x v="1310"/>
    <s v="Списание с расчетного счета 00БП-001037 от 20.03.2024 18:33:57"/>
    <s v="20.03.24"/>
    <n v="1650000"/>
    <m/>
    <m/>
    <d v="2024-03-20T00:00:00"/>
    <n v="12"/>
    <x v="2"/>
    <x v="10"/>
    <x v="2"/>
    <x v="0"/>
    <m/>
    <m/>
    <m/>
  </r>
  <r>
    <s v="60.02"/>
    <x v="122"/>
    <x v="1311"/>
    <s v="Списание с расчетного счета 00БП-001088 от 22.03.2024 20:02:43"/>
    <s v="22.03.24"/>
    <n v="1550000"/>
    <m/>
    <m/>
    <d v="2024-03-22T00:00:00"/>
    <n v="10"/>
    <x v="2"/>
    <x v="10"/>
    <x v="2"/>
    <x v="0"/>
    <m/>
    <m/>
    <m/>
  </r>
  <r>
    <s v="60.02"/>
    <x v="122"/>
    <x v="1312"/>
    <s v="Списание с расчетного счета 00БП-001076 от 22.03.2024 20:02:31"/>
    <s v="22.03.24"/>
    <n v="17826"/>
    <m/>
    <m/>
    <d v="2024-03-22T00:00:00"/>
    <n v="10"/>
    <x v="2"/>
    <x v="10"/>
    <x v="2"/>
    <x v="0"/>
    <m/>
    <m/>
    <m/>
  </r>
  <r>
    <s v="60.02"/>
    <x v="122"/>
    <x v="1313"/>
    <s v="Списание с расчетного счета 00БП-001162 от 27.03.2024 23:59:59"/>
    <s v="27.03.24"/>
    <n v="13595"/>
    <m/>
    <m/>
    <d v="2024-03-27T00:00:00"/>
    <n v="5"/>
    <x v="2"/>
    <x v="10"/>
    <x v="2"/>
    <x v="0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196"/>
    <x v="3"/>
    <x v="10"/>
    <x v="2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131"/>
    <x v="0"/>
    <x v="10"/>
    <x v="2"/>
    <x v="8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361"/>
    <x v="5"/>
    <x v="10"/>
    <x v="2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180"/>
    <x v="0"/>
    <x v="10"/>
    <x v="2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1704"/>
    <x v="5"/>
    <x v="10"/>
    <x v="2"/>
    <x v="8"/>
    <m/>
    <m/>
    <m/>
  </r>
  <r>
    <s v="60.02"/>
    <x v="466"/>
    <x v="1314"/>
    <s v="Списание с расчетного счета 00БП-001034 от 20.03.2024 18:33:54"/>
    <s v="20.03.24"/>
    <n v="751446.96"/>
    <m/>
    <m/>
    <d v="2024-03-20T00:00:00"/>
    <n v="12"/>
    <x v="2"/>
    <x v="10"/>
    <x v="2"/>
    <x v="0"/>
    <m/>
    <m/>
    <m/>
  </r>
  <r>
    <s v="60.02"/>
    <x v="127"/>
    <x v="1315"/>
    <s v="Списание с расчетного счета 00БП-000390 от 15.02.2024 17:30:56"/>
    <s v="15.02.24"/>
    <n v="5626879.7999999998"/>
    <m/>
    <m/>
    <d v="2024-02-15T00:00:00"/>
    <n v="46"/>
    <x v="1"/>
    <x v="10"/>
    <x v="2"/>
    <x v="0"/>
    <m/>
    <m/>
    <m/>
  </r>
  <r>
    <s v="60.02"/>
    <x v="467"/>
    <x v="1316"/>
    <s v="Списание с расчетного счета 00БП-007739 от 07.12.2023 12:00:15"/>
    <s v="07.12.23"/>
    <n v="171720"/>
    <m/>
    <m/>
    <d v="2023-12-07T00:00:00"/>
    <n v="116"/>
    <x v="4"/>
    <x v="10"/>
    <x v="2"/>
    <x v="0"/>
    <m/>
    <m/>
    <m/>
  </r>
  <r>
    <s v="60.02"/>
    <x v="467"/>
    <x v="1316"/>
    <s v="Списание с расчетного счета 00БП-007946 от 25.12.2023 12:25:33"/>
    <s v="25.12.23"/>
    <n v="171720"/>
    <m/>
    <m/>
    <d v="2023-12-25T00:00:00"/>
    <n v="98"/>
    <x v="4"/>
    <x v="10"/>
    <x v="2"/>
    <x v="0"/>
    <m/>
    <m/>
    <m/>
  </r>
  <r>
    <s v="60.02"/>
    <x v="310"/>
    <x v="1199"/>
    <s v="Списание с расчетного счета 00БП-000262 от 06.02.2024 12:00:03"/>
    <s v="06.02.24"/>
    <n v="50635.199999999997"/>
    <m/>
    <m/>
    <d v="2024-02-06T00:00:00"/>
    <n v="55"/>
    <x v="1"/>
    <x v="10"/>
    <x v="2"/>
    <x v="0"/>
    <m/>
    <m/>
    <m/>
  </r>
  <r>
    <s v="60.02"/>
    <x v="355"/>
    <x v="1063"/>
    <s v="Списание с расчетного счета 00БП-000864 от 13.03.2024 23:59:59"/>
    <s v="13.03.24"/>
    <n v="1425656"/>
    <m/>
    <m/>
    <d v="2024-03-13T00:00:00"/>
    <n v="19"/>
    <x v="2"/>
    <x v="10"/>
    <x v="2"/>
    <x v="0"/>
    <m/>
    <m/>
    <m/>
  </r>
  <r>
    <s v="60.02"/>
    <x v="355"/>
    <x v="1064"/>
    <s v="Списание с расчетного счета 00БП-007736 от 07.12.2023 12:00:12"/>
    <s v="07.12.23"/>
    <n v="6050"/>
    <m/>
    <m/>
    <d v="2023-12-07T00:00:00"/>
    <n v="116"/>
    <x v="4"/>
    <x v="10"/>
    <x v="2"/>
    <x v="0"/>
    <m/>
    <m/>
    <m/>
  </r>
  <r>
    <s v="60.02"/>
    <x v="355"/>
    <x v="1065"/>
    <s v="Списание с расчетного счета 00БП-000118 от 22.01.2024 12:00:04"/>
    <s v="22.01.24"/>
    <n v="11000"/>
    <m/>
    <m/>
    <d v="2024-01-22T00:00:00"/>
    <n v="70"/>
    <x v="1"/>
    <x v="10"/>
    <x v="2"/>
    <x v="0"/>
    <m/>
    <m/>
    <m/>
  </r>
  <r>
    <s v="60.02"/>
    <x v="391"/>
    <x v="1066"/>
    <s v="Списание с расчетного счета 00БП-004513 от 28.07.2021 19:49:24"/>
    <s v="28.07.21"/>
    <n v="50000"/>
    <m/>
    <m/>
    <d v="2021-07-28T00:00:00"/>
    <n v="978"/>
    <x v="5"/>
    <x v="10"/>
    <x v="2"/>
    <x v="0"/>
    <m/>
    <m/>
    <m/>
  </r>
  <r>
    <s v="60.02"/>
    <x v="137"/>
    <x v="303"/>
    <s v="Списание с расчетного счета 00БП-001254 от 28.03.2024 17:35:54"/>
    <s v="28.03.24"/>
    <n v="235000"/>
    <m/>
    <m/>
    <d v="2024-03-28T00:00:00"/>
    <n v="4"/>
    <x v="2"/>
    <x v="10"/>
    <x v="2"/>
    <x v="16"/>
    <m/>
    <m/>
    <m/>
  </r>
  <r>
    <s v="60.02"/>
    <x v="137"/>
    <x v="935"/>
    <s v="Списание с расчетного счета 00БП-001248 от 28.03.2024 17:35:48"/>
    <s v="28.03.24"/>
    <n v="1197"/>
    <m/>
    <m/>
    <d v="2024-03-28T00:00:00"/>
    <n v="4"/>
    <x v="2"/>
    <x v="10"/>
    <x v="2"/>
    <x v="0"/>
    <m/>
    <m/>
    <m/>
  </r>
  <r>
    <s v="60.02"/>
    <x v="137"/>
    <x v="1317"/>
    <s v="Списание с расчетного счета 00БП-001256 от 28.03.2024 17:35:56"/>
    <s v="28.03.24"/>
    <n v="260500"/>
    <m/>
    <m/>
    <d v="2024-03-28T00:00:00"/>
    <n v="4"/>
    <x v="2"/>
    <x v="10"/>
    <x v="2"/>
    <x v="0"/>
    <m/>
    <m/>
    <m/>
  </r>
  <r>
    <s v="60.02"/>
    <x v="317"/>
    <x v="73"/>
    <s v="Авансовый отчет 00БП-000027 от 07.03.2024 17:38:37"/>
    <s v="07.03.24"/>
    <n v="2000"/>
    <m/>
    <m/>
    <d v="2024-03-07T00:00:00"/>
    <n v="25"/>
    <x v="2"/>
    <x v="10"/>
    <x v="2"/>
    <x v="0"/>
    <m/>
    <m/>
    <m/>
  </r>
  <r>
    <s v="60.02"/>
    <x v="317"/>
    <x v="73"/>
    <s v="Авансовый отчет 00БП-000038 от 19.03.2024 10:31:48"/>
    <s v="19.03.24"/>
    <n v="1250"/>
    <m/>
    <m/>
    <d v="2024-03-19T00:00:00"/>
    <n v="13"/>
    <x v="2"/>
    <x v="10"/>
    <x v="2"/>
    <x v="0"/>
    <m/>
    <m/>
    <m/>
  </r>
  <r>
    <s v="60.02"/>
    <x v="468"/>
    <x v="1318"/>
    <s v="Списание с расчетного счета 00БП-001301 от 29.03.2024 18:50:36"/>
    <s v="29.03.24"/>
    <n v="44064"/>
    <m/>
    <m/>
    <d v="2024-03-29T00:00:00"/>
    <n v="3"/>
    <x v="2"/>
    <x v="10"/>
    <x v="2"/>
    <x v="0"/>
    <m/>
    <m/>
    <m/>
  </r>
  <r>
    <s v="60.02"/>
    <x v="245"/>
    <x v="1204"/>
    <s v="Авансовый отчет 00БП-000038 от 19.03.2024 10:31:48"/>
    <s v="19.03.24"/>
    <n v="3570"/>
    <m/>
    <m/>
    <d v="2024-03-19T00:00:00"/>
    <n v="13"/>
    <x v="2"/>
    <x v="10"/>
    <x v="2"/>
    <x v="0"/>
    <m/>
    <m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789"/>
    <x v="5"/>
    <x v="10"/>
    <x v="2"/>
    <x v="2"/>
    <m/>
    <m/>
    <m/>
  </r>
  <r>
    <s v="60.02"/>
    <x v="147"/>
    <x v="1319"/>
    <s v="Списание с расчетного счета 00БП-000929 от 15.03.2024 20:34:21"/>
    <s v="15.03.24"/>
    <n v="154969"/>
    <m/>
    <m/>
    <d v="2024-03-15T00:00:00"/>
    <n v="17"/>
    <x v="2"/>
    <x v="10"/>
    <x v="2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159"/>
    <x v="0"/>
    <x v="10"/>
    <x v="2"/>
    <x v="0"/>
    <m/>
    <m/>
    <m/>
  </r>
  <r>
    <s v="60.02"/>
    <x v="150"/>
    <x v="1070"/>
    <s v="Списание с расчетного счета 00БП-000281 от 07.02.2024 12:00:11"/>
    <s v="07.02.24"/>
    <n v="45900"/>
    <m/>
    <m/>
    <d v="2024-02-07T00:00:00"/>
    <n v="54"/>
    <x v="1"/>
    <x v="10"/>
    <x v="2"/>
    <x v="0"/>
    <m/>
    <m/>
    <m/>
  </r>
  <r>
    <s v="60.02"/>
    <x v="152"/>
    <x v="1207"/>
    <s v="Списание с расчетного счета 00БП-005827 от 28.09.2023 20:05:46"/>
    <s v="28.09.23"/>
    <n v="15500"/>
    <m/>
    <m/>
    <d v="2023-09-28T00:00:00"/>
    <n v="186"/>
    <x v="3"/>
    <x v="10"/>
    <x v="2"/>
    <x v="0"/>
    <m/>
    <m/>
    <m/>
  </r>
  <r>
    <s v="60.02"/>
    <x v="469"/>
    <x v="1320"/>
    <s v="Списание с расчетного счета 00БП-001302 от 29.03.2024 18:50:37"/>
    <s v="29.03.24"/>
    <n v="80960"/>
    <m/>
    <m/>
    <d v="2024-03-29T00:00:00"/>
    <n v="3"/>
    <x v="2"/>
    <x v="10"/>
    <x v="2"/>
    <x v="0"/>
    <m/>
    <m/>
    <m/>
  </r>
  <r>
    <s v="60.02"/>
    <x v="157"/>
    <x v="1075"/>
    <s v="Корректировка поступления 00БП-000004 от 01.06.2023 0:00:00"/>
    <s v="01.06.23"/>
    <n v="0.4"/>
    <m/>
    <m/>
    <d v="2023-06-01T00:00:00"/>
    <n v="305"/>
    <x v="6"/>
    <x v="10"/>
    <x v="2"/>
    <x v="0"/>
    <m/>
    <m/>
    <m/>
  </r>
  <r>
    <s v="60.02"/>
    <x v="324"/>
    <x v="1211"/>
    <s v="Списание с расчетного счета 00БП-007277 от 22.11.2023 15:47:00"/>
    <s v="22.11.23"/>
    <n v="313500"/>
    <m/>
    <m/>
    <d v="2023-11-22T00:00:00"/>
    <n v="131"/>
    <x v="0"/>
    <x v="10"/>
    <x v="2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523"/>
    <x v="5"/>
    <x v="10"/>
    <x v="2"/>
    <x v="0"/>
    <m/>
    <m/>
    <m/>
  </r>
  <r>
    <s v="60.02"/>
    <x v="162"/>
    <x v="1077"/>
    <s v="Списание с расчетного счета 00БП-005563 от 20.09.2023 17:53:24"/>
    <s v="20.09.23"/>
    <n v="2094390"/>
    <m/>
    <m/>
    <d v="2023-09-20T00:00:00"/>
    <n v="194"/>
    <x v="3"/>
    <x v="10"/>
    <x v="2"/>
    <x v="0"/>
    <m/>
    <m/>
    <m/>
  </r>
  <r>
    <s v="60.02"/>
    <x v="362"/>
    <x v="73"/>
    <s v="Списание с расчетного счета 00БП-006279 от 13.10.2023 19:10:42"/>
    <s v="13.10.23"/>
    <n v="60000"/>
    <m/>
    <m/>
    <d v="2023-10-13T00:00:00"/>
    <n v="171"/>
    <x v="0"/>
    <x v="10"/>
    <x v="2"/>
    <x v="0"/>
    <m/>
    <m/>
    <m/>
  </r>
  <r>
    <s v="60.02"/>
    <x v="362"/>
    <x v="73"/>
    <s v="Списание с расчетного счета 00БП-006280 от 13.10.2023 19:10:43"/>
    <s v="13.10.23"/>
    <n v="60000"/>
    <m/>
    <m/>
    <d v="2023-10-13T00:00:00"/>
    <n v="171"/>
    <x v="0"/>
    <x v="10"/>
    <x v="2"/>
    <x v="0"/>
    <m/>
    <m/>
    <m/>
  </r>
  <r>
    <s v="60.02"/>
    <x v="442"/>
    <x v="1212"/>
    <s v="Списание с расчетного счета 00БП-000417 от 19.02.2024 16:12:24"/>
    <s v="19.02.24"/>
    <n v="26485.919999999998"/>
    <m/>
    <m/>
    <d v="2024-02-19T00:00:00"/>
    <n v="42"/>
    <x v="1"/>
    <x v="10"/>
    <x v="2"/>
    <x v="0"/>
    <m/>
    <m/>
    <m/>
  </r>
  <r>
    <s v="60.02"/>
    <x v="326"/>
    <x v="1321"/>
    <s v="Списание с расчетного счета 00БП-003208 от 20.06.2023 17:48:36"/>
    <s v="20.06.23"/>
    <n v="39488.46"/>
    <m/>
    <m/>
    <d v="2023-06-20T00:00:00"/>
    <n v="286"/>
    <x v="6"/>
    <x v="10"/>
    <x v="2"/>
    <x v="0"/>
    <m/>
    <m/>
    <m/>
  </r>
  <r>
    <s v="60.32"/>
    <x v="167"/>
    <x v="337"/>
    <s v="Списание с расчетного счета 00БП-007604 от 28.11.2023 16:19:15"/>
    <s v="28.11.23"/>
    <n v="1592744.35"/>
    <m/>
    <m/>
    <d v="2023-11-28T00:00:00"/>
    <n v="125"/>
    <x v="0"/>
    <x v="10"/>
    <x v="2"/>
    <x v="0"/>
    <m/>
    <m/>
    <m/>
  </r>
  <r>
    <s v="60.32"/>
    <x v="470"/>
    <x v="1322"/>
    <s v="Списание с расчетного счета 00БП-000142 от 25.01.2024 12:06:01"/>
    <s v="25.01.24"/>
    <n v="514292.24"/>
    <m/>
    <m/>
    <d v="2024-01-25T00:00:00"/>
    <n v="67"/>
    <x v="1"/>
    <x v="10"/>
    <x v="2"/>
    <x v="0"/>
    <m/>
    <m/>
    <m/>
  </r>
  <r>
    <s v="60.32"/>
    <x v="38"/>
    <x v="1323"/>
    <s v="Списание с расчетного счета 00БП-007617 от 29.11.2023 16:50:56"/>
    <s v="29.11.23"/>
    <n v="36356765.060000002"/>
    <m/>
    <m/>
    <d v="2023-11-29T00:00:00"/>
    <n v="124"/>
    <x v="0"/>
    <x v="10"/>
    <x v="2"/>
    <x v="0"/>
    <m/>
    <m/>
    <m/>
  </r>
  <r>
    <s v="60.32"/>
    <x v="38"/>
    <x v="1323"/>
    <s v="Списание с расчетного счета 00БП-000651 от 04.03.2024 16:09:52"/>
    <s v="04.03.24"/>
    <n v="37474176.079999998"/>
    <m/>
    <m/>
    <d v="2024-03-04T00:00:00"/>
    <n v="28"/>
    <x v="2"/>
    <x v="10"/>
    <x v="2"/>
    <x v="0"/>
    <m/>
    <m/>
    <m/>
  </r>
  <r>
    <s v="60.32"/>
    <x v="38"/>
    <x v="1324"/>
    <s v="Списание с расчетного счета 00БП-001154 от 26.03.2024 18:50:41"/>
    <s v="26.03.24"/>
    <n v="66984344.200000003"/>
    <m/>
    <m/>
    <d v="2024-03-26T00:00:00"/>
    <n v="6"/>
    <x v="2"/>
    <x v="10"/>
    <x v="2"/>
    <x v="0"/>
    <m/>
    <m/>
    <m/>
  </r>
  <r>
    <s v="60.32"/>
    <x v="38"/>
    <x v="992"/>
    <s v="Списание с расчетного счета 00БП-001264 от 28.03.2024 17:36:04"/>
    <s v="28.03.24"/>
    <n v="1937883.65"/>
    <m/>
    <m/>
    <d v="2024-03-28T00:00:00"/>
    <n v="4"/>
    <x v="2"/>
    <x v="10"/>
    <x v="2"/>
    <x v="0"/>
    <m/>
    <m/>
    <m/>
  </r>
  <r>
    <s v="60.32"/>
    <x v="38"/>
    <x v="1079"/>
    <s v="Списание с расчетного счета 00БП-000264 от 06.02.2024 12:00:05"/>
    <s v="06.02.24"/>
    <n v="59500.57"/>
    <m/>
    <m/>
    <d v="2024-02-06T00:00:00"/>
    <n v="55"/>
    <x v="1"/>
    <x v="10"/>
    <x v="2"/>
    <x v="0"/>
    <m/>
    <m/>
    <m/>
  </r>
  <r>
    <s v="60.32"/>
    <x v="396"/>
    <x v="1081"/>
    <s v="Списание с расчетного счета 00БП-000406 от 16.02.2024 16:04:46"/>
    <s v="16.02.24"/>
    <n v="2973019.17"/>
    <m/>
    <m/>
    <d v="2024-02-16T00:00:00"/>
    <n v="45"/>
    <x v="1"/>
    <x v="10"/>
    <x v="2"/>
    <x v="0"/>
    <m/>
    <m/>
    <m/>
  </r>
  <r>
    <s v="60.32"/>
    <x v="78"/>
    <x v="1213"/>
    <s v="Списание с расчетного счета 00БП-006364 от 19.10.2023 17:19:30"/>
    <s v="19.10.23"/>
    <n v="545854.66"/>
    <m/>
    <m/>
    <d v="2023-10-19T00:00:00"/>
    <n v="165"/>
    <x v="0"/>
    <x v="10"/>
    <x v="2"/>
    <x v="0"/>
    <m/>
    <m/>
    <m/>
  </r>
  <r>
    <s v="60.32"/>
    <x v="78"/>
    <x v="1213"/>
    <s v="Списание с расчетного счета 00БП-000912 от 14.03.2024 17:41:40"/>
    <s v="14.03.24"/>
    <n v="7103821.0700000003"/>
    <m/>
    <m/>
    <d v="2024-03-14T00:00:00"/>
    <n v="18"/>
    <x v="2"/>
    <x v="10"/>
    <x v="2"/>
    <x v="0"/>
    <m/>
    <m/>
    <m/>
  </r>
  <r>
    <s v="60.32"/>
    <x v="106"/>
    <x v="595"/>
    <s v="Списание с расчетного счета 00БП-000174 от 29.01.2024 12:00:03"/>
    <s v="29.01.24"/>
    <n v="3161229.84"/>
    <m/>
    <m/>
    <d v="2024-01-29T00:00:00"/>
    <n v="63"/>
    <x v="1"/>
    <x v="10"/>
    <x v="2"/>
    <x v="0"/>
    <m/>
    <m/>
    <m/>
  </r>
  <r>
    <s v="60.32"/>
    <x v="106"/>
    <x v="1214"/>
    <s v="Списание с расчетного счета 00БП-000175 от 29.01.2024 12:00:04"/>
    <s v="29.01.24"/>
    <n v="1872896.42"/>
    <m/>
    <m/>
    <d v="2024-01-29T00:00:00"/>
    <n v="63"/>
    <x v="1"/>
    <x v="10"/>
    <x v="2"/>
    <x v="0"/>
    <m/>
    <m/>
    <m/>
  </r>
  <r>
    <s v="60.32"/>
    <x v="170"/>
    <x v="1325"/>
    <s v="Списание с расчетного счета 00БП-007710 от 05.12.2023 15:42:55"/>
    <s v="05.12.23"/>
    <n v="1593574.46"/>
    <m/>
    <m/>
    <d v="2023-12-05T00:00:00"/>
    <n v="118"/>
    <x v="4"/>
    <x v="10"/>
    <x v="2"/>
    <x v="0"/>
    <m/>
    <m/>
    <m/>
  </r>
  <r>
    <s v="60.32"/>
    <x v="170"/>
    <x v="1325"/>
    <s v="Списание с расчетного счета 00БП-000749 от 07.03.2024 17:38:32"/>
    <s v="07.03.24"/>
    <n v="14289719.310000001"/>
    <m/>
    <m/>
    <d v="2024-03-07T00:00:00"/>
    <n v="25"/>
    <x v="2"/>
    <x v="10"/>
    <x v="2"/>
    <x v="0"/>
    <m/>
    <m/>
    <m/>
  </r>
  <r>
    <s v="60.32"/>
    <x v="170"/>
    <x v="1326"/>
    <s v="Списание с расчетного счета 00БП-007713 от 05.12.2023 15:42:58"/>
    <s v="05.12.23"/>
    <n v="2266820"/>
    <m/>
    <m/>
    <d v="2023-12-05T00:00:00"/>
    <n v="118"/>
    <x v="4"/>
    <x v="10"/>
    <x v="2"/>
    <x v="0"/>
    <m/>
    <m/>
    <m/>
  </r>
  <r>
    <s v="60.32"/>
    <x v="170"/>
    <x v="1326"/>
    <s v="Списание с расчетного счета 00БП-000750 от 07.03.2024 17:38:33"/>
    <s v="07.03.24"/>
    <n v="20326700"/>
    <m/>
    <m/>
    <d v="2024-03-07T00:00:00"/>
    <n v="25"/>
    <x v="2"/>
    <x v="10"/>
    <x v="2"/>
    <x v="0"/>
    <m/>
    <m/>
    <m/>
  </r>
  <r>
    <s v="60.32"/>
    <x v="170"/>
    <x v="1327"/>
    <s v="Списание с расчетного счета 00БП-007712 от 05.12.2023 15:42:57"/>
    <s v="05.12.23"/>
    <n v="2266820"/>
    <m/>
    <m/>
    <d v="2023-12-05T00:00:00"/>
    <n v="118"/>
    <x v="4"/>
    <x v="10"/>
    <x v="2"/>
    <x v="0"/>
    <m/>
    <m/>
    <m/>
  </r>
  <r>
    <s v="60.32"/>
    <x v="170"/>
    <x v="1327"/>
    <s v="Списание с расчетного счета 00БП-000721 от 07.03.2024 17:38:06"/>
    <s v="07.03.24"/>
    <n v="20326770"/>
    <m/>
    <m/>
    <d v="2024-03-07T00:00:00"/>
    <n v="25"/>
    <x v="2"/>
    <x v="10"/>
    <x v="2"/>
    <x v="0"/>
    <m/>
    <m/>
    <m/>
  </r>
  <r>
    <s v="60.32"/>
    <x v="127"/>
    <x v="1215"/>
    <s v="Списание с расчетного счета 00БП-001011 от 19.03.2024 18:12:20"/>
    <s v="19.03.24"/>
    <n v="5874261.6299999999"/>
    <m/>
    <m/>
    <d v="2024-03-19T00:00:00"/>
    <n v="13"/>
    <x v="2"/>
    <x v="10"/>
    <x v="2"/>
    <x v="0"/>
    <m/>
    <m/>
    <m/>
  </r>
  <r>
    <s v="60.32"/>
    <x v="127"/>
    <x v="1328"/>
    <s v="Списание с расчетного счета 00БП-001090 от 22.03.2024 20:02:45"/>
    <s v="22.03.24"/>
    <n v="1584625"/>
    <m/>
    <m/>
    <d v="2024-03-22T00:00:00"/>
    <n v="10"/>
    <x v="2"/>
    <x v="10"/>
    <x v="2"/>
    <x v="0"/>
    <m/>
    <m/>
    <m/>
  </r>
  <r>
    <s v="60.32"/>
    <x v="127"/>
    <x v="1329"/>
    <s v="Списание с расчетного счета 00БП-000202 от 31.01.2024 23:59:59"/>
    <s v="31.01.24"/>
    <n v="51104856"/>
    <m/>
    <m/>
    <d v="2024-01-31T00:00:00"/>
    <n v="61"/>
    <x v="1"/>
    <x v="10"/>
    <x v="2"/>
    <x v="0"/>
    <m/>
    <m/>
    <m/>
  </r>
  <r>
    <s v="60.32"/>
    <x v="127"/>
    <x v="1329"/>
    <s v="Списание с расчетного счета 00БП-001040 от 20.03.2024 18:34:00"/>
    <s v="20.03.24"/>
    <n v="13213820.4"/>
    <m/>
    <m/>
    <d v="2024-03-20T00:00:00"/>
    <n v="12"/>
    <x v="2"/>
    <x v="10"/>
    <x v="2"/>
    <x v="0"/>
    <m/>
    <m/>
    <m/>
  </r>
  <r>
    <s v="60.32"/>
    <x v="310"/>
    <x v="1082"/>
    <s v="Списание с расчетного счета 00БП-000228 от 01.02.2024 9:57:34"/>
    <s v="01.02.24"/>
    <n v="4569948.12"/>
    <m/>
    <m/>
    <d v="2024-02-01T00:00:00"/>
    <n v="60"/>
    <x v="1"/>
    <x v="10"/>
    <x v="2"/>
    <x v="0"/>
    <m/>
    <m/>
    <m/>
  </r>
  <r>
    <s v="60.02"/>
    <x v="397"/>
    <x v="1083"/>
    <s v="Списание с расчетного счета 00БП-004417 от 10.08.2023 18:11:46"/>
    <s v="10.08.23"/>
    <n v="440"/>
    <m/>
    <m/>
    <d v="2023-08-10T00:00:00"/>
    <n v="144"/>
    <x v="0"/>
    <x v="11"/>
    <x v="2"/>
    <x v="0"/>
    <m/>
    <m/>
    <m/>
  </r>
  <r>
    <s v="60.02"/>
    <x v="0"/>
    <x v="820"/>
    <s v="Списание с расчетного счета 00БП-003158 от 16.06.2023 21:01:03"/>
    <s v="16.06.23"/>
    <n v="6600"/>
    <m/>
    <m/>
    <d v="2023-06-16T00:00:00"/>
    <n v="199"/>
    <x v="3"/>
    <x v="11"/>
    <x v="2"/>
    <x v="0"/>
    <m/>
    <m/>
    <m/>
  </r>
  <r>
    <s v="60.02"/>
    <x v="3"/>
    <x v="1216"/>
    <s v="Списание с расчетного счета 00БП-007190 от 16.11.2023 18:12:34"/>
    <s v="16.11.23"/>
    <n v="5547126.2000000002"/>
    <m/>
    <m/>
    <d v="2023-11-16T00:00:00"/>
    <n v="46"/>
    <x v="1"/>
    <x v="11"/>
    <x v="2"/>
    <x v="0"/>
    <m/>
    <m/>
    <m/>
  </r>
  <r>
    <s v="60.02"/>
    <x v="3"/>
    <x v="1217"/>
    <s v="Списание с расчетного счета 00БП-007189 от 16.11.2023 18:12:33"/>
    <s v="16.11.23"/>
    <n v="5143632.9000000004"/>
    <m/>
    <m/>
    <d v="2023-11-16T00:00:00"/>
    <n v="46"/>
    <x v="1"/>
    <x v="11"/>
    <x v="2"/>
    <x v="0"/>
    <m/>
    <m/>
    <m/>
  </r>
  <r>
    <s v="60.02"/>
    <x v="3"/>
    <x v="1218"/>
    <s v="Списание с расчетного счета 00БП-007188 от 16.11.2023 18:12:32"/>
    <s v="16.11.23"/>
    <n v="4313673"/>
    <m/>
    <m/>
    <d v="2023-11-16T00:00:00"/>
    <n v="46"/>
    <x v="1"/>
    <x v="11"/>
    <x v="2"/>
    <x v="0"/>
    <m/>
    <m/>
    <m/>
  </r>
  <r>
    <s v="60.02"/>
    <x v="3"/>
    <x v="1219"/>
    <s v="Списание с расчетного счета 00БП-007263 от 21.11.2023 15:55:25"/>
    <s v="21.11.23"/>
    <n v="4498242.53"/>
    <m/>
    <m/>
    <d v="2023-11-21T00:00:00"/>
    <n v="41"/>
    <x v="1"/>
    <x v="11"/>
    <x v="2"/>
    <x v="0"/>
    <m/>
    <m/>
    <m/>
  </r>
  <r>
    <s v="60.02"/>
    <x v="3"/>
    <x v="1220"/>
    <s v="Списание с расчетного счета 00БП-007185 от 16.11.2023 18:12:29"/>
    <s v="16.11.23"/>
    <n v="625893.61"/>
    <m/>
    <m/>
    <d v="2023-11-16T00:00:00"/>
    <n v="46"/>
    <x v="1"/>
    <x v="11"/>
    <x v="2"/>
    <x v="0"/>
    <m/>
    <m/>
    <m/>
  </r>
  <r>
    <s v="60.02"/>
    <x v="4"/>
    <x v="1330"/>
    <s v="Списание с расчетного счета 00БП-007725 от 06.12.2023 9:18:12"/>
    <s v="06.12.23"/>
    <n v="10700000"/>
    <m/>
    <m/>
    <d v="2023-12-06T00:00:00"/>
    <n v="26"/>
    <x v="2"/>
    <x v="11"/>
    <x v="2"/>
    <x v="0"/>
    <m/>
    <m/>
    <m/>
  </r>
  <r>
    <s v="60.02"/>
    <x v="4"/>
    <x v="1221"/>
    <s v="Списание с расчетного счета 00БП-007766 от 11.12.2023 16:35:04"/>
    <s v="11.12.23"/>
    <n v="14700000"/>
    <m/>
    <m/>
    <d v="2023-12-11T00:00:00"/>
    <n v="21"/>
    <x v="2"/>
    <x v="11"/>
    <x v="2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241"/>
    <x v="3"/>
    <x v="11"/>
    <x v="2"/>
    <x v="0"/>
    <m/>
    <m/>
    <m/>
  </r>
  <r>
    <s v="60.02"/>
    <x v="444"/>
    <x v="1223"/>
    <s v="Списание с расчетного счета 00БП-007988 от 28.12.2023 15:20:49"/>
    <s v="28.12.23"/>
    <n v="4185400"/>
    <m/>
    <m/>
    <d v="2023-12-28T00:00:00"/>
    <n v="4"/>
    <x v="2"/>
    <x v="11"/>
    <x v="2"/>
    <x v="0"/>
    <m/>
    <m/>
    <m/>
  </r>
  <r>
    <s v="60.02"/>
    <x v="10"/>
    <x v="17"/>
    <s v="Списание с расчетного счета 00БП-007689 от 04.12.2023 18:08:53"/>
    <s v="04.12.23"/>
    <n v="249929856"/>
    <m/>
    <m/>
    <d v="2023-12-04T00:00:00"/>
    <n v="28"/>
    <x v="2"/>
    <x v="11"/>
    <x v="2"/>
    <x v="0"/>
    <m/>
    <m/>
    <m/>
  </r>
  <r>
    <s v="60.02"/>
    <x v="18"/>
    <x v="1331"/>
    <s v="Списание с расчетного счета 00БП-005688 от 26.09.2023 22:54:06"/>
    <s v="26.09.23"/>
    <n v="629860"/>
    <m/>
    <m/>
    <d v="2023-09-26T00:00:00"/>
    <n v="97"/>
    <x v="4"/>
    <x v="11"/>
    <x v="2"/>
    <x v="0"/>
    <m/>
    <m/>
    <m/>
  </r>
  <r>
    <s v="60.02"/>
    <x v="19"/>
    <x v="28"/>
    <s v="Списание с расчетного счета 00БП-007903 от 22.12.2023 12:00:09"/>
    <s v="22.12.23"/>
    <n v="66000"/>
    <m/>
    <m/>
    <d v="2023-12-22T00:00:00"/>
    <n v="10"/>
    <x v="2"/>
    <x v="11"/>
    <x v="2"/>
    <x v="0"/>
    <m/>
    <m/>
    <m/>
  </r>
  <r>
    <s v="60.02"/>
    <x v="263"/>
    <x v="1332"/>
    <s v="Списание с расчетного счета 00БП-001089 от 02.04.2020 20:27:51"/>
    <s v="02.04.20"/>
    <n v="5636"/>
    <m/>
    <m/>
    <d v="2020-04-02T00:00:00"/>
    <n v="1369"/>
    <x v="5"/>
    <x v="11"/>
    <x v="2"/>
    <x v="0"/>
    <m/>
    <m/>
    <m/>
  </r>
  <r>
    <s v="60.02"/>
    <x v="263"/>
    <x v="1333"/>
    <s v="Списание с расчетного счета 00БП-001227 от 31.03.2023 23:59:59"/>
    <s v="31.03.23"/>
    <n v="8965"/>
    <m/>
    <m/>
    <d v="2023-03-31T00:00:00"/>
    <n v="276"/>
    <x v="6"/>
    <x v="11"/>
    <x v="2"/>
    <x v="0"/>
    <m/>
    <m/>
    <m/>
  </r>
  <r>
    <s v="60.02"/>
    <x v="263"/>
    <x v="1334"/>
    <s v="Списание с расчетного счета 00БП-001170 от 31.03.2022 23:59:59"/>
    <s v="31.03.22"/>
    <n v="400"/>
    <m/>
    <m/>
    <d v="2022-03-31T00:00:00"/>
    <n v="641"/>
    <x v="5"/>
    <x v="11"/>
    <x v="2"/>
    <x v="0"/>
    <m/>
    <m/>
    <m/>
  </r>
  <r>
    <s v="60.02"/>
    <x v="263"/>
    <x v="1335"/>
    <s v="Списание с расчетного счета 00БП-004246 от 31.07.2023 23:59:59"/>
    <s v="31.07.23"/>
    <n v="45600"/>
    <m/>
    <m/>
    <d v="2023-07-31T00:00:00"/>
    <n v="154"/>
    <x v="0"/>
    <x v="11"/>
    <x v="2"/>
    <x v="0"/>
    <m/>
    <m/>
    <m/>
  </r>
  <r>
    <s v="60.02"/>
    <x v="364"/>
    <x v="1336"/>
    <s v="Списание с расчетного счета 00БП-007760 от 11.12.2023 16:34:58"/>
    <s v="11.12.23"/>
    <n v="160000"/>
    <m/>
    <m/>
    <d v="2023-12-11T00:00:00"/>
    <n v="21"/>
    <x v="2"/>
    <x v="11"/>
    <x v="2"/>
    <x v="0"/>
    <m/>
    <m/>
    <m/>
  </r>
  <r>
    <s v="60.02"/>
    <x v="29"/>
    <x v="1337"/>
    <s v="Списание с расчетного счета 00БП-007762 от 11.12.2023 16:35:00"/>
    <s v="11.12.23"/>
    <n v="443932"/>
    <m/>
    <m/>
    <d v="2023-12-11T00:00:00"/>
    <n v="21"/>
    <x v="2"/>
    <x v="11"/>
    <x v="2"/>
    <x v="0"/>
    <m/>
    <m/>
    <m/>
  </r>
  <r>
    <s v="60.02"/>
    <x v="29"/>
    <x v="1009"/>
    <s v="Списание с расчетного счета 00БП-007086 от 10.11.2023 16:36:34"/>
    <s v="10.11.23"/>
    <n v="240420"/>
    <m/>
    <m/>
    <d v="2023-11-10T00:00:00"/>
    <n v="52"/>
    <x v="1"/>
    <x v="11"/>
    <x v="2"/>
    <x v="0"/>
    <m/>
    <m/>
    <m/>
  </r>
  <r>
    <s v="60.02"/>
    <x v="30"/>
    <x v="47"/>
    <s v="Списание с расчетного счета 00БП-003842 от 27.07.2020 18:29:17"/>
    <s v="27.07.20"/>
    <n v="6600"/>
    <m/>
    <m/>
    <d v="2020-07-27T00:00:00"/>
    <n v="1253"/>
    <x v="5"/>
    <x v="11"/>
    <x v="2"/>
    <x v="0"/>
    <m/>
    <m/>
    <m/>
  </r>
  <r>
    <s v="60.02"/>
    <x v="30"/>
    <x v="428"/>
    <s v="Списание с расчетного счета 00БП-007511 от 24.11.2023 17:56:41"/>
    <s v="24.11.23"/>
    <n v="6600"/>
    <m/>
    <m/>
    <d v="2023-11-24T00:00:00"/>
    <n v="38"/>
    <x v="1"/>
    <x v="11"/>
    <x v="2"/>
    <x v="0"/>
    <m/>
    <m/>
    <m/>
  </r>
  <r>
    <s v="60.02"/>
    <x v="31"/>
    <x v="1338"/>
    <s v="Списание с расчетного счета 00БП-007843 от 14.12.2023 13:56:02"/>
    <s v="14.12.23"/>
    <n v="688160"/>
    <m/>
    <m/>
    <d v="2023-12-14T00:00:00"/>
    <n v="18"/>
    <x v="2"/>
    <x v="11"/>
    <x v="2"/>
    <x v="0"/>
    <m/>
    <m/>
    <m/>
  </r>
  <r>
    <s v="60.02"/>
    <x v="36"/>
    <x v="1104"/>
    <s v="Списание с расчетного счета 00БП-007616 от 15.12.2020 14:53:03"/>
    <s v="15.12.20"/>
    <n v="2324.42"/>
    <m/>
    <m/>
    <d v="2020-12-15T00:00:00"/>
    <n v="1112"/>
    <x v="5"/>
    <x v="11"/>
    <x v="2"/>
    <x v="0"/>
    <m/>
    <m/>
    <m/>
  </r>
  <r>
    <s v="60.02"/>
    <x v="36"/>
    <x v="1105"/>
    <s v="Списание с расчетного счета 00БП-008007 от 29.12.2023 12:00:13"/>
    <s v="29.12.23"/>
    <n v="4378181.88"/>
    <m/>
    <m/>
    <d v="2023-12-29T00:00:00"/>
    <n v="3"/>
    <x v="2"/>
    <x v="11"/>
    <x v="2"/>
    <x v="0"/>
    <m/>
    <m/>
    <m/>
  </r>
  <r>
    <s v="60.02"/>
    <x v="201"/>
    <x v="238"/>
    <s v="Списание с расчетного счета 00БП-004383 от 26.07.2021 18:25:32"/>
    <s v="26.07.21"/>
    <n v="5433.05"/>
    <m/>
    <m/>
    <d v="2021-07-26T00:00:00"/>
    <n v="889"/>
    <x v="5"/>
    <x v="11"/>
    <x v="2"/>
    <x v="0"/>
    <m/>
    <m/>
    <m/>
  </r>
  <r>
    <s v="60.02"/>
    <x v="38"/>
    <x v="1020"/>
    <s v="Списание с расчетного счета 00БП-008006 от 29.12.2023 12:00:12"/>
    <s v="29.12.23"/>
    <n v="706643.2"/>
    <m/>
    <m/>
    <d v="2023-12-29T00:00:00"/>
    <n v="3"/>
    <x v="2"/>
    <x v="11"/>
    <x v="2"/>
    <x v="0"/>
    <m/>
    <m/>
    <m/>
  </r>
  <r>
    <s v="60.02"/>
    <x v="39"/>
    <x v="1339"/>
    <s v="Списание с расчетного счета 00БП-007932 от 25.12.2023 12:25:22"/>
    <s v="25.12.23"/>
    <n v="399862"/>
    <m/>
    <m/>
    <d v="2023-12-25T00:00:00"/>
    <n v="7"/>
    <x v="2"/>
    <x v="11"/>
    <x v="2"/>
    <x v="0"/>
    <m/>
    <m/>
    <m/>
  </r>
  <r>
    <s v="60.02"/>
    <x v="40"/>
    <x v="238"/>
    <s v="Списание с расчетного счета 00БП-001306 от 06.04.2023 19:01:57"/>
    <s v="06.04.23"/>
    <n v="266"/>
    <m/>
    <m/>
    <d v="2023-04-06T00:00:00"/>
    <n v="270"/>
    <x v="3"/>
    <x v="11"/>
    <x v="2"/>
    <x v="0"/>
    <m/>
    <m/>
    <m/>
  </r>
  <r>
    <s v="60.02"/>
    <x v="40"/>
    <x v="238"/>
    <s v="Списание с расчетного счета 00БП-001663 от 14.04.2023 20:37:05"/>
    <s v="14.04.23"/>
    <n v="1480"/>
    <m/>
    <m/>
    <d v="2023-04-14T00:00:00"/>
    <n v="262"/>
    <x v="3"/>
    <x v="11"/>
    <x v="2"/>
    <x v="0"/>
    <m/>
    <m/>
    <m/>
  </r>
  <r>
    <s v="60.02"/>
    <x v="40"/>
    <x v="238"/>
    <s v="Списание с расчетного счета 00БП-002380 от 16.05.2023 20:19:17"/>
    <s v="16.05.23"/>
    <n v="1220"/>
    <m/>
    <m/>
    <d v="2023-05-16T00:00:00"/>
    <n v="230"/>
    <x v="3"/>
    <x v="11"/>
    <x v="2"/>
    <x v="0"/>
    <m/>
    <m/>
    <m/>
  </r>
  <r>
    <s v="60.02"/>
    <x v="40"/>
    <x v="238"/>
    <s v="Списание с расчетного счета 00БП-002523 от 25.05.2023 19:25:33"/>
    <s v="25.05.23"/>
    <n v="790"/>
    <m/>
    <m/>
    <d v="2023-05-25T00:00:00"/>
    <n v="221"/>
    <x v="3"/>
    <x v="11"/>
    <x v="2"/>
    <x v="0"/>
    <m/>
    <m/>
    <m/>
  </r>
  <r>
    <s v="60.02"/>
    <x v="40"/>
    <x v="238"/>
    <s v="Списание с расчетного счета 00БП-002996 от 09.06.2023 21:23:56"/>
    <s v="09.06.23"/>
    <n v="840"/>
    <m/>
    <m/>
    <d v="2023-06-09T00:00:00"/>
    <n v="206"/>
    <x v="3"/>
    <x v="11"/>
    <x v="2"/>
    <x v="0"/>
    <m/>
    <m/>
    <m/>
  </r>
  <r>
    <s v="60.02"/>
    <x v="40"/>
    <x v="238"/>
    <s v="Списание с расчетного счета 00БП-003636 от 11.07.2023 17:48:56"/>
    <s v="11.07.23"/>
    <n v="1060"/>
    <m/>
    <m/>
    <d v="2023-07-11T00:00:00"/>
    <n v="174"/>
    <x v="0"/>
    <x v="11"/>
    <x v="2"/>
    <x v="0"/>
    <m/>
    <m/>
    <m/>
  </r>
  <r>
    <s v="60.02"/>
    <x v="40"/>
    <x v="238"/>
    <s v="Корректировка поступления 00БП-000013 от 15.08.2023 11:54:38"/>
    <s v="15.08.23"/>
    <n v="260"/>
    <m/>
    <m/>
    <d v="2023-08-15T00:00:00"/>
    <n v="139"/>
    <x v="0"/>
    <x v="11"/>
    <x v="2"/>
    <x v="0"/>
    <m/>
    <m/>
    <m/>
  </r>
  <r>
    <s v="60.02"/>
    <x v="40"/>
    <x v="238"/>
    <s v="Списание с расчетного счета 00БП-005591 от 21.09.2023 17:19:10"/>
    <s v="21.09.23"/>
    <n v="740"/>
    <m/>
    <m/>
    <d v="2023-09-21T00:00:00"/>
    <n v="102"/>
    <x v="4"/>
    <x v="11"/>
    <x v="2"/>
    <x v="0"/>
    <m/>
    <m/>
    <m/>
  </r>
  <r>
    <s v="60.02"/>
    <x v="40"/>
    <x v="238"/>
    <s v="Списание с расчетного счета 00БП-005762 от 27.09.2023 18:16:25"/>
    <s v="27.09.23"/>
    <n v="1050"/>
    <m/>
    <m/>
    <d v="2023-09-27T00:00:00"/>
    <n v="96"/>
    <x v="4"/>
    <x v="11"/>
    <x v="2"/>
    <x v="0"/>
    <m/>
    <m/>
    <m/>
  </r>
  <r>
    <s v="60.02"/>
    <x v="40"/>
    <x v="1340"/>
    <s v="Списание с расчетного счета 00БП-007842 от 14.12.2023 13:56:01"/>
    <s v="14.12.23"/>
    <n v="17405"/>
    <m/>
    <m/>
    <d v="2023-12-14T00:00:00"/>
    <n v="18"/>
    <x v="2"/>
    <x v="11"/>
    <x v="2"/>
    <x v="0"/>
    <m/>
    <m/>
    <m/>
  </r>
  <r>
    <s v="60.02"/>
    <x v="471"/>
    <x v="1341"/>
    <s v="Списание с расчетного счета 00БП-003121 от 14.06.2023 17:18:34"/>
    <s v="14.06.23"/>
    <n v="39444.6"/>
    <m/>
    <m/>
    <d v="2023-06-14T00:00:00"/>
    <n v="201"/>
    <x v="3"/>
    <x v="11"/>
    <x v="2"/>
    <x v="0"/>
    <m/>
    <m/>
    <m/>
  </r>
  <r>
    <s v="60.02"/>
    <x v="42"/>
    <x v="1342"/>
    <s v="Списание с расчетного счета 00БП-007707 от 05.12.2023 15:42:52"/>
    <s v="05.12.23"/>
    <n v="121395"/>
    <m/>
    <m/>
    <d v="2023-12-05T00:00:00"/>
    <n v="27"/>
    <x v="2"/>
    <x v="11"/>
    <x v="2"/>
    <x v="0"/>
    <m/>
    <m/>
    <m/>
  </r>
  <r>
    <s v="60.02"/>
    <x v="380"/>
    <x v="1026"/>
    <s v="Списание с расчетного счета 00БП-005476 от 13.09.2023 21:56:45"/>
    <s v="13.09.23"/>
    <n v="127.61"/>
    <m/>
    <m/>
    <d v="2023-09-13T00:00:00"/>
    <n v="110"/>
    <x v="4"/>
    <x v="11"/>
    <x v="2"/>
    <x v="0"/>
    <m/>
    <m/>
    <m/>
  </r>
  <r>
    <s v="60.02"/>
    <x v="472"/>
    <x v="1343"/>
    <s v="Списание с расчетного счета 00БП-007683 от 04.12.2023 18:08:47"/>
    <s v="04.12.23"/>
    <n v="23342"/>
    <m/>
    <m/>
    <d v="2023-12-04T00:00:00"/>
    <n v="28"/>
    <x v="2"/>
    <x v="11"/>
    <x v="2"/>
    <x v="0"/>
    <m/>
    <m/>
    <m/>
  </r>
  <r>
    <s v="60.02"/>
    <x v="472"/>
    <x v="1344"/>
    <s v="Списание с расчетного счета 00БП-007738 от 07.12.2023 12:00:14"/>
    <s v="07.12.23"/>
    <n v="89789"/>
    <m/>
    <m/>
    <d v="2023-12-07T00:00:00"/>
    <n v="25"/>
    <x v="2"/>
    <x v="11"/>
    <x v="2"/>
    <x v="0"/>
    <m/>
    <m/>
    <m/>
  </r>
  <r>
    <s v="60.02"/>
    <x v="472"/>
    <x v="1345"/>
    <s v="Списание с расчетного счета 00БП-007596 от 28.11.2023 16:19:07"/>
    <s v="28.11.23"/>
    <n v="8031"/>
    <m/>
    <m/>
    <d v="2023-11-28T00:00:00"/>
    <n v="34"/>
    <x v="1"/>
    <x v="11"/>
    <x v="2"/>
    <x v="0"/>
    <m/>
    <m/>
    <m/>
  </r>
  <r>
    <s v="60.02"/>
    <x v="47"/>
    <x v="1346"/>
    <s v="Списание с расчетного счета 00БП-007687 от 04.12.2023 18:08:51"/>
    <s v="04.12.23"/>
    <n v="2002182"/>
    <m/>
    <m/>
    <d v="2023-12-04T00:00:00"/>
    <n v="28"/>
    <x v="2"/>
    <x v="11"/>
    <x v="2"/>
    <x v="0"/>
    <m/>
    <m/>
    <m/>
  </r>
  <r>
    <s v="60.02"/>
    <x v="273"/>
    <x v="1347"/>
    <s v="Списание с расчетного счета 00БП-007887 от 20.12.2023 12:00:11"/>
    <s v="20.12.23"/>
    <n v="1060581"/>
    <m/>
    <m/>
    <d v="2023-12-20T00:00:00"/>
    <n v="12"/>
    <x v="2"/>
    <x v="11"/>
    <x v="2"/>
    <x v="0"/>
    <m/>
    <m/>
    <m/>
  </r>
  <r>
    <s v="60.02"/>
    <x v="210"/>
    <x v="463"/>
    <s v="Списание с расчетного счета 00БП-000172 от 08.02.2022 10:36:25"/>
    <s v="08.02.22"/>
    <n v="4583.33"/>
    <m/>
    <m/>
    <d v="2022-02-08T00:00:00"/>
    <n v="692"/>
    <x v="5"/>
    <x v="11"/>
    <x v="2"/>
    <x v="8"/>
    <m/>
    <m/>
    <m/>
  </r>
  <r>
    <s v="60.02"/>
    <x v="413"/>
    <x v="1132"/>
    <s v="Списание с расчетного счета 00БП-007737 от 07.12.2023 12:00:13"/>
    <s v="07.12.23"/>
    <n v="35000"/>
    <m/>
    <m/>
    <d v="2023-12-07T00:00:00"/>
    <n v="25"/>
    <x v="2"/>
    <x v="11"/>
    <x v="2"/>
    <x v="0"/>
    <m/>
    <m/>
    <m/>
  </r>
  <r>
    <s v="60.02"/>
    <x v="48"/>
    <x v="123"/>
    <s v="Корректировка долга 00БП-000112 от 31.07.2022 13:59:59"/>
    <s v="31.07.22"/>
    <n v="14913.96"/>
    <m/>
    <m/>
    <d v="2022-07-31T00:00:00"/>
    <n v="519"/>
    <x v="5"/>
    <x v="11"/>
    <x v="2"/>
    <x v="0"/>
    <m/>
    <m/>
    <m/>
  </r>
  <r>
    <s v="60.02"/>
    <x v="48"/>
    <x v="1348"/>
    <s v="Списание с расчетного счета 00БП-007886 от 20.12.2023 12:00:10"/>
    <s v="20.12.23"/>
    <n v="86975"/>
    <m/>
    <m/>
    <d v="2023-12-20T00:00:00"/>
    <n v="12"/>
    <x v="2"/>
    <x v="11"/>
    <x v="2"/>
    <x v="0"/>
    <m/>
    <m/>
    <m/>
  </r>
  <r>
    <s v="60.02"/>
    <x v="48"/>
    <x v="1349"/>
    <s v="Списание с расчетного счета 00БП-007815 от 12.12.2023 9:16:43"/>
    <s v="12.12.23"/>
    <n v="6239320"/>
    <m/>
    <m/>
    <d v="2023-12-12T00:00:00"/>
    <n v="20"/>
    <x v="2"/>
    <x v="11"/>
    <x v="2"/>
    <x v="0"/>
    <m/>
    <m/>
    <m/>
  </r>
  <r>
    <s v="60.02"/>
    <x v="48"/>
    <x v="1349"/>
    <s v="Списание с расчетного счета 00БП-007862 от 18.12.2023 18:29:09"/>
    <s v="18.12.23"/>
    <n v="6239320"/>
    <m/>
    <m/>
    <d v="2023-12-18T00:00:00"/>
    <n v="14"/>
    <x v="2"/>
    <x v="11"/>
    <x v="2"/>
    <x v="0"/>
    <m/>
    <m/>
    <m/>
  </r>
  <r>
    <s v="60.02"/>
    <x v="213"/>
    <x v="1350"/>
    <s v="Списание с расчетного счета 00БП-007088 от 10.11.2023 16:36:36"/>
    <s v="10.11.23"/>
    <n v="15190000"/>
    <m/>
    <m/>
    <d v="2023-11-10T00:00:00"/>
    <n v="52"/>
    <x v="1"/>
    <x v="11"/>
    <x v="2"/>
    <x v="0"/>
    <m/>
    <m/>
    <m/>
  </r>
  <r>
    <s v="60.02"/>
    <x v="213"/>
    <x v="1350"/>
    <s v="Списание с расчетного счета 00БП-007191 от 16.11.2023 18:12:35"/>
    <s v="16.11.23"/>
    <n v="10500000"/>
    <m/>
    <m/>
    <d v="2023-11-16T00:00:00"/>
    <n v="46"/>
    <x v="1"/>
    <x v="11"/>
    <x v="2"/>
    <x v="0"/>
    <m/>
    <m/>
    <m/>
  </r>
  <r>
    <s v="60.02"/>
    <x v="213"/>
    <x v="1350"/>
    <s v="Списание с расчетного счета 00БП-007262 от 21.11.2023 15:55:24"/>
    <s v="21.11.23"/>
    <n v="2700000"/>
    <m/>
    <m/>
    <d v="2023-11-21T00:00:00"/>
    <n v="41"/>
    <x v="1"/>
    <x v="11"/>
    <x v="2"/>
    <x v="0"/>
    <m/>
    <m/>
    <m/>
  </r>
  <r>
    <s v="60.02"/>
    <x v="213"/>
    <x v="1350"/>
    <s v="Списание с расчетного счета 00БП-007991 от 28.12.2023 15:20:52"/>
    <s v="28.12.23"/>
    <n v="12772710.16"/>
    <m/>
    <m/>
    <d v="2023-12-28T00:00:00"/>
    <n v="4"/>
    <x v="2"/>
    <x v="11"/>
    <x v="2"/>
    <x v="0"/>
    <m/>
    <m/>
    <m/>
  </r>
  <r>
    <s v="60.02"/>
    <x v="213"/>
    <x v="1351"/>
    <s v="Списание с расчетного счета 00БП-006992 от 08.11.2023 17:30:28"/>
    <s v="08.11.23"/>
    <n v="7250000"/>
    <m/>
    <m/>
    <d v="2023-11-08T00:00:00"/>
    <n v="54"/>
    <x v="1"/>
    <x v="11"/>
    <x v="2"/>
    <x v="0"/>
    <m/>
    <m/>
    <m/>
  </r>
  <r>
    <s v="60.02"/>
    <x v="54"/>
    <x v="1352"/>
    <s v="Списание с расчетного счета 00БП-000794 от 15.03.2022 16:02:11"/>
    <s v="15.03.22"/>
    <n v="4900"/>
    <m/>
    <m/>
    <d v="2022-03-15T00:00:00"/>
    <n v="657"/>
    <x v="5"/>
    <x v="11"/>
    <x v="2"/>
    <x v="0"/>
    <m/>
    <m/>
    <m/>
  </r>
  <r>
    <s v="60.02"/>
    <x v="54"/>
    <x v="1353"/>
    <s v="Списание с расчетного счета 00БП-001819 от 22.04.2022 18:56:49"/>
    <s v="22.04.22"/>
    <n v="11000"/>
    <m/>
    <m/>
    <d v="2022-04-22T00:00:00"/>
    <n v="619"/>
    <x v="5"/>
    <x v="11"/>
    <x v="2"/>
    <x v="0"/>
    <m/>
    <m/>
    <m/>
  </r>
  <r>
    <s v="60.02"/>
    <x v="54"/>
    <x v="1354"/>
    <s v="Списание с расчетного счета 00БП-004774 от 23.08.2023 20:06:36"/>
    <s v="23.08.23"/>
    <n v="5620"/>
    <m/>
    <m/>
    <d v="2023-08-23T00:00:00"/>
    <n v="131"/>
    <x v="0"/>
    <x v="11"/>
    <x v="2"/>
    <x v="0"/>
    <m/>
    <m/>
    <m/>
  </r>
  <r>
    <s v="60.02"/>
    <x v="54"/>
    <x v="1354"/>
    <s v="Списание с расчетного счета 00БП-007258 от 21.11.2023 15:55:20"/>
    <s v="21.11.23"/>
    <n v="3224"/>
    <m/>
    <m/>
    <d v="2023-11-21T00:00:00"/>
    <n v="41"/>
    <x v="1"/>
    <x v="11"/>
    <x v="2"/>
    <x v="0"/>
    <m/>
    <m/>
    <m/>
  </r>
  <r>
    <s v="60.02"/>
    <x v="54"/>
    <x v="1355"/>
    <s v="Списание с расчетного счета 00БП-002566 от 05.06.2020 21:52:50"/>
    <s v="05.06.20"/>
    <n v="29081"/>
    <m/>
    <m/>
    <d v="2020-06-05T00:00:00"/>
    <n v="1305"/>
    <x v="5"/>
    <x v="11"/>
    <x v="2"/>
    <x v="0"/>
    <m/>
    <m/>
    <m/>
  </r>
  <r>
    <s v="60.02"/>
    <x v="54"/>
    <x v="1355"/>
    <s v="Списание с расчетного счета 00БП-005118 от 07.09.2020 20:55:12"/>
    <s v="07.09.20"/>
    <n v="825"/>
    <m/>
    <m/>
    <d v="2020-09-07T00:00:00"/>
    <n v="1211"/>
    <x v="5"/>
    <x v="11"/>
    <x v="2"/>
    <x v="0"/>
    <m/>
    <m/>
    <m/>
  </r>
  <r>
    <s v="60.02"/>
    <x v="54"/>
    <x v="1355"/>
    <s v="Списание с расчетного счета 00БП-005564 от 21.09.2020 18:52:34"/>
    <s v="21.09.20"/>
    <n v="17200"/>
    <m/>
    <m/>
    <d v="2020-09-21T00:00:00"/>
    <n v="1197"/>
    <x v="5"/>
    <x v="11"/>
    <x v="2"/>
    <x v="0"/>
    <m/>
    <m/>
    <m/>
  </r>
  <r>
    <s v="60.02"/>
    <x v="382"/>
    <x v="1031"/>
    <s v="Списание с расчетного счета 00БП-003596 от 24.06.2021 19:11:18"/>
    <s v="24.06.21"/>
    <n v="340.4"/>
    <m/>
    <m/>
    <d v="2021-06-24T00:00:00"/>
    <n v="921"/>
    <x v="5"/>
    <x v="11"/>
    <x v="2"/>
    <x v="0"/>
    <m/>
    <m/>
    <m/>
  </r>
  <r>
    <s v="60.02"/>
    <x v="58"/>
    <x v="139"/>
    <s v="Списание с расчетного счета 00БП-005685 от 26.09.2023 22:54:03"/>
    <s v="26.09.23"/>
    <n v="33500"/>
    <m/>
    <m/>
    <d v="2023-09-26T00:00:00"/>
    <n v="97"/>
    <x v="4"/>
    <x v="11"/>
    <x v="2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741"/>
    <x v="5"/>
    <x v="11"/>
    <x v="2"/>
    <x v="0"/>
    <m/>
    <m/>
    <m/>
  </r>
  <r>
    <s v="60.02"/>
    <x v="63"/>
    <x v="1356"/>
    <s v="Списание с расчетного счета 00БП-007568 от 27.11.2023 15:37:22"/>
    <s v="27.11.23"/>
    <n v="2622480"/>
    <m/>
    <m/>
    <d v="2023-11-27T00:00:00"/>
    <n v="35"/>
    <x v="1"/>
    <x v="11"/>
    <x v="2"/>
    <x v="0"/>
    <m/>
    <m/>
    <m/>
  </r>
  <r>
    <s v="60.02"/>
    <x v="63"/>
    <x v="714"/>
    <s v="Списание с расчетного счета 00БП-007684 от 04.12.2023 18:08:48"/>
    <s v="04.12.23"/>
    <n v="302400"/>
    <m/>
    <m/>
    <d v="2023-12-04T00:00:00"/>
    <n v="28"/>
    <x v="2"/>
    <x v="11"/>
    <x v="2"/>
    <x v="0"/>
    <m/>
    <m/>
    <m/>
  </r>
  <r>
    <s v="60.02"/>
    <x v="63"/>
    <x v="966"/>
    <s v="Списание с расчетного счета 00БП-007985 от 28.12.2023 15:20:46"/>
    <s v="28.12.23"/>
    <n v="60000"/>
    <m/>
    <m/>
    <d v="2023-12-28T00:00:00"/>
    <n v="4"/>
    <x v="2"/>
    <x v="11"/>
    <x v="2"/>
    <x v="0"/>
    <m/>
    <m/>
    <m/>
  </r>
  <r>
    <s v="60.02"/>
    <x v="65"/>
    <x v="1263"/>
    <s v="Списание с расчетного счета 00БП-007764 от 11.12.2023 16:35:02"/>
    <s v="11.12.23"/>
    <n v="1763834.07"/>
    <m/>
    <m/>
    <d v="2023-12-11T00:00:00"/>
    <n v="21"/>
    <x v="2"/>
    <x v="11"/>
    <x v="2"/>
    <x v="0"/>
    <m/>
    <m/>
    <m/>
  </r>
  <r>
    <s v="60.02"/>
    <x v="416"/>
    <x v="1143"/>
    <s v="Списание с расчетного счета 00БП-007750 от 08.12.2023 15:55:12"/>
    <s v="08.12.23"/>
    <n v="3800"/>
    <m/>
    <m/>
    <d v="2023-12-08T00:00:00"/>
    <n v="24"/>
    <x v="2"/>
    <x v="11"/>
    <x v="2"/>
    <x v="0"/>
    <m/>
    <m/>
    <m/>
  </r>
  <r>
    <s v="60.02"/>
    <x v="282"/>
    <x v="1034"/>
    <s v="Списание с расчетного счета 00БП-003971 от 13.07.2022 17:26:09"/>
    <s v="13.07.22"/>
    <n v="28572"/>
    <m/>
    <m/>
    <d v="2022-07-13T00:00:00"/>
    <n v="537"/>
    <x v="5"/>
    <x v="11"/>
    <x v="2"/>
    <x v="0"/>
    <m/>
    <m/>
    <m/>
  </r>
  <r>
    <s v="60.02"/>
    <x v="282"/>
    <x v="1035"/>
    <s v="Списание с расчетного счета 00БП-003969 от 13.07.2022 17:26:07"/>
    <s v="13.07.22"/>
    <n v="5520"/>
    <m/>
    <m/>
    <d v="2022-07-13T00:00:00"/>
    <n v="537"/>
    <x v="5"/>
    <x v="11"/>
    <x v="2"/>
    <x v="0"/>
    <m/>
    <m/>
    <m/>
  </r>
  <r>
    <s v="60.02"/>
    <x v="282"/>
    <x v="1144"/>
    <s v="Списание с расчетного счета 00БП-007990 от 28.12.2023 15:20:51"/>
    <s v="28.12.23"/>
    <n v="11490964.939999999"/>
    <m/>
    <m/>
    <d v="2023-12-28T00:00:00"/>
    <n v="4"/>
    <x v="2"/>
    <x v="11"/>
    <x v="2"/>
    <x v="0"/>
    <m/>
    <m/>
    <m/>
  </r>
  <r>
    <s v="60.02"/>
    <x v="282"/>
    <x v="1036"/>
    <s v="Списание с расчетного счета 00БП-000615 от 03.03.2023 23:59:59"/>
    <s v="03.03.23"/>
    <n v="4600"/>
    <m/>
    <m/>
    <d v="2023-03-03T00:00:00"/>
    <n v="304"/>
    <x v="6"/>
    <x v="11"/>
    <x v="2"/>
    <x v="0"/>
    <m/>
    <m/>
    <m/>
  </r>
  <r>
    <s v="60.02"/>
    <x v="282"/>
    <x v="1037"/>
    <s v="Списание с расчетного счета 00БП-001134 от 28.03.2023 19:09:59"/>
    <s v="28.03.23"/>
    <n v="27200"/>
    <m/>
    <m/>
    <d v="2023-03-28T00:00:00"/>
    <n v="279"/>
    <x v="6"/>
    <x v="11"/>
    <x v="2"/>
    <x v="0"/>
    <m/>
    <m/>
    <m/>
  </r>
  <r>
    <s v="60.02"/>
    <x v="72"/>
    <x v="73"/>
    <s v="Списание с расчетного счета 00БП-007763 от 11.12.2023 16:35:01"/>
    <s v="11.12.23"/>
    <n v="12435.77"/>
    <m/>
    <m/>
    <d v="2023-12-11T00:00:00"/>
    <n v="21"/>
    <x v="2"/>
    <x v="11"/>
    <x v="2"/>
    <x v="0"/>
    <m/>
    <m/>
    <m/>
  </r>
  <r>
    <s v="60.02"/>
    <x v="72"/>
    <x v="73"/>
    <s v="Списание с расчетного счета 00БП-007954 от 25.12.2023 12:25:41"/>
    <s v="25.12.23"/>
    <n v="1411488"/>
    <m/>
    <m/>
    <d v="2023-12-25T00:00:00"/>
    <n v="7"/>
    <x v="2"/>
    <x v="11"/>
    <x v="2"/>
    <x v="0"/>
    <m/>
    <m/>
    <m/>
  </r>
  <r>
    <s v="60.02"/>
    <x v="77"/>
    <x v="304"/>
    <s v="Списание с расчетного счета 00БП-002796 от 06.06.2023 23:59:59"/>
    <s v="06.06.23"/>
    <n v="23531.45"/>
    <m/>
    <m/>
    <d v="2023-06-06T00:00:00"/>
    <n v="209"/>
    <x v="3"/>
    <x v="11"/>
    <x v="2"/>
    <x v="0"/>
    <m/>
    <m/>
    <m/>
  </r>
  <r>
    <s v="60.02"/>
    <x v="78"/>
    <x v="1357"/>
    <s v="Списание с расчетного счета 00БП-005853 от 29.09.2023 18:30:54"/>
    <s v="29.09.23"/>
    <n v="1943311.29"/>
    <m/>
    <m/>
    <d v="2023-09-29T00:00:00"/>
    <n v="94"/>
    <x v="4"/>
    <x v="11"/>
    <x v="2"/>
    <x v="0"/>
    <m/>
    <m/>
    <m/>
  </r>
  <r>
    <s v="60.02"/>
    <x v="78"/>
    <x v="1357"/>
    <s v="Списание с расчетного счета 00БП-006289 от 13.10.2023 19:10:56"/>
    <s v="13.10.23"/>
    <n v="13030.46"/>
    <m/>
    <m/>
    <d v="2023-10-13T00:00:00"/>
    <n v="80"/>
    <x v="1"/>
    <x v="11"/>
    <x v="2"/>
    <x v="0"/>
    <m/>
    <m/>
    <m/>
  </r>
  <r>
    <s v="60.02"/>
    <x v="78"/>
    <x v="1357"/>
    <s v="Списание с расчетного счета 00БП-006351 от 18.10.2023 17:44:53"/>
    <s v="18.10.23"/>
    <n v="3646.26"/>
    <m/>
    <m/>
    <d v="2023-10-18T00:00:00"/>
    <n v="75"/>
    <x v="1"/>
    <x v="11"/>
    <x v="2"/>
    <x v="0"/>
    <m/>
    <m/>
    <m/>
  </r>
  <r>
    <s v="60.02"/>
    <x v="78"/>
    <x v="1357"/>
    <s v="Списание с расчетного счета 00БП-006433 от 24.10.2023 19:41:36"/>
    <s v="24.10.23"/>
    <n v="45499.99"/>
    <m/>
    <m/>
    <d v="2023-10-24T00:00:00"/>
    <n v="69"/>
    <x v="1"/>
    <x v="11"/>
    <x v="2"/>
    <x v="0"/>
    <m/>
    <m/>
    <m/>
  </r>
  <r>
    <s v="60.02"/>
    <x v="78"/>
    <x v="1358"/>
    <s v="Списание с расчетного счета 00БП-006364 от 19.10.2023 17:19:30"/>
    <s v="19.10.23"/>
    <n v="545854.66"/>
    <m/>
    <m/>
    <d v="2023-10-19T00:00:00"/>
    <n v="74"/>
    <x v="1"/>
    <x v="11"/>
    <x v="2"/>
    <x v="0"/>
    <m/>
    <m/>
    <m/>
  </r>
  <r>
    <s v="60.02"/>
    <x v="78"/>
    <x v="1358"/>
    <s v="Корректировка поступления 00БП-000022 от 31.12.2023 10:00:00"/>
    <s v="31.12.23"/>
    <n v="14484.59"/>
    <m/>
    <m/>
    <d v="2023-12-31T00:00:00"/>
    <n v="1"/>
    <x v="2"/>
    <x v="11"/>
    <x v="2"/>
    <x v="0"/>
    <m/>
    <m/>
    <m/>
  </r>
  <r>
    <s v="60.02"/>
    <x v="78"/>
    <x v="1358"/>
    <s v="Корректировка поступления 00БП-000023 от 31.12.2023 10:00:00"/>
    <s v="31.12.23"/>
    <n v="5330.92"/>
    <m/>
    <m/>
    <d v="2023-12-31T00:00:00"/>
    <n v="1"/>
    <x v="2"/>
    <x v="11"/>
    <x v="2"/>
    <x v="0"/>
    <m/>
    <m/>
    <m/>
  </r>
  <r>
    <s v="60.02"/>
    <x v="79"/>
    <x v="182"/>
    <s v="Списание с расчетного счета 00БП-005880 от 02.10.2023 16:50:10"/>
    <s v="02.10.23"/>
    <n v="217.02"/>
    <m/>
    <m/>
    <d v="2023-10-02T00:00:00"/>
    <n v="91"/>
    <x v="4"/>
    <x v="11"/>
    <x v="2"/>
    <x v="0"/>
    <m/>
    <m/>
    <m/>
  </r>
  <r>
    <s v="60.02"/>
    <x v="79"/>
    <x v="182"/>
    <s v="Списание с расчетного счета 00БП-007524 от 27.11.2023 15:36:36"/>
    <s v="27.11.23"/>
    <n v="500"/>
    <m/>
    <m/>
    <d v="2023-11-27T00:00:00"/>
    <n v="35"/>
    <x v="1"/>
    <x v="11"/>
    <x v="2"/>
    <x v="0"/>
    <m/>
    <m/>
    <m/>
  </r>
  <r>
    <s v="60.02"/>
    <x v="79"/>
    <x v="183"/>
    <s v="Списание с расчетного счета 00БП-007527 от 27.11.2023 15:36:39"/>
    <s v="27.11.23"/>
    <n v="757.74"/>
    <m/>
    <m/>
    <d v="2023-11-27T00:00:00"/>
    <n v="35"/>
    <x v="1"/>
    <x v="11"/>
    <x v="2"/>
    <x v="0"/>
    <m/>
    <m/>
    <m/>
  </r>
  <r>
    <s v="60.02"/>
    <x v="79"/>
    <x v="184"/>
    <s v="Списание с расчетного счета 00БП-005891 от 02.10.2023 16:50:21"/>
    <s v="02.10.23"/>
    <n v="1588.65"/>
    <m/>
    <m/>
    <d v="2023-10-02T00:00:00"/>
    <n v="91"/>
    <x v="4"/>
    <x v="11"/>
    <x v="2"/>
    <x v="0"/>
    <m/>
    <m/>
    <m/>
  </r>
  <r>
    <s v="60.02"/>
    <x v="79"/>
    <x v="184"/>
    <s v="Списание с расчетного счета 00БП-006847 от 03.11.2023 17:15:21"/>
    <s v="03.11.23"/>
    <n v="2000"/>
    <m/>
    <m/>
    <d v="2023-11-03T00:00:00"/>
    <n v="59"/>
    <x v="1"/>
    <x v="11"/>
    <x v="2"/>
    <x v="0"/>
    <m/>
    <m/>
    <m/>
  </r>
  <r>
    <s v="60.02"/>
    <x v="79"/>
    <x v="184"/>
    <s v="Списание с расчетного счета 00БП-007532 от 27.11.2023 15:36:44"/>
    <s v="27.11.23"/>
    <n v="5000"/>
    <m/>
    <m/>
    <d v="2023-11-27T00:00:00"/>
    <n v="35"/>
    <x v="1"/>
    <x v="11"/>
    <x v="2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1732"/>
    <x v="5"/>
    <x v="11"/>
    <x v="2"/>
    <x v="0"/>
    <m/>
    <m/>
    <m/>
  </r>
  <r>
    <s v="60.02"/>
    <x v="79"/>
    <x v="186"/>
    <s v="Списание с расчетного счета 00БП-007529 от 27.11.2023 15:36:41"/>
    <s v="27.11.23"/>
    <n v="1079.82"/>
    <m/>
    <m/>
    <d v="2023-11-27T00:00:00"/>
    <n v="35"/>
    <x v="1"/>
    <x v="11"/>
    <x v="2"/>
    <x v="0"/>
    <m/>
    <m/>
    <m/>
  </r>
  <r>
    <s v="60.02"/>
    <x v="79"/>
    <x v="187"/>
    <s v="Списание с расчетного счета 00БП-007526 от 02.12.2022 12:00:08"/>
    <s v="02.12.22"/>
    <n v="266.13"/>
    <m/>
    <m/>
    <d v="2022-12-02T00:00:00"/>
    <n v="395"/>
    <x v="5"/>
    <x v="11"/>
    <x v="2"/>
    <x v="0"/>
    <m/>
    <m/>
    <m/>
  </r>
  <r>
    <s v="60.02"/>
    <x v="79"/>
    <x v="188"/>
    <s v="Списание с расчетного счета 00БП-001370 от 11.04.2023 19:30:13"/>
    <s v="11.04.23"/>
    <n v="124.21"/>
    <m/>
    <m/>
    <d v="2023-04-11T00:00:00"/>
    <n v="265"/>
    <x v="3"/>
    <x v="11"/>
    <x v="2"/>
    <x v="0"/>
    <m/>
    <m/>
    <m/>
  </r>
  <r>
    <s v="60.02"/>
    <x v="79"/>
    <x v="188"/>
    <s v="Списание с расчетного счета 00БП-006846 от 03.11.2023 17:15:20"/>
    <s v="03.11.23"/>
    <n v="1000"/>
    <m/>
    <m/>
    <d v="2023-11-03T00:00:00"/>
    <n v="59"/>
    <x v="1"/>
    <x v="11"/>
    <x v="2"/>
    <x v="0"/>
    <m/>
    <m/>
    <m/>
  </r>
  <r>
    <s v="60.02"/>
    <x v="79"/>
    <x v="189"/>
    <s v="Списание с расчетного счета 00БП-005882 от 02.10.2023 16:50:12"/>
    <s v="02.10.23"/>
    <n v="101.67"/>
    <m/>
    <m/>
    <d v="2023-10-02T00:00:00"/>
    <n v="91"/>
    <x v="4"/>
    <x v="11"/>
    <x v="2"/>
    <x v="0"/>
    <m/>
    <m/>
    <m/>
  </r>
  <r>
    <s v="60.02"/>
    <x v="79"/>
    <x v="189"/>
    <s v="Списание с расчетного счета 00БП-007526 от 27.11.2023 15:36:38"/>
    <s v="27.11.23"/>
    <n v="1000"/>
    <m/>
    <m/>
    <d v="2023-11-27T00:00:00"/>
    <n v="35"/>
    <x v="1"/>
    <x v="11"/>
    <x v="2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2824"/>
    <x v="5"/>
    <x v="11"/>
    <x v="2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2791"/>
    <x v="5"/>
    <x v="11"/>
    <x v="2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1475"/>
    <x v="5"/>
    <x v="11"/>
    <x v="2"/>
    <x v="0"/>
    <m/>
    <m/>
    <m/>
  </r>
  <r>
    <s v="60.02"/>
    <x v="79"/>
    <x v="191"/>
    <m/>
    <m/>
    <n v="68.27"/>
    <m/>
    <m/>
    <d v="1899-12-30T00:00:00"/>
    <n v="45292"/>
    <x v="5"/>
    <x v="11"/>
    <x v="2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2863"/>
    <x v="5"/>
    <x v="11"/>
    <x v="2"/>
    <x v="0"/>
    <m/>
    <m/>
    <m/>
  </r>
  <r>
    <s v="60.02"/>
    <x v="79"/>
    <x v="193"/>
    <s v="Списание с расчетного счета 00БП-006848 от 03.11.2023 17:15:22"/>
    <s v="03.11.23"/>
    <n v="1684.36"/>
    <m/>
    <m/>
    <d v="2023-11-03T00:00:00"/>
    <n v="59"/>
    <x v="1"/>
    <x v="11"/>
    <x v="2"/>
    <x v="0"/>
    <m/>
    <m/>
    <m/>
  </r>
  <r>
    <s v="60.02"/>
    <x v="79"/>
    <x v="193"/>
    <s v="Списание с расчетного счета 00БП-007530 от 27.11.2023 15:36:42"/>
    <s v="27.11.23"/>
    <n v="4000"/>
    <m/>
    <m/>
    <d v="2023-11-27T00:00:00"/>
    <n v="35"/>
    <x v="1"/>
    <x v="11"/>
    <x v="2"/>
    <x v="0"/>
    <m/>
    <m/>
    <m/>
  </r>
  <r>
    <s v="60.02"/>
    <x v="79"/>
    <x v="1266"/>
    <s v="Списание с расчетного счета 00БП-006849 от 03.11.2023 17:15:23"/>
    <s v="03.11.23"/>
    <n v="381.15"/>
    <m/>
    <m/>
    <d v="2023-11-03T00:00:00"/>
    <n v="59"/>
    <x v="1"/>
    <x v="11"/>
    <x v="2"/>
    <x v="0"/>
    <m/>
    <m/>
    <m/>
  </r>
  <r>
    <s v="60.02"/>
    <x v="473"/>
    <x v="1359"/>
    <s v="Списание с расчетного счета 00БП-007706 от 05.12.2023 15:42:51"/>
    <s v="05.12.23"/>
    <n v="48900"/>
    <m/>
    <m/>
    <d v="2023-12-05T00:00:00"/>
    <n v="27"/>
    <x v="2"/>
    <x v="11"/>
    <x v="2"/>
    <x v="0"/>
    <m/>
    <m/>
    <m/>
  </r>
  <r>
    <s v="60.02"/>
    <x v="420"/>
    <x v="1267"/>
    <s v="Списание с расчетного счета 00БП-007767 от 11.12.2023 16:35:05"/>
    <s v="11.12.23"/>
    <n v="27930000"/>
    <m/>
    <m/>
    <d v="2023-12-11T00:00:00"/>
    <n v="21"/>
    <x v="2"/>
    <x v="11"/>
    <x v="2"/>
    <x v="0"/>
    <m/>
    <m/>
    <m/>
  </r>
  <r>
    <s v="60.02"/>
    <x v="420"/>
    <x v="1267"/>
    <s v="Списание с расчетного счета 00БП-007768 от 11.12.2023 16:35:06"/>
    <s v="11.12.23"/>
    <n v="36235500"/>
    <m/>
    <m/>
    <d v="2023-12-11T00:00:00"/>
    <n v="21"/>
    <x v="2"/>
    <x v="11"/>
    <x v="2"/>
    <x v="0"/>
    <m/>
    <m/>
    <m/>
  </r>
  <r>
    <s v="60.02"/>
    <x v="420"/>
    <x v="1268"/>
    <s v="Списание с расчетного счета 00БП-007769 от 11.12.2023 16:35:07"/>
    <s v="11.12.23"/>
    <n v="60328800"/>
    <m/>
    <m/>
    <d v="2023-12-11T00:00:00"/>
    <n v="21"/>
    <x v="2"/>
    <x v="11"/>
    <x v="2"/>
    <x v="0"/>
    <m/>
    <m/>
    <m/>
  </r>
  <r>
    <s v="60.02"/>
    <x v="420"/>
    <x v="1268"/>
    <s v="Списание с расчетного счета 00БП-007770 от 11.12.2023 16:35:08"/>
    <s v="11.12.23"/>
    <n v="137361700"/>
    <m/>
    <m/>
    <d v="2023-12-11T00:00:00"/>
    <n v="21"/>
    <x v="2"/>
    <x v="11"/>
    <x v="2"/>
    <x v="0"/>
    <m/>
    <m/>
    <m/>
  </r>
  <r>
    <s v="60.02"/>
    <x v="81"/>
    <x v="1360"/>
    <s v="Списание с расчетного счета 00БП-007814 от 12.12.2023 9:16:42"/>
    <s v="12.12.23"/>
    <n v="6024825"/>
    <m/>
    <m/>
    <d v="2023-12-12T00:00:00"/>
    <n v="20"/>
    <x v="2"/>
    <x v="11"/>
    <x v="2"/>
    <x v="0"/>
    <m/>
    <m/>
    <m/>
  </r>
  <r>
    <s v="60.02"/>
    <x v="457"/>
    <x v="1273"/>
    <s v="Списание с расчетного счета 00БП-006355 от 18.10.2023 17:44:57"/>
    <s v="18.10.23"/>
    <n v="2100000"/>
    <m/>
    <m/>
    <d v="2023-10-18T00:00:00"/>
    <n v="75"/>
    <x v="1"/>
    <x v="11"/>
    <x v="2"/>
    <x v="0"/>
    <m/>
    <m/>
    <m/>
  </r>
  <r>
    <s v="60.02"/>
    <x v="474"/>
    <x v="1361"/>
    <s v="Списание с расчетного счета 00БП-007082 от 10.11.2023 16:36:30"/>
    <s v="10.11.23"/>
    <n v="127500"/>
    <m/>
    <m/>
    <d v="2023-11-10T00:00:00"/>
    <n v="52"/>
    <x v="1"/>
    <x v="11"/>
    <x v="2"/>
    <x v="0"/>
    <m/>
    <m/>
    <m/>
  </r>
  <r>
    <s v="60.02"/>
    <x v="458"/>
    <x v="1274"/>
    <s v="Списание с расчетного счета 00БП-007724 от 06.12.2023 9:18:11"/>
    <s v="06.12.23"/>
    <n v="1062000"/>
    <m/>
    <m/>
    <d v="2023-12-06T00:00:00"/>
    <n v="26"/>
    <x v="2"/>
    <x v="11"/>
    <x v="2"/>
    <x v="0"/>
    <m/>
    <m/>
    <m/>
  </r>
  <r>
    <s v="60.02"/>
    <x v="88"/>
    <x v="1158"/>
    <s v="Списание с расчетного счета 00БП-002972 от 10.06.2022 20:59:25"/>
    <s v="10.06.22"/>
    <n v="0.01"/>
    <m/>
    <m/>
    <d v="2022-06-10T00:00:00"/>
    <n v="570"/>
    <x v="5"/>
    <x v="11"/>
    <x v="2"/>
    <x v="0"/>
    <m/>
    <m/>
    <m/>
  </r>
  <r>
    <s v="60.02"/>
    <x v="90"/>
    <x v="1279"/>
    <s v="Списание с расчетного счета 00БП-007989 от 28.12.2023 15:20:50"/>
    <s v="28.12.23"/>
    <n v="26.67"/>
    <m/>
    <m/>
    <d v="2023-12-28T00:00:00"/>
    <n v="4"/>
    <x v="2"/>
    <x v="11"/>
    <x v="2"/>
    <x v="0"/>
    <m/>
    <m/>
    <m/>
  </r>
  <r>
    <s v="60.02"/>
    <x v="91"/>
    <x v="1362"/>
    <s v="Списание с расчетного счета 00БП-001219 от 31.03.2023 13:59:59"/>
    <s v="31.03.23"/>
    <n v="44000"/>
    <m/>
    <m/>
    <d v="2023-03-31T00:00:00"/>
    <n v="276"/>
    <x v="6"/>
    <x v="11"/>
    <x v="2"/>
    <x v="0"/>
    <m/>
    <m/>
    <m/>
  </r>
  <r>
    <s v="60.02"/>
    <x v="92"/>
    <x v="211"/>
    <s v="Списание с расчетного счета 00БП-007512 от 24.11.2023 17:56:42"/>
    <s v="24.11.23"/>
    <n v="11590"/>
    <m/>
    <m/>
    <d v="2023-11-24T00:00:00"/>
    <n v="38"/>
    <x v="1"/>
    <x v="11"/>
    <x v="2"/>
    <x v="0"/>
    <m/>
    <m/>
    <m/>
  </r>
  <r>
    <s v="60.02"/>
    <x v="92"/>
    <x v="215"/>
    <s v="Списание с расчетного счета 00БП-006363 от 19.10.2023 17:19:29"/>
    <s v="19.10.23"/>
    <n v="321728"/>
    <m/>
    <m/>
    <d v="2023-10-19T00:00:00"/>
    <n v="74"/>
    <x v="1"/>
    <x v="11"/>
    <x v="2"/>
    <x v="0"/>
    <m/>
    <m/>
    <m/>
  </r>
  <r>
    <s v="60.02"/>
    <x v="100"/>
    <x v="73"/>
    <s v="Списание с расчетного счета 00БП-004270 от 01.08.2023 17:47:37"/>
    <s v="01.08.23"/>
    <n v="5840.59"/>
    <m/>
    <m/>
    <d v="2023-08-01T00:00:00"/>
    <n v="153"/>
    <x v="0"/>
    <x v="11"/>
    <x v="2"/>
    <x v="0"/>
    <m/>
    <m/>
    <m/>
  </r>
  <r>
    <s v="60.02"/>
    <x v="425"/>
    <x v="1363"/>
    <s v="Списание с расчетного счета 00БП-007708 от 05.12.2023 15:42:53"/>
    <s v="05.12.23"/>
    <n v="173704.68"/>
    <m/>
    <m/>
    <d v="2023-12-05T00:00:00"/>
    <n v="27"/>
    <x v="2"/>
    <x v="11"/>
    <x v="2"/>
    <x v="0"/>
    <m/>
    <m/>
    <m/>
  </r>
  <r>
    <s v="60.02"/>
    <x v="429"/>
    <x v="1170"/>
    <s v="Списание с расчетного счета 00БП-007157 от 24.11.2022 12:50:37"/>
    <s v="24.11.22"/>
    <n v="1889400"/>
    <m/>
    <m/>
    <d v="2022-11-24T00:00:00"/>
    <n v="403"/>
    <x v="5"/>
    <x v="11"/>
    <x v="2"/>
    <x v="0"/>
    <m/>
    <m/>
    <m/>
  </r>
  <r>
    <s v="60.02"/>
    <x v="102"/>
    <x v="1291"/>
    <s v="Списание с расчетного счета 00БП-003624 от 10.07.2023 17:58:07"/>
    <s v="10.07.23"/>
    <n v="110000"/>
    <m/>
    <m/>
    <d v="2023-07-10T00:00:00"/>
    <n v="175"/>
    <x v="0"/>
    <x v="11"/>
    <x v="2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424"/>
    <x v="5"/>
    <x v="11"/>
    <x v="2"/>
    <x v="8"/>
    <m/>
    <m/>
    <m/>
  </r>
  <r>
    <s v="60.02"/>
    <x v="234"/>
    <x v="1055"/>
    <s v="Списание с расчетного счета 00БП-006371 от 20.10.2023 19:16:58"/>
    <s v="20.10.23"/>
    <n v="36897.74"/>
    <m/>
    <m/>
    <d v="2023-10-20T00:00:00"/>
    <n v="73"/>
    <x v="1"/>
    <x v="11"/>
    <x v="2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403"/>
    <x v="5"/>
    <x v="11"/>
    <x v="2"/>
    <x v="8"/>
    <m/>
    <m/>
    <m/>
  </r>
  <r>
    <s v="60.02"/>
    <x v="185"/>
    <x v="392"/>
    <s v="Списание с расчетного счета 00БП-007987 от 28.12.2023 15:20:48"/>
    <s v="28.12.23"/>
    <n v="12"/>
    <m/>
    <m/>
    <d v="2023-12-28T00:00:00"/>
    <n v="4"/>
    <x v="2"/>
    <x v="11"/>
    <x v="2"/>
    <x v="0"/>
    <m/>
    <m/>
    <m/>
  </r>
  <r>
    <s v="60.02"/>
    <x v="119"/>
    <x v="1364"/>
    <s v="Списание с расчетного счета 00БП-004344 от 04.08.2023 18:42:25"/>
    <s v="04.08.23"/>
    <n v="578084.18999999994"/>
    <m/>
    <m/>
    <d v="2023-08-04T00:00:00"/>
    <n v="150"/>
    <x v="0"/>
    <x v="11"/>
    <x v="2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92"/>
    <x v="4"/>
    <x v="11"/>
    <x v="2"/>
    <x v="8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182"/>
    <x v="3"/>
    <x v="11"/>
    <x v="2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105"/>
    <x v="4"/>
    <x v="11"/>
    <x v="2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40"/>
    <x v="1"/>
    <x v="11"/>
    <x v="2"/>
    <x v="8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270"/>
    <x v="3"/>
    <x v="11"/>
    <x v="2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89"/>
    <x v="1"/>
    <x v="11"/>
    <x v="2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1613"/>
    <x v="5"/>
    <x v="11"/>
    <x v="2"/>
    <x v="8"/>
    <m/>
    <m/>
    <m/>
  </r>
  <r>
    <s v="60.02"/>
    <x v="475"/>
    <x v="1365"/>
    <s v="Списание с расчетного счета 00БП-007978 от 27.12.2023 12:00:11"/>
    <s v="27.12.23"/>
    <n v="300000"/>
    <m/>
    <m/>
    <d v="2023-12-27T00:00:00"/>
    <n v="5"/>
    <x v="2"/>
    <x v="11"/>
    <x v="2"/>
    <x v="0"/>
    <m/>
    <m/>
    <m/>
  </r>
  <r>
    <s v="60.02"/>
    <x v="467"/>
    <x v="1316"/>
    <s v="Списание с расчетного счета 00БП-007739 от 07.12.2023 12:00:15"/>
    <s v="07.12.23"/>
    <n v="171720"/>
    <m/>
    <m/>
    <d v="2023-12-07T00:00:00"/>
    <n v="25"/>
    <x v="2"/>
    <x v="11"/>
    <x v="2"/>
    <x v="0"/>
    <m/>
    <m/>
    <m/>
  </r>
  <r>
    <s v="60.02"/>
    <x v="467"/>
    <x v="1316"/>
    <s v="Списание с расчетного счета 00БП-007946 от 25.12.2023 12:25:33"/>
    <s v="25.12.23"/>
    <n v="171720"/>
    <m/>
    <m/>
    <d v="2023-12-25T00:00:00"/>
    <n v="7"/>
    <x v="2"/>
    <x v="11"/>
    <x v="2"/>
    <x v="0"/>
    <m/>
    <m/>
    <m/>
  </r>
  <r>
    <s v="60.02"/>
    <x v="355"/>
    <x v="1064"/>
    <s v="Списание с расчетного счета 00БП-007736 от 07.12.2023 12:00:12"/>
    <s v="07.12.23"/>
    <n v="6050"/>
    <m/>
    <m/>
    <d v="2023-12-07T00:00:00"/>
    <n v="25"/>
    <x v="2"/>
    <x v="11"/>
    <x v="2"/>
    <x v="0"/>
    <m/>
    <m/>
    <m/>
  </r>
  <r>
    <s v="60.02"/>
    <x v="476"/>
    <x v="1366"/>
    <s v="Списание с расчетного счета 00БП-007514 от 24.11.2023 17:56:44"/>
    <s v="24.11.23"/>
    <n v="145500"/>
    <m/>
    <m/>
    <d v="2023-11-24T00:00:00"/>
    <n v="38"/>
    <x v="1"/>
    <x v="11"/>
    <x v="2"/>
    <x v="0"/>
    <m/>
    <m/>
    <m/>
  </r>
  <r>
    <s v="60.02"/>
    <x v="476"/>
    <x v="1366"/>
    <s v="Списание с расчетного счета 00БП-007813 от 12.12.2023 9:16:41"/>
    <s v="12.12.23"/>
    <n v="145500"/>
    <m/>
    <m/>
    <d v="2023-12-12T00:00:00"/>
    <n v="20"/>
    <x v="2"/>
    <x v="11"/>
    <x v="2"/>
    <x v="0"/>
    <m/>
    <m/>
    <m/>
  </r>
  <r>
    <s v="60.02"/>
    <x v="391"/>
    <x v="1066"/>
    <s v="Списание с расчетного счета 00БП-004513 от 28.07.2021 19:49:24"/>
    <s v="28.07.21"/>
    <n v="50000"/>
    <m/>
    <m/>
    <d v="2021-07-28T00:00:00"/>
    <n v="887"/>
    <x v="5"/>
    <x v="11"/>
    <x v="2"/>
    <x v="0"/>
    <m/>
    <m/>
    <m/>
  </r>
  <r>
    <s v="60.02"/>
    <x v="477"/>
    <x v="1367"/>
    <s v="Списание с расчетного счета 00БП-007723 от 06.12.2023 9:18:10"/>
    <s v="06.12.23"/>
    <n v="36000"/>
    <m/>
    <m/>
    <d v="2023-12-06T00:00:00"/>
    <n v="26"/>
    <x v="2"/>
    <x v="11"/>
    <x v="2"/>
    <x v="0"/>
    <m/>
    <m/>
    <m/>
  </r>
  <r>
    <s v="60.02"/>
    <x v="246"/>
    <x v="585"/>
    <s v="Списание с расчетного счета 00БП-000129 от 02.02.2022 12:27:30"/>
    <s v="02.02.22"/>
    <n v="2974.3"/>
    <m/>
    <m/>
    <d v="2022-02-02T00:00:00"/>
    <n v="698"/>
    <x v="5"/>
    <x v="11"/>
    <x v="2"/>
    <x v="2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68"/>
    <x v="1"/>
    <x v="11"/>
    <x v="2"/>
    <x v="0"/>
    <m/>
    <m/>
    <m/>
  </r>
  <r>
    <s v="60.02"/>
    <x v="152"/>
    <x v="1207"/>
    <s v="Списание с расчетного счета 00БП-005827 от 28.09.2023 20:05:46"/>
    <s v="28.09.23"/>
    <n v="15500"/>
    <m/>
    <m/>
    <d v="2023-09-28T00:00:00"/>
    <n v="95"/>
    <x v="4"/>
    <x v="11"/>
    <x v="2"/>
    <x v="0"/>
    <m/>
    <m/>
    <m/>
  </r>
  <r>
    <s v="60.02"/>
    <x v="157"/>
    <x v="1074"/>
    <s v="Списание с расчетного счета 00БП-007605 от 28.11.2023 16:19:16"/>
    <s v="28.11.23"/>
    <n v="40000000"/>
    <m/>
    <m/>
    <d v="2023-11-28T00:00:00"/>
    <n v="34"/>
    <x v="1"/>
    <x v="11"/>
    <x v="2"/>
    <x v="0"/>
    <m/>
    <m/>
    <m/>
  </r>
  <r>
    <s v="60.02"/>
    <x v="157"/>
    <x v="1075"/>
    <s v="Корректировка поступления 00БП-000004 от 01.06.2023 0:00:00"/>
    <s v="01.06.23"/>
    <n v="0.4"/>
    <m/>
    <m/>
    <d v="2023-06-01T00:00:00"/>
    <n v="214"/>
    <x v="3"/>
    <x v="11"/>
    <x v="2"/>
    <x v="0"/>
    <m/>
    <m/>
    <m/>
  </r>
  <r>
    <s v="60.02"/>
    <x v="324"/>
    <x v="1211"/>
    <s v="Списание с расчетного счета 00БП-007277 от 22.11.2023 15:47:00"/>
    <s v="22.11.23"/>
    <n v="313500"/>
    <m/>
    <m/>
    <d v="2023-11-22T00:00:00"/>
    <n v="40"/>
    <x v="1"/>
    <x v="11"/>
    <x v="2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432"/>
    <x v="5"/>
    <x v="11"/>
    <x v="2"/>
    <x v="0"/>
    <m/>
    <m/>
    <m/>
  </r>
  <r>
    <s v="60.02"/>
    <x v="162"/>
    <x v="1077"/>
    <s v="Списание с расчетного счета 00БП-005563 от 20.09.2023 17:53:24"/>
    <s v="20.09.23"/>
    <n v="2094390"/>
    <m/>
    <m/>
    <d v="2023-09-20T00:00:00"/>
    <n v="103"/>
    <x v="4"/>
    <x v="11"/>
    <x v="2"/>
    <x v="0"/>
    <m/>
    <m/>
    <m/>
  </r>
  <r>
    <s v="60.02"/>
    <x v="362"/>
    <x v="73"/>
    <s v="Списание с расчетного счета 00БП-006279 от 13.10.2023 19:10:42"/>
    <s v="13.10.23"/>
    <n v="60000"/>
    <m/>
    <m/>
    <d v="2023-10-13T00:00:00"/>
    <n v="80"/>
    <x v="1"/>
    <x v="11"/>
    <x v="2"/>
    <x v="0"/>
    <m/>
    <m/>
    <m/>
  </r>
  <r>
    <s v="60.02"/>
    <x v="362"/>
    <x v="73"/>
    <s v="Списание с расчетного счета 00БП-006280 от 13.10.2023 19:10:43"/>
    <s v="13.10.23"/>
    <n v="60000"/>
    <m/>
    <m/>
    <d v="2023-10-13T00:00:00"/>
    <n v="80"/>
    <x v="1"/>
    <x v="11"/>
    <x v="2"/>
    <x v="0"/>
    <m/>
    <m/>
    <m/>
  </r>
  <r>
    <s v="60.02"/>
    <x v="326"/>
    <x v="1321"/>
    <s v="Списание с расчетного счета 00БП-003208 от 20.06.2023 17:48:36"/>
    <s v="20.06.23"/>
    <n v="77777.52"/>
    <m/>
    <m/>
    <d v="2023-06-20T00:00:00"/>
    <n v="195"/>
    <x v="3"/>
    <x v="11"/>
    <x v="2"/>
    <x v="0"/>
    <m/>
    <m/>
    <m/>
  </r>
  <r>
    <s v="60.32"/>
    <x v="167"/>
    <x v="337"/>
    <s v="Списание с расчетного счета 00БП-007604 от 28.11.2023 16:19:15"/>
    <s v="28.11.23"/>
    <n v="1592744.35"/>
    <m/>
    <m/>
    <d v="2023-11-28T00:00:00"/>
    <n v="34"/>
    <x v="1"/>
    <x v="11"/>
    <x v="2"/>
    <x v="0"/>
    <m/>
    <m/>
    <m/>
  </r>
  <r>
    <s v="60.32"/>
    <x v="478"/>
    <x v="1368"/>
    <s v="Списание с расчетного счета 00БП-005211 от 08.09.2023 18:48:05"/>
    <s v="08.09.23"/>
    <n v="3367592.71"/>
    <m/>
    <m/>
    <d v="2023-09-08T00:00:00"/>
    <n v="115"/>
    <x v="4"/>
    <x v="11"/>
    <x v="2"/>
    <x v="0"/>
    <m/>
    <m/>
    <m/>
  </r>
  <r>
    <s v="60.32"/>
    <x v="478"/>
    <x v="1368"/>
    <s v="Списание с расчетного счета 00БП-007170 от 15.11.2023 17:34:07"/>
    <s v="15.11.23"/>
    <n v="447563.74"/>
    <m/>
    <m/>
    <d v="2023-11-15T00:00:00"/>
    <n v="47"/>
    <x v="1"/>
    <x v="11"/>
    <x v="2"/>
    <x v="0"/>
    <m/>
    <m/>
    <m/>
  </r>
  <r>
    <s v="60.32"/>
    <x v="478"/>
    <x v="1368"/>
    <s v="Списание с расчетного счета 00БП-007955 от 25.12.2023 12:25:42"/>
    <s v="25.12.23"/>
    <n v="12947915.35"/>
    <m/>
    <m/>
    <d v="2023-12-25T00:00:00"/>
    <n v="7"/>
    <x v="2"/>
    <x v="11"/>
    <x v="2"/>
    <x v="0"/>
    <m/>
    <m/>
    <m/>
  </r>
  <r>
    <s v="60.32"/>
    <x v="38"/>
    <x v="1323"/>
    <s v="Списание с расчетного счета 00БП-007617 от 29.11.2023 16:50:56"/>
    <s v="29.11.23"/>
    <n v="36356765.060000002"/>
    <m/>
    <m/>
    <d v="2023-11-29T00:00:00"/>
    <n v="33"/>
    <x v="1"/>
    <x v="11"/>
    <x v="2"/>
    <x v="0"/>
    <m/>
    <m/>
    <m/>
  </r>
  <r>
    <s v="60.32"/>
    <x v="78"/>
    <x v="1369"/>
    <s v="Корректировка долга 00БП-000110 от 05.08.2022 11:00:00"/>
    <s v="05.08.22"/>
    <n v="3194902.15"/>
    <m/>
    <m/>
    <d v="2022-08-05T00:00:00"/>
    <n v="514"/>
    <x v="5"/>
    <x v="11"/>
    <x v="2"/>
    <x v="0"/>
    <m/>
    <m/>
    <m/>
  </r>
  <r>
    <s v="60.32"/>
    <x v="78"/>
    <x v="1370"/>
    <s v="Корректировка долга 00БП-000110 от 05.08.2022 11:00:00"/>
    <s v="05.08.22"/>
    <n v="16744.73"/>
    <m/>
    <m/>
    <d v="2022-08-05T00:00:00"/>
    <n v="514"/>
    <x v="5"/>
    <x v="11"/>
    <x v="2"/>
    <x v="0"/>
    <m/>
    <m/>
    <m/>
  </r>
  <r>
    <s v="60.32"/>
    <x v="78"/>
    <x v="1213"/>
    <s v="Списание с расчетного счета 00БП-005855 от 29.09.2023 18:30:56"/>
    <s v="29.09.23"/>
    <n v="5466463.5800000001"/>
    <m/>
    <m/>
    <d v="2023-09-29T00:00:00"/>
    <n v="94"/>
    <x v="4"/>
    <x v="11"/>
    <x v="2"/>
    <x v="0"/>
    <m/>
    <m/>
    <m/>
  </r>
  <r>
    <s v="60.32"/>
    <x v="78"/>
    <x v="1213"/>
    <s v="Списание с расчетного счета 00БП-005856 от 29.09.2023 18:30:57"/>
    <s v="29.09.23"/>
    <n v="5574440.1200000001"/>
    <m/>
    <m/>
    <d v="2023-09-29T00:00:00"/>
    <n v="94"/>
    <x v="4"/>
    <x v="11"/>
    <x v="2"/>
    <x v="0"/>
    <m/>
    <m/>
    <m/>
  </r>
  <r>
    <s v="60.32"/>
    <x v="78"/>
    <x v="1213"/>
    <s v="Списание с расчетного счета 00БП-005863 от 30.09.2023 23:59:59"/>
    <s v="30.09.23"/>
    <n v="35114.1"/>
    <m/>
    <m/>
    <d v="2023-09-30T00:00:00"/>
    <n v="93"/>
    <x v="4"/>
    <x v="11"/>
    <x v="2"/>
    <x v="0"/>
    <m/>
    <m/>
    <m/>
  </r>
  <r>
    <s v="60.32"/>
    <x v="78"/>
    <x v="1213"/>
    <s v="Списание с расчетного счета 00БП-005864 от 30.09.2023 23:59:59"/>
    <s v="30.09.23"/>
    <n v="46955.83"/>
    <m/>
    <m/>
    <d v="2023-09-30T00:00:00"/>
    <n v="93"/>
    <x v="4"/>
    <x v="11"/>
    <x v="2"/>
    <x v="0"/>
    <m/>
    <m/>
    <m/>
  </r>
  <r>
    <s v="60.32"/>
    <x v="78"/>
    <x v="1213"/>
    <s v="Списание с расчетного счета 00БП-008008 от 29.12.2023 12:00:14"/>
    <s v="29.12.23"/>
    <n v="33193880.84"/>
    <m/>
    <m/>
    <d v="2023-12-29T00:00:00"/>
    <n v="3"/>
    <x v="2"/>
    <x v="11"/>
    <x v="2"/>
    <x v="0"/>
    <m/>
    <m/>
    <m/>
  </r>
  <r>
    <s v="60.32"/>
    <x v="78"/>
    <x v="1371"/>
    <s v="Списание с расчетного счета 00БП-002496 от 23.05.2023 18:50:13"/>
    <s v="23.05.23"/>
    <n v="3463088.53"/>
    <m/>
    <m/>
    <d v="2023-05-23T00:00:00"/>
    <n v="223"/>
    <x v="3"/>
    <x v="11"/>
    <x v="2"/>
    <x v="0"/>
    <m/>
    <m/>
    <m/>
  </r>
  <r>
    <s v="60.32"/>
    <x v="170"/>
    <x v="1325"/>
    <s v="Списание с расчетного счета 00БП-007710 от 05.12.2023 15:42:55"/>
    <s v="05.12.23"/>
    <n v="1593574.46"/>
    <m/>
    <m/>
    <d v="2023-12-05T00:00:00"/>
    <n v="27"/>
    <x v="2"/>
    <x v="11"/>
    <x v="2"/>
    <x v="0"/>
    <m/>
    <m/>
    <m/>
  </r>
  <r>
    <s v="60.32"/>
    <x v="170"/>
    <x v="1326"/>
    <s v="Списание с расчетного счета 00БП-007713 от 05.12.2023 15:42:58"/>
    <s v="05.12.23"/>
    <n v="2266820"/>
    <m/>
    <m/>
    <d v="2023-12-05T00:00:00"/>
    <n v="27"/>
    <x v="2"/>
    <x v="11"/>
    <x v="2"/>
    <x v="0"/>
    <m/>
    <m/>
    <m/>
  </r>
  <r>
    <s v="60.32"/>
    <x v="170"/>
    <x v="1327"/>
    <s v="Списание с расчетного счета 00БП-007712 от 05.12.2023 15:42:57"/>
    <s v="05.12.23"/>
    <n v="2266820"/>
    <m/>
    <m/>
    <d v="2023-12-05T00:00:00"/>
    <n v="27"/>
    <x v="2"/>
    <x v="11"/>
    <x v="2"/>
    <x v="0"/>
    <m/>
    <m/>
    <m/>
  </r>
  <r>
    <s v="60.02"/>
    <x v="0"/>
    <x v="0"/>
    <s v="Списание с расчетного счета 00БП-007871 от 23.10.2025 18:50:57"/>
    <s v="23.10.25"/>
    <n v="17000"/>
    <m/>
    <m/>
    <d v="2025-10-23T00:00:00"/>
    <n v="144"/>
    <x v="0"/>
    <x v="12"/>
    <x v="0"/>
    <x v="0"/>
    <m/>
    <m/>
    <m/>
  </r>
  <r>
    <s v="60.02"/>
    <x v="1"/>
    <x v="1"/>
    <s v="Списание с расчетного счета 00БП-000102 от 22.01.2026 6:54:22"/>
    <s v="22.01.26"/>
    <n v="21271"/>
    <m/>
    <m/>
    <d v="2026-01-22T00:00:00"/>
    <n v="53"/>
    <x v="1"/>
    <x v="12"/>
    <x v="0"/>
    <x v="0"/>
    <m/>
    <m/>
    <m/>
  </r>
  <r>
    <s v="60.02"/>
    <x v="2"/>
    <x v="2"/>
    <s v="Списание с расчетного счета 00БП-009273 от 24.12.2025 11:37:26"/>
    <s v="24.12.25"/>
    <n v="11000000"/>
    <m/>
    <m/>
    <d v="2025-12-24T00:00:00"/>
    <n v="82"/>
    <x v="1"/>
    <x v="12"/>
    <x v="0"/>
    <x v="0"/>
    <m/>
    <m/>
    <m/>
  </r>
  <r>
    <s v="60.02"/>
    <x v="3"/>
    <x v="3"/>
    <s v="Списание с расчетного счета 00БП-000026 от 14.01.2026 16:45:19"/>
    <s v="14.01.26"/>
    <n v="10657877.73"/>
    <m/>
    <m/>
    <d v="2026-01-14T00:00:00"/>
    <n v="61"/>
    <x v="1"/>
    <x v="12"/>
    <x v="0"/>
    <x v="0"/>
    <m/>
    <m/>
    <m/>
  </r>
  <r>
    <s v="60.02"/>
    <x v="3"/>
    <x v="3"/>
    <s v="Списание с расчетного счета 00БП-000361 от 13.02.2026 17:04:30"/>
    <s v="13.02.26"/>
    <n v="4517905.22"/>
    <m/>
    <m/>
    <d v="2026-02-13T00:00:00"/>
    <n v="31"/>
    <x v="1"/>
    <x v="12"/>
    <x v="0"/>
    <x v="0"/>
    <m/>
    <m/>
    <m/>
  </r>
  <r>
    <s v="60.02"/>
    <x v="3"/>
    <x v="4"/>
    <s v="Списание с расчетного счета 00БП-000025 от 14.01.2026 16:45:18"/>
    <s v="14.01.26"/>
    <n v="5963831.3700000001"/>
    <m/>
    <m/>
    <d v="2026-01-14T00:00:00"/>
    <n v="61"/>
    <x v="1"/>
    <x v="12"/>
    <x v="0"/>
    <x v="0"/>
    <m/>
    <m/>
    <m/>
  </r>
  <r>
    <s v="60.02"/>
    <x v="3"/>
    <x v="4"/>
    <s v="Списание с расчетного счета 00БП-000359 от 13.02.2026 17:04:28"/>
    <s v="13.02.26"/>
    <n v="2528085.33"/>
    <m/>
    <m/>
    <d v="2026-02-13T00:00:00"/>
    <n v="31"/>
    <x v="1"/>
    <x v="12"/>
    <x v="0"/>
    <x v="0"/>
    <m/>
    <m/>
    <m/>
  </r>
  <r>
    <s v="60.02"/>
    <x v="4"/>
    <x v="5"/>
    <s v="Списание с расчетного счета 00БП-007373 от 08.10.2025 18:26:41"/>
    <s v="08.10.25"/>
    <n v="30900000"/>
    <m/>
    <m/>
    <d v="2025-10-08T00:00:00"/>
    <n v="159"/>
    <x v="0"/>
    <x v="12"/>
    <x v="0"/>
    <x v="0"/>
    <m/>
    <m/>
    <m/>
  </r>
  <r>
    <s v="60.02"/>
    <x v="4"/>
    <x v="6"/>
    <s v="Списание с расчетного счета 00БП-000470 от 25.02.2026 17:39:33"/>
    <s v="25.02.26"/>
    <n v="70000"/>
    <m/>
    <m/>
    <d v="2026-02-25T00:00:00"/>
    <n v="19"/>
    <x v="2"/>
    <x v="12"/>
    <x v="0"/>
    <x v="0"/>
    <m/>
    <m/>
    <m/>
  </r>
  <r>
    <s v="60.02"/>
    <x v="4"/>
    <x v="7"/>
    <s v="Списание с расчетного счета 00БП-007408 от 09.10.2025 16:57:55"/>
    <s v="09.10.25"/>
    <n v="603882"/>
    <m/>
    <m/>
    <d v="2025-10-09T00:00:00"/>
    <n v="158"/>
    <x v="0"/>
    <x v="12"/>
    <x v="0"/>
    <x v="0"/>
    <m/>
    <m/>
    <m/>
  </r>
  <r>
    <s v="60.02"/>
    <x v="5"/>
    <x v="8"/>
    <s v="Списание с расчетного счета 00БП-000477 от 25.02.2026 17:39:40"/>
    <s v="25.02.26"/>
    <n v="3698422"/>
    <m/>
    <m/>
    <d v="2026-02-25T00:00:00"/>
    <n v="19"/>
    <x v="2"/>
    <x v="12"/>
    <x v="0"/>
    <x v="0"/>
    <m/>
    <m/>
    <m/>
  </r>
  <r>
    <s v="60.02"/>
    <x v="5"/>
    <x v="9"/>
    <s v="Списание с расчетного счета 00БП-000090 от 21.01.2026 11:45:50"/>
    <s v="21.01.26"/>
    <n v="352400"/>
    <m/>
    <m/>
    <d v="2026-01-21T00:00:00"/>
    <n v="54"/>
    <x v="1"/>
    <x v="12"/>
    <x v="0"/>
    <x v="0"/>
    <m/>
    <m/>
    <m/>
  </r>
  <r>
    <s v="60.02"/>
    <x v="5"/>
    <x v="9"/>
    <s v="Списание с расчетного счета 00БП-000439 от 24.02.2026 17:52:55"/>
    <s v="24.02.26"/>
    <n v="40800"/>
    <m/>
    <m/>
    <d v="2026-02-24T00:00:00"/>
    <n v="20"/>
    <x v="2"/>
    <x v="12"/>
    <x v="0"/>
    <x v="0"/>
    <m/>
    <m/>
    <m/>
  </r>
  <r>
    <s v="60.02"/>
    <x v="5"/>
    <x v="9"/>
    <s v="Списание с расчетного счета 00БП-000498 от 26.02.2026 17:17:28"/>
    <s v="26.02.26"/>
    <n v="114575"/>
    <m/>
    <m/>
    <d v="2026-02-26T00:00:00"/>
    <n v="18"/>
    <x v="2"/>
    <x v="12"/>
    <x v="0"/>
    <x v="0"/>
    <m/>
    <m/>
    <m/>
  </r>
  <r>
    <s v="60.02"/>
    <x v="5"/>
    <x v="10"/>
    <s v="Списание с расчетного счета 00БП-000349 от 13.02.2026 17:04:18"/>
    <s v="13.02.26"/>
    <n v="429500"/>
    <m/>
    <m/>
    <d v="2026-02-13T00:00:00"/>
    <n v="31"/>
    <x v="1"/>
    <x v="12"/>
    <x v="0"/>
    <x v="0"/>
    <m/>
    <m/>
    <m/>
  </r>
  <r>
    <s v="60.02"/>
    <x v="5"/>
    <x v="11"/>
    <s v="Списание с расчетного счета 00БП-006009 от 26.08.2025 19:15:04"/>
    <s v="26.08.25"/>
    <n v="30100"/>
    <m/>
    <m/>
    <d v="2025-08-26T00:00:00"/>
    <n v="202"/>
    <x v="3"/>
    <x v="12"/>
    <x v="0"/>
    <x v="0"/>
    <m/>
    <m/>
    <m/>
  </r>
  <r>
    <s v="60.02"/>
    <x v="5"/>
    <x v="12"/>
    <s v="Списание с расчетного счета 00БП-008786 от 18.11.2025 23:05:28"/>
    <s v="18.11.25"/>
    <n v="4681"/>
    <m/>
    <m/>
    <d v="2025-11-18T00:00:00"/>
    <n v="118"/>
    <x v="4"/>
    <x v="12"/>
    <x v="0"/>
    <x v="0"/>
    <m/>
    <m/>
    <m/>
  </r>
  <r>
    <s v="60.02"/>
    <x v="6"/>
    <x v="13"/>
    <s v="Списание с расчетного счета 00БП-002073 от 05.05.2023 18:33:46"/>
    <s v="05.05.23"/>
    <n v="0.01"/>
    <m/>
    <m/>
    <d v="2023-05-05T00:00:00"/>
    <n v="1046"/>
    <x v="5"/>
    <x v="12"/>
    <x v="0"/>
    <x v="0"/>
    <m/>
    <m/>
    <m/>
  </r>
  <r>
    <s v="60.02"/>
    <x v="7"/>
    <x v="14"/>
    <s v="Списание с расчетного счета 00БП-009292 от 25.12.2025 12:00:16"/>
    <s v="25.12.25"/>
    <n v="28800000"/>
    <m/>
    <m/>
    <d v="2025-12-25T00:00:00"/>
    <n v="81"/>
    <x v="1"/>
    <x v="12"/>
    <x v="0"/>
    <x v="0"/>
    <m/>
    <m/>
    <m/>
  </r>
  <r>
    <s v="60.02"/>
    <x v="9"/>
    <x v="16"/>
    <s v="Списание с расчетного счета 00БП-004852 от 14.07.2025 17:54:02"/>
    <s v="14.07.25"/>
    <n v="4985"/>
    <m/>
    <m/>
    <d v="2025-07-14T00:00:00"/>
    <n v="245"/>
    <x v="3"/>
    <x v="12"/>
    <x v="0"/>
    <x v="0"/>
    <m/>
    <m/>
    <m/>
  </r>
  <r>
    <s v="60.02"/>
    <x v="10"/>
    <x v="17"/>
    <s v="Списание с расчетного счета 00БП-009342 от 29.12.2025 17:48:57"/>
    <s v="29.12.25"/>
    <n v="124374672.66"/>
    <m/>
    <m/>
    <d v="2025-12-29T00:00:00"/>
    <n v="77"/>
    <x v="1"/>
    <x v="12"/>
    <x v="0"/>
    <x v="0"/>
    <m/>
    <m/>
    <m/>
  </r>
  <r>
    <s v="60.02"/>
    <x v="11"/>
    <x v="18"/>
    <s v="Списание с расчетного счета 00БП-000549 от 07.03.2025 17:21:16"/>
    <s v="07.03.25"/>
    <n v="198000"/>
    <m/>
    <m/>
    <d v="2025-03-07T00:00:00"/>
    <n v="374"/>
    <x v="5"/>
    <x v="12"/>
    <x v="0"/>
    <x v="1"/>
    <m/>
    <m/>
    <m/>
  </r>
  <r>
    <s v="60.02"/>
    <x v="12"/>
    <x v="19"/>
    <s v="Списание с расчетного счета 00БП-005478 от 07.08.2025 19:08:52"/>
    <s v="07.08.25"/>
    <n v="17955.38"/>
    <m/>
    <m/>
    <d v="2025-08-07T00:00:00"/>
    <n v="221"/>
    <x v="3"/>
    <x v="12"/>
    <x v="0"/>
    <x v="2"/>
    <m/>
    <m/>
    <m/>
  </r>
  <r>
    <s v="60.02"/>
    <x v="12"/>
    <x v="20"/>
    <s v="Списание с расчетного счета 00БП-005479 от 07.08.2025 19:08:53"/>
    <s v="07.08.25"/>
    <n v="67008.2"/>
    <m/>
    <m/>
    <d v="2025-08-07T00:00:00"/>
    <n v="221"/>
    <x v="3"/>
    <x v="12"/>
    <x v="0"/>
    <x v="3"/>
    <m/>
    <m/>
    <m/>
  </r>
  <r>
    <s v="60.02"/>
    <x v="12"/>
    <x v="20"/>
    <s v="Корректировка поступления 00БП-000024 от 05.09.2025 16:20:03"/>
    <s v="05.09.25"/>
    <n v="8599.8700000000008"/>
    <m/>
    <m/>
    <d v="2025-09-05T00:00:00"/>
    <n v="192"/>
    <x v="3"/>
    <x v="12"/>
    <x v="0"/>
    <x v="3"/>
    <m/>
    <m/>
    <m/>
  </r>
  <r>
    <s v="60.02"/>
    <x v="13"/>
    <x v="21"/>
    <s v="Списание с расчетного счета 00БП-000092 от 21.01.2026 11:45:52"/>
    <s v="21.01.26"/>
    <n v="10508130"/>
    <m/>
    <m/>
    <d v="2026-01-21T00:00:00"/>
    <n v="54"/>
    <x v="1"/>
    <x v="12"/>
    <x v="0"/>
    <x v="22"/>
    <m/>
    <m/>
    <m/>
  </r>
  <r>
    <s v="60.02"/>
    <x v="13"/>
    <x v="22"/>
    <s v="Списание с расчетного счета 00БП-009316 от 26.12.2025 12:00:22"/>
    <s v="26.12.25"/>
    <n v="1833304"/>
    <m/>
    <m/>
    <d v="2025-12-26T00:00:00"/>
    <n v="80"/>
    <x v="1"/>
    <x v="12"/>
    <x v="0"/>
    <x v="4"/>
    <m/>
    <m/>
    <m/>
  </r>
  <r>
    <s v="60.02"/>
    <x v="14"/>
    <x v="1372"/>
    <s v="Списание с расчетного счета 00БП-000659 от 10.03.2026 18:20:36"/>
    <s v="10.03.26"/>
    <n v="148464.5"/>
    <m/>
    <m/>
    <d v="2026-03-10T00:00:00"/>
    <n v="6"/>
    <x v="2"/>
    <x v="12"/>
    <x v="0"/>
    <x v="0"/>
    <m/>
    <m/>
    <m/>
  </r>
  <r>
    <s v="60.02"/>
    <x v="14"/>
    <x v="23"/>
    <s v="Списание с расчетного счета 00БП-000505 от 26.02.2026 17:17:35"/>
    <s v="26.02.26"/>
    <n v="2287728"/>
    <m/>
    <m/>
    <d v="2026-02-26T00:00:00"/>
    <n v="18"/>
    <x v="2"/>
    <x v="12"/>
    <x v="0"/>
    <x v="0"/>
    <m/>
    <m/>
    <m/>
  </r>
  <r>
    <s v="60.02"/>
    <x v="479"/>
    <x v="1373"/>
    <s v="Списание с расчетного счета 00БП-000804 от 13.03.2026 17:54:12"/>
    <s v="13.03.26"/>
    <n v="1775130.05"/>
    <m/>
    <m/>
    <d v="2026-03-13T00:00:00"/>
    <n v="3"/>
    <x v="2"/>
    <x v="12"/>
    <x v="0"/>
    <x v="0"/>
    <m/>
    <m/>
    <m/>
  </r>
  <r>
    <s v="60.02"/>
    <x v="172"/>
    <x v="1374"/>
    <s v="Списание с расчетного счета 00БП-000623 от 05.03.2026 16:11:43"/>
    <s v="05.03.26"/>
    <n v="18000"/>
    <m/>
    <m/>
    <d v="2026-03-05T00:00:00"/>
    <n v="11"/>
    <x v="2"/>
    <x v="12"/>
    <x v="0"/>
    <x v="0"/>
    <m/>
    <m/>
    <m/>
  </r>
  <r>
    <s v="60.02"/>
    <x v="15"/>
    <x v="24"/>
    <s v="Списание с расчетного счета 00БП-009234 от 18.12.2025 17:20:48"/>
    <s v="18.12.25"/>
    <n v="613440"/>
    <m/>
    <m/>
    <d v="2025-12-18T00:00:00"/>
    <n v="88"/>
    <x v="1"/>
    <x v="12"/>
    <x v="0"/>
    <x v="0"/>
    <m/>
    <m/>
    <m/>
  </r>
  <r>
    <s v="60.02"/>
    <x v="16"/>
    <x v="25"/>
    <s v="Списание с расчетного счета 00БП-000504 от 26.02.2026 17:17:34"/>
    <s v="26.02.26"/>
    <n v="1644686.04"/>
    <m/>
    <m/>
    <d v="2026-02-26T00:00:00"/>
    <n v="18"/>
    <x v="2"/>
    <x v="12"/>
    <x v="0"/>
    <x v="0"/>
    <m/>
    <m/>
    <m/>
  </r>
  <r>
    <s v="60.02"/>
    <x v="17"/>
    <x v="26"/>
    <s v="Списание с расчетного счета 00БП-008784 от 18.11.2025 23:05:26"/>
    <s v="18.11.25"/>
    <n v="350000"/>
    <m/>
    <m/>
    <d v="2025-11-18T00:00:00"/>
    <n v="118"/>
    <x v="4"/>
    <x v="12"/>
    <x v="0"/>
    <x v="0"/>
    <m/>
    <m/>
    <m/>
  </r>
  <r>
    <s v="60.02"/>
    <x v="18"/>
    <x v="27"/>
    <s v="Списание с расчетного счета 00БП-002345 от 05.05.2025 19:41:14"/>
    <s v="05.05.25"/>
    <n v="691600"/>
    <m/>
    <m/>
    <d v="2025-05-05T00:00:00"/>
    <n v="315"/>
    <x v="6"/>
    <x v="12"/>
    <x v="0"/>
    <x v="5"/>
    <m/>
    <m/>
    <m/>
  </r>
  <r>
    <s v="60.02"/>
    <x v="402"/>
    <x v="1375"/>
    <s v="Списание с расчетного счета 00БП-000775 от 12.03.2026 17:24:31"/>
    <s v="12.03.26"/>
    <n v="100000"/>
    <m/>
    <m/>
    <d v="2026-03-12T00:00:00"/>
    <n v="4"/>
    <x v="2"/>
    <x v="12"/>
    <x v="0"/>
    <x v="0"/>
    <m/>
    <m/>
    <m/>
  </r>
  <r>
    <s v="60.02"/>
    <x v="19"/>
    <x v="28"/>
    <s v="Списание с расчетного счета 00БП-000049 от 15.01.2026 14:53:16"/>
    <s v="15.01.26"/>
    <n v="60000"/>
    <m/>
    <m/>
    <d v="2026-01-15T00:00:00"/>
    <n v="60"/>
    <x v="1"/>
    <x v="12"/>
    <x v="0"/>
    <x v="0"/>
    <m/>
    <m/>
    <m/>
  </r>
  <r>
    <s v="60.02"/>
    <x v="20"/>
    <x v="29"/>
    <s v="Списание с расчетного счета 00БП-007195 от 01.10.2025 20:24:05"/>
    <s v="01.10.25"/>
    <n v="400000"/>
    <m/>
    <m/>
    <d v="2025-10-01T00:00:00"/>
    <n v="166"/>
    <x v="0"/>
    <x v="12"/>
    <x v="0"/>
    <x v="6"/>
    <d v="2025-11-20T00:00:00"/>
    <s v="Геологический отдел"/>
    <m/>
  </r>
  <r>
    <s v="60.02"/>
    <x v="20"/>
    <x v="30"/>
    <s v="Списание с расчетного счета 00БП-004986 от 18.07.2025 20:39:46"/>
    <s v="18.07.25"/>
    <n v="1600000"/>
    <m/>
    <m/>
    <d v="2025-07-18T00:00:00"/>
    <n v="241"/>
    <x v="3"/>
    <x v="12"/>
    <x v="0"/>
    <x v="7"/>
    <d v="2026-02-15T00:00:00"/>
    <s v="Геологический отдел"/>
    <m/>
  </r>
  <r>
    <s v="60.02"/>
    <x v="20"/>
    <x v="30"/>
    <s v="Списание с расчетного счета 00БП-009315 от 26.12.2025 12:00:21"/>
    <s v="26.12.25"/>
    <n v="1200000"/>
    <m/>
    <m/>
    <d v="2025-12-26T00:00:00"/>
    <n v="80"/>
    <x v="1"/>
    <x v="12"/>
    <x v="0"/>
    <x v="7"/>
    <d v="2026-02-15T00:00:00"/>
    <s v="Геологический отдел"/>
    <m/>
  </r>
  <r>
    <s v="60.02"/>
    <x v="20"/>
    <x v="31"/>
    <s v="Списание с расчетного счета 00БП-007194 от 01.10.2025 20:24:04"/>
    <s v="01.10.25"/>
    <n v="400000"/>
    <m/>
    <m/>
    <d v="2025-10-01T00:00:00"/>
    <n v="166"/>
    <x v="0"/>
    <x v="12"/>
    <x v="0"/>
    <x v="6"/>
    <d v="2025-11-20T00:00:00"/>
    <s v="Геологический отдел"/>
    <m/>
  </r>
  <r>
    <s v="60.02"/>
    <x v="20"/>
    <x v="32"/>
    <s v="Списание с расчетного счета 00БП-006765 от 17.09.2025 19:43:17"/>
    <s v="17.09.25"/>
    <n v="250000"/>
    <m/>
    <m/>
    <d v="2025-09-17T00:00:00"/>
    <n v="180"/>
    <x v="0"/>
    <x v="12"/>
    <x v="0"/>
    <x v="6"/>
    <d v="2025-11-25T00:00:00"/>
    <s v="Геологический отдел"/>
    <m/>
  </r>
  <r>
    <s v="60.02"/>
    <x v="20"/>
    <x v="33"/>
    <s v="Списание с расчетного счета 00БП-006764 от 17.09.2025 19:43:16"/>
    <s v="17.09.25"/>
    <n v="250000"/>
    <m/>
    <m/>
    <d v="2025-09-17T00:00:00"/>
    <n v="180"/>
    <x v="0"/>
    <x v="12"/>
    <x v="0"/>
    <x v="6"/>
    <d v="2025-11-25T00:00:00"/>
    <s v="Геологический отдел"/>
    <m/>
  </r>
  <r>
    <s v="60.02"/>
    <x v="21"/>
    <x v="34"/>
    <s v="Списание с расчетного счета 00БП-004292 от 30.06.2025 23:59:59"/>
    <s v="30.06.25"/>
    <n v="7000"/>
    <m/>
    <m/>
    <d v="2025-06-30T00:00:00"/>
    <n v="259"/>
    <x v="3"/>
    <x v="12"/>
    <x v="0"/>
    <x v="8"/>
    <m/>
    <m/>
    <m/>
  </r>
  <r>
    <s v="60.02"/>
    <x v="22"/>
    <x v="1376"/>
    <s v="Списание с расчетного счета 00БП-000695 от 11.03.2026 17:49:51"/>
    <s v="11.03.26"/>
    <n v="25000"/>
    <m/>
    <m/>
    <d v="2026-03-11T00:00:00"/>
    <n v="5"/>
    <x v="2"/>
    <x v="12"/>
    <x v="0"/>
    <x v="0"/>
    <m/>
    <m/>
    <m/>
  </r>
  <r>
    <s v="60.02"/>
    <x v="22"/>
    <x v="1377"/>
    <s v="Списание с расчетного счета 00БП-000699 от 11.03.2026 17:49:55"/>
    <s v="11.03.26"/>
    <n v="188760"/>
    <m/>
    <m/>
    <d v="2026-03-11T00:00:00"/>
    <n v="5"/>
    <x v="2"/>
    <x v="12"/>
    <x v="0"/>
    <x v="0"/>
    <m/>
    <m/>
    <m/>
  </r>
  <r>
    <s v="60.02"/>
    <x v="22"/>
    <x v="1378"/>
    <s v="Списание с расчетного счета 00БП-000693 от 11.03.2026 17:49:49"/>
    <s v="11.03.26"/>
    <n v="25000"/>
    <m/>
    <m/>
    <d v="2026-03-11T00:00:00"/>
    <n v="5"/>
    <x v="2"/>
    <x v="12"/>
    <x v="0"/>
    <x v="0"/>
    <m/>
    <m/>
    <m/>
  </r>
  <r>
    <s v="60.02"/>
    <x v="22"/>
    <x v="35"/>
    <s v="Списание с расчетного счета 00БП-000342 от 13.02.2026 17:04:11"/>
    <s v="13.02.26"/>
    <n v="25000"/>
    <m/>
    <m/>
    <d v="2026-02-13T00:00:00"/>
    <n v="31"/>
    <x v="1"/>
    <x v="12"/>
    <x v="0"/>
    <x v="0"/>
    <m/>
    <m/>
    <m/>
  </r>
  <r>
    <s v="60.02"/>
    <x v="22"/>
    <x v="1379"/>
    <s v="Списание с расчетного счета 00БП-000694 от 11.03.2026 17:49:50"/>
    <s v="11.03.26"/>
    <n v="25000"/>
    <m/>
    <m/>
    <d v="2026-03-11T00:00:00"/>
    <n v="5"/>
    <x v="2"/>
    <x v="12"/>
    <x v="0"/>
    <x v="0"/>
    <m/>
    <m/>
    <m/>
  </r>
  <r>
    <s v="60.02"/>
    <x v="23"/>
    <x v="36"/>
    <s v="Списание с расчетного счета 00БП-000417 от 19.02.2026 16:28:32"/>
    <s v="19.02.26"/>
    <n v="1200041.6399999999"/>
    <m/>
    <m/>
    <d v="2026-02-19T00:00:00"/>
    <n v="25"/>
    <x v="2"/>
    <x v="12"/>
    <x v="0"/>
    <x v="0"/>
    <m/>
    <m/>
    <m/>
  </r>
  <r>
    <s v="60.02"/>
    <x v="23"/>
    <x v="37"/>
    <s v="Списание с расчетного счета 00БП-000347 от 13.02.2026 17:04:16"/>
    <s v="13.02.26"/>
    <n v="0.01"/>
    <m/>
    <m/>
    <d v="2026-02-13T00:00:00"/>
    <n v="31"/>
    <x v="1"/>
    <x v="12"/>
    <x v="0"/>
    <x v="0"/>
    <m/>
    <m/>
    <m/>
  </r>
  <r>
    <s v="60.02"/>
    <x v="23"/>
    <x v="37"/>
    <s v="Списание с расчетного счета 00БП-000662 от 10.03.2026 18:20:39"/>
    <s v="10.03.26"/>
    <n v="305626.93"/>
    <m/>
    <m/>
    <d v="2026-03-10T00:00:00"/>
    <n v="6"/>
    <x v="2"/>
    <x v="12"/>
    <x v="0"/>
    <x v="0"/>
    <m/>
    <m/>
    <m/>
  </r>
  <r>
    <s v="60.02"/>
    <x v="25"/>
    <x v="39"/>
    <s v="Списание с расчетного счета 00БП-000424 от 20.02.2026 17:20:32"/>
    <s v="20.02.26"/>
    <n v="12000"/>
    <m/>
    <m/>
    <d v="2026-02-20T00:00:00"/>
    <n v="24"/>
    <x v="2"/>
    <x v="12"/>
    <x v="0"/>
    <x v="0"/>
    <m/>
    <m/>
    <m/>
  </r>
  <r>
    <s v="60.02"/>
    <x v="26"/>
    <x v="40"/>
    <s v="Списание с расчетного счета 00БП-000150 от 28.01.2026 12:00:06"/>
    <s v="28.01.26"/>
    <n v="2405000"/>
    <m/>
    <m/>
    <d v="2026-01-28T00:00:00"/>
    <n v="47"/>
    <x v="1"/>
    <x v="12"/>
    <x v="0"/>
    <x v="0"/>
    <m/>
    <m/>
    <m/>
  </r>
  <r>
    <s v="60.02"/>
    <x v="26"/>
    <x v="41"/>
    <s v="Списание с расчетного счета 00БП-000149 от 28.01.2026 12:00:05"/>
    <s v="28.01.26"/>
    <n v="1150000"/>
    <m/>
    <m/>
    <d v="2026-01-28T00:00:00"/>
    <n v="47"/>
    <x v="1"/>
    <x v="12"/>
    <x v="0"/>
    <x v="0"/>
    <m/>
    <m/>
    <m/>
  </r>
  <r>
    <s v="60.02"/>
    <x v="27"/>
    <x v="42"/>
    <s v="Списание с расчетного счета 00БП-001912 от 17.04.2024 20:48:12"/>
    <s v="17.04.24"/>
    <n v="12630"/>
    <m/>
    <m/>
    <d v="2024-04-17T00:00:00"/>
    <n v="698"/>
    <x v="5"/>
    <x v="12"/>
    <x v="0"/>
    <x v="9"/>
    <m/>
    <m/>
    <m/>
  </r>
  <r>
    <s v="60.02"/>
    <x v="28"/>
    <x v="43"/>
    <s v="Списание с расчетного счета 00БП-008947 от 26.11.2025 14:57:07"/>
    <s v="26.11.25"/>
    <n v="92350"/>
    <m/>
    <m/>
    <d v="2025-11-26T00:00:00"/>
    <n v="110"/>
    <x v="4"/>
    <x v="12"/>
    <x v="0"/>
    <x v="0"/>
    <m/>
    <m/>
    <m/>
  </r>
  <r>
    <s v="60.02"/>
    <x v="28"/>
    <x v="1380"/>
    <s v="Списание с расчетного счета 00БП-000651 от 10.03.2026 18:20:28"/>
    <s v="10.03.26"/>
    <n v="1950"/>
    <m/>
    <m/>
    <d v="2026-03-10T00:00:00"/>
    <n v="6"/>
    <x v="2"/>
    <x v="12"/>
    <x v="0"/>
    <x v="0"/>
    <m/>
    <m/>
    <m/>
  </r>
  <r>
    <s v="60.02"/>
    <x v="29"/>
    <x v="44"/>
    <s v="Списание с расчетного счета 00БП-003512 от 09.06.2025 17:56:01"/>
    <s v="09.06.25"/>
    <n v="14178"/>
    <m/>
    <m/>
    <d v="2025-06-09T00:00:00"/>
    <n v="280"/>
    <x v="6"/>
    <x v="12"/>
    <x v="0"/>
    <x v="2"/>
    <m/>
    <m/>
    <m/>
  </r>
  <r>
    <s v="60.02"/>
    <x v="29"/>
    <x v="45"/>
    <s v="Списание с расчетного счета 00БП-000473 от 25.02.2026 17:39:36"/>
    <s v="25.02.26"/>
    <n v="405463"/>
    <m/>
    <m/>
    <d v="2026-02-25T00:00:00"/>
    <n v="19"/>
    <x v="2"/>
    <x v="12"/>
    <x v="0"/>
    <x v="0"/>
    <m/>
    <m/>
    <m/>
  </r>
  <r>
    <s v="60.02"/>
    <x v="29"/>
    <x v="1381"/>
    <s v="Списание с расчетного счета 00БП-000665 от 10.03.2026 18:20:42"/>
    <s v="10.03.26"/>
    <n v="3967657"/>
    <m/>
    <m/>
    <d v="2026-03-10T00:00:00"/>
    <n v="6"/>
    <x v="2"/>
    <x v="12"/>
    <x v="0"/>
    <x v="0"/>
    <m/>
    <m/>
    <m/>
  </r>
  <r>
    <s v="60.02"/>
    <x v="29"/>
    <x v="1382"/>
    <s v="Списание с расчетного счета 00БП-000607 от 04.03.2026 19:04:48"/>
    <s v="04.03.26"/>
    <n v="205970"/>
    <m/>
    <m/>
    <d v="2026-03-04T00:00:00"/>
    <n v="12"/>
    <x v="2"/>
    <x v="12"/>
    <x v="0"/>
    <x v="0"/>
    <m/>
    <m/>
    <m/>
  </r>
  <r>
    <s v="60.02"/>
    <x v="30"/>
    <x v="46"/>
    <s v="Списание с расчетного счета 00БП-004058 от 28.06.2024 19:03:17"/>
    <s v="28.06.24"/>
    <n v="6600"/>
    <m/>
    <m/>
    <d v="2024-06-28T00:00:00"/>
    <n v="626"/>
    <x v="5"/>
    <x v="12"/>
    <x v="0"/>
    <x v="0"/>
    <m/>
    <m/>
    <m/>
  </r>
  <r>
    <s v="60.02"/>
    <x v="30"/>
    <x v="47"/>
    <s v="Списание с расчетного счета 00БП-003852 от 24.06.2024 17:54:37"/>
    <s v="24.06.24"/>
    <n v="6600"/>
    <m/>
    <m/>
    <d v="2024-06-24T00:00:00"/>
    <n v="630"/>
    <x v="5"/>
    <x v="12"/>
    <x v="0"/>
    <x v="0"/>
    <m/>
    <m/>
    <m/>
  </r>
  <r>
    <s v="60.02"/>
    <x v="30"/>
    <x v="48"/>
    <s v="Списание с расчетного счета 00БП-006739 от 16.09.2025 17:34:57"/>
    <s v="16.09.25"/>
    <n v="25000"/>
    <m/>
    <m/>
    <d v="2025-09-16T00:00:00"/>
    <n v="181"/>
    <x v="3"/>
    <x v="12"/>
    <x v="0"/>
    <x v="0"/>
    <m/>
    <m/>
    <m/>
  </r>
  <r>
    <s v="60.02"/>
    <x v="30"/>
    <x v="49"/>
    <s v="Списание с расчетного счета 00БП-002905 от 27.05.2024 18:19:20"/>
    <s v="27.05.24"/>
    <n v="6600"/>
    <m/>
    <m/>
    <d v="2024-05-27T00:00:00"/>
    <n v="658"/>
    <x v="5"/>
    <x v="12"/>
    <x v="0"/>
    <x v="0"/>
    <m/>
    <m/>
    <m/>
  </r>
  <r>
    <s v="60.02"/>
    <x v="30"/>
    <x v="50"/>
    <s v="Списание с расчетного счета 00БП-003005 от 23.05.2025 20:52:15"/>
    <s v="23.05.25"/>
    <n v="6600"/>
    <m/>
    <m/>
    <d v="2025-05-23T00:00:00"/>
    <n v="297"/>
    <x v="6"/>
    <x v="12"/>
    <x v="0"/>
    <x v="0"/>
    <m/>
    <m/>
    <m/>
  </r>
  <r>
    <s v="60.02"/>
    <x v="30"/>
    <x v="51"/>
    <s v="Списание с расчетного счета 00БП-004318 от 08.07.2024 18:29:52"/>
    <s v="08.07.24"/>
    <n v="25000"/>
    <m/>
    <m/>
    <d v="2024-07-08T00:00:00"/>
    <n v="616"/>
    <x v="5"/>
    <x v="12"/>
    <x v="0"/>
    <x v="0"/>
    <m/>
    <m/>
    <m/>
  </r>
  <r>
    <s v="60.02"/>
    <x v="30"/>
    <x v="52"/>
    <s v="Списание с расчетного счета 00БП-006217 от 01.09.2025 18:18:38"/>
    <s v="01.09.25"/>
    <n v="25000"/>
    <m/>
    <m/>
    <d v="2025-09-01T00:00:00"/>
    <n v="196"/>
    <x v="3"/>
    <x v="12"/>
    <x v="0"/>
    <x v="0"/>
    <m/>
    <m/>
    <m/>
  </r>
  <r>
    <s v="60.02"/>
    <x v="480"/>
    <x v="1383"/>
    <s v="Списание с расчетного счета 00БП-000608 от 04.03.2026 19:04:49"/>
    <s v="04.03.26"/>
    <n v="330000"/>
    <m/>
    <m/>
    <d v="2026-03-04T00:00:00"/>
    <n v="12"/>
    <x v="2"/>
    <x v="12"/>
    <x v="0"/>
    <x v="0"/>
    <m/>
    <m/>
    <m/>
  </r>
  <r>
    <s v="60.02"/>
    <x v="31"/>
    <x v="53"/>
    <s v="Списание с расчетного счета 00БП-000213 от 03.02.2026 14:13:45"/>
    <s v="03.02.26"/>
    <n v="179328"/>
    <m/>
    <m/>
    <d v="2026-02-03T00:00:00"/>
    <n v="41"/>
    <x v="1"/>
    <x v="12"/>
    <x v="0"/>
    <x v="0"/>
    <m/>
    <m/>
    <m/>
  </r>
  <r>
    <s v="60.02"/>
    <x v="32"/>
    <x v="54"/>
    <s v="Списание с расчетного счета 00БП-007131 от 29.09.2025 19:12:04"/>
    <s v="29.09.25"/>
    <n v="1750000"/>
    <m/>
    <m/>
    <d v="2025-09-29T00:00:00"/>
    <n v="168"/>
    <x v="0"/>
    <x v="12"/>
    <x v="0"/>
    <x v="0"/>
    <m/>
    <m/>
    <m/>
  </r>
  <r>
    <s v="60.02"/>
    <x v="32"/>
    <x v="55"/>
    <s v="Списание с расчетного счета 00БП-007756 от 17.10.2025 19:36:13"/>
    <s v="17.10.25"/>
    <n v="1750000"/>
    <m/>
    <m/>
    <d v="2025-10-17T00:00:00"/>
    <n v="150"/>
    <x v="0"/>
    <x v="12"/>
    <x v="0"/>
    <x v="0"/>
    <m/>
    <m/>
    <m/>
  </r>
  <r>
    <s v="60.02"/>
    <x v="32"/>
    <x v="56"/>
    <s v="Списание с расчетного счета 00БП-007130 от 29.09.2025 19:12:03"/>
    <s v="29.09.25"/>
    <n v="1750000"/>
    <m/>
    <m/>
    <d v="2025-09-29T00:00:00"/>
    <n v="168"/>
    <x v="0"/>
    <x v="12"/>
    <x v="0"/>
    <x v="0"/>
    <m/>
    <m/>
    <m/>
  </r>
  <r>
    <s v="60.02"/>
    <x v="32"/>
    <x v="57"/>
    <s v="Списание с расчетного счета 00БП-007755 от 17.10.2025 19:36:12"/>
    <s v="17.10.25"/>
    <n v="1750000"/>
    <m/>
    <m/>
    <d v="2025-10-17T00:00:00"/>
    <n v="150"/>
    <x v="0"/>
    <x v="12"/>
    <x v="0"/>
    <x v="0"/>
    <m/>
    <m/>
    <m/>
  </r>
  <r>
    <s v="60.02"/>
    <x v="32"/>
    <x v="58"/>
    <s v="Списание с расчетного счета 00БП-007129 от 29.09.2025 19:12:02"/>
    <s v="29.09.25"/>
    <n v="1750000"/>
    <m/>
    <m/>
    <d v="2025-09-29T00:00:00"/>
    <n v="168"/>
    <x v="0"/>
    <x v="12"/>
    <x v="0"/>
    <x v="0"/>
    <m/>
    <m/>
    <m/>
  </r>
  <r>
    <s v="60.02"/>
    <x v="33"/>
    <x v="59"/>
    <s v="Списание с расчетного счета 00БП-000341 от 13.02.2026 17:04:10"/>
    <s v="13.02.26"/>
    <n v="17831.84"/>
    <m/>
    <m/>
    <d v="2026-02-13T00:00:00"/>
    <n v="31"/>
    <x v="1"/>
    <x v="12"/>
    <x v="0"/>
    <x v="0"/>
    <m/>
    <m/>
    <m/>
  </r>
  <r>
    <s v="60.02"/>
    <x v="34"/>
    <x v="60"/>
    <s v="Списание с расчетного счета 00БП-009027 от 01.12.2025 15:42:22"/>
    <s v="01.12.25"/>
    <n v="2053117.29"/>
    <m/>
    <m/>
    <d v="2025-12-01T00:00:00"/>
    <n v="105"/>
    <x v="4"/>
    <x v="12"/>
    <x v="0"/>
    <x v="0"/>
    <m/>
    <m/>
    <m/>
  </r>
  <r>
    <s v="60.02"/>
    <x v="34"/>
    <x v="60"/>
    <s v="Списание с расчетного счета 00БП-000503 от 26.02.2026 17:17:33"/>
    <s v="26.02.26"/>
    <n v="1460604.1"/>
    <m/>
    <m/>
    <d v="2026-02-26T00:00:00"/>
    <n v="18"/>
    <x v="2"/>
    <x v="12"/>
    <x v="0"/>
    <x v="10"/>
    <s v="23.02.26 в новосибирске"/>
    <m/>
    <m/>
  </r>
  <r>
    <s v="60.02"/>
    <x v="34"/>
    <x v="61"/>
    <s v="Списание с расчетного счета 00БП-009026 от 01.12.2025 15:42:21"/>
    <s v="01.12.25"/>
    <n v="1211264.99"/>
    <m/>
    <m/>
    <d v="2025-12-01T00:00:00"/>
    <n v="105"/>
    <x v="4"/>
    <x v="12"/>
    <x v="0"/>
    <x v="0"/>
    <m/>
    <m/>
    <m/>
  </r>
  <r>
    <s v="60.02"/>
    <x v="34"/>
    <x v="61"/>
    <s v="Списание с расчетного счета 00БП-000502 от 26.02.2026 17:17:32"/>
    <s v="26.02.26"/>
    <n v="1251640.57"/>
    <m/>
    <m/>
    <d v="2026-02-26T00:00:00"/>
    <n v="18"/>
    <x v="2"/>
    <x v="12"/>
    <x v="0"/>
    <x v="0"/>
    <m/>
    <m/>
    <m/>
  </r>
  <r>
    <s v="60.02"/>
    <x v="34"/>
    <x v="62"/>
    <s v="Списание с расчетного счета 00БП-009025 от 01.12.2025 15:42:20"/>
    <s v="01.12.25"/>
    <n v="512327.6"/>
    <m/>
    <m/>
    <d v="2025-12-01T00:00:00"/>
    <n v="105"/>
    <x v="4"/>
    <x v="12"/>
    <x v="0"/>
    <x v="0"/>
    <m/>
    <m/>
    <m/>
  </r>
  <r>
    <s v="60.02"/>
    <x v="34"/>
    <x v="62"/>
    <s v="Списание с расчетного счета 00БП-009090 от 05.12.2025 12:00:05"/>
    <s v="05.12.25"/>
    <n v="12000"/>
    <m/>
    <m/>
    <d v="2025-12-05T00:00:00"/>
    <n v="101"/>
    <x v="4"/>
    <x v="12"/>
    <x v="0"/>
    <x v="0"/>
    <m/>
    <m/>
    <m/>
  </r>
  <r>
    <s v="60.02"/>
    <x v="34"/>
    <x v="62"/>
    <s v="Списание с расчетного счета 00БП-000474 от 25.02.2026 17:39:37"/>
    <s v="25.02.26"/>
    <n v="541805.18000000005"/>
    <m/>
    <m/>
    <d v="2026-02-25T00:00:00"/>
    <n v="19"/>
    <x v="2"/>
    <x v="12"/>
    <x v="0"/>
    <x v="0"/>
    <m/>
    <m/>
    <m/>
  </r>
  <r>
    <s v="60.02"/>
    <x v="34"/>
    <x v="63"/>
    <s v="Списание с расчетного счета 00БП-009024 от 01.12.2025 15:42:19"/>
    <s v="01.12.25"/>
    <n v="438338.63"/>
    <m/>
    <m/>
    <d v="2025-12-01T00:00:00"/>
    <n v="105"/>
    <x v="4"/>
    <x v="12"/>
    <x v="0"/>
    <x v="0"/>
    <m/>
    <m/>
    <m/>
  </r>
  <r>
    <s v="60.02"/>
    <x v="34"/>
    <x v="63"/>
    <s v="Списание с расчетного счета 00БП-000499 от 26.02.2026 17:17:29"/>
    <s v="26.02.26"/>
    <n v="452949.89"/>
    <m/>
    <m/>
    <d v="2026-02-26T00:00:00"/>
    <n v="18"/>
    <x v="2"/>
    <x v="12"/>
    <x v="0"/>
    <x v="0"/>
    <m/>
    <m/>
    <m/>
  </r>
  <r>
    <s v="60.02"/>
    <x v="35"/>
    <x v="64"/>
    <s v="Списание с расчетного счета 00БП-002965 от 21.05.2025 20:10:56"/>
    <s v="21.05.25"/>
    <n v="275272"/>
    <m/>
    <m/>
    <d v="2025-05-21T00:00:00"/>
    <n v="299"/>
    <x v="6"/>
    <x v="12"/>
    <x v="0"/>
    <x v="11"/>
    <m/>
    <m/>
    <m/>
  </r>
  <r>
    <s v="60.02"/>
    <x v="36"/>
    <x v="65"/>
    <s v="Списание с расчетного счета 00БП-000070 от 16.01.2026 17:13:38"/>
    <s v="16.01.26"/>
    <n v="15696807.25"/>
    <m/>
    <m/>
    <d v="2026-01-16T00:00:00"/>
    <n v="59"/>
    <x v="1"/>
    <x v="12"/>
    <x v="0"/>
    <x v="0"/>
    <m/>
    <m/>
    <m/>
  </r>
  <r>
    <s v="60.02"/>
    <x v="36"/>
    <x v="66"/>
    <s v="Списание с расчетного счета 00БП-000117 от 26.01.2026 12:00:04"/>
    <s v="26.01.26"/>
    <n v="23963645.800000001"/>
    <m/>
    <m/>
    <d v="2026-01-26T00:00:00"/>
    <n v="49"/>
    <x v="1"/>
    <x v="12"/>
    <x v="0"/>
    <x v="0"/>
    <m/>
    <m/>
    <m/>
  </r>
  <r>
    <s v="60.02"/>
    <x v="36"/>
    <x v="67"/>
    <s v="Списание с расчетного счета 00БП-000444 от 24.02.2026 17:53:00"/>
    <s v="24.02.26"/>
    <n v="321265"/>
    <m/>
    <m/>
    <d v="2026-02-24T00:00:00"/>
    <n v="20"/>
    <x v="2"/>
    <x v="12"/>
    <x v="0"/>
    <x v="0"/>
    <m/>
    <m/>
    <m/>
  </r>
  <r>
    <s v="60.02"/>
    <x v="36"/>
    <x v="68"/>
    <s v="Списание с расчетного счета 00БП-000407 от 18.02.2026 12:00:09"/>
    <s v="18.02.26"/>
    <n v="2644691.5"/>
    <m/>
    <m/>
    <d v="2026-02-18T00:00:00"/>
    <n v="26"/>
    <x v="2"/>
    <x v="12"/>
    <x v="0"/>
    <x v="0"/>
    <m/>
    <m/>
    <m/>
  </r>
  <r>
    <s v="60.02"/>
    <x v="36"/>
    <x v="68"/>
    <s v="Списание с расчетного счета 00БП-000708 от 11.03.2026 17:50:04"/>
    <s v="11.03.26"/>
    <n v="2644691.5"/>
    <m/>
    <m/>
    <d v="2026-03-11T00:00:00"/>
    <n v="5"/>
    <x v="2"/>
    <x v="12"/>
    <x v="0"/>
    <x v="0"/>
    <m/>
    <m/>
    <m/>
  </r>
  <r>
    <s v="60.02"/>
    <x v="36"/>
    <x v="69"/>
    <s v="Списание с расчетного счета 00БП-000216 от 03.02.2026 14:13:48"/>
    <s v="03.02.26"/>
    <n v="367360"/>
    <m/>
    <m/>
    <d v="2026-02-03T00:00:00"/>
    <n v="41"/>
    <x v="1"/>
    <x v="12"/>
    <x v="0"/>
    <x v="0"/>
    <m/>
    <m/>
    <m/>
  </r>
  <r>
    <s v="60.02"/>
    <x v="36"/>
    <x v="70"/>
    <s v="Списание с расчетного счета 00БП-000217 от 03.02.2026 14:13:49"/>
    <s v="03.02.26"/>
    <n v="1550000"/>
    <m/>
    <m/>
    <d v="2026-02-03T00:00:00"/>
    <n v="41"/>
    <x v="1"/>
    <x v="12"/>
    <x v="0"/>
    <x v="0"/>
    <m/>
    <m/>
    <m/>
  </r>
  <r>
    <s v="60.02"/>
    <x v="36"/>
    <x v="71"/>
    <s v="Списание с расчетного счета 00БП-000409 от 18.02.2026 12:00:11"/>
    <s v="18.02.26"/>
    <n v="6099500"/>
    <m/>
    <m/>
    <d v="2026-02-18T00:00:00"/>
    <n v="26"/>
    <x v="2"/>
    <x v="12"/>
    <x v="0"/>
    <x v="0"/>
    <m/>
    <m/>
    <m/>
  </r>
  <r>
    <s v="60.02"/>
    <x v="36"/>
    <x v="72"/>
    <s v="Списание с расчетного счета 00БП-000408 от 18.02.2026 12:00:10"/>
    <s v="18.02.26"/>
    <n v="3431200"/>
    <m/>
    <m/>
    <d v="2026-02-18T00:00:00"/>
    <n v="26"/>
    <x v="2"/>
    <x v="12"/>
    <x v="0"/>
    <x v="0"/>
    <m/>
    <m/>
    <m/>
  </r>
  <r>
    <s v="60.02"/>
    <x v="37"/>
    <x v="73"/>
    <s v="Списание с расчетного счета 00БП-000032 от 15.01.2026 14:52:57"/>
    <s v="15.01.26"/>
    <n v="130500"/>
    <m/>
    <m/>
    <d v="2026-01-15T00:00:00"/>
    <n v="60"/>
    <x v="1"/>
    <x v="12"/>
    <x v="0"/>
    <x v="0"/>
    <m/>
    <m/>
    <m/>
  </r>
  <r>
    <s v="60.02"/>
    <x v="38"/>
    <x v="74"/>
    <s v="Списание с расчетного счета 00БП-000348 от 13.02.2026 17:04:17"/>
    <s v="13.02.26"/>
    <n v="382630.8"/>
    <m/>
    <m/>
    <d v="2026-02-13T00:00:00"/>
    <n v="31"/>
    <x v="1"/>
    <x v="12"/>
    <x v="0"/>
    <x v="0"/>
    <m/>
    <m/>
    <m/>
  </r>
  <r>
    <s v="60.02"/>
    <x v="38"/>
    <x v="75"/>
    <s v="Списание с расчетного счета 00БП-003987 от 19.06.2025 19:28:50"/>
    <s v="19.06.25"/>
    <n v="682568"/>
    <m/>
    <m/>
    <d v="2025-06-19T00:00:00"/>
    <n v="270"/>
    <x v="3"/>
    <x v="12"/>
    <x v="0"/>
    <x v="0"/>
    <m/>
    <m/>
    <m/>
  </r>
  <r>
    <s v="60.02"/>
    <x v="38"/>
    <x v="77"/>
    <s v="Списание с расчетного счета 00БП-000322 от 12.02.2026 15:36:53"/>
    <s v="12.02.26"/>
    <n v="275291.09999999998"/>
    <m/>
    <m/>
    <d v="2026-02-12T00:00:00"/>
    <n v="32"/>
    <x v="1"/>
    <x v="12"/>
    <x v="0"/>
    <x v="0"/>
    <m/>
    <m/>
    <m/>
  </r>
  <r>
    <s v="60.02"/>
    <x v="38"/>
    <x v="78"/>
    <s v="Списание с расчетного счета 00БП-001887 от 16.04.2024 20:42:34"/>
    <s v="16.04.24"/>
    <n v="600"/>
    <m/>
    <m/>
    <d v="2024-04-16T00:00:00"/>
    <n v="699"/>
    <x v="5"/>
    <x v="12"/>
    <x v="0"/>
    <x v="0"/>
    <m/>
    <m/>
    <m/>
  </r>
  <r>
    <s v="60.02"/>
    <x v="38"/>
    <x v="80"/>
    <s v="Списание с расчетного счета 00БП-000423 от 28.02.2025 23:59:59"/>
    <s v="28.02.25"/>
    <n v="29963"/>
    <m/>
    <m/>
    <d v="2025-02-28T00:00:00"/>
    <n v="381"/>
    <x v="5"/>
    <x v="12"/>
    <x v="0"/>
    <x v="2"/>
    <m/>
    <m/>
    <m/>
  </r>
  <r>
    <s v="60.02"/>
    <x v="450"/>
    <x v="1384"/>
    <s v="Списание с расчетного счета 00БП-000641 от 06.03.2026 18:53:50"/>
    <s v="06.03.26"/>
    <n v="100596"/>
    <m/>
    <m/>
    <d v="2026-03-06T00:00:00"/>
    <n v="10"/>
    <x v="2"/>
    <x v="12"/>
    <x v="0"/>
    <x v="0"/>
    <m/>
    <m/>
    <m/>
  </r>
  <r>
    <s v="60.02"/>
    <x v="450"/>
    <x v="1385"/>
    <s v="Списание с расчетного счета 00БП-000573 от 03.03.2026 17:44:25"/>
    <s v="03.03.26"/>
    <n v="16332.77"/>
    <m/>
    <m/>
    <d v="2026-03-03T00:00:00"/>
    <n v="13"/>
    <x v="2"/>
    <x v="12"/>
    <x v="0"/>
    <x v="0"/>
    <m/>
    <m/>
    <m/>
  </r>
  <r>
    <s v="60.02"/>
    <x v="450"/>
    <x v="1386"/>
    <s v="Списание с расчетного счета 00БП-000610 от 04.03.2026 19:04:51"/>
    <s v="04.03.26"/>
    <n v="5340884.67"/>
    <m/>
    <m/>
    <d v="2026-03-04T00:00:00"/>
    <n v="12"/>
    <x v="2"/>
    <x v="12"/>
    <x v="0"/>
    <x v="0"/>
    <m/>
    <m/>
    <m/>
  </r>
  <r>
    <s v="60.02"/>
    <x v="39"/>
    <x v="82"/>
    <s v="Списание с расчетного счета 00БП-008971 от 27.11.2025 18:25:59"/>
    <s v="27.11.25"/>
    <n v="132000"/>
    <m/>
    <m/>
    <d v="2025-11-27T00:00:00"/>
    <n v="109"/>
    <x v="4"/>
    <x v="12"/>
    <x v="0"/>
    <x v="0"/>
    <m/>
    <m/>
    <m/>
  </r>
  <r>
    <s v="60.02"/>
    <x v="40"/>
    <x v="83"/>
    <s v="Списание с расчетного счета 00БП-003308 от 06.06.2024 23:59:59"/>
    <s v="06.06.24"/>
    <n v="3959"/>
    <m/>
    <m/>
    <d v="2024-06-06T00:00:00"/>
    <n v="648"/>
    <x v="5"/>
    <x v="12"/>
    <x v="0"/>
    <x v="9"/>
    <m/>
    <m/>
    <m/>
  </r>
  <r>
    <s v="60.02"/>
    <x v="40"/>
    <x v="84"/>
    <s v="Списание с расчетного счета 00БП-000265 от 06.02.2026 12:00:02"/>
    <s v="06.02.26"/>
    <n v="54211"/>
    <m/>
    <m/>
    <d v="2026-02-06T00:00:00"/>
    <n v="38"/>
    <x v="1"/>
    <x v="12"/>
    <x v="0"/>
    <x v="0"/>
    <m/>
    <m/>
    <m/>
  </r>
  <r>
    <s v="60.02"/>
    <x v="40"/>
    <x v="85"/>
    <s v="Списание с расчетного счета 00БП-009340 от 29.12.2025 17:48:55"/>
    <s v="29.12.25"/>
    <n v="53477"/>
    <m/>
    <m/>
    <d v="2025-12-29T00:00:00"/>
    <n v="77"/>
    <x v="1"/>
    <x v="12"/>
    <x v="0"/>
    <x v="0"/>
    <m/>
    <m/>
    <m/>
  </r>
  <r>
    <s v="60.02"/>
    <x v="40"/>
    <x v="86"/>
    <s v="Списание с расчетного счета 00БП-008817 от 19.11.2025 18:04:59"/>
    <s v="19.11.25"/>
    <n v="1875"/>
    <m/>
    <m/>
    <d v="2025-11-19T00:00:00"/>
    <n v="117"/>
    <x v="4"/>
    <x v="12"/>
    <x v="0"/>
    <x v="0"/>
    <m/>
    <m/>
    <m/>
  </r>
  <r>
    <s v="60.02"/>
    <x v="40"/>
    <x v="87"/>
    <s v="Списание с расчетного счета 00БП-008955 от 27.11.2025 18:25:43"/>
    <s v="27.11.25"/>
    <n v="13926"/>
    <m/>
    <m/>
    <d v="2025-11-27T00:00:00"/>
    <n v="109"/>
    <x v="4"/>
    <x v="12"/>
    <x v="0"/>
    <x v="0"/>
    <m/>
    <m/>
    <m/>
  </r>
  <r>
    <s v="60.02"/>
    <x v="40"/>
    <x v="88"/>
    <s v="Списание с расчетного счета 00БП-008055 от 30.10.2025 20:00:11"/>
    <s v="30.10.25"/>
    <n v="98480"/>
    <m/>
    <m/>
    <d v="2025-10-30T00:00:00"/>
    <n v="137"/>
    <x v="0"/>
    <x v="12"/>
    <x v="0"/>
    <x v="0"/>
    <m/>
    <m/>
    <m/>
  </r>
  <r>
    <s v="60.02"/>
    <x v="40"/>
    <x v="89"/>
    <s v="Списание с расчетного счета 00БП-005955 от 22.08.2025 17:42:38"/>
    <s v="22.08.25"/>
    <n v="39046"/>
    <m/>
    <m/>
    <d v="2025-08-22T00:00:00"/>
    <n v="206"/>
    <x v="3"/>
    <x v="12"/>
    <x v="0"/>
    <x v="0"/>
    <m/>
    <m/>
    <m/>
  </r>
  <r>
    <s v="60.02"/>
    <x v="40"/>
    <x v="90"/>
    <s v="Списание с расчетного счета 00БП-004471 от 07.07.2025 17:53:43"/>
    <s v="07.07.25"/>
    <n v="780"/>
    <m/>
    <m/>
    <d v="2025-07-07T00:00:00"/>
    <n v="252"/>
    <x v="3"/>
    <x v="12"/>
    <x v="0"/>
    <x v="0"/>
    <m/>
    <m/>
    <m/>
  </r>
  <r>
    <s v="60.02"/>
    <x v="40"/>
    <x v="91"/>
    <s v="Списание с расчетного счета 00БП-005515 от 11.08.2025 17:47:00"/>
    <s v="11.08.25"/>
    <n v="2154"/>
    <m/>
    <m/>
    <d v="2025-08-11T00:00:00"/>
    <n v="217"/>
    <x v="3"/>
    <x v="12"/>
    <x v="0"/>
    <x v="0"/>
    <m/>
    <m/>
    <m/>
  </r>
  <r>
    <s v="60.02"/>
    <x v="40"/>
    <x v="92"/>
    <s v="Списание с расчетного счета 00БП-008818 от 19.11.2025 18:05:00"/>
    <s v="19.11.25"/>
    <n v="1948"/>
    <m/>
    <m/>
    <d v="2025-11-19T00:00:00"/>
    <n v="117"/>
    <x v="4"/>
    <x v="12"/>
    <x v="0"/>
    <x v="0"/>
    <m/>
    <m/>
    <m/>
  </r>
  <r>
    <s v="60.02"/>
    <x v="40"/>
    <x v="93"/>
    <s v="Списание с расчетного счета 00БП-007383 от 09.10.2025 16:57:30"/>
    <s v="09.10.25"/>
    <n v="3247"/>
    <m/>
    <m/>
    <d v="2025-10-09T00:00:00"/>
    <n v="158"/>
    <x v="0"/>
    <x v="12"/>
    <x v="0"/>
    <x v="0"/>
    <m/>
    <m/>
    <m/>
  </r>
  <r>
    <s v="60.02"/>
    <x v="40"/>
    <x v="94"/>
    <s v="Списание с расчетного счета 00БП-007398 от 09.10.2025 16:57:45"/>
    <s v="09.10.25"/>
    <n v="12093"/>
    <m/>
    <m/>
    <d v="2025-10-09T00:00:00"/>
    <n v="158"/>
    <x v="0"/>
    <x v="12"/>
    <x v="0"/>
    <x v="0"/>
    <m/>
    <m/>
    <m/>
  </r>
  <r>
    <s v="60.02"/>
    <x v="40"/>
    <x v="95"/>
    <s v="Списание с расчетного счета 00БП-007275 от 03.10.2025 17:50:40"/>
    <s v="03.10.25"/>
    <n v="3413"/>
    <m/>
    <m/>
    <d v="2025-10-03T00:00:00"/>
    <n v="164"/>
    <x v="0"/>
    <x v="12"/>
    <x v="0"/>
    <x v="0"/>
    <m/>
    <m/>
    <m/>
  </r>
  <r>
    <s v="60.02"/>
    <x v="40"/>
    <x v="97"/>
    <s v="Списание с расчетного счета 00БП-009261 от 24.12.2025 11:37:12"/>
    <s v="24.12.25"/>
    <n v="930"/>
    <m/>
    <m/>
    <d v="2025-12-24T00:00:00"/>
    <n v="82"/>
    <x v="1"/>
    <x v="12"/>
    <x v="0"/>
    <x v="0"/>
    <m/>
    <m/>
    <m/>
  </r>
  <r>
    <s v="60.02"/>
    <x v="40"/>
    <x v="98"/>
    <s v="Списание с расчетного счета 00БП-009260 от 24.12.2025 11:37:11"/>
    <s v="24.12.25"/>
    <n v="930"/>
    <m/>
    <m/>
    <d v="2025-12-24T00:00:00"/>
    <n v="82"/>
    <x v="1"/>
    <x v="12"/>
    <x v="0"/>
    <x v="0"/>
    <m/>
    <m/>
    <m/>
  </r>
  <r>
    <s v="60.02"/>
    <x v="40"/>
    <x v="99"/>
    <s v="Списание с расчетного счета 00БП-005289 от 29.07.2025 20:44:17"/>
    <s v="29.07.25"/>
    <n v="1140"/>
    <m/>
    <m/>
    <d v="2025-07-29T00:00:00"/>
    <n v="230"/>
    <x v="3"/>
    <x v="12"/>
    <x v="0"/>
    <x v="0"/>
    <m/>
    <m/>
    <m/>
  </r>
  <r>
    <s v="60.02"/>
    <x v="40"/>
    <x v="100"/>
    <s v="Списание с расчетного счета 00БП-008035 от 29.10.2025 17:11:11"/>
    <s v="29.10.25"/>
    <n v="14870"/>
    <m/>
    <m/>
    <d v="2025-10-29T00:00:00"/>
    <n v="138"/>
    <x v="0"/>
    <x v="12"/>
    <x v="0"/>
    <x v="0"/>
    <m/>
    <m/>
    <m/>
  </r>
  <r>
    <s v="60.02"/>
    <x v="40"/>
    <x v="101"/>
    <s v="Списание с расчетного счета 00БП-006819 от 19.09.2025 17:32:15"/>
    <s v="19.09.25"/>
    <n v="1310"/>
    <m/>
    <m/>
    <d v="2025-09-19T00:00:00"/>
    <n v="178"/>
    <x v="0"/>
    <x v="12"/>
    <x v="0"/>
    <x v="0"/>
    <m/>
    <m/>
    <m/>
  </r>
  <r>
    <s v="60.02"/>
    <x v="40"/>
    <x v="102"/>
    <s v="Списание с расчетного счета 00БП-007404 от 09.10.2025 16:57:51"/>
    <s v="09.10.25"/>
    <n v="21872"/>
    <m/>
    <m/>
    <d v="2025-10-09T00:00:00"/>
    <n v="158"/>
    <x v="0"/>
    <x v="12"/>
    <x v="0"/>
    <x v="0"/>
    <m/>
    <m/>
    <m/>
  </r>
  <r>
    <s v="60.02"/>
    <x v="40"/>
    <x v="103"/>
    <s v="Списание с расчетного счета 00БП-000232 от 04.02.2026 16:35:11"/>
    <s v="04.02.26"/>
    <n v="4221"/>
    <m/>
    <m/>
    <d v="2026-02-04T00:00:00"/>
    <n v="40"/>
    <x v="1"/>
    <x v="12"/>
    <x v="0"/>
    <x v="0"/>
    <m/>
    <m/>
    <m/>
  </r>
  <r>
    <s v="60.02"/>
    <x v="40"/>
    <x v="104"/>
    <s v="Списание с расчетного счета 00БП-007912 от 27.10.2025 18:43:11"/>
    <s v="27.10.25"/>
    <n v="2373"/>
    <m/>
    <m/>
    <d v="2025-10-27T00:00:00"/>
    <n v="140"/>
    <x v="0"/>
    <x v="12"/>
    <x v="0"/>
    <x v="0"/>
    <m/>
    <m/>
    <m/>
  </r>
  <r>
    <s v="60.02"/>
    <x v="40"/>
    <x v="105"/>
    <s v="Списание с расчетного счета 00БП-009262 от 24.12.2025 11:37:13"/>
    <s v="24.12.25"/>
    <n v="943"/>
    <m/>
    <m/>
    <d v="2025-12-24T00:00:00"/>
    <n v="82"/>
    <x v="1"/>
    <x v="12"/>
    <x v="0"/>
    <x v="0"/>
    <m/>
    <m/>
    <m/>
  </r>
  <r>
    <s v="60.02"/>
    <x v="40"/>
    <x v="106"/>
    <s v="Списание с расчетного счета 00БП-007379 от 09.10.2025 16:57:26"/>
    <s v="09.10.25"/>
    <n v="279"/>
    <m/>
    <m/>
    <d v="2025-10-09T00:00:00"/>
    <n v="158"/>
    <x v="0"/>
    <x v="12"/>
    <x v="0"/>
    <x v="0"/>
    <m/>
    <m/>
    <m/>
  </r>
  <r>
    <s v="60.02"/>
    <x v="40"/>
    <x v="1387"/>
    <s v="Списание с расчетного счета 00БП-000789 от 13.03.2026 17:53:57"/>
    <s v="13.03.26"/>
    <n v="4768"/>
    <m/>
    <m/>
    <d v="2026-03-13T00:00:00"/>
    <n v="3"/>
    <x v="2"/>
    <x v="12"/>
    <x v="0"/>
    <x v="0"/>
    <m/>
    <m/>
    <m/>
  </r>
  <r>
    <s v="60.02"/>
    <x v="40"/>
    <x v="1388"/>
    <s v="Списание с расчетного счета 00БП-000748 от 12.03.2026 17:24:04"/>
    <s v="12.03.26"/>
    <n v="3278"/>
    <m/>
    <m/>
    <d v="2026-03-12T00:00:00"/>
    <n v="4"/>
    <x v="2"/>
    <x v="12"/>
    <x v="0"/>
    <x v="0"/>
    <m/>
    <m/>
    <m/>
  </r>
  <r>
    <s v="60.02"/>
    <x v="40"/>
    <x v="107"/>
    <s v="Списание с расчетного счета 00БП-000250 от 05.02.2026 22:16:09"/>
    <s v="05.02.26"/>
    <n v="13750"/>
    <m/>
    <m/>
    <d v="2026-02-05T00:00:00"/>
    <n v="39"/>
    <x v="1"/>
    <x v="12"/>
    <x v="0"/>
    <x v="0"/>
    <m/>
    <m/>
    <m/>
  </r>
  <r>
    <s v="60.02"/>
    <x v="40"/>
    <x v="108"/>
    <s v="Списание с расчетного счета 00БП-000425 от 20.02.2026 17:20:33"/>
    <s v="20.02.26"/>
    <n v="107310"/>
    <m/>
    <m/>
    <d v="2026-02-20T00:00:00"/>
    <n v="24"/>
    <x v="2"/>
    <x v="12"/>
    <x v="0"/>
    <x v="0"/>
    <m/>
    <m/>
    <m/>
  </r>
  <r>
    <s v="60.02"/>
    <x v="40"/>
    <x v="1389"/>
    <s v="Списание с расчетного счета 00БП-000655 от 10.03.2026 18:20:32"/>
    <s v="10.03.26"/>
    <n v="18947"/>
    <m/>
    <m/>
    <d v="2026-03-10T00:00:00"/>
    <n v="6"/>
    <x v="2"/>
    <x v="12"/>
    <x v="0"/>
    <x v="0"/>
    <m/>
    <m/>
    <m/>
  </r>
  <r>
    <s v="60.02"/>
    <x v="40"/>
    <x v="1390"/>
    <s v="Списание с расчетного счета 00БП-000687 от 11.03.2026 17:49:43"/>
    <s v="11.03.26"/>
    <n v="4629"/>
    <m/>
    <m/>
    <d v="2026-03-11T00:00:00"/>
    <n v="5"/>
    <x v="2"/>
    <x v="12"/>
    <x v="0"/>
    <x v="0"/>
    <m/>
    <m/>
    <m/>
  </r>
  <r>
    <s v="60.02"/>
    <x v="40"/>
    <x v="1391"/>
    <s v="Списание с расчетного счета 00БП-000657 от 10.03.2026 18:20:34"/>
    <s v="10.03.26"/>
    <n v="98499"/>
    <m/>
    <m/>
    <d v="2026-03-10T00:00:00"/>
    <n v="6"/>
    <x v="2"/>
    <x v="12"/>
    <x v="0"/>
    <x v="0"/>
    <m/>
    <m/>
    <m/>
  </r>
  <r>
    <s v="60.02"/>
    <x v="40"/>
    <x v="1392"/>
    <s v="Списание с расчетного счета 00БП-000757 от 12.03.2026 17:24:13"/>
    <s v="12.03.26"/>
    <n v="16259"/>
    <m/>
    <m/>
    <d v="2026-03-12T00:00:00"/>
    <n v="4"/>
    <x v="2"/>
    <x v="12"/>
    <x v="0"/>
    <x v="0"/>
    <m/>
    <m/>
    <m/>
  </r>
  <r>
    <s v="60.02"/>
    <x v="40"/>
    <x v="1393"/>
    <s v="Списание с расчетного счета 00БП-000685 от 11.03.2026 17:49:41"/>
    <s v="11.03.26"/>
    <n v="2758"/>
    <m/>
    <m/>
    <d v="2026-03-11T00:00:00"/>
    <n v="5"/>
    <x v="2"/>
    <x v="12"/>
    <x v="0"/>
    <x v="0"/>
    <m/>
    <m/>
    <m/>
  </r>
  <r>
    <s v="60.02"/>
    <x v="40"/>
    <x v="1394"/>
    <s v="Списание с расчетного счета 00БП-000790 от 13.03.2026 17:53:58"/>
    <s v="13.03.26"/>
    <n v="6407"/>
    <m/>
    <m/>
    <d v="2026-03-13T00:00:00"/>
    <n v="3"/>
    <x v="2"/>
    <x v="12"/>
    <x v="0"/>
    <x v="0"/>
    <m/>
    <m/>
    <m/>
  </r>
  <r>
    <s v="60.02"/>
    <x v="40"/>
    <x v="109"/>
    <s v="Списание с расчетного счета 00БП-000274 от 09.02.2026 16:00:02"/>
    <s v="09.02.26"/>
    <n v="11763"/>
    <m/>
    <m/>
    <d v="2026-02-09T00:00:00"/>
    <n v="35"/>
    <x v="1"/>
    <x v="12"/>
    <x v="0"/>
    <x v="0"/>
    <m/>
    <m/>
    <m/>
  </r>
  <r>
    <s v="60.02"/>
    <x v="40"/>
    <x v="110"/>
    <s v="Списание с расчетного счета 00БП-000467 от 25.02.2026 17:39:30"/>
    <s v="25.02.26"/>
    <n v="14331"/>
    <m/>
    <m/>
    <d v="2026-02-25T00:00:00"/>
    <n v="19"/>
    <x v="2"/>
    <x v="12"/>
    <x v="0"/>
    <x v="0"/>
    <m/>
    <m/>
    <m/>
  </r>
  <r>
    <s v="60.02"/>
    <x v="40"/>
    <x v="1395"/>
    <s v="Списание с расчетного счета 00БП-000788 от 13.03.2026 17:53:56"/>
    <s v="13.03.26"/>
    <n v="2051"/>
    <m/>
    <m/>
    <d v="2026-03-13T00:00:00"/>
    <n v="3"/>
    <x v="2"/>
    <x v="12"/>
    <x v="0"/>
    <x v="0"/>
    <m/>
    <m/>
    <m/>
  </r>
  <r>
    <s v="60.02"/>
    <x v="40"/>
    <x v="111"/>
    <s v="Списание с расчетного счета 00БП-000346 от 13.02.2026 17:04:15"/>
    <s v="13.02.26"/>
    <n v="47892"/>
    <m/>
    <m/>
    <d v="2026-02-13T00:00:00"/>
    <n v="31"/>
    <x v="1"/>
    <x v="12"/>
    <x v="0"/>
    <x v="0"/>
    <m/>
    <m/>
    <m/>
  </r>
  <r>
    <s v="60.02"/>
    <x v="40"/>
    <x v="112"/>
    <s v="Списание с расчетного счета 00БП-000147 от 28.01.2026 12:00:03"/>
    <s v="28.01.26"/>
    <n v="105441"/>
    <m/>
    <m/>
    <d v="2026-01-28T00:00:00"/>
    <n v="47"/>
    <x v="1"/>
    <x v="12"/>
    <x v="0"/>
    <x v="0"/>
    <m/>
    <m/>
    <m/>
  </r>
  <r>
    <s v="60.02"/>
    <x v="40"/>
    <x v="113"/>
    <s v="Списание с расчетного счета 00БП-000233 от 04.02.2026 16:35:12"/>
    <s v="04.02.26"/>
    <n v="86425"/>
    <m/>
    <m/>
    <d v="2026-02-04T00:00:00"/>
    <n v="40"/>
    <x v="1"/>
    <x v="12"/>
    <x v="0"/>
    <x v="0"/>
    <m/>
    <m/>
    <m/>
  </r>
  <r>
    <s v="60.02"/>
    <x v="40"/>
    <x v="1396"/>
    <s v="Списание с расчетного счета 00БП-000576 от 03.03.2026 17:44:28"/>
    <s v="03.03.26"/>
    <n v="33625"/>
    <m/>
    <m/>
    <d v="2026-03-03T00:00:00"/>
    <n v="13"/>
    <x v="2"/>
    <x v="12"/>
    <x v="0"/>
    <x v="0"/>
    <m/>
    <m/>
    <m/>
  </r>
  <r>
    <s v="60.02"/>
    <x v="40"/>
    <x v="114"/>
    <s v="Списание с расчетного счета 00БП-000021 от 14.01.2026 16:45:14"/>
    <s v="14.01.26"/>
    <n v="33606"/>
    <m/>
    <m/>
    <d v="2026-01-14T00:00:00"/>
    <n v="61"/>
    <x v="1"/>
    <x v="12"/>
    <x v="0"/>
    <x v="0"/>
    <m/>
    <m/>
    <m/>
  </r>
  <r>
    <s v="60.02"/>
    <x v="40"/>
    <x v="115"/>
    <s v="Списание с расчетного счета 00БП-000041 от 15.01.2026 14:53:08"/>
    <s v="15.01.26"/>
    <n v="1331"/>
    <m/>
    <m/>
    <d v="2026-01-15T00:00:00"/>
    <n v="60"/>
    <x v="1"/>
    <x v="12"/>
    <x v="0"/>
    <x v="0"/>
    <m/>
    <m/>
    <m/>
  </r>
  <r>
    <s v="60.02"/>
    <x v="40"/>
    <x v="1397"/>
    <s v="Списание с расчетного счета 00БП-000686 от 11.03.2026 17:49:42"/>
    <s v="11.03.26"/>
    <n v="3178"/>
    <m/>
    <m/>
    <d v="2026-03-11T00:00:00"/>
    <n v="5"/>
    <x v="2"/>
    <x v="12"/>
    <x v="0"/>
    <x v="0"/>
    <m/>
    <m/>
    <m/>
  </r>
  <r>
    <s v="60.02"/>
    <x v="42"/>
    <x v="117"/>
    <s v="Списание с расчетного счета 00БП-000468 от 25.02.2026 17:39:31"/>
    <s v="25.02.26"/>
    <n v="29997"/>
    <m/>
    <m/>
    <d v="2026-02-25T00:00:00"/>
    <n v="19"/>
    <x v="2"/>
    <x v="12"/>
    <x v="0"/>
    <x v="0"/>
    <m/>
    <m/>
    <m/>
  </r>
  <r>
    <s v="60.02"/>
    <x v="44"/>
    <x v="119"/>
    <s v="Списание с расчетного счета 00БП-007851 от 22.10.2025 18:47:36"/>
    <s v="22.10.25"/>
    <n v="97121"/>
    <m/>
    <m/>
    <d v="2025-10-22T00:00:00"/>
    <n v="145"/>
    <x v="0"/>
    <x v="12"/>
    <x v="0"/>
    <x v="0"/>
    <m/>
    <m/>
    <m/>
  </r>
  <r>
    <s v="60.02"/>
    <x v="45"/>
    <x v="120"/>
    <s v="Списание с расчетного счета 00БП-000353 от 13.02.2026 17:04:22"/>
    <s v="13.02.26"/>
    <n v="1220000"/>
    <m/>
    <m/>
    <d v="2026-02-13T00:00:00"/>
    <n v="31"/>
    <x v="1"/>
    <x v="12"/>
    <x v="0"/>
    <x v="0"/>
    <m/>
    <m/>
    <m/>
  </r>
  <r>
    <s v="60.02"/>
    <x v="46"/>
    <x v="121"/>
    <s v="Списание с расчетного счета 00БП-000426 от 20.02.2026 17:20:34"/>
    <s v="20.02.26"/>
    <n v="1974844.5"/>
    <m/>
    <m/>
    <d v="2026-02-20T00:00:00"/>
    <n v="24"/>
    <x v="2"/>
    <x v="12"/>
    <x v="0"/>
    <x v="0"/>
    <m/>
    <m/>
    <m/>
  </r>
  <r>
    <s v="60.02"/>
    <x v="47"/>
    <x v="122"/>
    <s v="Списание с расчетного счета 00БП-000501 от 26.02.2026 17:17:31"/>
    <s v="26.02.26"/>
    <n v="555424"/>
    <m/>
    <m/>
    <d v="2026-02-26T00:00:00"/>
    <n v="18"/>
    <x v="2"/>
    <x v="12"/>
    <x v="0"/>
    <x v="0"/>
    <m/>
    <m/>
    <m/>
  </r>
  <r>
    <s v="60.02"/>
    <x v="273"/>
    <x v="1398"/>
    <s v="Списание с расчетного счета 00БП-000696 от 11.03.2026 17:49:52"/>
    <s v="11.03.26"/>
    <n v="70233"/>
    <m/>
    <m/>
    <d v="2026-03-11T00:00:00"/>
    <n v="5"/>
    <x v="2"/>
    <x v="12"/>
    <x v="0"/>
    <x v="0"/>
    <m/>
    <m/>
    <m/>
  </r>
  <r>
    <s v="60.02"/>
    <x v="48"/>
    <x v="123"/>
    <s v="Корректировка долга 00БП-000112 от 31.07.2022 13:59:59"/>
    <s v="31.07.22"/>
    <n v="6881.46"/>
    <m/>
    <m/>
    <d v="2022-07-31T00:00:00"/>
    <n v="1324"/>
    <x v="5"/>
    <x v="12"/>
    <x v="0"/>
    <x v="2"/>
    <m/>
    <m/>
    <m/>
  </r>
  <r>
    <s v="60.02"/>
    <x v="48"/>
    <x v="124"/>
    <s v="Списание с расчетного счета 00БП-009245 от 19.12.2025 12:51:13"/>
    <s v="19.12.25"/>
    <n v="6883200"/>
    <m/>
    <m/>
    <d v="2025-12-19T00:00:00"/>
    <n v="87"/>
    <x v="1"/>
    <x v="12"/>
    <x v="0"/>
    <x v="0"/>
    <m/>
    <m/>
    <m/>
  </r>
  <r>
    <s v="60.02"/>
    <x v="49"/>
    <x v="125"/>
    <s v="Списание с расчетного счета 00БП-000471 от 25.02.2026 17:39:34"/>
    <s v="25.02.26"/>
    <n v="153376"/>
    <m/>
    <m/>
    <d v="2026-02-25T00:00:00"/>
    <n v="19"/>
    <x v="2"/>
    <x v="12"/>
    <x v="0"/>
    <x v="0"/>
    <m/>
    <m/>
    <m/>
  </r>
  <r>
    <s v="60.02"/>
    <x v="50"/>
    <x v="126"/>
    <s v="Списание с расчетного счета 00БП-004119 от 25.06.2025 20:39:20"/>
    <s v="25.06.25"/>
    <n v="0.04"/>
    <m/>
    <m/>
    <d v="2025-06-25T00:00:00"/>
    <n v="264"/>
    <x v="3"/>
    <x v="12"/>
    <x v="0"/>
    <x v="0"/>
    <m/>
    <m/>
    <m/>
  </r>
  <r>
    <s v="60.02"/>
    <x v="50"/>
    <x v="1399"/>
    <s v="Списание с расчетного счета 00БП-000591 от 03.03.2026 17:44:43"/>
    <s v="03.03.26"/>
    <n v="6529317"/>
    <m/>
    <m/>
    <d v="2026-03-03T00:00:00"/>
    <n v="13"/>
    <x v="2"/>
    <x v="12"/>
    <x v="0"/>
    <x v="0"/>
    <m/>
    <m/>
    <m/>
  </r>
  <r>
    <s v="60.02"/>
    <x v="51"/>
    <x v="127"/>
    <s v="Списание с расчетного счета 00БП-005812 от 14.08.2025 18:36:40"/>
    <s v="14.08.25"/>
    <n v="5478"/>
    <m/>
    <m/>
    <d v="2025-08-14T00:00:00"/>
    <n v="214"/>
    <x v="3"/>
    <x v="12"/>
    <x v="0"/>
    <x v="0"/>
    <m/>
    <m/>
    <m/>
  </r>
  <r>
    <s v="60.02"/>
    <x v="51"/>
    <x v="128"/>
    <s v="Списание с расчетного счета 00БП-008347 от 11.11.2025 18:13:26"/>
    <s v="11.11.25"/>
    <n v="11518"/>
    <m/>
    <m/>
    <d v="2025-11-11T00:00:00"/>
    <n v="125"/>
    <x v="0"/>
    <x v="12"/>
    <x v="0"/>
    <x v="0"/>
    <m/>
    <m/>
    <m/>
  </r>
  <r>
    <s v="60.02"/>
    <x v="52"/>
    <x v="130"/>
    <s v="Списание с расчетного счета 00БП-004118 от 25.06.2025 20:39:19"/>
    <s v="25.06.25"/>
    <n v="52500"/>
    <m/>
    <m/>
    <d v="2025-06-25T00:00:00"/>
    <n v="264"/>
    <x v="3"/>
    <x v="12"/>
    <x v="0"/>
    <x v="0"/>
    <m/>
    <m/>
    <m/>
  </r>
  <r>
    <s v="60.02"/>
    <x v="52"/>
    <x v="130"/>
    <s v="Списание с расчетного счета 00БП-006164 от 28.08.2025 19:12:06"/>
    <s v="28.08.25"/>
    <n v="297500"/>
    <m/>
    <m/>
    <d v="2025-08-28T00:00:00"/>
    <n v="200"/>
    <x v="3"/>
    <x v="12"/>
    <x v="0"/>
    <x v="0"/>
    <m/>
    <m/>
    <m/>
  </r>
  <r>
    <s v="60.02"/>
    <x v="52"/>
    <x v="131"/>
    <s v="Списание с расчетного счета 00БП-000497 от 26.02.2026 17:17:27"/>
    <s v="26.02.26"/>
    <n v="55050"/>
    <m/>
    <m/>
    <d v="2026-02-26T00:00:00"/>
    <n v="18"/>
    <x v="2"/>
    <x v="12"/>
    <x v="0"/>
    <x v="0"/>
    <m/>
    <m/>
    <m/>
  </r>
  <r>
    <s v="60.02"/>
    <x v="52"/>
    <x v="132"/>
    <s v="Списание с расчетного счета 00БП-000494 от 26.02.2026 17:17:24"/>
    <s v="26.02.26"/>
    <n v="22050"/>
    <m/>
    <m/>
    <d v="2026-02-26T00:00:00"/>
    <n v="18"/>
    <x v="2"/>
    <x v="12"/>
    <x v="0"/>
    <x v="0"/>
    <m/>
    <m/>
    <m/>
  </r>
  <r>
    <s v="60.02"/>
    <x v="53"/>
    <x v="133"/>
    <s v="Списание с расчетного счета 00БП-000360 от 13.02.2026 17:04:29"/>
    <s v="13.02.26"/>
    <n v="3156390"/>
    <m/>
    <m/>
    <d v="2026-02-13T00:00:00"/>
    <n v="31"/>
    <x v="1"/>
    <x v="12"/>
    <x v="0"/>
    <x v="0"/>
    <m/>
    <m/>
    <m/>
  </r>
  <r>
    <s v="60.02"/>
    <x v="53"/>
    <x v="134"/>
    <s v="Списание с расчетного счета 00БП-008361 от 11.11.2025 18:13:40"/>
    <s v="11.11.25"/>
    <n v="40216000"/>
    <m/>
    <m/>
    <d v="2025-11-11T00:00:00"/>
    <n v="125"/>
    <x v="0"/>
    <x v="12"/>
    <x v="0"/>
    <x v="0"/>
    <m/>
    <m/>
    <m/>
  </r>
  <r>
    <s v="60.02"/>
    <x v="53"/>
    <x v="134"/>
    <s v="Списание с расчетного счета 00БП-000202 от 02.02.2026 17:15:27"/>
    <s v="02.02.26"/>
    <n v="40216000"/>
    <m/>
    <m/>
    <d v="2026-02-02T00:00:00"/>
    <n v="42"/>
    <x v="1"/>
    <x v="12"/>
    <x v="0"/>
    <x v="0"/>
    <m/>
    <m/>
    <m/>
  </r>
  <r>
    <s v="60.02"/>
    <x v="54"/>
    <x v="135"/>
    <s v="Списание с расчетного счета 00БП-000705 от 11.03.2026 17:50:01"/>
    <s v="11.03.26"/>
    <n v="921752.93"/>
    <m/>
    <m/>
    <d v="2026-03-11T00:00:00"/>
    <n v="5"/>
    <x v="2"/>
    <x v="12"/>
    <x v="0"/>
    <x v="0"/>
    <m/>
    <m/>
    <m/>
  </r>
  <r>
    <s v="60.02"/>
    <x v="54"/>
    <x v="1400"/>
    <s v="Списание с расчетного счета 00БП-000558 от 02.03.2026 18:40:23"/>
    <s v="02.03.26"/>
    <n v="4431400"/>
    <m/>
    <m/>
    <d v="2026-03-02T00:00:00"/>
    <n v="14"/>
    <x v="2"/>
    <x v="12"/>
    <x v="0"/>
    <x v="0"/>
    <m/>
    <m/>
    <m/>
  </r>
  <r>
    <s v="60.02"/>
    <x v="54"/>
    <x v="1401"/>
    <s v="Списание с расчетного счета 00БП-000660 от 10.03.2026 18:20:37"/>
    <s v="10.03.26"/>
    <n v="210542.5"/>
    <m/>
    <m/>
    <d v="2026-03-10T00:00:00"/>
    <n v="6"/>
    <x v="2"/>
    <x v="12"/>
    <x v="0"/>
    <x v="0"/>
    <m/>
    <m/>
    <m/>
  </r>
  <r>
    <s v="60.02"/>
    <x v="55"/>
    <x v="136"/>
    <s v="Списание с расчетного счета 00БП-007364 от 08.10.2025 18:26:32"/>
    <s v="08.10.25"/>
    <n v="168000"/>
    <m/>
    <m/>
    <d v="2025-10-08T00:00:00"/>
    <n v="159"/>
    <x v="0"/>
    <x v="12"/>
    <x v="0"/>
    <x v="0"/>
    <m/>
    <m/>
    <m/>
  </r>
  <r>
    <s v="60.02"/>
    <x v="56"/>
    <x v="137"/>
    <s v="Списание с расчетного счета 00БП-005850 от 15.08.2025 19:11:20"/>
    <s v="15.08.25"/>
    <n v="7941"/>
    <m/>
    <m/>
    <d v="2025-08-15T00:00:00"/>
    <n v="213"/>
    <x v="3"/>
    <x v="12"/>
    <x v="0"/>
    <x v="0"/>
    <m/>
    <m/>
    <m/>
  </r>
  <r>
    <s v="60.02"/>
    <x v="57"/>
    <x v="138"/>
    <s v="Списание с расчетного счета 00БП-000520 от 27.02.2026 17:35:29"/>
    <s v="27.02.26"/>
    <n v="57500"/>
    <m/>
    <m/>
    <d v="2026-02-27T00:00:00"/>
    <n v="17"/>
    <x v="2"/>
    <x v="12"/>
    <x v="0"/>
    <x v="0"/>
    <m/>
    <m/>
    <m/>
  </r>
  <r>
    <s v="60.02"/>
    <x v="58"/>
    <x v="139"/>
    <s v="Списание с расчетного счета 00БП-005685 от 26.09.2023 22:54:03"/>
    <s v="26.09.23"/>
    <n v="5500"/>
    <m/>
    <m/>
    <d v="2023-09-26T00:00:00"/>
    <n v="902"/>
    <x v="5"/>
    <x v="12"/>
    <x v="0"/>
    <x v="0"/>
    <m/>
    <m/>
    <m/>
  </r>
  <r>
    <s v="60.02"/>
    <x v="58"/>
    <x v="140"/>
    <s v="Списание с расчетного счета 00БП-007707 от 15.10.2025 22:57:03"/>
    <s v="15.10.25"/>
    <n v="102545"/>
    <m/>
    <m/>
    <d v="2025-10-15T00:00:00"/>
    <n v="152"/>
    <x v="0"/>
    <x v="12"/>
    <x v="0"/>
    <x v="0"/>
    <m/>
    <m/>
    <m/>
  </r>
  <r>
    <s v="60.02"/>
    <x v="278"/>
    <x v="1402"/>
    <s v="Списание с расчетного счета 00БП-000803 от 13.03.2026 17:54:11"/>
    <s v="13.03.26"/>
    <n v="873000"/>
    <m/>
    <m/>
    <d v="2026-03-13T00:00:00"/>
    <n v="3"/>
    <x v="2"/>
    <x v="12"/>
    <x v="0"/>
    <x v="0"/>
    <m/>
    <m/>
    <m/>
  </r>
  <r>
    <s v="60.02"/>
    <x v="59"/>
    <x v="141"/>
    <s v="Списание с расчетного счета 00БП-008927 от 25.11.2025 15:31:10"/>
    <s v="25.11.25"/>
    <n v="2760000"/>
    <m/>
    <m/>
    <d v="2025-11-25T00:00:00"/>
    <n v="111"/>
    <x v="4"/>
    <x v="12"/>
    <x v="0"/>
    <x v="0"/>
    <m/>
    <m/>
    <m/>
  </r>
  <r>
    <s v="60.02"/>
    <x v="59"/>
    <x v="141"/>
    <s v="Списание с расчетного счета 00БП-000593 от 03.03.2026 17:44:45"/>
    <s v="03.03.26"/>
    <n v="11040000"/>
    <m/>
    <m/>
    <d v="2026-03-03T00:00:00"/>
    <n v="13"/>
    <x v="2"/>
    <x v="12"/>
    <x v="0"/>
    <x v="0"/>
    <m/>
    <m/>
    <m/>
  </r>
  <r>
    <s v="60.02"/>
    <x v="60"/>
    <x v="142"/>
    <s v="Списание с расчетного счета 00БП-008307 от 21.12.2021 12:00:28"/>
    <s v="21.12.21"/>
    <n v="2000"/>
    <m/>
    <m/>
    <d v="2021-12-21T00:00:00"/>
    <n v="1546"/>
    <x v="5"/>
    <x v="12"/>
    <x v="0"/>
    <x v="0"/>
    <m/>
    <m/>
    <m/>
  </r>
  <r>
    <s v="60.02"/>
    <x v="60"/>
    <x v="1403"/>
    <s v="Списание с расчетного счета 00БП-000779 от 12.03.2026 17:24:35"/>
    <s v="12.03.26"/>
    <n v="285343.27"/>
    <m/>
    <m/>
    <d v="2026-03-12T00:00:00"/>
    <n v="4"/>
    <x v="2"/>
    <x v="12"/>
    <x v="0"/>
    <x v="0"/>
    <m/>
    <m/>
    <m/>
  </r>
  <r>
    <s v="60.02"/>
    <x v="61"/>
    <x v="143"/>
    <s v="Списание с расчетного счета 00БП-006163 от 28.08.2025 19:12:05"/>
    <s v="28.08.25"/>
    <n v="25866"/>
    <m/>
    <m/>
    <d v="2025-08-28T00:00:00"/>
    <n v="200"/>
    <x v="3"/>
    <x v="12"/>
    <x v="0"/>
    <x v="0"/>
    <m/>
    <m/>
    <m/>
  </r>
  <r>
    <s v="60.02"/>
    <x v="62"/>
    <x v="144"/>
    <s v="Списание с расчетного счета 00БП-001959 от 19.04.2024 20:35:31"/>
    <s v="19.04.24"/>
    <n v="300"/>
    <m/>
    <m/>
    <d v="2024-04-19T00:00:00"/>
    <n v="696"/>
    <x v="5"/>
    <x v="12"/>
    <x v="0"/>
    <x v="0"/>
    <m/>
    <m/>
    <m/>
  </r>
  <r>
    <s v="60.02"/>
    <x v="64"/>
    <x v="146"/>
    <s v="Списание с расчетного счета 00БП-008785 от 18.11.2025 23:05:27"/>
    <s v="18.11.25"/>
    <n v="0.02"/>
    <m/>
    <m/>
    <d v="2025-11-18T00:00:00"/>
    <n v="118"/>
    <x v="4"/>
    <x v="12"/>
    <x v="0"/>
    <x v="0"/>
    <m/>
    <m/>
    <m/>
  </r>
  <r>
    <s v="60.02"/>
    <x v="64"/>
    <x v="147"/>
    <s v="Списание с расчетного счета 00БП-004591 от 10.07.2025 16:07:40"/>
    <s v="10.07.25"/>
    <n v="0.01"/>
    <m/>
    <m/>
    <d v="2025-07-10T00:00:00"/>
    <n v="249"/>
    <x v="3"/>
    <x v="12"/>
    <x v="0"/>
    <x v="0"/>
    <m/>
    <m/>
    <m/>
  </r>
  <r>
    <s v="60.02"/>
    <x v="65"/>
    <x v="148"/>
    <s v="Списание с расчетного счета 00БП-009153 от 05.12.2024 12:53:23"/>
    <s v="05.12.24"/>
    <n v="299500"/>
    <m/>
    <m/>
    <d v="2024-12-05T00:00:00"/>
    <n v="466"/>
    <x v="5"/>
    <x v="12"/>
    <x v="0"/>
    <x v="12"/>
    <m/>
    <m/>
    <m/>
  </r>
  <r>
    <s v="60.02"/>
    <x v="66"/>
    <x v="149"/>
    <s v="Списание с расчетного счета 00БП-000427 от 20.02.2026 17:20:35"/>
    <s v="20.02.26"/>
    <n v="23700000"/>
    <m/>
    <m/>
    <d v="2026-02-20T00:00:00"/>
    <n v="24"/>
    <x v="2"/>
    <x v="12"/>
    <x v="0"/>
    <x v="0"/>
    <m/>
    <m/>
    <m/>
  </r>
  <r>
    <s v="60.02"/>
    <x v="67"/>
    <x v="150"/>
    <s v="Списание с расчетного счета 00БП-005457 от 06.08.2025 19:15:12"/>
    <s v="06.08.25"/>
    <n v="23544"/>
    <m/>
    <m/>
    <d v="2025-08-06T00:00:00"/>
    <n v="222"/>
    <x v="3"/>
    <x v="12"/>
    <x v="0"/>
    <x v="0"/>
    <m/>
    <m/>
    <m/>
  </r>
  <r>
    <s v="60.02"/>
    <x v="68"/>
    <x v="151"/>
    <s v="Списание с расчетного счета 00БП-007543 от 10.10.2025 17:09:37"/>
    <s v="10.10.25"/>
    <n v="28000"/>
    <m/>
    <m/>
    <d v="2025-10-10T00:00:00"/>
    <n v="157"/>
    <x v="0"/>
    <x v="12"/>
    <x v="0"/>
    <x v="0"/>
    <m/>
    <m/>
    <m/>
  </r>
  <r>
    <s v="60.02"/>
    <x v="69"/>
    <x v="152"/>
    <s v="Списание с расчетного счета 00БП-007816 от 22.10.2024 18:07:30"/>
    <s v="22.10.24"/>
    <n v="1334.4"/>
    <m/>
    <m/>
    <d v="2024-10-22T00:00:00"/>
    <n v="510"/>
    <x v="5"/>
    <x v="12"/>
    <x v="0"/>
    <x v="2"/>
    <m/>
    <m/>
    <m/>
  </r>
  <r>
    <s v="60.02"/>
    <x v="69"/>
    <x v="153"/>
    <s v="Списание с расчетного счета 00БП-007962 от 28.10.2024 23:47:33"/>
    <s v="28.10.24"/>
    <n v="6990"/>
    <m/>
    <m/>
    <d v="2024-10-28T00:00:00"/>
    <n v="504"/>
    <x v="5"/>
    <x v="12"/>
    <x v="0"/>
    <x v="2"/>
    <m/>
    <m/>
    <m/>
  </r>
  <r>
    <s v="60.02"/>
    <x v="70"/>
    <x v="154"/>
    <s v="Списание с расчетного счета 00БП-008783 от 18.11.2025 23:05:25"/>
    <s v="18.11.25"/>
    <n v="300000"/>
    <m/>
    <m/>
    <d v="2025-11-18T00:00:00"/>
    <n v="118"/>
    <x v="4"/>
    <x v="12"/>
    <x v="0"/>
    <x v="0"/>
    <m/>
    <m/>
    <m/>
  </r>
  <r>
    <s v="60.02"/>
    <x v="71"/>
    <x v="155"/>
    <s v="Списание с расчетного счета 00БП-003507 от 09.06.2025 17:55:56"/>
    <s v="09.06.25"/>
    <n v="24500"/>
    <m/>
    <m/>
    <d v="2025-06-09T00:00:00"/>
    <n v="280"/>
    <x v="6"/>
    <x v="12"/>
    <x v="0"/>
    <x v="0"/>
    <m/>
    <m/>
    <m/>
  </r>
  <r>
    <s v="60.02"/>
    <x v="71"/>
    <x v="156"/>
    <s v="Списание с расчетного счета 00БП-002932 от 20.05.2025 20:02:05"/>
    <s v="20.05.25"/>
    <n v="58485"/>
    <m/>
    <m/>
    <d v="2025-05-20T00:00:00"/>
    <n v="300"/>
    <x v="6"/>
    <x v="12"/>
    <x v="0"/>
    <x v="0"/>
    <m/>
    <m/>
    <m/>
  </r>
  <r>
    <s v="60.02"/>
    <x v="71"/>
    <x v="157"/>
    <s v="Списание с расчетного счета 00БП-003349 от 03.06.2025 17:39:01"/>
    <s v="03.06.25"/>
    <n v="2690"/>
    <m/>
    <m/>
    <d v="2025-06-03T00:00:00"/>
    <n v="286"/>
    <x v="6"/>
    <x v="12"/>
    <x v="0"/>
    <x v="0"/>
    <m/>
    <m/>
    <m/>
  </r>
  <r>
    <s v="60.02"/>
    <x v="71"/>
    <x v="158"/>
    <s v="Списание с расчетного счета 00БП-004858 от 14.07.2025 17:54:08"/>
    <s v="14.07.25"/>
    <n v="16020"/>
    <m/>
    <m/>
    <d v="2025-07-14T00:00:00"/>
    <n v="245"/>
    <x v="3"/>
    <x v="12"/>
    <x v="0"/>
    <x v="0"/>
    <m/>
    <m/>
    <m/>
  </r>
  <r>
    <s v="60.02"/>
    <x v="71"/>
    <x v="159"/>
    <s v="Списание с расчетного счета 00БП-007893 от 24.10.2025 17:29:35"/>
    <s v="24.10.25"/>
    <n v="29748"/>
    <m/>
    <m/>
    <d v="2025-10-24T00:00:00"/>
    <n v="143"/>
    <x v="0"/>
    <x v="12"/>
    <x v="0"/>
    <x v="0"/>
    <m/>
    <m/>
    <m/>
  </r>
  <r>
    <s v="60.02"/>
    <x v="72"/>
    <x v="73"/>
    <s v="Списание с расчетного счета 00БП-008907 от 24.11.2025 16:33:57"/>
    <s v="24.11.25"/>
    <n v="1348876.52"/>
    <m/>
    <m/>
    <d v="2025-11-24T00:00:00"/>
    <n v="112"/>
    <x v="4"/>
    <x v="12"/>
    <x v="0"/>
    <x v="0"/>
    <m/>
    <m/>
    <m/>
  </r>
  <r>
    <s v="60.02"/>
    <x v="72"/>
    <x v="73"/>
    <s v="Списание с расчетного счета 00БП-000630 от 05.03.2026 16:11:50"/>
    <s v="05.03.26"/>
    <n v="3978834.48"/>
    <m/>
    <m/>
    <d v="2026-03-05T00:00:00"/>
    <n v="11"/>
    <x v="2"/>
    <x v="12"/>
    <x v="0"/>
    <x v="0"/>
    <m/>
    <m/>
    <m/>
  </r>
  <r>
    <s v="60.02"/>
    <x v="73"/>
    <x v="160"/>
    <s v="Списание с расчетного счета 00БП-003413 от 05.06.2025 19:44:02"/>
    <s v="05.06.25"/>
    <n v="5900"/>
    <m/>
    <m/>
    <d v="2025-06-05T00:00:00"/>
    <n v="284"/>
    <x v="6"/>
    <x v="12"/>
    <x v="0"/>
    <x v="0"/>
    <m/>
    <m/>
    <m/>
  </r>
  <r>
    <s v="60.02"/>
    <x v="73"/>
    <x v="161"/>
    <s v="Списание с расчетного счета 00БП-002901 от 19.05.2025 18:19:45"/>
    <s v="19.05.25"/>
    <n v="76000"/>
    <m/>
    <m/>
    <d v="2025-05-19T00:00:00"/>
    <n v="301"/>
    <x v="6"/>
    <x v="12"/>
    <x v="0"/>
    <x v="0"/>
    <m/>
    <m/>
    <m/>
  </r>
  <r>
    <s v="60.02"/>
    <x v="74"/>
    <x v="162"/>
    <s v="Списание с расчетного счета 00БП-000535 от 07.03.2025 17:21:02"/>
    <s v="07.03.25"/>
    <n v="9000"/>
    <m/>
    <m/>
    <d v="2025-03-07T00:00:00"/>
    <n v="374"/>
    <x v="5"/>
    <x v="12"/>
    <x v="0"/>
    <x v="8"/>
    <m/>
    <m/>
    <m/>
  </r>
  <r>
    <s v="60.02"/>
    <x v="75"/>
    <x v="163"/>
    <s v="Списание с расчетного счета 00БП-009339 от 29.12.2025 17:48:54"/>
    <s v="29.12.25"/>
    <n v="23320"/>
    <m/>
    <m/>
    <d v="2025-12-29T00:00:00"/>
    <n v="77"/>
    <x v="1"/>
    <x v="12"/>
    <x v="0"/>
    <x v="0"/>
    <m/>
    <m/>
    <m/>
  </r>
  <r>
    <s v="60.02"/>
    <x v="75"/>
    <x v="164"/>
    <s v="Списание с расчетного счета 00БП-007854 от 22.10.2025 18:47:39"/>
    <s v="22.10.25"/>
    <n v="427500"/>
    <m/>
    <m/>
    <d v="2025-10-22T00:00:00"/>
    <n v="145"/>
    <x v="0"/>
    <x v="12"/>
    <x v="0"/>
    <x v="0"/>
    <m/>
    <m/>
    <m/>
  </r>
  <r>
    <s v="60.02"/>
    <x v="76"/>
    <x v="165"/>
    <s v="Списание с расчетного счета 00БП-008910 от 24.11.2025 16:34:00"/>
    <s v="24.11.25"/>
    <n v="5088000"/>
    <m/>
    <m/>
    <d v="2025-11-24T00:00:00"/>
    <n v="112"/>
    <x v="4"/>
    <x v="12"/>
    <x v="0"/>
    <x v="0"/>
    <m/>
    <m/>
    <m/>
  </r>
  <r>
    <s v="60.02"/>
    <x v="76"/>
    <x v="165"/>
    <s v="Списание с расчетного счета 00БП-000580 от 03.03.2026 17:44:32"/>
    <s v="03.03.26"/>
    <n v="169600"/>
    <m/>
    <m/>
    <d v="2026-03-03T00:00:00"/>
    <n v="13"/>
    <x v="2"/>
    <x v="12"/>
    <x v="0"/>
    <x v="0"/>
    <m/>
    <m/>
    <m/>
  </r>
  <r>
    <s v="60.02"/>
    <x v="76"/>
    <x v="165"/>
    <s v="Списание с расчетного счета 00БП-000590 от 03.03.2026 17:44:42"/>
    <s v="03.03.26"/>
    <n v="5088000"/>
    <m/>
    <m/>
    <d v="2026-03-03T00:00:00"/>
    <n v="13"/>
    <x v="2"/>
    <x v="12"/>
    <x v="0"/>
    <x v="0"/>
    <m/>
    <m/>
    <m/>
  </r>
  <r>
    <s v="60.02"/>
    <x v="76"/>
    <x v="166"/>
    <s v="Списание с расчетного счета 00БП-008909 от 24.11.2025 16:33:59"/>
    <s v="24.11.25"/>
    <n v="4563000"/>
    <m/>
    <m/>
    <d v="2025-11-24T00:00:00"/>
    <n v="112"/>
    <x v="4"/>
    <x v="12"/>
    <x v="0"/>
    <x v="0"/>
    <m/>
    <m/>
    <m/>
  </r>
  <r>
    <s v="60.02"/>
    <x v="76"/>
    <x v="166"/>
    <s v="Списание с расчетного счета 00БП-000579 от 03.03.2026 17:44:31"/>
    <s v="03.03.26"/>
    <n v="152100"/>
    <m/>
    <m/>
    <d v="2026-03-03T00:00:00"/>
    <n v="13"/>
    <x v="2"/>
    <x v="12"/>
    <x v="0"/>
    <x v="0"/>
    <m/>
    <m/>
    <m/>
  </r>
  <r>
    <s v="60.02"/>
    <x v="76"/>
    <x v="166"/>
    <s v="Списание с расчетного счета 00БП-000588 от 03.03.2026 17:44:40"/>
    <s v="03.03.26"/>
    <n v="4563000"/>
    <m/>
    <m/>
    <d v="2026-03-03T00:00:00"/>
    <n v="13"/>
    <x v="2"/>
    <x v="12"/>
    <x v="0"/>
    <x v="0"/>
    <m/>
    <m/>
    <m/>
  </r>
  <r>
    <s v="60.02"/>
    <x v="76"/>
    <x v="167"/>
    <s v="Списание с расчетного счета 00БП-008905 от 24.11.2025 16:33:55"/>
    <s v="24.11.25"/>
    <n v="492000"/>
    <m/>
    <m/>
    <d v="2025-11-24T00:00:00"/>
    <n v="112"/>
    <x v="4"/>
    <x v="12"/>
    <x v="0"/>
    <x v="0"/>
    <m/>
    <m/>
    <m/>
  </r>
  <r>
    <s v="60.02"/>
    <x v="76"/>
    <x v="167"/>
    <s v="Списание с расчетного счета 00БП-000574 от 03.03.2026 17:44:26"/>
    <s v="03.03.26"/>
    <n v="16400"/>
    <m/>
    <m/>
    <d v="2026-03-03T00:00:00"/>
    <n v="13"/>
    <x v="2"/>
    <x v="12"/>
    <x v="0"/>
    <x v="0"/>
    <m/>
    <m/>
    <m/>
  </r>
  <r>
    <s v="60.02"/>
    <x v="76"/>
    <x v="167"/>
    <s v="Списание с расчетного счета 00БП-000582 от 03.03.2026 17:44:34"/>
    <s v="03.03.26"/>
    <n v="492000"/>
    <m/>
    <m/>
    <d v="2026-03-03T00:00:00"/>
    <n v="13"/>
    <x v="2"/>
    <x v="12"/>
    <x v="0"/>
    <x v="0"/>
    <m/>
    <m/>
    <m/>
  </r>
  <r>
    <s v="60.02"/>
    <x v="76"/>
    <x v="168"/>
    <s v="Списание с расчетного счета 00БП-008911 от 24.11.2025 16:34:01"/>
    <s v="24.11.25"/>
    <n v="8808000"/>
    <m/>
    <m/>
    <d v="2025-11-24T00:00:00"/>
    <n v="112"/>
    <x v="4"/>
    <x v="12"/>
    <x v="0"/>
    <x v="0"/>
    <m/>
    <m/>
    <m/>
  </r>
  <r>
    <s v="60.02"/>
    <x v="76"/>
    <x v="168"/>
    <s v="Списание с расчетного счета 00БП-000581 от 03.03.2026 17:44:33"/>
    <s v="03.03.26"/>
    <n v="293600"/>
    <m/>
    <m/>
    <d v="2026-03-03T00:00:00"/>
    <n v="13"/>
    <x v="2"/>
    <x v="12"/>
    <x v="0"/>
    <x v="0"/>
    <m/>
    <m/>
    <m/>
  </r>
  <r>
    <s v="60.02"/>
    <x v="76"/>
    <x v="168"/>
    <s v="Списание с расчетного счета 00БП-000592 от 03.03.2026 17:44:44"/>
    <s v="03.03.26"/>
    <n v="8808000"/>
    <m/>
    <m/>
    <d v="2026-03-03T00:00:00"/>
    <n v="13"/>
    <x v="2"/>
    <x v="12"/>
    <x v="0"/>
    <x v="0"/>
    <m/>
    <m/>
    <m/>
  </r>
  <r>
    <s v="60.02"/>
    <x v="76"/>
    <x v="169"/>
    <s v="Списание с расчетного счета 00БП-000267 от 06.02.2026 12:00:04"/>
    <s v="06.02.26"/>
    <n v="2857301"/>
    <m/>
    <m/>
    <d v="2026-02-06T00:00:00"/>
    <n v="38"/>
    <x v="1"/>
    <x v="12"/>
    <x v="0"/>
    <x v="0"/>
    <m/>
    <m/>
    <m/>
  </r>
  <r>
    <s v="60.02"/>
    <x v="76"/>
    <x v="170"/>
    <s v="Списание с расчетного счета 00БП-000268 от 06.02.2026 12:00:05"/>
    <s v="06.02.26"/>
    <n v="7210200"/>
    <m/>
    <m/>
    <d v="2026-02-06T00:00:00"/>
    <n v="38"/>
    <x v="1"/>
    <x v="12"/>
    <x v="0"/>
    <x v="0"/>
    <m/>
    <m/>
    <m/>
  </r>
  <r>
    <s v="60.02"/>
    <x v="77"/>
    <x v="171"/>
    <s v="Списание с расчетного счета 00БП-003223 от 28.05.2025 21:55:54"/>
    <s v="28.05.25"/>
    <n v="36736.230000000003"/>
    <m/>
    <m/>
    <d v="2025-05-28T00:00:00"/>
    <n v="292"/>
    <x v="6"/>
    <x v="12"/>
    <x v="0"/>
    <x v="0"/>
    <m/>
    <m/>
    <m/>
  </r>
  <r>
    <s v="60.02"/>
    <x v="78"/>
    <x v="172"/>
    <s v="Списание с расчетного счета 00БП-009274 от 24.12.2025 11:37:27"/>
    <s v="24.12.25"/>
    <n v="59150000"/>
    <m/>
    <m/>
    <d v="2025-12-24T00:00:00"/>
    <n v="82"/>
    <x v="1"/>
    <x v="12"/>
    <x v="0"/>
    <x v="0"/>
    <m/>
    <m/>
    <m/>
  </r>
  <r>
    <s v="60.02"/>
    <x v="78"/>
    <x v="173"/>
    <s v="Списание с расчетного счета 00БП-005804 от 23.08.2024 17:14:33"/>
    <s v="23.08.24"/>
    <n v="378936.67"/>
    <m/>
    <m/>
    <d v="2024-08-23T00:00:00"/>
    <n v="570"/>
    <x v="5"/>
    <x v="12"/>
    <x v="0"/>
    <x v="0"/>
    <m/>
    <m/>
    <m/>
  </r>
  <r>
    <s v="60.02"/>
    <x v="78"/>
    <x v="174"/>
    <s v="Списание с расчетного счета 00БП-007827 от 21.10.2025 17:30:38"/>
    <s v="21.10.25"/>
    <n v="969720.57"/>
    <m/>
    <m/>
    <d v="2025-10-21T00:00:00"/>
    <n v="146"/>
    <x v="0"/>
    <x v="12"/>
    <x v="0"/>
    <x v="0"/>
    <m/>
    <m/>
    <m/>
  </r>
  <r>
    <s v="60.02"/>
    <x v="78"/>
    <x v="174"/>
    <s v="Списание с расчетного счета 00БП-007894 от 24.10.2025 17:29:36"/>
    <s v="24.10.25"/>
    <n v="389696.13"/>
    <m/>
    <m/>
    <d v="2025-10-24T00:00:00"/>
    <n v="143"/>
    <x v="0"/>
    <x v="12"/>
    <x v="0"/>
    <x v="0"/>
    <m/>
    <m/>
    <m/>
  </r>
  <r>
    <s v="60.02"/>
    <x v="78"/>
    <x v="174"/>
    <s v="Списание с расчетного счета 00БП-007896 от 24.10.2025 17:29:38"/>
    <s v="24.10.25"/>
    <n v="1002946.15"/>
    <m/>
    <m/>
    <d v="2025-10-24T00:00:00"/>
    <n v="143"/>
    <x v="0"/>
    <x v="12"/>
    <x v="0"/>
    <x v="0"/>
    <m/>
    <m/>
    <m/>
  </r>
  <r>
    <s v="60.02"/>
    <x v="78"/>
    <x v="175"/>
    <s v="Списание с расчетного счета 00БП-000295 от 11.02.2026 17:01:51"/>
    <s v="11.02.26"/>
    <n v="9675994.3599999994"/>
    <m/>
    <m/>
    <d v="2026-02-11T00:00:00"/>
    <n v="33"/>
    <x v="1"/>
    <x v="12"/>
    <x v="0"/>
    <x v="0"/>
    <m/>
    <m/>
    <m/>
  </r>
  <r>
    <s v="60.02"/>
    <x v="78"/>
    <x v="176"/>
    <s v="Списание с расчетного счета 00БП-000481 от 25.02.2026 17:39:44"/>
    <s v="25.02.26"/>
    <n v="27479576.449999999"/>
    <m/>
    <m/>
    <d v="2026-02-25T00:00:00"/>
    <n v="19"/>
    <x v="2"/>
    <x v="12"/>
    <x v="0"/>
    <x v="0"/>
    <m/>
    <m/>
    <m/>
  </r>
  <r>
    <s v="60.02"/>
    <x v="78"/>
    <x v="177"/>
    <s v="Списание с расчетного счета 00БП-000290 от 11.02.2026 17:01:46"/>
    <s v="11.02.26"/>
    <n v="710983.33"/>
    <m/>
    <m/>
    <d v="2026-02-11T00:00:00"/>
    <n v="33"/>
    <x v="1"/>
    <x v="12"/>
    <x v="0"/>
    <x v="0"/>
    <m/>
    <m/>
    <m/>
  </r>
  <r>
    <s v="60.02"/>
    <x v="78"/>
    <x v="178"/>
    <s v="Списание с расчетного счета 00БП-000291 от 11.02.2026 17:01:47"/>
    <s v="11.02.26"/>
    <n v="949199.4"/>
    <m/>
    <m/>
    <d v="2026-02-11T00:00:00"/>
    <n v="33"/>
    <x v="1"/>
    <x v="12"/>
    <x v="0"/>
    <x v="0"/>
    <m/>
    <m/>
    <m/>
  </r>
  <r>
    <s v="60.02"/>
    <x v="78"/>
    <x v="1404"/>
    <s v="Списание с расчетного счета 00БП-000666 от 10.03.2026 18:20:43"/>
    <s v="10.03.26"/>
    <n v="7028020.8300000001"/>
    <m/>
    <m/>
    <d v="2026-03-10T00:00:00"/>
    <n v="6"/>
    <x v="2"/>
    <x v="12"/>
    <x v="0"/>
    <x v="0"/>
    <m/>
    <m/>
    <m/>
  </r>
  <r>
    <s v="60.02"/>
    <x v="78"/>
    <x v="1405"/>
    <s v="Списание с расчетного счета 00БП-000706 от 11.03.2026 17:50:02"/>
    <s v="11.03.26"/>
    <n v="2193904.63"/>
    <m/>
    <m/>
    <d v="2026-03-11T00:00:00"/>
    <n v="5"/>
    <x v="2"/>
    <x v="12"/>
    <x v="0"/>
    <x v="0"/>
    <m/>
    <m/>
    <m/>
  </r>
  <r>
    <s v="60.02"/>
    <x v="78"/>
    <x v="1406"/>
    <s v="Списание с расчетного счета 00БП-000701 от 11.03.2026 17:49:57"/>
    <s v="11.03.26"/>
    <n v="610581.68000000005"/>
    <m/>
    <m/>
    <d v="2026-03-11T00:00:00"/>
    <n v="5"/>
    <x v="2"/>
    <x v="12"/>
    <x v="0"/>
    <x v="0"/>
    <m/>
    <m/>
    <m/>
  </r>
  <r>
    <s v="60.02"/>
    <x v="78"/>
    <x v="502"/>
    <s v="Списание с расчетного счета 00БП-001526 от 09.04.2024 19:40:18"/>
    <s v="09.04.24"/>
    <n v="5092824.9400000004"/>
    <m/>
    <m/>
    <d v="2024-04-09T00:00:00"/>
    <n v="706"/>
    <x v="5"/>
    <x v="12"/>
    <x v="0"/>
    <x v="0"/>
    <m/>
    <m/>
    <m/>
  </r>
  <r>
    <s v="60.02"/>
    <x v="78"/>
    <x v="503"/>
    <s v="Списание с расчетного счета 00БП-001309 от 04.04.2025 19:33:58"/>
    <s v="04.04.25"/>
    <n v="38458.660000000003"/>
    <m/>
    <m/>
    <d v="2025-04-04T00:00:00"/>
    <n v="346"/>
    <x v="6"/>
    <x v="12"/>
    <x v="0"/>
    <x v="0"/>
    <m/>
    <m/>
    <m/>
  </r>
  <r>
    <s v="60.02"/>
    <x v="78"/>
    <x v="504"/>
    <s v="Списание с расчетного счета 00БП-001915 от 17.04.2024 20:48:15"/>
    <s v="17.04.24"/>
    <n v="0.02"/>
    <m/>
    <m/>
    <d v="2024-04-17T00:00:00"/>
    <n v="698"/>
    <x v="5"/>
    <x v="12"/>
    <x v="0"/>
    <x v="0"/>
    <m/>
    <m/>
    <m/>
  </r>
  <r>
    <s v="60.02"/>
    <x v="78"/>
    <x v="505"/>
    <s v="Списание с расчетного счета 00БП-001873 от 16.04.2025 19:34:09"/>
    <s v="16.04.25"/>
    <n v="42035.61"/>
    <m/>
    <m/>
    <d v="2025-04-16T00:00:00"/>
    <n v="334"/>
    <x v="6"/>
    <x v="12"/>
    <x v="0"/>
    <x v="0"/>
    <m/>
    <m/>
    <m/>
  </r>
  <r>
    <s v="60.02"/>
    <x v="78"/>
    <x v="506"/>
    <s v="Списание с расчетного счета 00БП-002445 от 07.05.2025 17:27:22"/>
    <s v="07.05.25"/>
    <n v="30.6"/>
    <m/>
    <m/>
    <d v="2025-05-07T00:00:00"/>
    <n v="313"/>
    <x v="6"/>
    <x v="12"/>
    <x v="0"/>
    <x v="0"/>
    <m/>
    <m/>
    <m/>
  </r>
  <r>
    <s v="60.02"/>
    <x v="78"/>
    <x v="507"/>
    <s v="Списание с расчетного счета 00БП-002911 от 19.05.2025 18:19:55"/>
    <s v="19.05.25"/>
    <n v="175922.59"/>
    <m/>
    <m/>
    <d v="2025-05-19T00:00:00"/>
    <n v="301"/>
    <x v="6"/>
    <x v="12"/>
    <x v="0"/>
    <x v="0"/>
    <m/>
    <m/>
    <m/>
  </r>
  <r>
    <s v="60.02"/>
    <x v="78"/>
    <x v="509"/>
    <s v="Списание с расчетного счета 00БП-003944 от 27.06.2024 23:59:59"/>
    <s v="27.06.24"/>
    <n v="2474.62"/>
    <m/>
    <m/>
    <d v="2024-06-27T00:00:00"/>
    <n v="627"/>
    <x v="5"/>
    <x v="12"/>
    <x v="0"/>
    <x v="0"/>
    <m/>
    <m/>
    <m/>
  </r>
  <r>
    <s v="60.02"/>
    <x v="78"/>
    <x v="511"/>
    <s v="Списание с расчетного счета 00БП-004434 от 03.07.2025 18:29:11"/>
    <s v="03.07.25"/>
    <n v="318089.56"/>
    <m/>
    <m/>
    <d v="2025-07-03T00:00:00"/>
    <n v="256"/>
    <x v="3"/>
    <x v="12"/>
    <x v="0"/>
    <x v="0"/>
    <m/>
    <m/>
    <m/>
  </r>
  <r>
    <s v="60.02"/>
    <x v="78"/>
    <x v="512"/>
    <s v="Списание с расчетного счета 00БП-004303 от 05.07.2024 18:28:48"/>
    <s v="05.07.24"/>
    <n v="2.4"/>
    <m/>
    <m/>
    <d v="2024-07-05T00:00:00"/>
    <n v="619"/>
    <x v="5"/>
    <x v="12"/>
    <x v="0"/>
    <x v="0"/>
    <m/>
    <m/>
    <m/>
  </r>
  <r>
    <s v="60.02"/>
    <x v="78"/>
    <x v="514"/>
    <s v="Списание с расчетного счета 00БП-003509 от 09.06.2025 17:55:58"/>
    <s v="09.06.25"/>
    <n v="16764.38"/>
    <m/>
    <m/>
    <d v="2025-06-09T00:00:00"/>
    <n v="280"/>
    <x v="6"/>
    <x v="12"/>
    <x v="0"/>
    <x v="0"/>
    <m/>
    <m/>
    <m/>
  </r>
  <r>
    <s v="60.02"/>
    <x v="78"/>
    <x v="517"/>
    <s v="Списание с расчетного счета 00БП-004307 от 30.06.2025 23:59:59"/>
    <s v="30.06.25"/>
    <n v="115791.98"/>
    <m/>
    <m/>
    <d v="2025-06-30T00:00:00"/>
    <n v="259"/>
    <x v="3"/>
    <x v="12"/>
    <x v="0"/>
    <x v="0"/>
    <m/>
    <m/>
    <m/>
  </r>
  <r>
    <s v="60.02"/>
    <x v="78"/>
    <x v="519"/>
    <s v="Списание с расчетного счета 00БП-004362 от 01.07.2025 20:38:33"/>
    <s v="01.07.25"/>
    <n v="673.94"/>
    <m/>
    <m/>
    <d v="2025-07-01T00:00:00"/>
    <n v="258"/>
    <x v="3"/>
    <x v="12"/>
    <x v="0"/>
    <x v="0"/>
    <m/>
    <m/>
    <m/>
  </r>
  <r>
    <s v="60.02"/>
    <x v="78"/>
    <x v="520"/>
    <s v="Списание с расчетного счета 00БП-005316 от 08.08.2024 17:52:19"/>
    <s v="08.08.24"/>
    <n v="13920"/>
    <m/>
    <m/>
    <d v="2024-08-08T00:00:00"/>
    <n v="585"/>
    <x v="5"/>
    <x v="12"/>
    <x v="0"/>
    <x v="0"/>
    <m/>
    <m/>
    <m/>
  </r>
  <r>
    <s v="60.02"/>
    <x v="78"/>
    <x v="522"/>
    <s v="Списание с расчетного счета 00БП-005769 от 20.08.2024 18:37:41"/>
    <s v="20.08.24"/>
    <n v="355885.99"/>
    <m/>
    <m/>
    <d v="2024-08-20T00:00:00"/>
    <n v="573"/>
    <x v="5"/>
    <x v="12"/>
    <x v="0"/>
    <x v="0"/>
    <m/>
    <m/>
    <m/>
  </r>
  <r>
    <s v="60.02"/>
    <x v="78"/>
    <x v="523"/>
    <s v="Списание с расчетного счета 00БП-005912 от 27.08.2024 17:47:21"/>
    <s v="27.08.24"/>
    <n v="21441.599999999999"/>
    <m/>
    <m/>
    <d v="2024-08-27T00:00:00"/>
    <n v="566"/>
    <x v="5"/>
    <x v="12"/>
    <x v="0"/>
    <x v="0"/>
    <m/>
    <m/>
    <m/>
  </r>
  <r>
    <s v="60.02"/>
    <x v="78"/>
    <x v="524"/>
    <s v="Списание с расчетного счета 00БП-006187 от 06.09.2024 17:41:07"/>
    <s v="06.09.24"/>
    <n v="121190.09"/>
    <m/>
    <m/>
    <d v="2024-09-06T00:00:00"/>
    <n v="556"/>
    <x v="5"/>
    <x v="12"/>
    <x v="0"/>
    <x v="0"/>
    <m/>
    <m/>
    <m/>
  </r>
  <r>
    <s v="60.02"/>
    <x v="78"/>
    <x v="530"/>
    <s v="Списание с расчетного счета 00БП-006326 от 08.09.2025 18:50:16"/>
    <s v="08.09.25"/>
    <n v="10340.5"/>
    <m/>
    <m/>
    <d v="2025-09-08T00:00:00"/>
    <n v="189"/>
    <x v="3"/>
    <x v="12"/>
    <x v="0"/>
    <x v="0"/>
    <m/>
    <m/>
    <m/>
  </r>
  <r>
    <s v="60.02"/>
    <x v="78"/>
    <x v="533"/>
    <s v="Списание с расчетного счета 00БП-007132 от 29.09.2025 19:12:05"/>
    <s v="29.09.25"/>
    <n v="209866.35"/>
    <m/>
    <m/>
    <d v="2025-09-29T00:00:00"/>
    <n v="168"/>
    <x v="0"/>
    <x v="12"/>
    <x v="0"/>
    <x v="0"/>
    <m/>
    <m/>
    <m/>
  </r>
  <r>
    <s v="60.02"/>
    <x v="78"/>
    <x v="535"/>
    <s v="Списание с расчетного счета 00БП-006940 от 25.09.2025 17:23:36"/>
    <s v="25.09.25"/>
    <n v="214217.64"/>
    <m/>
    <m/>
    <d v="2025-09-25T00:00:00"/>
    <n v="172"/>
    <x v="0"/>
    <x v="12"/>
    <x v="0"/>
    <x v="0"/>
    <m/>
    <m/>
    <m/>
  </r>
  <r>
    <s v="60.02"/>
    <x v="78"/>
    <x v="537"/>
    <s v="Списание с расчетного счета 00БП-007133 от 29.09.2025 19:12:06"/>
    <s v="29.09.25"/>
    <n v="6114.02"/>
    <m/>
    <m/>
    <d v="2025-09-29T00:00:00"/>
    <n v="168"/>
    <x v="0"/>
    <x v="12"/>
    <x v="0"/>
    <x v="0"/>
    <m/>
    <m/>
    <m/>
  </r>
  <r>
    <s v="60.02"/>
    <x v="78"/>
    <x v="1407"/>
    <s v="Списание с расчетного счета 00БП-007372 от 08.10.2025 18:26:40"/>
    <s v="08.10.25"/>
    <n v="669027.43999999994"/>
    <m/>
    <m/>
    <d v="2025-10-08T00:00:00"/>
    <n v="159"/>
    <x v="0"/>
    <x v="12"/>
    <x v="0"/>
    <x v="0"/>
    <m/>
    <m/>
    <m/>
  </r>
  <r>
    <s v="60.02"/>
    <x v="78"/>
    <x v="1408"/>
    <s v="Списание с расчетного счета 00БП-007311 от 06.10.2025 18:16:21"/>
    <s v="06.10.25"/>
    <n v="482410.85"/>
    <m/>
    <m/>
    <d v="2025-10-06T00:00:00"/>
    <n v="161"/>
    <x v="0"/>
    <x v="12"/>
    <x v="0"/>
    <x v="0"/>
    <m/>
    <m/>
    <m/>
  </r>
  <r>
    <s v="60.02"/>
    <x v="78"/>
    <x v="1409"/>
    <s v="Списание с расчетного счета 00БП-007369 от 08.10.2025 18:26:37"/>
    <s v="08.10.25"/>
    <n v="602962.17000000004"/>
    <m/>
    <m/>
    <d v="2025-10-08T00:00:00"/>
    <n v="159"/>
    <x v="0"/>
    <x v="12"/>
    <x v="0"/>
    <x v="0"/>
    <m/>
    <m/>
    <m/>
  </r>
  <r>
    <s v="60.02"/>
    <x v="78"/>
    <x v="1410"/>
    <s v="Списание с расчетного счета 00БП-007715 от 15.10.2025 22:57:11"/>
    <s v="15.10.25"/>
    <n v="688503.75"/>
    <m/>
    <m/>
    <d v="2025-10-15T00:00:00"/>
    <n v="152"/>
    <x v="0"/>
    <x v="12"/>
    <x v="0"/>
    <x v="0"/>
    <m/>
    <m/>
    <m/>
  </r>
  <r>
    <s v="60.02"/>
    <x v="78"/>
    <x v="1411"/>
    <s v="Списание с расчетного счета 00БП-007711 от 15.10.2025 22:57:07"/>
    <s v="15.10.25"/>
    <n v="144652.26999999999"/>
    <m/>
    <m/>
    <d v="2025-10-15T00:00:00"/>
    <n v="152"/>
    <x v="0"/>
    <x v="12"/>
    <x v="0"/>
    <x v="0"/>
    <m/>
    <m/>
    <m/>
  </r>
  <r>
    <s v="60.02"/>
    <x v="78"/>
    <x v="1412"/>
    <s v="Списание с расчетного счета 00БП-007746 от 17.10.2025 19:36:03"/>
    <s v="17.10.25"/>
    <n v="26049.02"/>
    <m/>
    <m/>
    <d v="2025-10-17T00:00:00"/>
    <n v="150"/>
    <x v="0"/>
    <x v="12"/>
    <x v="0"/>
    <x v="0"/>
    <m/>
    <m/>
    <m/>
  </r>
  <r>
    <s v="60.02"/>
    <x v="78"/>
    <x v="1413"/>
    <s v="Списание с расчетного счета 00БП-007747 от 17.10.2025 19:36:04"/>
    <s v="17.10.25"/>
    <n v="50680.08"/>
    <m/>
    <m/>
    <d v="2025-10-17T00:00:00"/>
    <n v="150"/>
    <x v="0"/>
    <x v="12"/>
    <x v="0"/>
    <x v="0"/>
    <m/>
    <m/>
    <m/>
  </r>
  <r>
    <s v="60.02"/>
    <x v="78"/>
    <x v="1414"/>
    <s v="Списание с расчетного счета 00БП-007825 от 21.10.2025 17:30:36"/>
    <s v="21.10.25"/>
    <n v="1508294.29"/>
    <m/>
    <m/>
    <d v="2025-10-21T00:00:00"/>
    <n v="146"/>
    <x v="0"/>
    <x v="12"/>
    <x v="0"/>
    <x v="0"/>
    <m/>
    <m/>
    <m/>
  </r>
  <r>
    <s v="60.02"/>
    <x v="78"/>
    <x v="1415"/>
    <s v="Списание с расчетного счета 00БП-007827 от 21.10.2025 17:30:38"/>
    <s v="21.10.25"/>
    <n v="131546.95000000001"/>
    <m/>
    <m/>
    <d v="2025-10-21T00:00:00"/>
    <n v="146"/>
    <x v="0"/>
    <x v="12"/>
    <x v="0"/>
    <x v="0"/>
    <m/>
    <m/>
    <m/>
  </r>
  <r>
    <s v="60.02"/>
    <x v="78"/>
    <x v="539"/>
    <s v="Списание с расчетного счета 00БП-000064 от 16.01.2025 9:16:39"/>
    <s v="16.01.25"/>
    <n v="3399271.54"/>
    <m/>
    <m/>
    <d v="2025-01-16T00:00:00"/>
    <n v="424"/>
    <x v="5"/>
    <x v="12"/>
    <x v="0"/>
    <x v="0"/>
    <m/>
    <m/>
    <m/>
  </r>
  <r>
    <s v="60.02"/>
    <x v="78"/>
    <x v="179"/>
    <s v="Списание с расчетного счета 00БП-009318 от 26.12.2025 12:00:24"/>
    <s v="26.12.25"/>
    <n v="3536597.4"/>
    <m/>
    <m/>
    <d v="2025-12-26T00:00:00"/>
    <n v="80"/>
    <x v="1"/>
    <x v="12"/>
    <x v="0"/>
    <x v="0"/>
    <m/>
    <m/>
    <m/>
  </r>
  <r>
    <s v="60.02"/>
    <x v="78"/>
    <x v="180"/>
    <s v="Списание с расчетного счета 00БП-009317 от 26.12.2025 12:00:23"/>
    <s v="26.12.25"/>
    <n v="1857916.08"/>
    <m/>
    <m/>
    <d v="2025-12-26T00:00:00"/>
    <n v="80"/>
    <x v="1"/>
    <x v="12"/>
    <x v="0"/>
    <x v="0"/>
    <m/>
    <m/>
    <m/>
  </r>
  <r>
    <s v="60.02"/>
    <x v="78"/>
    <x v="181"/>
    <s v="Списание с расчетного счета 00БП-009243 от 19.12.2025 12:51:11"/>
    <s v="19.12.25"/>
    <n v="4806964.25"/>
    <m/>
    <m/>
    <d v="2025-12-19T00:00:00"/>
    <n v="87"/>
    <x v="1"/>
    <x v="12"/>
    <x v="0"/>
    <x v="0"/>
    <m/>
    <m/>
    <m/>
  </r>
  <r>
    <s v="60.02"/>
    <x v="345"/>
    <x v="884"/>
    <s v="Списание с расчетного счета 00БП-000572 от 03.03.2026 17:44:24"/>
    <s v="03.03.26"/>
    <n v="9975"/>
    <m/>
    <m/>
    <d v="2026-03-03T00:00:00"/>
    <n v="13"/>
    <x v="2"/>
    <x v="12"/>
    <x v="0"/>
    <x v="0"/>
    <m/>
    <m/>
    <m/>
  </r>
  <r>
    <s v="60.02"/>
    <x v="481"/>
    <x v="1416"/>
    <s v="Списание с расчетного счета 00БП-000797 от 13.03.2026 17:54:05"/>
    <s v="13.03.26"/>
    <n v="112850"/>
    <m/>
    <m/>
    <d v="2026-03-13T00:00:00"/>
    <n v="3"/>
    <x v="2"/>
    <x v="12"/>
    <x v="0"/>
    <x v="0"/>
    <m/>
    <m/>
    <m/>
  </r>
  <r>
    <s v="60.02"/>
    <x v="79"/>
    <x v="182"/>
    <s v="Списание с расчетного счета 00БП-008210 от 05.11.2025 17:00:56"/>
    <s v="05.11.25"/>
    <n v="904.82"/>
    <m/>
    <m/>
    <d v="2025-11-05T00:00:00"/>
    <n v="131"/>
    <x v="0"/>
    <x v="12"/>
    <x v="0"/>
    <x v="0"/>
    <m/>
    <m/>
    <m/>
  </r>
  <r>
    <s v="60.02"/>
    <x v="79"/>
    <x v="182"/>
    <s v="Списание с расчетного счета 00БП-000223 от 03.02.2026 14:13:57"/>
    <s v="03.02.26"/>
    <n v="2000"/>
    <m/>
    <m/>
    <d v="2026-02-03T00:00:00"/>
    <n v="41"/>
    <x v="1"/>
    <x v="12"/>
    <x v="0"/>
    <x v="0"/>
    <m/>
    <m/>
    <m/>
  </r>
  <r>
    <s v="60.02"/>
    <x v="79"/>
    <x v="183"/>
    <s v="Списание с расчетного счета 00БП-000227 от 03.02.2026 14:14:01"/>
    <s v="03.02.26"/>
    <n v="2534.89"/>
    <m/>
    <m/>
    <d v="2026-02-03T00:00:00"/>
    <n v="41"/>
    <x v="1"/>
    <x v="12"/>
    <x v="0"/>
    <x v="0"/>
    <m/>
    <m/>
    <m/>
  </r>
  <r>
    <s v="60.02"/>
    <x v="79"/>
    <x v="184"/>
    <s v="Списание с расчетного счета 00БП-000459 от 24.02.2026 17:53:17"/>
    <s v="24.02.26"/>
    <n v="7952.65"/>
    <m/>
    <m/>
    <d v="2026-02-24T00:00:00"/>
    <n v="20"/>
    <x v="2"/>
    <x v="12"/>
    <x v="0"/>
    <x v="0"/>
    <m/>
    <m/>
    <m/>
  </r>
  <r>
    <s v="60.02"/>
    <x v="79"/>
    <x v="185"/>
    <s v="Списание с расчетного счета 00БП-001107 от 05.04.2019 22:18:00"/>
    <s v="05.04.19"/>
    <n v="45.91"/>
    <m/>
    <m/>
    <d v="2019-04-05T00:00:00"/>
    <n v="2537"/>
    <x v="5"/>
    <x v="12"/>
    <x v="0"/>
    <x v="0"/>
    <m/>
    <m/>
    <m/>
  </r>
  <r>
    <s v="60.02"/>
    <x v="79"/>
    <x v="186"/>
    <s v="Списание с расчетного счета 00БП-008215 от 05.11.2025 17:01:01"/>
    <s v="05.11.25"/>
    <n v="2028.51"/>
    <m/>
    <m/>
    <d v="2025-11-05T00:00:00"/>
    <n v="131"/>
    <x v="0"/>
    <x v="12"/>
    <x v="0"/>
    <x v="0"/>
    <m/>
    <m/>
    <m/>
  </r>
  <r>
    <s v="60.02"/>
    <x v="79"/>
    <x v="186"/>
    <s v="Списание с расчетного счета 00БП-000222 от 03.02.2026 14:13:56"/>
    <s v="03.02.26"/>
    <n v="2000"/>
    <m/>
    <m/>
    <d v="2026-02-03T00:00:00"/>
    <n v="41"/>
    <x v="1"/>
    <x v="12"/>
    <x v="0"/>
    <x v="0"/>
    <m/>
    <m/>
    <m/>
  </r>
  <r>
    <s v="60.02"/>
    <x v="79"/>
    <x v="187"/>
    <s v="Списание с расчетного счета 00БП-005417 от 04.08.2025 21:25:09"/>
    <s v="04.08.25"/>
    <n v="316.13"/>
    <m/>
    <m/>
    <d v="2025-08-04T00:00:00"/>
    <n v="224"/>
    <x v="3"/>
    <x v="12"/>
    <x v="0"/>
    <x v="0"/>
    <m/>
    <m/>
    <m/>
  </r>
  <r>
    <s v="60.02"/>
    <x v="79"/>
    <x v="188"/>
    <s v="Списание с расчетного счета 00БП-006846 от 03.11.2023 17:15:20"/>
    <s v="03.11.23"/>
    <n v="771.25"/>
    <m/>
    <m/>
    <d v="2023-11-03T00:00:00"/>
    <n v="864"/>
    <x v="5"/>
    <x v="12"/>
    <x v="0"/>
    <x v="0"/>
    <m/>
    <m/>
    <m/>
  </r>
  <r>
    <s v="60.02"/>
    <x v="79"/>
    <x v="188"/>
    <s v="Списание с расчетного счета 00БП-000347 от 13.02.2024 16:34:45"/>
    <s v="13.02.24"/>
    <n v="500"/>
    <m/>
    <m/>
    <d v="2024-02-13T00:00:00"/>
    <n v="762"/>
    <x v="5"/>
    <x v="12"/>
    <x v="0"/>
    <x v="0"/>
    <m/>
    <m/>
    <m/>
  </r>
  <r>
    <s v="60.02"/>
    <x v="79"/>
    <x v="189"/>
    <s v="Списание с расчетного счета 00БП-008216 от 05.11.2025 17:01:02"/>
    <s v="05.11.25"/>
    <n v="2124.0700000000002"/>
    <m/>
    <m/>
    <d v="2025-11-05T00:00:00"/>
    <n v="131"/>
    <x v="0"/>
    <x v="12"/>
    <x v="0"/>
    <x v="0"/>
    <m/>
    <m/>
    <m/>
  </r>
  <r>
    <s v="60.02"/>
    <x v="79"/>
    <x v="189"/>
    <s v="Списание с расчетного счета 00БП-000224 от 03.02.2026 14:13:58"/>
    <s v="03.02.26"/>
    <n v="2000"/>
    <m/>
    <m/>
    <d v="2026-02-03T00:00:00"/>
    <n v="41"/>
    <x v="1"/>
    <x v="12"/>
    <x v="0"/>
    <x v="0"/>
    <m/>
    <m/>
    <m/>
  </r>
  <r>
    <s v="60.02"/>
    <x v="79"/>
    <x v="190"/>
    <s v="Списание с расчетного счета 0000-000968 от 08.04.2016 23:59:59"/>
    <s v="08.04.16"/>
    <n v="127.6"/>
    <m/>
    <m/>
    <d v="2016-04-08T00:00:00"/>
    <n v="3629"/>
    <x v="5"/>
    <x v="12"/>
    <x v="0"/>
    <x v="0"/>
    <m/>
    <m/>
    <m/>
  </r>
  <r>
    <s v="60.02"/>
    <x v="79"/>
    <x v="190"/>
    <s v="Списание с расчетного счета 0000-001483 от 11.05.2016 23:59:59"/>
    <s v="11.05.16"/>
    <n v="430"/>
    <m/>
    <m/>
    <d v="2016-05-11T00:00:00"/>
    <n v="3596"/>
    <x v="5"/>
    <x v="12"/>
    <x v="0"/>
    <x v="0"/>
    <m/>
    <m/>
    <m/>
  </r>
  <r>
    <s v="60.02"/>
    <x v="79"/>
    <x v="190"/>
    <s v="Списание с расчетного счета 00БП-006633 от 18.12.2019 20:16:13"/>
    <s v="18.12.19"/>
    <n v="0.01"/>
    <m/>
    <m/>
    <d v="2019-12-18T00:00:00"/>
    <n v="2280"/>
    <x v="5"/>
    <x v="12"/>
    <x v="0"/>
    <x v="0"/>
    <m/>
    <m/>
    <m/>
  </r>
  <r>
    <s v="60.02"/>
    <x v="79"/>
    <x v="191"/>
    <m/>
    <m/>
    <n v="68.27"/>
    <m/>
    <m/>
    <d v="1899-12-30T00:00:00"/>
    <n v="46097"/>
    <x v="5"/>
    <x v="12"/>
    <x v="0"/>
    <x v="0"/>
    <m/>
    <m/>
    <m/>
  </r>
  <r>
    <s v="60.02"/>
    <x v="79"/>
    <x v="192"/>
    <s v="Поступление (акт, накладная, УПД) 0000-000139 от 29.02.2016 23:59:59"/>
    <s v="29.02.16"/>
    <n v="799.94"/>
    <m/>
    <m/>
    <d v="2016-02-29T00:00:00"/>
    <n v="3668"/>
    <x v="5"/>
    <x v="12"/>
    <x v="0"/>
    <x v="0"/>
    <m/>
    <m/>
    <m/>
  </r>
  <r>
    <s v="60.02"/>
    <x v="79"/>
    <x v="193"/>
    <s v="Списание с расчетного счета 00БП-005424 от 04.08.2025 21:25:16"/>
    <s v="04.08.25"/>
    <n v="2356.06"/>
    <m/>
    <m/>
    <d v="2025-08-04T00:00:00"/>
    <n v="224"/>
    <x v="3"/>
    <x v="12"/>
    <x v="0"/>
    <x v="0"/>
    <m/>
    <m/>
    <m/>
  </r>
  <r>
    <s v="60.02"/>
    <x v="79"/>
    <x v="193"/>
    <s v="Списание с расчетного счета 00БП-008214 от 05.11.2025 17:01:00"/>
    <s v="05.11.25"/>
    <n v="5000"/>
    <m/>
    <m/>
    <d v="2025-11-05T00:00:00"/>
    <n v="131"/>
    <x v="0"/>
    <x v="12"/>
    <x v="0"/>
    <x v="0"/>
    <m/>
    <m/>
    <m/>
  </r>
  <r>
    <s v="60.02"/>
    <x v="79"/>
    <x v="193"/>
    <s v="Списание с расчетного счета 00БП-000226 от 03.02.2026 14:14:00"/>
    <s v="03.02.26"/>
    <n v="2000"/>
    <m/>
    <m/>
    <d v="2026-02-03T00:00:00"/>
    <n v="41"/>
    <x v="1"/>
    <x v="12"/>
    <x v="0"/>
    <x v="0"/>
    <m/>
    <m/>
    <m/>
  </r>
  <r>
    <s v="60.02"/>
    <x v="79"/>
    <x v="194"/>
    <s v="Списание с расчетного счета 00БП-008914 от 24.11.2025 16:34:06"/>
    <s v="24.11.25"/>
    <n v="800"/>
    <m/>
    <m/>
    <d v="2025-11-24T00:00:00"/>
    <n v="112"/>
    <x v="4"/>
    <x v="12"/>
    <x v="0"/>
    <x v="0"/>
    <m/>
    <m/>
    <m/>
  </r>
  <r>
    <s v="60.02"/>
    <x v="80"/>
    <x v="195"/>
    <s v="Списание с расчетного счета 00БП-006379 от 10.09.2025 18:06:41"/>
    <s v="10.09.25"/>
    <n v="45000"/>
    <m/>
    <m/>
    <d v="2025-09-10T00:00:00"/>
    <n v="187"/>
    <x v="3"/>
    <x v="12"/>
    <x v="0"/>
    <x v="0"/>
    <m/>
    <m/>
    <m/>
  </r>
  <r>
    <s v="60.02"/>
    <x v="81"/>
    <x v="196"/>
    <s v="Списание с расчетного счета 00БП-000703 от 11.03.2026 17:49:59"/>
    <s v="11.03.26"/>
    <n v="411323.77"/>
    <m/>
    <m/>
    <d v="2026-03-11T00:00:00"/>
    <n v="5"/>
    <x v="2"/>
    <x v="12"/>
    <x v="0"/>
    <x v="0"/>
    <m/>
    <m/>
    <m/>
  </r>
  <r>
    <s v="60.02"/>
    <x v="81"/>
    <x v="197"/>
    <s v="Списание с расчетного счета 00БП-000531 от 27.02.2026 17:35:40"/>
    <s v="27.02.26"/>
    <n v="5632282.5"/>
    <m/>
    <m/>
    <d v="2026-02-27T00:00:00"/>
    <n v="17"/>
    <x v="2"/>
    <x v="12"/>
    <x v="0"/>
    <x v="0"/>
    <m/>
    <m/>
    <m/>
  </r>
  <r>
    <s v="60.02"/>
    <x v="82"/>
    <x v="198"/>
    <s v="Списание с расчетного счета 00БП-000258 от 05.02.2026 22:16:17"/>
    <s v="05.02.26"/>
    <n v="1750000"/>
    <m/>
    <m/>
    <d v="2026-02-05T00:00:00"/>
    <n v="39"/>
    <x v="1"/>
    <x v="12"/>
    <x v="0"/>
    <x v="0"/>
    <m/>
    <m/>
    <m/>
  </r>
  <r>
    <s v="60.02"/>
    <x v="82"/>
    <x v="198"/>
    <s v="Списание с расчетного счета 00БП-000530 от 27.02.2026 17:35:39"/>
    <s v="27.02.26"/>
    <n v="1750000"/>
    <m/>
    <m/>
    <d v="2026-02-27T00:00:00"/>
    <n v="17"/>
    <x v="2"/>
    <x v="12"/>
    <x v="0"/>
    <x v="0"/>
    <m/>
    <m/>
    <m/>
  </r>
  <r>
    <s v="60.02"/>
    <x v="83"/>
    <x v="199"/>
    <s v="Списание с расчетного счета 00БП-000103 от 22.01.2026 6:54:23"/>
    <s v="22.01.26"/>
    <n v="9237364.1999999993"/>
    <m/>
    <m/>
    <d v="2026-01-22T00:00:00"/>
    <n v="53"/>
    <x v="1"/>
    <x v="12"/>
    <x v="0"/>
    <x v="0"/>
    <m/>
    <m/>
    <m/>
  </r>
  <r>
    <s v="60.02"/>
    <x v="83"/>
    <x v="200"/>
    <s v="Списание с расчетного счета 00БП-000294 от 11.02.2026 17:01:50"/>
    <s v="11.02.26"/>
    <n v="9237364.1999999993"/>
    <m/>
    <m/>
    <d v="2026-02-11T00:00:00"/>
    <n v="33"/>
    <x v="1"/>
    <x v="12"/>
    <x v="0"/>
    <x v="0"/>
    <m/>
    <m/>
    <m/>
  </r>
  <r>
    <s v="60.02"/>
    <x v="83"/>
    <x v="201"/>
    <s v="Списание с расчетного счета 00БП-008314 от 10.11.2025 19:46:19"/>
    <s v="10.11.25"/>
    <n v="456108"/>
    <m/>
    <m/>
    <d v="2025-11-10T00:00:00"/>
    <n v="126"/>
    <x v="0"/>
    <x v="12"/>
    <x v="0"/>
    <x v="0"/>
    <m/>
    <m/>
    <m/>
  </r>
  <r>
    <s v="60.02"/>
    <x v="84"/>
    <x v="202"/>
    <s v="Списание с расчетного счета 00БП-000193 от 30.01.2026 12:00:05"/>
    <s v="30.01.26"/>
    <n v="2210602"/>
    <m/>
    <m/>
    <d v="2026-01-30T00:00:00"/>
    <n v="45"/>
    <x v="1"/>
    <x v="12"/>
    <x v="0"/>
    <x v="0"/>
    <m/>
    <m/>
    <m/>
  </r>
  <r>
    <s v="60.02"/>
    <x v="84"/>
    <x v="203"/>
    <s v="Списание с расчетного счета 00БП-000238 от 04.02.2026 16:35:17"/>
    <s v="04.02.26"/>
    <n v="20163208.710000001"/>
    <m/>
    <m/>
    <d v="2026-02-04T00:00:00"/>
    <n v="40"/>
    <x v="1"/>
    <x v="12"/>
    <x v="0"/>
    <x v="0"/>
    <m/>
    <m/>
    <m/>
  </r>
  <r>
    <s v="60.02"/>
    <x v="482"/>
    <x v="1417"/>
    <s v="Списание с расчетного счета 00БП-000628 от 05.03.2026 16:11:48"/>
    <s v="05.03.26"/>
    <n v="1048818.73"/>
    <m/>
    <m/>
    <d v="2026-03-05T00:00:00"/>
    <n v="11"/>
    <x v="2"/>
    <x v="12"/>
    <x v="0"/>
    <x v="0"/>
    <m/>
    <m/>
    <m/>
  </r>
  <r>
    <s v="60.02"/>
    <x v="85"/>
    <x v="204"/>
    <s v="Списание с расчетного счета 00БП-007233 от 02.10.2025 17:20:48"/>
    <s v="02.10.25"/>
    <n v="7568"/>
    <m/>
    <m/>
    <d v="2025-10-02T00:00:00"/>
    <n v="165"/>
    <x v="0"/>
    <x v="12"/>
    <x v="0"/>
    <x v="0"/>
    <m/>
    <m/>
    <m/>
  </r>
  <r>
    <s v="60.02"/>
    <x v="86"/>
    <x v="205"/>
    <s v="Списание с расчетного счета 00БП-008774 от 18.11.2025 23:05:16"/>
    <s v="18.11.25"/>
    <n v="9550"/>
    <m/>
    <m/>
    <d v="2025-11-18T00:00:00"/>
    <n v="118"/>
    <x v="4"/>
    <x v="12"/>
    <x v="0"/>
    <x v="0"/>
    <m/>
    <m/>
    <m/>
  </r>
  <r>
    <s v="60.02"/>
    <x v="87"/>
    <x v="206"/>
    <s v="Списание с расчетного счета 00БП-007167 от 30.09.2025 23:59:59"/>
    <s v="30.09.25"/>
    <n v="25035"/>
    <m/>
    <m/>
    <d v="2025-09-30T00:00:00"/>
    <n v="167"/>
    <x v="0"/>
    <x v="12"/>
    <x v="0"/>
    <x v="0"/>
    <m/>
    <m/>
    <m/>
  </r>
  <r>
    <s v="60.02"/>
    <x v="88"/>
    <x v="207"/>
    <s v="Списание с расчетного счета 00БП-002240 от 28.04.2025 18:34:44"/>
    <s v="28.04.25"/>
    <n v="114.79"/>
    <m/>
    <m/>
    <d v="2025-04-28T00:00:00"/>
    <n v="322"/>
    <x v="6"/>
    <x v="12"/>
    <x v="0"/>
    <x v="0"/>
    <m/>
    <m/>
    <m/>
  </r>
  <r>
    <s v="60.02"/>
    <x v="89"/>
    <x v="208"/>
    <s v="Списание с расчетного счета 00БП-000235 от 04.02.2026 16:35:14"/>
    <s v="04.02.26"/>
    <n v="830516.83"/>
    <m/>
    <m/>
    <d v="2026-02-04T00:00:00"/>
    <n v="40"/>
    <x v="1"/>
    <x v="12"/>
    <x v="0"/>
    <x v="0"/>
    <m/>
    <m/>
    <m/>
  </r>
  <r>
    <s v="60.02"/>
    <x v="90"/>
    <x v="209"/>
    <s v="Списание с расчетного счета 00БП-009092 от 05.12.2025 12:00:07"/>
    <s v="05.12.25"/>
    <n v="0.01"/>
    <m/>
    <m/>
    <d v="2025-12-05T00:00:00"/>
    <n v="101"/>
    <x v="4"/>
    <x v="12"/>
    <x v="0"/>
    <x v="0"/>
    <m/>
    <m/>
    <m/>
  </r>
  <r>
    <s v="60.02"/>
    <x v="90"/>
    <x v="73"/>
    <m/>
    <m/>
    <n v="49553"/>
    <m/>
    <m/>
    <d v="1899-12-30T00:00:00"/>
    <n v="46097"/>
    <x v="5"/>
    <x v="12"/>
    <x v="0"/>
    <x v="0"/>
    <m/>
    <m/>
    <m/>
  </r>
  <r>
    <s v="60.02"/>
    <x v="294"/>
    <x v="1418"/>
    <s v="Списание с расчетного счета 00БП-000642 от 06.03.2026 18:53:51"/>
    <s v="06.03.26"/>
    <n v="12119849.550000001"/>
    <m/>
    <m/>
    <d v="2026-03-06T00:00:00"/>
    <n v="10"/>
    <x v="2"/>
    <x v="12"/>
    <x v="0"/>
    <x v="0"/>
    <m/>
    <m/>
    <m/>
  </r>
  <r>
    <s v="60.02"/>
    <x v="294"/>
    <x v="1418"/>
    <s v="Списание с расчетного счета 00БП-000709 от 11.03.2026 17:50:05"/>
    <s v="11.03.26"/>
    <n v="12119849.550000001"/>
    <m/>
    <m/>
    <d v="2026-03-11T00:00:00"/>
    <n v="5"/>
    <x v="2"/>
    <x v="12"/>
    <x v="0"/>
    <x v="0"/>
    <m/>
    <m/>
    <m/>
  </r>
  <r>
    <s v="60.02"/>
    <x v="483"/>
    <x v="1419"/>
    <s v="Списание с расчетного счета 00БП-000656 от 10.03.2026 18:20:33"/>
    <s v="10.03.26"/>
    <n v="50000"/>
    <m/>
    <m/>
    <d v="2026-03-10T00:00:00"/>
    <n v="6"/>
    <x v="2"/>
    <x v="12"/>
    <x v="0"/>
    <x v="0"/>
    <m/>
    <m/>
    <m/>
  </r>
  <r>
    <s v="60.02"/>
    <x v="91"/>
    <x v="210"/>
    <s v="Списание с расчетного счета 00БП-001175 от 01.04.2025 17:50:06"/>
    <s v="01.04.25"/>
    <n v="25739.47"/>
    <m/>
    <m/>
    <d v="2025-04-01T00:00:00"/>
    <n v="349"/>
    <x v="6"/>
    <x v="12"/>
    <x v="0"/>
    <x v="0"/>
    <m/>
    <m/>
    <m/>
  </r>
  <r>
    <s v="60.02"/>
    <x v="92"/>
    <x v="211"/>
    <s v="Списание с расчетного счета 00БП-002041 от 24.04.2025 18:07:53"/>
    <s v="24.04.25"/>
    <n v="231787.21"/>
    <m/>
    <m/>
    <d v="2025-04-24T00:00:00"/>
    <n v="326"/>
    <x v="6"/>
    <x v="12"/>
    <x v="0"/>
    <x v="13"/>
    <m/>
    <m/>
    <m/>
  </r>
  <r>
    <s v="60.02"/>
    <x v="92"/>
    <x v="211"/>
    <s v="Списание с расчетного счета 00БП-000799 от 13.03.2026 17:54:07"/>
    <s v="13.03.26"/>
    <n v="166496.65"/>
    <m/>
    <m/>
    <d v="2026-03-13T00:00:00"/>
    <n v="3"/>
    <x v="2"/>
    <x v="12"/>
    <x v="0"/>
    <x v="13"/>
    <m/>
    <m/>
    <m/>
  </r>
  <r>
    <s v="60.02"/>
    <x v="92"/>
    <x v="212"/>
    <s v="Списание с расчетного счета 00БП-008010 от 28.10.2025 17:26:32"/>
    <s v="28.10.25"/>
    <n v="1109648.04"/>
    <m/>
    <m/>
    <d v="2025-10-28T00:00:00"/>
    <n v="139"/>
    <x v="0"/>
    <x v="12"/>
    <x v="0"/>
    <x v="13"/>
    <m/>
    <m/>
    <m/>
  </r>
  <r>
    <s v="60.02"/>
    <x v="92"/>
    <x v="212"/>
    <s v="Списание с расчетного счета 00БП-008883 от 21.11.2025 18:51:10"/>
    <s v="21.11.25"/>
    <n v="623307.19999999995"/>
    <m/>
    <m/>
    <d v="2025-11-21T00:00:00"/>
    <n v="115"/>
    <x v="4"/>
    <x v="12"/>
    <x v="0"/>
    <x v="13"/>
    <m/>
    <m/>
    <m/>
  </r>
  <r>
    <s v="60.02"/>
    <x v="92"/>
    <x v="212"/>
    <s v="Списание с расчетного счета 00БП-000795 от 13.03.2026 17:54:03"/>
    <s v="13.03.26"/>
    <n v="90513.19"/>
    <m/>
    <m/>
    <d v="2026-03-13T00:00:00"/>
    <n v="3"/>
    <x v="2"/>
    <x v="12"/>
    <x v="0"/>
    <x v="13"/>
    <m/>
    <m/>
    <m/>
  </r>
  <r>
    <s v="60.02"/>
    <x v="92"/>
    <x v="212"/>
    <s v="Списание с расчетного счета 00БП-000796 от 13.03.2026 17:54:04"/>
    <s v="13.03.26"/>
    <n v="104725.24"/>
    <m/>
    <m/>
    <d v="2026-03-13T00:00:00"/>
    <n v="3"/>
    <x v="2"/>
    <x v="12"/>
    <x v="0"/>
    <x v="13"/>
    <m/>
    <m/>
    <m/>
  </r>
  <r>
    <s v="60.02"/>
    <x v="92"/>
    <x v="212"/>
    <s v="Списание с расчетного счета 00БП-000802 от 13.03.2026 17:54:10"/>
    <s v="13.03.26"/>
    <n v="853438.38"/>
    <m/>
    <m/>
    <d v="2026-03-13T00:00:00"/>
    <n v="3"/>
    <x v="2"/>
    <x v="12"/>
    <x v="0"/>
    <x v="13"/>
    <m/>
    <m/>
    <m/>
  </r>
  <r>
    <s v="60.02"/>
    <x v="92"/>
    <x v="213"/>
    <s v="Списание с расчетного счета 00БП-000186 от 29.01.2026 11:53:17"/>
    <s v="29.01.26"/>
    <n v="662388"/>
    <m/>
    <m/>
    <d v="2026-01-29T00:00:00"/>
    <n v="46"/>
    <x v="1"/>
    <x v="12"/>
    <x v="0"/>
    <x v="13"/>
    <m/>
    <m/>
    <m/>
  </r>
  <r>
    <s v="60.02"/>
    <x v="92"/>
    <x v="214"/>
    <s v="Списание с расчетного счета 00БП-007752 от 17.10.2025 19:36:09"/>
    <s v="17.10.25"/>
    <n v="140313"/>
    <m/>
    <m/>
    <d v="2025-10-17T00:00:00"/>
    <n v="150"/>
    <x v="0"/>
    <x v="12"/>
    <x v="0"/>
    <x v="13"/>
    <m/>
    <m/>
    <m/>
  </r>
  <r>
    <s v="60.02"/>
    <x v="92"/>
    <x v="215"/>
    <s v="Списание с расчетного счета 00БП-006363 от 19.10.2023 17:19:29"/>
    <s v="19.10.23"/>
    <n v="172161"/>
    <m/>
    <m/>
    <d v="2023-10-19T00:00:00"/>
    <n v="879"/>
    <x v="5"/>
    <x v="12"/>
    <x v="0"/>
    <x v="13"/>
    <m/>
    <m/>
    <m/>
  </r>
  <r>
    <s v="60.02"/>
    <x v="92"/>
    <x v="216"/>
    <s v="Списание с расчетного счета 00БП-007634 от 13.10.2025 18:15:51"/>
    <s v="13.10.25"/>
    <n v="1192763"/>
    <m/>
    <m/>
    <d v="2025-10-13T00:00:00"/>
    <n v="154"/>
    <x v="0"/>
    <x v="12"/>
    <x v="0"/>
    <x v="13"/>
    <m/>
    <m/>
    <m/>
  </r>
  <r>
    <s v="60.02"/>
    <x v="92"/>
    <x v="217"/>
    <s v="Списание с расчетного счета 00БП-007632 от 13.10.2025 18:15:49"/>
    <s v="13.10.25"/>
    <n v="546480"/>
    <m/>
    <m/>
    <d v="2025-10-13T00:00:00"/>
    <n v="154"/>
    <x v="0"/>
    <x v="12"/>
    <x v="0"/>
    <x v="13"/>
    <m/>
    <m/>
    <m/>
  </r>
  <r>
    <s v="60.02"/>
    <x v="93"/>
    <x v="218"/>
    <s v="Списание с расчетного счета 00БП-008787 от 18.11.2025 23:05:29"/>
    <s v="18.11.25"/>
    <n v="876000"/>
    <m/>
    <m/>
    <d v="2025-11-18T00:00:00"/>
    <n v="118"/>
    <x v="4"/>
    <x v="12"/>
    <x v="0"/>
    <x v="0"/>
    <m/>
    <m/>
    <m/>
  </r>
  <r>
    <s v="60.02"/>
    <x v="94"/>
    <x v="219"/>
    <s v="Списание с расчетного счета 00БП-000383 от 16.02.2026 17:22:07"/>
    <s v="16.02.26"/>
    <n v="344584"/>
    <m/>
    <m/>
    <d v="2026-02-16T00:00:00"/>
    <n v="28"/>
    <x v="2"/>
    <x v="12"/>
    <x v="0"/>
    <x v="0"/>
    <m/>
    <m/>
    <m/>
  </r>
  <r>
    <s v="60.02"/>
    <x v="95"/>
    <x v="220"/>
    <s v="Списание с расчетного счета 00БП-000089 от 21.01.2026 11:45:49"/>
    <s v="21.01.26"/>
    <n v="500000"/>
    <m/>
    <m/>
    <d v="2026-01-21T00:00:00"/>
    <n v="54"/>
    <x v="1"/>
    <x v="12"/>
    <x v="0"/>
    <x v="0"/>
    <m/>
    <m/>
    <m/>
  </r>
  <r>
    <s v="60.02"/>
    <x v="96"/>
    <x v="1420"/>
    <s v="Списание с расчетного счета 00БП-009117 от 08.12.2025 1:54:01"/>
    <s v="08.12.25"/>
    <n v="129919697.09999999"/>
    <m/>
    <m/>
    <d v="2025-12-08T00:00:00"/>
    <n v="98"/>
    <x v="4"/>
    <x v="12"/>
    <x v="0"/>
    <x v="0"/>
    <m/>
    <m/>
    <m/>
  </r>
  <r>
    <s v="60.02"/>
    <x v="97"/>
    <x v="222"/>
    <s v="Списание с расчетного счета 00БП-009233 от 18.12.2025 17:20:47"/>
    <s v="18.12.25"/>
    <n v="236250"/>
    <m/>
    <m/>
    <d v="2025-12-18T00:00:00"/>
    <n v="88"/>
    <x v="1"/>
    <x v="12"/>
    <x v="0"/>
    <x v="0"/>
    <d v="2026-03-18T00:00:00"/>
    <m/>
    <m/>
  </r>
  <r>
    <s v="60.02"/>
    <x v="97"/>
    <x v="223"/>
    <s v="Списание с расчетного счета 00БП-003511 от 09.06.2025 17:56:00"/>
    <s v="09.06.25"/>
    <n v="1181250"/>
    <m/>
    <m/>
    <d v="2025-06-09T00:00:00"/>
    <n v="280"/>
    <x v="6"/>
    <x v="12"/>
    <x v="0"/>
    <x v="0"/>
    <d v="2026-03-18T00:00:00"/>
    <m/>
    <m/>
  </r>
  <r>
    <s v="60.02"/>
    <x v="97"/>
    <x v="223"/>
    <s v="Списание с расчетного счета 00БП-009158 от 11.12.2025 10:37:33"/>
    <s v="11.12.25"/>
    <n v="236250"/>
    <m/>
    <m/>
    <d v="2025-12-11T00:00:00"/>
    <n v="95"/>
    <x v="4"/>
    <x v="12"/>
    <x v="0"/>
    <x v="0"/>
    <d v="2026-03-18T00:00:00"/>
    <m/>
    <m/>
  </r>
  <r>
    <s v="60.02"/>
    <x v="347"/>
    <x v="1421"/>
    <s v="Списание с расчетного счета 00БП-000587 от 03.03.2026 17:44:39"/>
    <s v="03.03.26"/>
    <n v="1419480"/>
    <m/>
    <m/>
    <d v="2026-03-03T00:00:00"/>
    <n v="13"/>
    <x v="2"/>
    <x v="12"/>
    <x v="0"/>
    <x v="0"/>
    <m/>
    <m/>
    <m/>
  </r>
  <r>
    <s v="60.02"/>
    <x v="98"/>
    <x v="224"/>
    <s v="Списание с расчетного счета 00БП-002981 от 22.05.2025 18:45:24"/>
    <s v="22.05.25"/>
    <n v="6869.56"/>
    <m/>
    <m/>
    <d v="2025-05-22T00:00:00"/>
    <n v="298"/>
    <x v="6"/>
    <x v="12"/>
    <x v="0"/>
    <x v="8"/>
    <m/>
    <m/>
    <m/>
  </r>
  <r>
    <s v="60.02"/>
    <x v="98"/>
    <x v="225"/>
    <s v="Списание с расчетного счета 00БП-002894 от 19.05.2025 18:19:38"/>
    <s v="19.05.25"/>
    <n v="16930"/>
    <m/>
    <m/>
    <d v="2025-05-19T00:00:00"/>
    <n v="301"/>
    <x v="6"/>
    <x v="12"/>
    <x v="0"/>
    <x v="8"/>
    <m/>
    <m/>
    <m/>
  </r>
  <r>
    <s v="60.02"/>
    <x v="98"/>
    <x v="226"/>
    <s v="Списание с расчетного счета 00БП-006181 от 06.09.2024 17:41:01"/>
    <s v="06.09.24"/>
    <n v="2163.48"/>
    <m/>
    <m/>
    <d v="2024-09-06T00:00:00"/>
    <n v="556"/>
    <x v="5"/>
    <x v="12"/>
    <x v="0"/>
    <x v="8"/>
    <m/>
    <m/>
    <m/>
  </r>
  <r>
    <s v="60.02"/>
    <x v="98"/>
    <x v="227"/>
    <s v="Списание с расчетного счета 00БП-002958 от 21.05.2025 20:10:49"/>
    <s v="21.05.25"/>
    <n v="35983.96"/>
    <m/>
    <m/>
    <d v="2025-05-21T00:00:00"/>
    <n v="299"/>
    <x v="6"/>
    <x v="12"/>
    <x v="0"/>
    <x v="8"/>
    <m/>
    <m/>
    <m/>
  </r>
  <r>
    <s v="60.02"/>
    <x v="98"/>
    <x v="228"/>
    <s v="Списание с расчетного счета 00БП-004340 от 01.07.2025 20:38:11"/>
    <s v="01.07.25"/>
    <n v="3413.74"/>
    <m/>
    <m/>
    <d v="2025-07-01T00:00:00"/>
    <n v="258"/>
    <x v="3"/>
    <x v="12"/>
    <x v="0"/>
    <x v="8"/>
    <m/>
    <m/>
    <m/>
  </r>
  <r>
    <s v="60.02"/>
    <x v="99"/>
    <x v="229"/>
    <s v="Списание с расчетного счета 00БП-009287 от 25.12.2025 12:00:11"/>
    <s v="25.12.25"/>
    <n v="2223000"/>
    <m/>
    <m/>
    <d v="2025-12-25T00:00:00"/>
    <n v="81"/>
    <x v="1"/>
    <x v="12"/>
    <x v="0"/>
    <x v="0"/>
    <m/>
    <m/>
    <m/>
  </r>
  <r>
    <s v="60.02"/>
    <x v="99"/>
    <x v="229"/>
    <s v="Списание с расчетного счета 00БП-000275 от 09.02.2026 16:00:03"/>
    <s v="09.02.26"/>
    <n v="123500"/>
    <m/>
    <m/>
    <d v="2026-02-09T00:00:00"/>
    <n v="35"/>
    <x v="1"/>
    <x v="12"/>
    <x v="0"/>
    <x v="0"/>
    <m/>
    <m/>
    <m/>
  </r>
  <r>
    <s v="60.02"/>
    <x v="99"/>
    <x v="229"/>
    <s v="Списание с расчетного счета 00БП-000276 от 09.02.2026 16:00:04"/>
    <s v="09.02.26"/>
    <n v="5187000"/>
    <m/>
    <m/>
    <d v="2026-02-09T00:00:00"/>
    <n v="35"/>
    <x v="1"/>
    <x v="12"/>
    <x v="0"/>
    <x v="0"/>
    <m/>
    <m/>
    <m/>
  </r>
  <r>
    <s v="60.02"/>
    <x v="100"/>
    <x v="1422"/>
    <s v="Списание с расчетного счета 00БП-000653 от 10.03.2026 18:20:30"/>
    <s v="10.03.26"/>
    <n v="14233"/>
    <m/>
    <m/>
    <d v="2026-03-10T00:00:00"/>
    <n v="6"/>
    <x v="2"/>
    <x v="12"/>
    <x v="0"/>
    <x v="0"/>
    <m/>
    <m/>
    <m/>
  </r>
  <r>
    <s v="60.02"/>
    <x v="100"/>
    <x v="1422"/>
    <s v="Списание с расчетного счета 00БП-000658 от 10.03.2026 18:20:35"/>
    <s v="10.03.26"/>
    <n v="135434"/>
    <m/>
    <m/>
    <d v="2026-03-10T00:00:00"/>
    <n v="6"/>
    <x v="2"/>
    <x v="12"/>
    <x v="0"/>
    <x v="0"/>
    <m/>
    <m/>
    <m/>
  </r>
  <r>
    <s v="60.02"/>
    <x v="100"/>
    <x v="230"/>
    <s v="Списание с расчетного счета 00БП-007569 от 15.10.2024 19:25:20"/>
    <s v="15.10.24"/>
    <n v="2798.49"/>
    <m/>
    <m/>
    <d v="2024-10-15T00:00:00"/>
    <n v="517"/>
    <x v="5"/>
    <x v="12"/>
    <x v="0"/>
    <x v="0"/>
    <m/>
    <m/>
    <m/>
  </r>
  <r>
    <s v="60.02"/>
    <x v="101"/>
    <x v="231"/>
    <s v="Списание с расчетного счета 00БП-000293 от 11.02.2026 17:01:49"/>
    <s v="11.02.26"/>
    <n v="2778000"/>
    <m/>
    <m/>
    <d v="2026-02-11T00:00:00"/>
    <n v="33"/>
    <x v="1"/>
    <x v="12"/>
    <x v="0"/>
    <x v="0"/>
    <m/>
    <m/>
    <m/>
  </r>
  <r>
    <s v="60.02"/>
    <x v="102"/>
    <x v="232"/>
    <s v="Списание с расчетного счета 00БП-000234 от 04.02.2026 16:35:13"/>
    <s v="04.02.26"/>
    <n v="130000"/>
    <m/>
    <m/>
    <d v="2026-02-04T00:00:00"/>
    <n v="40"/>
    <x v="1"/>
    <x v="12"/>
    <x v="0"/>
    <x v="0"/>
    <m/>
    <m/>
    <m/>
  </r>
  <r>
    <s v="60.02"/>
    <x v="102"/>
    <x v="1423"/>
    <s v="Списание с расчетного счета 00БП-000557 от 02.03.2026 18:40:22"/>
    <s v="02.03.26"/>
    <n v="402560.21"/>
    <m/>
    <m/>
    <d v="2026-03-02T00:00:00"/>
    <n v="14"/>
    <x v="2"/>
    <x v="12"/>
    <x v="0"/>
    <x v="0"/>
    <m/>
    <m/>
    <m/>
  </r>
  <r>
    <s v="60.02"/>
    <x v="102"/>
    <x v="1424"/>
    <s v="Списание с расчетного счета 00БП-000698 от 11.03.2026 17:49:54"/>
    <s v="11.03.26"/>
    <n v="187190.33"/>
    <m/>
    <m/>
    <d v="2026-03-11T00:00:00"/>
    <n v="5"/>
    <x v="2"/>
    <x v="12"/>
    <x v="0"/>
    <x v="0"/>
    <m/>
    <m/>
    <m/>
  </r>
  <r>
    <s v="60.02"/>
    <x v="104"/>
    <x v="234"/>
    <s v="Списание с расчетного счета 00БП-003058 от 26.05.2025 22:23:12"/>
    <s v="26.05.25"/>
    <n v="0.3"/>
    <m/>
    <m/>
    <d v="2025-05-26T00:00:00"/>
    <n v="294"/>
    <x v="6"/>
    <x v="12"/>
    <x v="0"/>
    <x v="0"/>
    <m/>
    <m/>
    <m/>
  </r>
  <r>
    <s v="60.02"/>
    <x v="105"/>
    <x v="235"/>
    <s v="Списание с расчетного счета 00БП-001305 от 04.04.2025 19:33:54"/>
    <s v="04.04.25"/>
    <n v="1425"/>
    <m/>
    <m/>
    <d v="2025-04-04T00:00:00"/>
    <n v="346"/>
    <x v="6"/>
    <x v="12"/>
    <x v="0"/>
    <x v="14"/>
    <m/>
    <m/>
    <m/>
  </r>
  <r>
    <s v="60.02"/>
    <x v="106"/>
    <x v="236"/>
    <s v="Корректировка поступления 00БП-000016 от 17.06.2025 17:44:56"/>
    <s v="17.06.25"/>
    <n v="163072"/>
    <m/>
    <m/>
    <d v="2025-06-17T00:00:00"/>
    <n v="272"/>
    <x v="6"/>
    <x v="12"/>
    <x v="0"/>
    <x v="2"/>
    <m/>
    <m/>
    <m/>
  </r>
  <r>
    <s v="60.02"/>
    <x v="107"/>
    <x v="237"/>
    <s v="Списание с расчетного счета 00БП-005899 от 19.08.2025 21:00:42"/>
    <s v="19.08.25"/>
    <n v="11240"/>
    <m/>
    <m/>
    <d v="2025-08-19T00:00:00"/>
    <n v="209"/>
    <x v="3"/>
    <x v="12"/>
    <x v="0"/>
    <x v="0"/>
    <m/>
    <m/>
    <m/>
  </r>
  <r>
    <s v="60.02"/>
    <x v="463"/>
    <x v="1425"/>
    <s v="Списание с расчетного счета 00БП-000663 от 10.03.2026 18:20:40"/>
    <s v="10.03.26"/>
    <n v="363721.16"/>
    <m/>
    <m/>
    <d v="2026-03-10T00:00:00"/>
    <n v="6"/>
    <x v="2"/>
    <x v="12"/>
    <x v="0"/>
    <x v="0"/>
    <m/>
    <m/>
    <m/>
  </r>
  <r>
    <s v="60.02"/>
    <x v="109"/>
    <x v="239"/>
    <s v="Списание с расчетного счета 00БП-006900 от 03.11.2022 17:21:29"/>
    <s v="03.11.22"/>
    <n v="196.02"/>
    <m/>
    <m/>
    <d v="2022-11-03T00:00:00"/>
    <n v="1229"/>
    <x v="5"/>
    <x v="12"/>
    <x v="0"/>
    <x v="8"/>
    <m/>
    <m/>
    <m/>
  </r>
  <r>
    <s v="60.02"/>
    <x v="110"/>
    <x v="240"/>
    <s v="Списание с расчетного счета 00БП-000406 от 18.02.2026 12:00:08"/>
    <s v="18.02.26"/>
    <n v="1819352.97"/>
    <m/>
    <m/>
    <d v="2026-02-18T00:00:00"/>
    <n v="26"/>
    <x v="2"/>
    <x v="12"/>
    <x v="0"/>
    <x v="0"/>
    <m/>
    <m/>
    <m/>
  </r>
  <r>
    <s v="60.02"/>
    <x v="234"/>
    <x v="1426"/>
    <s v="Списание с расчетного счета 00БП-000800 от 13.03.2026 17:54:08"/>
    <s v="13.03.26"/>
    <n v="189588"/>
    <m/>
    <m/>
    <d v="2026-03-13T00:00:00"/>
    <n v="3"/>
    <x v="2"/>
    <x v="12"/>
    <x v="0"/>
    <x v="0"/>
    <m/>
    <m/>
    <m/>
  </r>
  <r>
    <s v="60.02"/>
    <x v="111"/>
    <x v="241"/>
    <s v="Списание с расчетного счета 00БП-000218 от 03.02.2026 14:13:50"/>
    <s v="03.02.26"/>
    <n v="12083389.800000001"/>
    <m/>
    <m/>
    <d v="2026-02-03T00:00:00"/>
    <n v="41"/>
    <x v="1"/>
    <x v="12"/>
    <x v="0"/>
    <x v="0"/>
    <m/>
    <m/>
    <m/>
  </r>
  <r>
    <s v="60.02"/>
    <x v="111"/>
    <x v="242"/>
    <s v="Списание с расчетного счета 00БП-000236 от 04.02.2026 16:35:15"/>
    <s v="04.02.26"/>
    <n v="1446946.5"/>
    <m/>
    <m/>
    <d v="2026-02-04T00:00:00"/>
    <n v="40"/>
    <x v="1"/>
    <x v="12"/>
    <x v="0"/>
    <x v="0"/>
    <m/>
    <m/>
    <m/>
  </r>
  <r>
    <s v="60.02"/>
    <x v="111"/>
    <x v="243"/>
    <s v="Списание с расчетного счета 00БП-000324 от 12.02.2026 15:36:55"/>
    <s v="12.02.26"/>
    <n v="895000"/>
    <m/>
    <m/>
    <d v="2026-02-12T00:00:00"/>
    <n v="32"/>
    <x v="1"/>
    <x v="12"/>
    <x v="0"/>
    <x v="0"/>
    <m/>
    <m/>
    <m/>
  </r>
  <r>
    <s v="60.02"/>
    <x v="112"/>
    <x v="245"/>
    <s v="Списание с расчетного счета 00БП-007146 от 24.11.2022 12:50:24"/>
    <s v="24.11.22"/>
    <n v="650"/>
    <m/>
    <m/>
    <d v="2022-11-24T00:00:00"/>
    <n v="1208"/>
    <x v="5"/>
    <x v="12"/>
    <x v="0"/>
    <x v="8"/>
    <m/>
    <m/>
    <m/>
  </r>
  <r>
    <s v="60.02"/>
    <x v="114"/>
    <x v="247"/>
    <s v="Списание с расчетного счета 00БП-005942 от 21.08.2025 17:24:54"/>
    <s v="21.08.25"/>
    <n v="1117.75"/>
    <m/>
    <m/>
    <d v="2025-08-21T00:00:00"/>
    <n v="207"/>
    <x v="3"/>
    <x v="12"/>
    <x v="0"/>
    <x v="0"/>
    <m/>
    <m/>
    <m/>
  </r>
  <r>
    <s v="60.02"/>
    <x v="115"/>
    <x v="248"/>
    <s v="Списание с расчетного счета 00БП-003974 от 19.06.2025 19:28:37"/>
    <s v="19.06.25"/>
    <n v="8840"/>
    <m/>
    <m/>
    <d v="2025-06-19T00:00:00"/>
    <n v="270"/>
    <x v="3"/>
    <x v="12"/>
    <x v="0"/>
    <x v="0"/>
    <m/>
    <m/>
    <m/>
  </r>
  <r>
    <s v="60.02"/>
    <x v="115"/>
    <x v="1427"/>
    <s v="Списание с расчетного счета 00БП-000556 от 02.03.2026 18:40:21"/>
    <s v="02.03.26"/>
    <n v="385000"/>
    <m/>
    <m/>
    <d v="2026-03-02T00:00:00"/>
    <n v="14"/>
    <x v="2"/>
    <x v="12"/>
    <x v="0"/>
    <x v="0"/>
    <m/>
    <m/>
    <m/>
  </r>
  <r>
    <s v="60.02"/>
    <x v="115"/>
    <x v="249"/>
    <s v="Списание с расчетного счета 00БП-000283 от 10.02.2026 17:01:18"/>
    <s v="10.02.26"/>
    <n v="192230"/>
    <m/>
    <m/>
    <d v="2026-02-10T00:00:00"/>
    <n v="34"/>
    <x v="1"/>
    <x v="12"/>
    <x v="0"/>
    <x v="0"/>
    <m/>
    <m/>
    <m/>
  </r>
  <r>
    <s v="60.02"/>
    <x v="115"/>
    <x v="250"/>
    <s v="Списание с расчетного счета 00БП-000352 от 13.02.2026 17:04:21"/>
    <s v="13.02.26"/>
    <n v="850000"/>
    <m/>
    <m/>
    <d v="2026-02-13T00:00:00"/>
    <n v="31"/>
    <x v="1"/>
    <x v="12"/>
    <x v="0"/>
    <x v="0"/>
    <m/>
    <m/>
    <m/>
  </r>
  <r>
    <s v="60.02"/>
    <x v="115"/>
    <x v="251"/>
    <s v="Списание с расчетного счета 00БП-000351 от 13.02.2026 17:04:20"/>
    <s v="13.02.26"/>
    <n v="850000"/>
    <m/>
    <m/>
    <d v="2026-02-13T00:00:00"/>
    <n v="31"/>
    <x v="1"/>
    <x v="12"/>
    <x v="0"/>
    <x v="0"/>
    <m/>
    <m/>
    <m/>
  </r>
  <r>
    <s v="60.02"/>
    <x v="115"/>
    <x v="252"/>
    <s v="Списание с расчетного счета 00БП-000404 от 18.02.2026 12:00:06"/>
    <s v="18.02.26"/>
    <n v="850000"/>
    <m/>
    <m/>
    <d v="2026-02-18T00:00:00"/>
    <n v="26"/>
    <x v="2"/>
    <x v="12"/>
    <x v="0"/>
    <x v="0"/>
    <m/>
    <m/>
    <m/>
  </r>
  <r>
    <s v="60.02"/>
    <x v="115"/>
    <x v="253"/>
    <s v="Списание с расчетного счета 00БП-000445 от 24.02.2026 17:53:01"/>
    <s v="24.02.26"/>
    <n v="850000"/>
    <m/>
    <m/>
    <d v="2026-02-24T00:00:00"/>
    <n v="20"/>
    <x v="2"/>
    <x v="12"/>
    <x v="0"/>
    <x v="0"/>
    <m/>
    <m/>
    <m/>
  </r>
  <r>
    <s v="60.02"/>
    <x v="115"/>
    <x v="254"/>
    <s v="Списание с расчетного счета 00БП-006898 от 24.09.2025 18:36:00"/>
    <s v="24.09.25"/>
    <n v="56500"/>
    <m/>
    <m/>
    <d v="2025-09-24T00:00:00"/>
    <n v="173"/>
    <x v="0"/>
    <x v="12"/>
    <x v="0"/>
    <x v="0"/>
    <m/>
    <m/>
    <m/>
  </r>
  <r>
    <s v="60.02"/>
    <x v="115"/>
    <x v="1428"/>
    <s v="Списание с расчетного счета 00БП-000609 от 04.03.2026 19:04:50"/>
    <s v="04.03.26"/>
    <n v="1530000"/>
    <m/>
    <m/>
    <d v="2026-03-04T00:00:00"/>
    <n v="12"/>
    <x v="2"/>
    <x v="12"/>
    <x v="0"/>
    <x v="0"/>
    <m/>
    <m/>
    <m/>
  </r>
  <r>
    <s v="60.02"/>
    <x v="115"/>
    <x v="255"/>
    <s v="Списание с расчетного счета 00БП-008458 от 14.11.2025 15:50:55"/>
    <s v="14.11.25"/>
    <n v="500000"/>
    <m/>
    <m/>
    <d v="2025-11-14T00:00:00"/>
    <n v="122"/>
    <x v="0"/>
    <x v="12"/>
    <x v="0"/>
    <x v="0"/>
    <m/>
    <m/>
    <m/>
  </r>
  <r>
    <s v="60.02"/>
    <x v="115"/>
    <x v="256"/>
    <s v="Списание с расчетного счета 00БП-008863 от 20.11.2025 17:08:38"/>
    <s v="20.11.25"/>
    <n v="132000"/>
    <m/>
    <m/>
    <d v="2025-11-20T00:00:00"/>
    <n v="116"/>
    <x v="4"/>
    <x v="12"/>
    <x v="0"/>
    <x v="0"/>
    <m/>
    <m/>
    <m/>
  </r>
  <r>
    <s v="60.02"/>
    <x v="115"/>
    <x v="257"/>
    <s v="Списание с расчетного счета 00БП-009199 от 15.12.2025 12:52:28"/>
    <s v="15.12.25"/>
    <n v="36000"/>
    <m/>
    <m/>
    <d v="2025-12-15T00:00:00"/>
    <n v="91"/>
    <x v="4"/>
    <x v="12"/>
    <x v="0"/>
    <x v="0"/>
    <m/>
    <m/>
    <m/>
  </r>
  <r>
    <s v="60.02"/>
    <x v="115"/>
    <x v="1429"/>
    <s v="Списание с расчетного счета 00БП-000664 от 10.03.2026 18:20:41"/>
    <s v="10.03.26"/>
    <n v="1530000"/>
    <m/>
    <m/>
    <d v="2026-03-10T00:00:00"/>
    <n v="6"/>
    <x v="2"/>
    <x v="12"/>
    <x v="0"/>
    <x v="0"/>
    <m/>
    <m/>
    <m/>
  </r>
  <r>
    <s v="60.02"/>
    <x v="115"/>
    <x v="1430"/>
    <s v="Списание с расчетного счета 00БП-000783 от 12.03.2026 17:24:39"/>
    <s v="12.03.26"/>
    <n v="1480000"/>
    <m/>
    <m/>
    <d v="2026-03-12T00:00:00"/>
    <n v="4"/>
    <x v="2"/>
    <x v="12"/>
    <x v="0"/>
    <x v="0"/>
    <m/>
    <m/>
    <m/>
  </r>
  <r>
    <s v="60.02"/>
    <x v="115"/>
    <x v="1431"/>
    <s v="Списание с расчетного счета 00БП-000782 от 12.03.2026 17:24:38"/>
    <s v="12.03.26"/>
    <n v="1480000"/>
    <m/>
    <m/>
    <d v="2026-03-12T00:00:00"/>
    <n v="4"/>
    <x v="2"/>
    <x v="12"/>
    <x v="0"/>
    <x v="0"/>
    <m/>
    <m/>
    <m/>
  </r>
  <r>
    <s v="60.02"/>
    <x v="115"/>
    <x v="1432"/>
    <s v="Списание с расчетного счета 00БП-000784 от 12.03.2026 17:24:40"/>
    <s v="12.03.26"/>
    <n v="1520000"/>
    <m/>
    <m/>
    <d v="2026-03-12T00:00:00"/>
    <n v="4"/>
    <x v="2"/>
    <x v="12"/>
    <x v="0"/>
    <x v="0"/>
    <m/>
    <m/>
    <m/>
  </r>
  <r>
    <s v="60.02"/>
    <x v="116"/>
    <x v="258"/>
    <s v="Списание с расчетного счета 00БП-003861 от 16.06.2025 18:31:26"/>
    <s v="16.06.25"/>
    <n v="1.8"/>
    <m/>
    <m/>
    <d v="2025-06-16T00:00:00"/>
    <n v="273"/>
    <x v="6"/>
    <x v="12"/>
    <x v="0"/>
    <x v="0"/>
    <m/>
    <m/>
    <m/>
  </r>
  <r>
    <s v="60.02"/>
    <x v="117"/>
    <x v="259"/>
    <s v="Списание с расчетного счета 00БП-000262 от 05.02.2026 22:16:21"/>
    <s v="05.02.26"/>
    <n v="21362245.34"/>
    <m/>
    <m/>
    <d v="2026-02-05T00:00:00"/>
    <n v="39"/>
    <x v="1"/>
    <x v="12"/>
    <x v="0"/>
    <x v="0"/>
    <m/>
    <m/>
    <m/>
  </r>
  <r>
    <s v="60.02"/>
    <x v="117"/>
    <x v="1433"/>
    <s v="Списание с расчетного счета 00БП-000589 от 03.03.2026 17:44:41"/>
    <s v="03.03.26"/>
    <n v="4773790.7300000004"/>
    <m/>
    <m/>
    <d v="2026-03-03T00:00:00"/>
    <n v="13"/>
    <x v="2"/>
    <x v="12"/>
    <x v="0"/>
    <x v="0"/>
    <m/>
    <m/>
    <m/>
  </r>
  <r>
    <s v="60.02"/>
    <x v="118"/>
    <x v="260"/>
    <s v="Списание с расчетного счета 00БП-006932 от 25.09.2025 17:23:28"/>
    <s v="25.09.25"/>
    <n v="21420"/>
    <m/>
    <m/>
    <d v="2025-09-25T00:00:00"/>
    <n v="172"/>
    <x v="0"/>
    <x v="12"/>
    <x v="0"/>
    <x v="0"/>
    <m/>
    <m/>
    <m/>
  </r>
  <r>
    <s v="60.02"/>
    <x v="118"/>
    <x v="261"/>
    <s v="Списание с расчетного счета 00БП-006934 от 25.09.2025 17:23:30"/>
    <s v="25.09.25"/>
    <n v="26000"/>
    <m/>
    <m/>
    <d v="2025-09-25T00:00:00"/>
    <n v="172"/>
    <x v="0"/>
    <x v="12"/>
    <x v="0"/>
    <x v="0"/>
    <m/>
    <m/>
    <m/>
  </r>
  <r>
    <s v="60.02"/>
    <x v="119"/>
    <x v="262"/>
    <s v="Списание с расчетного счета 00БП-005868 от 01.10.2023 17:17:54"/>
    <s v="01.10.23"/>
    <n v="11834"/>
    <m/>
    <m/>
    <d v="2023-10-01T00:00:00"/>
    <n v="897"/>
    <x v="5"/>
    <x v="12"/>
    <x v="0"/>
    <x v="8"/>
    <m/>
    <m/>
    <m/>
  </r>
  <r>
    <s v="60.02"/>
    <x v="120"/>
    <x v="263"/>
    <s v="Списание с расчетного счета 00БП-000212 от 03.02.2026 14:13:44"/>
    <s v="03.02.26"/>
    <n v="47390"/>
    <m/>
    <m/>
    <d v="2026-02-03T00:00:00"/>
    <n v="41"/>
    <x v="1"/>
    <x v="12"/>
    <x v="0"/>
    <x v="0"/>
    <m/>
    <m/>
    <m/>
  </r>
  <r>
    <s v="60.02"/>
    <x v="121"/>
    <x v="264"/>
    <s v="Списание с расчетного счета 00БП-000148 от 28.01.2026 12:00:04"/>
    <s v="28.01.26"/>
    <n v="157500"/>
    <m/>
    <m/>
    <d v="2026-01-28T00:00:00"/>
    <n v="47"/>
    <x v="1"/>
    <x v="12"/>
    <x v="0"/>
    <x v="0"/>
    <m/>
    <m/>
    <m/>
  </r>
  <r>
    <s v="60.02"/>
    <x v="122"/>
    <x v="265"/>
    <s v="Списание с расчетного счета 00БП-005897 от 19.08.2025 21:00:40"/>
    <s v="19.08.25"/>
    <n v="3000"/>
    <m/>
    <m/>
    <d v="2025-08-19T00:00:00"/>
    <n v="209"/>
    <x v="3"/>
    <x v="12"/>
    <x v="0"/>
    <x v="0"/>
    <m/>
    <m/>
    <m/>
  </r>
  <r>
    <s v="60.02"/>
    <x v="122"/>
    <x v="266"/>
    <s v="Списание с расчетного счета 00БП-003521 от 03.07.2023 19:02:19"/>
    <s v="03.07.23"/>
    <n v="9250"/>
    <m/>
    <m/>
    <d v="2023-07-03T00:00:00"/>
    <n v="987"/>
    <x v="5"/>
    <x v="12"/>
    <x v="0"/>
    <x v="8"/>
    <m/>
    <m/>
    <m/>
  </r>
  <r>
    <s v="60.02"/>
    <x v="122"/>
    <x v="267"/>
    <s v="Списание с расчетного счета 00БП-005527 от 18.09.2023 19:05:35"/>
    <s v="18.09.23"/>
    <n v="4996"/>
    <m/>
    <m/>
    <d v="2023-09-18T00:00:00"/>
    <n v="910"/>
    <x v="5"/>
    <x v="12"/>
    <x v="0"/>
    <x v="8"/>
    <m/>
    <m/>
    <m/>
  </r>
  <r>
    <s v="60.02"/>
    <x v="122"/>
    <x v="268"/>
    <s v="Списание с расчетного счета 00БП-003633 от 13.06.2024 19:28:05"/>
    <s v="13.06.24"/>
    <n v="3100"/>
    <m/>
    <m/>
    <d v="2024-06-13T00:00:00"/>
    <n v="641"/>
    <x v="5"/>
    <x v="12"/>
    <x v="0"/>
    <x v="8"/>
    <m/>
    <m/>
    <m/>
  </r>
  <r>
    <s v="60.02"/>
    <x v="122"/>
    <x v="269"/>
    <s v="Списание с расчетного счета 00БП-007285 от 22.11.2023 15:47:11"/>
    <s v="22.11.23"/>
    <n v="2640"/>
    <m/>
    <m/>
    <d v="2023-11-22T00:00:00"/>
    <n v="845"/>
    <x v="5"/>
    <x v="12"/>
    <x v="0"/>
    <x v="8"/>
    <m/>
    <m/>
    <m/>
  </r>
  <r>
    <s v="60.02"/>
    <x v="122"/>
    <x v="270"/>
    <s v="Списание с расчетного счета 00БП-000253 от 05.02.2026 22:16:12"/>
    <s v="05.02.26"/>
    <n v="71968"/>
    <m/>
    <m/>
    <d v="2026-02-05T00:00:00"/>
    <n v="39"/>
    <x v="1"/>
    <x v="12"/>
    <x v="0"/>
    <x v="0"/>
    <m/>
    <m/>
    <m/>
  </r>
  <r>
    <s v="60.02"/>
    <x v="122"/>
    <x v="271"/>
    <s v="Списание с расчетного счета 00БП-000255 от 05.02.2026 22:16:14"/>
    <s v="05.02.26"/>
    <n v="129179"/>
    <m/>
    <m/>
    <d v="2026-02-05T00:00:00"/>
    <n v="39"/>
    <x v="1"/>
    <x v="12"/>
    <x v="0"/>
    <x v="0"/>
    <m/>
    <m/>
    <m/>
  </r>
  <r>
    <s v="60.02"/>
    <x v="122"/>
    <x v="272"/>
    <s v="Списание с расчетного счета 00БП-000254 от 05.02.2026 22:16:13"/>
    <s v="05.02.26"/>
    <n v="120800"/>
    <m/>
    <m/>
    <d v="2026-02-05T00:00:00"/>
    <n v="39"/>
    <x v="1"/>
    <x v="12"/>
    <x v="0"/>
    <x v="0"/>
    <m/>
    <m/>
    <m/>
  </r>
  <r>
    <s v="60.02"/>
    <x v="122"/>
    <x v="273"/>
    <s v="Списание с расчетного счета 00БП-000249 от 05.02.2026 22:16:08"/>
    <s v="05.02.26"/>
    <n v="13490"/>
    <m/>
    <m/>
    <d v="2026-02-05T00:00:00"/>
    <n v="39"/>
    <x v="1"/>
    <x v="12"/>
    <x v="0"/>
    <x v="0"/>
    <m/>
    <m/>
    <m/>
  </r>
  <r>
    <s v="60.02"/>
    <x v="122"/>
    <x v="274"/>
    <s v="Списание с расчетного счета 00БП-000282 от 10.02.2026 17:01:17"/>
    <s v="10.02.26"/>
    <n v="53809"/>
    <m/>
    <m/>
    <d v="2026-02-10T00:00:00"/>
    <n v="34"/>
    <x v="1"/>
    <x v="12"/>
    <x v="0"/>
    <x v="0"/>
    <m/>
    <m/>
    <m/>
  </r>
  <r>
    <s v="60.02"/>
    <x v="122"/>
    <x v="275"/>
    <s v="Списание с расчетного счета 00БП-000382 от 16.02.2026 17:22:06"/>
    <s v="16.02.26"/>
    <n v="7200"/>
    <m/>
    <m/>
    <d v="2026-02-16T00:00:00"/>
    <n v="28"/>
    <x v="2"/>
    <x v="12"/>
    <x v="0"/>
    <x v="0"/>
    <m/>
    <m/>
    <m/>
  </r>
  <r>
    <s v="60.02"/>
    <x v="122"/>
    <x v="276"/>
    <s v="Списание с расчетного счета 00БП-000469 от 25.02.2026 17:39:32"/>
    <s v="25.02.26"/>
    <n v="52079"/>
    <m/>
    <m/>
    <d v="2026-02-25T00:00:00"/>
    <n v="19"/>
    <x v="2"/>
    <x v="12"/>
    <x v="0"/>
    <x v="0"/>
    <m/>
    <m/>
    <m/>
  </r>
  <r>
    <s v="60.02"/>
    <x v="122"/>
    <x v="1434"/>
    <s v="Списание с расчетного счета 00БП-000575 от 03.03.2026 17:44:27"/>
    <s v="03.03.26"/>
    <n v="18560"/>
    <m/>
    <m/>
    <d v="2026-03-03T00:00:00"/>
    <n v="13"/>
    <x v="2"/>
    <x v="12"/>
    <x v="0"/>
    <x v="0"/>
    <m/>
    <m/>
    <m/>
  </r>
  <r>
    <s v="60.02"/>
    <x v="122"/>
    <x v="277"/>
    <s v="Списание с расчетного счета 00БП-002403 от 06.05.2025 20:09:56"/>
    <s v="06.05.25"/>
    <n v="22290"/>
    <m/>
    <m/>
    <d v="2025-05-06T00:00:00"/>
    <n v="314"/>
    <x v="6"/>
    <x v="12"/>
    <x v="0"/>
    <x v="8"/>
    <m/>
    <m/>
    <m/>
  </r>
  <r>
    <s v="60.02"/>
    <x v="122"/>
    <x v="277"/>
    <s v="Корректировка поступления 00БП-000026 от 30.09.2025 10:00:00"/>
    <s v="30.09.25"/>
    <n v="2000"/>
    <m/>
    <m/>
    <d v="2025-09-30T00:00:00"/>
    <n v="167"/>
    <x v="0"/>
    <x v="12"/>
    <x v="0"/>
    <x v="0"/>
    <m/>
    <m/>
    <m/>
  </r>
  <r>
    <s v="60.02"/>
    <x v="122"/>
    <x v="277"/>
    <s v="Корректировка поступления 00БП-000033 от 01.12.2025 20:43:05"/>
    <s v="01.12.25"/>
    <n v="4100"/>
    <m/>
    <m/>
    <d v="2025-12-01T00:00:00"/>
    <n v="105"/>
    <x v="4"/>
    <x v="12"/>
    <x v="0"/>
    <x v="0"/>
    <m/>
    <m/>
    <m/>
  </r>
  <r>
    <s v="60.02"/>
    <x v="122"/>
    <x v="278"/>
    <s v="Списание с расчетного счета 00БП-005980 от 25.08.2025 20:08:28"/>
    <s v="25.08.25"/>
    <n v="3000"/>
    <m/>
    <m/>
    <d v="2025-08-25T00:00:00"/>
    <n v="203"/>
    <x v="3"/>
    <x v="12"/>
    <x v="0"/>
    <x v="0"/>
    <m/>
    <m/>
    <m/>
  </r>
  <r>
    <s v="60.02"/>
    <x v="122"/>
    <x v="279"/>
    <s v="Списание с расчетного счета 00БП-006199 от 29.08.2025 23:56:43"/>
    <s v="29.08.25"/>
    <n v="29300"/>
    <m/>
    <m/>
    <d v="2025-08-29T00:00:00"/>
    <n v="199"/>
    <x v="3"/>
    <x v="12"/>
    <x v="0"/>
    <x v="0"/>
    <m/>
    <m/>
    <m/>
  </r>
  <r>
    <s v="60.02"/>
    <x v="123"/>
    <x v="280"/>
    <s v="Списание с расчетного счета 00БП-001303 от 06.04.2023 19:01:54"/>
    <s v="06.04.23"/>
    <n v="2400"/>
    <m/>
    <m/>
    <d v="2023-04-06T00:00:00"/>
    <n v="1075"/>
    <x v="5"/>
    <x v="12"/>
    <x v="0"/>
    <x v="8"/>
    <m/>
    <m/>
    <m/>
  </r>
  <r>
    <s v="60.02"/>
    <x v="123"/>
    <x v="281"/>
    <s v="Списание с расчетного счета 00БП-005944 от 04.10.2023 23:59:59"/>
    <s v="04.10.23"/>
    <n v="22029"/>
    <m/>
    <m/>
    <d v="2023-10-04T00:00:00"/>
    <n v="894"/>
    <x v="5"/>
    <x v="12"/>
    <x v="0"/>
    <x v="8"/>
    <m/>
    <m/>
    <m/>
  </r>
  <r>
    <s v="60.02"/>
    <x v="124"/>
    <x v="238"/>
    <s v="Списание с расчетного счета 00БП-003627 от 02.08.2019 16:20:39"/>
    <s v="02.08.19"/>
    <n v="270"/>
    <m/>
    <m/>
    <d v="2019-08-02T00:00:00"/>
    <n v="2418"/>
    <x v="5"/>
    <x v="12"/>
    <x v="0"/>
    <x v="8"/>
    <m/>
    <m/>
    <m/>
  </r>
  <r>
    <s v="60.02"/>
    <x v="125"/>
    <x v="282"/>
    <s v="Списание с расчетного счета 00БП-006359 от 09.09.2025 23:59:59"/>
    <s v="09.09.25"/>
    <n v="479100"/>
    <m/>
    <m/>
    <d v="2025-09-09T00:00:00"/>
    <n v="188"/>
    <x v="3"/>
    <x v="12"/>
    <x v="0"/>
    <x v="0"/>
    <m/>
    <m/>
    <m/>
  </r>
  <r>
    <s v="60.02"/>
    <x v="125"/>
    <x v="283"/>
    <s v="Списание с расчетного счета 00БП-007633 от 13.10.2025 18:15:50"/>
    <s v="13.10.25"/>
    <n v="855000"/>
    <m/>
    <m/>
    <d v="2025-10-13T00:00:00"/>
    <n v="154"/>
    <x v="0"/>
    <x v="12"/>
    <x v="0"/>
    <x v="0"/>
    <m/>
    <m/>
    <m/>
  </r>
  <r>
    <s v="60.02"/>
    <x v="125"/>
    <x v="284"/>
    <s v="Списание с расчетного счета 00БП-000151 от 28.01.2026 12:00:07"/>
    <s v="28.01.26"/>
    <n v="4479987"/>
    <m/>
    <m/>
    <d v="2026-01-28T00:00:00"/>
    <n v="47"/>
    <x v="1"/>
    <x v="12"/>
    <x v="0"/>
    <x v="0"/>
    <m/>
    <m/>
    <m/>
  </r>
  <r>
    <s v="60.02"/>
    <x v="125"/>
    <x v="1435"/>
    <s v="Списание с расчетного счета 00БП-000780 от 12.03.2026 17:24:36"/>
    <s v="12.03.26"/>
    <n v="401268"/>
    <m/>
    <m/>
    <d v="2026-03-12T00:00:00"/>
    <n v="4"/>
    <x v="2"/>
    <x v="12"/>
    <x v="0"/>
    <x v="0"/>
    <m/>
    <m/>
    <m/>
  </r>
  <r>
    <s v="60.02"/>
    <x v="126"/>
    <x v="285"/>
    <s v="Списание с расчетного счета 00БП-000183 от 29.01.2026 11:53:14"/>
    <s v="29.01.26"/>
    <n v="207200"/>
    <m/>
    <m/>
    <d v="2026-01-29T00:00:00"/>
    <n v="46"/>
    <x v="1"/>
    <x v="12"/>
    <x v="0"/>
    <x v="0"/>
    <m/>
    <m/>
    <m/>
  </r>
  <r>
    <s v="60.02"/>
    <x v="127"/>
    <x v="286"/>
    <s v="Списание с расчетного счета 00БП-007823 от 21.10.2025 17:30:34"/>
    <s v="21.10.25"/>
    <n v="380000"/>
    <m/>
    <m/>
    <d v="2025-10-21T00:00:00"/>
    <n v="146"/>
    <x v="0"/>
    <x v="12"/>
    <x v="0"/>
    <x v="0"/>
    <m/>
    <m/>
    <m/>
  </r>
  <r>
    <s v="60.02"/>
    <x v="127"/>
    <x v="287"/>
    <s v="Корректировка долга 00БП-000037 от 10.04.2024 10:00:00"/>
    <s v="10.04.24"/>
    <n v="37500"/>
    <m/>
    <m/>
    <d v="2024-04-10T00:00:00"/>
    <n v="705"/>
    <x v="5"/>
    <x v="12"/>
    <x v="0"/>
    <x v="2"/>
    <m/>
    <m/>
    <m/>
  </r>
  <r>
    <s v="60.02"/>
    <x v="127"/>
    <x v="288"/>
    <s v="Списание с расчетного счета 00БП-000260 от 05.02.2026 22:16:19"/>
    <s v="05.02.26"/>
    <n v="6402046.9900000002"/>
    <m/>
    <m/>
    <d v="2026-02-05T00:00:00"/>
    <n v="39"/>
    <x v="1"/>
    <x v="12"/>
    <x v="0"/>
    <x v="0"/>
    <m/>
    <m/>
    <m/>
  </r>
  <r>
    <s v="60.02"/>
    <x v="127"/>
    <x v="288"/>
    <s v="Списание с расчетного счета 00БП-000627 от 05.03.2026 16:11:47"/>
    <s v="05.03.26"/>
    <n v="708282.15"/>
    <m/>
    <m/>
    <d v="2026-03-05T00:00:00"/>
    <n v="11"/>
    <x v="2"/>
    <x v="12"/>
    <x v="0"/>
    <x v="0"/>
    <m/>
    <m/>
    <m/>
  </r>
  <r>
    <s v="60.02"/>
    <x v="127"/>
    <x v="289"/>
    <s v="Списание с расчетного счета 00БП-009162 от 11.12.2025 10:37:37"/>
    <s v="11.12.25"/>
    <n v="10495159.01"/>
    <m/>
    <m/>
    <d v="2025-12-11T00:00:00"/>
    <n v="95"/>
    <x v="4"/>
    <x v="12"/>
    <x v="0"/>
    <x v="0"/>
    <m/>
    <m/>
    <m/>
  </r>
  <r>
    <s v="60.02"/>
    <x v="128"/>
    <x v="290"/>
    <s v="Списание с расчетного счета 00БП-007249 от 02.10.2025 17:21:04"/>
    <s v="02.10.25"/>
    <n v="700232.5"/>
    <m/>
    <m/>
    <d v="2025-10-02T00:00:00"/>
    <n v="165"/>
    <x v="0"/>
    <x v="12"/>
    <x v="0"/>
    <x v="0"/>
    <m/>
    <m/>
    <m/>
  </r>
  <r>
    <s v="60.02"/>
    <x v="128"/>
    <x v="290"/>
    <s v="Списание с расчетного счета 00БП-009213 от 16.12.2025 12:00:04"/>
    <s v="16.12.25"/>
    <n v="700232.5"/>
    <m/>
    <m/>
    <d v="2025-12-16T00:00:00"/>
    <n v="90"/>
    <x v="1"/>
    <x v="12"/>
    <x v="0"/>
    <x v="0"/>
    <m/>
    <m/>
    <m/>
  </r>
  <r>
    <s v="60.02"/>
    <x v="128"/>
    <x v="290"/>
    <s v="Списание с расчетного счета 00БП-000116 от 26.01.2026 12:00:03"/>
    <s v="26.01.26"/>
    <n v="1017148"/>
    <m/>
    <m/>
    <d v="2026-01-26T00:00:00"/>
    <n v="49"/>
    <x v="1"/>
    <x v="12"/>
    <x v="0"/>
    <x v="0"/>
    <m/>
    <m/>
    <m/>
  </r>
  <r>
    <s v="60.02"/>
    <x v="129"/>
    <x v="291"/>
    <s v="Списание с расчетного счета 00БП-000192 от 30.01.2026 12:00:04"/>
    <s v="30.01.26"/>
    <n v="585500"/>
    <m/>
    <m/>
    <d v="2026-01-30T00:00:00"/>
    <n v="45"/>
    <x v="1"/>
    <x v="12"/>
    <x v="0"/>
    <x v="0"/>
    <m/>
    <m/>
    <m/>
  </r>
  <r>
    <s v="60.02"/>
    <x v="129"/>
    <x v="291"/>
    <s v="Списание с расчетного счета 00БП-000384 от 16.02.2026 17:22:08"/>
    <s v="16.02.26"/>
    <n v="585500"/>
    <m/>
    <m/>
    <d v="2026-02-16T00:00:00"/>
    <n v="28"/>
    <x v="2"/>
    <x v="12"/>
    <x v="0"/>
    <x v="0"/>
    <m/>
    <m/>
    <m/>
  </r>
  <r>
    <s v="60.02"/>
    <x v="130"/>
    <x v="293"/>
    <s v="Списание с расчетного счета 00БП-007196 от 01.10.2025 20:24:06"/>
    <s v="01.10.25"/>
    <n v="25650"/>
    <m/>
    <m/>
    <d v="2025-10-01T00:00:00"/>
    <n v="166"/>
    <x v="0"/>
    <x v="12"/>
    <x v="0"/>
    <x v="0"/>
    <m/>
    <m/>
    <m/>
  </r>
  <r>
    <s v="60.02"/>
    <x v="130"/>
    <x v="294"/>
    <s v="Списание с расчетного счета 00БП-000115 от 26.01.2026 12:00:02"/>
    <s v="26.01.26"/>
    <n v="91850"/>
    <m/>
    <m/>
    <d v="2026-01-26T00:00:00"/>
    <n v="49"/>
    <x v="1"/>
    <x v="12"/>
    <x v="0"/>
    <x v="0"/>
    <m/>
    <m/>
    <m/>
  </r>
  <r>
    <s v="60.02"/>
    <x v="130"/>
    <x v="295"/>
    <s v="Списание с расчетного счета 00БП-001221 от 02.04.2025 17:47:06"/>
    <s v="02.04.25"/>
    <n v="14000"/>
    <m/>
    <m/>
    <d v="2025-04-02T00:00:00"/>
    <n v="348"/>
    <x v="6"/>
    <x v="12"/>
    <x v="0"/>
    <x v="2"/>
    <m/>
    <m/>
    <m/>
  </r>
  <r>
    <s v="60.02"/>
    <x v="131"/>
    <x v="296"/>
    <s v="Списание с расчетного счета 00БП-008819 от 19.11.2025 18:05:01"/>
    <s v="19.11.25"/>
    <n v="2000"/>
    <m/>
    <m/>
    <d v="2025-11-19T00:00:00"/>
    <n v="117"/>
    <x v="4"/>
    <x v="12"/>
    <x v="0"/>
    <x v="0"/>
    <m/>
    <m/>
    <m/>
  </r>
  <r>
    <s v="60.02"/>
    <x v="132"/>
    <x v="298"/>
    <s v="Списание с расчетного счета 00БП-000257 от 05.02.2026 22:16:16"/>
    <s v="05.02.26"/>
    <n v="194345"/>
    <m/>
    <m/>
    <d v="2026-02-05T00:00:00"/>
    <n v="39"/>
    <x v="1"/>
    <x v="12"/>
    <x v="0"/>
    <x v="0"/>
    <m/>
    <m/>
    <m/>
  </r>
  <r>
    <s v="60.02"/>
    <x v="133"/>
    <x v="299"/>
    <s v="Списание с расчетного счета 00БП-000187 от 29.01.2026 11:53:18"/>
    <s v="29.01.26"/>
    <n v="3115745.29"/>
    <m/>
    <m/>
    <d v="2026-01-29T00:00:00"/>
    <n v="46"/>
    <x v="1"/>
    <x v="12"/>
    <x v="0"/>
    <x v="0"/>
    <m/>
    <m/>
    <m/>
  </r>
  <r>
    <s v="60.02"/>
    <x v="134"/>
    <x v="300"/>
    <s v="Списание с расчетного счета 00БП-000259 от 05.02.2026 22:16:18"/>
    <s v="05.02.26"/>
    <n v="6244997.5"/>
    <m/>
    <m/>
    <d v="2026-02-05T00:00:00"/>
    <n v="39"/>
    <x v="1"/>
    <x v="12"/>
    <x v="0"/>
    <x v="0"/>
    <m/>
    <m/>
    <m/>
  </r>
  <r>
    <s v="60.02"/>
    <x v="484"/>
    <x v="1436"/>
    <s v="Списание с расчетного счета 00БП-000652 от 10.03.2026 18:20:29"/>
    <s v="10.03.26"/>
    <n v="10600"/>
    <m/>
    <m/>
    <d v="2026-03-10T00:00:00"/>
    <n v="6"/>
    <x v="2"/>
    <x v="12"/>
    <x v="0"/>
    <x v="0"/>
    <m/>
    <m/>
    <m/>
  </r>
  <r>
    <s v="60.02"/>
    <x v="135"/>
    <x v="301"/>
    <s v="Списание с расчетного счета 00БП-000496 от 26.02.2026 17:17:26"/>
    <s v="26.02.26"/>
    <n v="53800"/>
    <m/>
    <m/>
    <d v="2026-02-26T00:00:00"/>
    <n v="18"/>
    <x v="2"/>
    <x v="12"/>
    <x v="0"/>
    <x v="0"/>
    <m/>
    <m/>
    <m/>
  </r>
  <r>
    <s v="60.02"/>
    <x v="314"/>
    <x v="1437"/>
    <s v="Списание с расчетного счета 00БП-000654 от 10.03.2026 18:20:31"/>
    <s v="10.03.26"/>
    <n v="14705"/>
    <m/>
    <m/>
    <d v="2026-03-10T00:00:00"/>
    <n v="6"/>
    <x v="2"/>
    <x v="12"/>
    <x v="0"/>
    <x v="0"/>
    <m/>
    <m/>
    <m/>
  </r>
  <r>
    <s v="60.02"/>
    <x v="137"/>
    <x v="303"/>
    <s v="Списание с расчетного счета 00БП-000703 от 13.03.2025 18:55:48"/>
    <s v="13.03.25"/>
    <n v="252667.4"/>
    <m/>
    <m/>
    <d v="2025-03-13T00:00:00"/>
    <n v="368"/>
    <x v="5"/>
    <x v="12"/>
    <x v="0"/>
    <x v="16"/>
    <m/>
    <m/>
    <m/>
  </r>
  <r>
    <s v="60.02"/>
    <x v="138"/>
    <x v="304"/>
    <m/>
    <m/>
    <n v="400000"/>
    <m/>
    <m/>
    <d v="1899-12-30T00:00:00"/>
    <n v="46097"/>
    <x v="5"/>
    <x v="12"/>
    <x v="0"/>
    <x v="17"/>
    <m/>
    <s v="Геологический отдел"/>
    <m/>
  </r>
  <r>
    <s v="60.02"/>
    <x v="139"/>
    <x v="305"/>
    <s v="Списание с расчетного счета 00БП-008191 от 05.11.2025 17:00:33"/>
    <s v="05.11.25"/>
    <n v="225706.72"/>
    <m/>
    <m/>
    <d v="2025-11-05T00:00:00"/>
    <n v="131"/>
    <x v="0"/>
    <x v="12"/>
    <x v="0"/>
    <x v="0"/>
    <m/>
    <m/>
    <m/>
  </r>
  <r>
    <s v="60.02"/>
    <x v="139"/>
    <x v="306"/>
    <s v="Списание с расчетного счета 00БП-008184 от 05.11.2025 17:00:26"/>
    <s v="05.11.25"/>
    <n v="154485.6"/>
    <m/>
    <m/>
    <d v="2025-11-05T00:00:00"/>
    <n v="131"/>
    <x v="0"/>
    <x v="12"/>
    <x v="0"/>
    <x v="0"/>
    <m/>
    <m/>
    <m/>
  </r>
  <r>
    <s v="60.02"/>
    <x v="140"/>
    <x v="307"/>
    <s v="Списание с расчетного счета 00БП-000142 от 27.01.2026 15:05:20"/>
    <s v="27.01.26"/>
    <n v="2403856.33"/>
    <m/>
    <m/>
    <d v="2026-01-27T00:00:00"/>
    <n v="48"/>
    <x v="1"/>
    <x v="12"/>
    <x v="0"/>
    <x v="0"/>
    <m/>
    <m/>
    <m/>
  </r>
  <r>
    <s v="60.02"/>
    <x v="141"/>
    <x v="308"/>
    <s v="Списание с расчетного счета 00БП-001386 от 08.04.2025 23:49:32"/>
    <s v="08.04.25"/>
    <n v="31000"/>
    <m/>
    <m/>
    <d v="2025-04-08T00:00:00"/>
    <n v="342"/>
    <x v="6"/>
    <x v="12"/>
    <x v="0"/>
    <x v="8"/>
    <m/>
    <m/>
    <m/>
  </r>
  <r>
    <s v="60.02"/>
    <x v="142"/>
    <x v="309"/>
    <s v="Списание с расчетного счета 00БП-001145 от 31.03.2025 23:59:59"/>
    <s v="31.03.25"/>
    <n v="32000"/>
    <m/>
    <m/>
    <d v="2025-03-31T00:00:00"/>
    <n v="350"/>
    <x v="6"/>
    <x v="12"/>
    <x v="0"/>
    <x v="8"/>
    <m/>
    <m/>
    <m/>
  </r>
  <r>
    <s v="60.02"/>
    <x v="143"/>
    <x v="310"/>
    <s v="Списание с расчетного счета 00БП-006763 от 17.09.2025 19:43:15"/>
    <s v="17.09.25"/>
    <n v="214283.5"/>
    <m/>
    <m/>
    <d v="2025-09-17T00:00:00"/>
    <n v="180"/>
    <x v="0"/>
    <x v="12"/>
    <x v="0"/>
    <x v="0"/>
    <m/>
    <m/>
    <m/>
  </r>
  <r>
    <s v="60.02"/>
    <x v="144"/>
    <x v="311"/>
    <s v="Списание с расчетного счета 00БП-000930 от 25.03.2025 17:52:15"/>
    <s v="25.03.25"/>
    <n v="20740"/>
    <m/>
    <m/>
    <d v="2025-03-25T00:00:00"/>
    <n v="356"/>
    <x v="6"/>
    <x v="12"/>
    <x v="0"/>
    <x v="2"/>
    <m/>
    <m/>
    <m/>
  </r>
  <r>
    <s v="60.02"/>
    <x v="145"/>
    <x v="312"/>
    <s v="Списание с расчетного счета 00БП-006058 от 30.08.2024 18:05:51"/>
    <s v="30.08.24"/>
    <n v="401.24"/>
    <m/>
    <m/>
    <d v="2024-08-30T00:00:00"/>
    <n v="563"/>
    <x v="5"/>
    <x v="12"/>
    <x v="0"/>
    <x v="18"/>
    <m/>
    <s v="Экологический отдел"/>
    <m/>
  </r>
  <r>
    <s v="60.02"/>
    <x v="145"/>
    <x v="313"/>
    <s v="Списание с расчетного счета 00БП-007214 от 08.10.2024 20:35:02"/>
    <s v="08.10.24"/>
    <n v="4012.33"/>
    <m/>
    <m/>
    <d v="2024-10-08T00:00:00"/>
    <n v="524"/>
    <x v="5"/>
    <x v="12"/>
    <x v="0"/>
    <x v="18"/>
    <m/>
    <s v="Экологический отдел"/>
    <m/>
  </r>
  <r>
    <s v="60.02"/>
    <x v="147"/>
    <x v="315"/>
    <s v="Списание с расчетного счета 00БП-000256 от 05.02.2026 22:16:15"/>
    <s v="05.02.26"/>
    <n v="83875"/>
    <m/>
    <m/>
    <d v="2026-02-05T00:00:00"/>
    <n v="39"/>
    <x v="1"/>
    <x v="12"/>
    <x v="0"/>
    <x v="0"/>
    <m/>
    <m/>
    <m/>
  </r>
  <r>
    <s v="60.02"/>
    <x v="485"/>
    <x v="1438"/>
    <s v="Списание с расчетного счета 00БП-000778 от 12.03.2026 17:24:34"/>
    <s v="12.03.26"/>
    <n v="253184"/>
    <m/>
    <m/>
    <d v="2026-03-12T00:00:00"/>
    <n v="4"/>
    <x v="2"/>
    <x v="12"/>
    <x v="0"/>
    <x v="0"/>
    <m/>
    <m/>
    <m/>
  </r>
  <r>
    <s v="60.02"/>
    <x v="148"/>
    <x v="238"/>
    <s v="Списание с расчетного счета 00БП-005685 от 15.08.2024 20:47:50"/>
    <s v="15.08.24"/>
    <n v="0.1"/>
    <m/>
    <m/>
    <d v="2024-08-15T00:00:00"/>
    <n v="578"/>
    <x v="5"/>
    <x v="12"/>
    <x v="0"/>
    <x v="0"/>
    <m/>
    <m/>
    <m/>
  </r>
  <r>
    <s v="60.02"/>
    <x v="149"/>
    <x v="316"/>
    <s v="Корректировка поступления 00БП-000018 от 25.10.2023 14:58:39"/>
    <s v="25.10.23"/>
    <n v="0.01"/>
    <m/>
    <m/>
    <d v="2023-10-25T00:00:00"/>
    <n v="873"/>
    <x v="5"/>
    <x v="12"/>
    <x v="0"/>
    <x v="0"/>
    <m/>
    <m/>
    <m/>
  </r>
  <r>
    <s v="60.02"/>
    <x v="149"/>
    <x v="317"/>
    <s v="Списание с расчетного счета 00БП-002336 от 05.05.2025 19:41:05"/>
    <s v="05.05.25"/>
    <n v="12461.79"/>
    <m/>
    <m/>
    <d v="2025-05-05T00:00:00"/>
    <n v="315"/>
    <x v="6"/>
    <x v="12"/>
    <x v="0"/>
    <x v="16"/>
    <m/>
    <s v="Экологический отдел"/>
    <m/>
  </r>
  <r>
    <s v="60.02"/>
    <x v="150"/>
    <x v="318"/>
    <s v="Списание с расчетного счета 00БП-000528 от 27.02.2026 17:35:37"/>
    <s v="27.02.26"/>
    <n v="162000"/>
    <m/>
    <m/>
    <d v="2026-02-27T00:00:00"/>
    <n v="17"/>
    <x v="2"/>
    <x v="12"/>
    <x v="0"/>
    <x v="0"/>
    <m/>
    <m/>
    <m/>
  </r>
  <r>
    <s v="60.02"/>
    <x v="151"/>
    <x v="319"/>
    <s v="Списание с расчетного счета 00БП-000655 от 12.03.2025 18:04:03"/>
    <s v="12.03.25"/>
    <n v="47400"/>
    <m/>
    <m/>
    <d v="2025-03-12T00:00:00"/>
    <n v="369"/>
    <x v="5"/>
    <x v="12"/>
    <x v="0"/>
    <x v="19"/>
    <m/>
    <m/>
    <m/>
  </r>
  <r>
    <s v="60.02"/>
    <x v="152"/>
    <x v="320"/>
    <s v="Списание с расчетного счета 00БП-006060 от 27.08.2025 18:30:27"/>
    <s v="27.08.25"/>
    <n v="22500"/>
    <m/>
    <m/>
    <d v="2025-08-27T00:00:00"/>
    <n v="201"/>
    <x v="3"/>
    <x v="12"/>
    <x v="0"/>
    <x v="0"/>
    <m/>
    <m/>
    <m/>
  </r>
  <r>
    <s v="60.02"/>
    <x v="153"/>
    <x v="321"/>
    <s v="Списание с расчетного счета 00БП-003382 от 04.06.2025 18:58:23"/>
    <s v="04.06.25"/>
    <n v="60000"/>
    <m/>
    <m/>
    <d v="2025-06-04T00:00:00"/>
    <n v="285"/>
    <x v="6"/>
    <x v="12"/>
    <x v="0"/>
    <x v="8"/>
    <m/>
    <m/>
    <m/>
  </r>
  <r>
    <s v="60.02"/>
    <x v="153"/>
    <x v="321"/>
    <s v="Списание с расчетного счета 00БП-008902 от 24.11.2025 16:33:52"/>
    <s v="24.11.25"/>
    <n v="140000"/>
    <m/>
    <m/>
    <d v="2025-11-24T00:00:00"/>
    <n v="112"/>
    <x v="4"/>
    <x v="12"/>
    <x v="0"/>
    <x v="0"/>
    <m/>
    <m/>
    <m/>
  </r>
  <r>
    <s v="60.02"/>
    <x v="153"/>
    <x v="322"/>
    <s v="Списание с расчетного счета 00БП-003379 от 04.06.2025 18:58:20"/>
    <s v="04.06.25"/>
    <n v="40500"/>
    <m/>
    <m/>
    <d v="2025-06-04T00:00:00"/>
    <n v="285"/>
    <x v="6"/>
    <x v="12"/>
    <x v="0"/>
    <x v="8"/>
    <m/>
    <m/>
    <m/>
  </r>
  <r>
    <s v="60.02"/>
    <x v="153"/>
    <x v="322"/>
    <s v="Списание с расчетного счета 00БП-007748 от 17.10.2025 19:36:05"/>
    <s v="17.10.25"/>
    <n v="74250"/>
    <m/>
    <m/>
    <d v="2025-10-17T00:00:00"/>
    <n v="150"/>
    <x v="0"/>
    <x v="12"/>
    <x v="0"/>
    <x v="0"/>
    <m/>
    <m/>
    <m/>
  </r>
  <r>
    <s v="60.02"/>
    <x v="153"/>
    <x v="322"/>
    <s v="Списание с расчетного счета 00БП-008900 от 24.11.2025 16:33:50"/>
    <s v="24.11.25"/>
    <n v="20250"/>
    <m/>
    <m/>
    <d v="2025-11-24T00:00:00"/>
    <n v="112"/>
    <x v="4"/>
    <x v="12"/>
    <x v="0"/>
    <x v="0"/>
    <m/>
    <m/>
    <m/>
  </r>
  <r>
    <s v="60.02"/>
    <x v="153"/>
    <x v="323"/>
    <s v="Списание с расчетного счета 00БП-004063 от 23.06.2025 18:09:41"/>
    <s v="23.06.25"/>
    <n v="90000"/>
    <m/>
    <m/>
    <d v="2025-06-23T00:00:00"/>
    <n v="266"/>
    <x v="3"/>
    <x v="12"/>
    <x v="0"/>
    <x v="8"/>
    <m/>
    <m/>
    <m/>
  </r>
  <r>
    <s v="60.02"/>
    <x v="153"/>
    <x v="323"/>
    <s v="Списание с расчетного счета 00БП-008925 от 25.11.2025 15:31:08"/>
    <s v="25.11.25"/>
    <n v="165000"/>
    <m/>
    <m/>
    <d v="2025-11-25T00:00:00"/>
    <n v="111"/>
    <x v="4"/>
    <x v="12"/>
    <x v="0"/>
    <x v="0"/>
    <m/>
    <m/>
    <m/>
  </r>
  <r>
    <s v="60.02"/>
    <x v="153"/>
    <x v="324"/>
    <s v="Списание с расчетного счета 00БП-004062 от 23.06.2025 18:09:40"/>
    <s v="23.06.25"/>
    <n v="84000"/>
    <m/>
    <m/>
    <d v="2025-06-23T00:00:00"/>
    <n v="266"/>
    <x v="3"/>
    <x v="12"/>
    <x v="0"/>
    <x v="8"/>
    <m/>
    <m/>
    <m/>
  </r>
  <r>
    <s v="60.02"/>
    <x v="154"/>
    <x v="325"/>
    <s v="Списание с расчетного счета 00БП-003903 от 17.06.2025 22:58:29"/>
    <s v="17.06.25"/>
    <n v="1165"/>
    <m/>
    <m/>
    <d v="2025-06-17T00:00:00"/>
    <n v="272"/>
    <x v="6"/>
    <x v="12"/>
    <x v="0"/>
    <x v="20"/>
    <m/>
    <m/>
    <m/>
  </r>
  <r>
    <s v="60.02"/>
    <x v="155"/>
    <x v="326"/>
    <s v="Списание с расчетного счета 00БП-005054 от 23.07.2025 20:44:19"/>
    <s v="23.07.25"/>
    <n v="9000"/>
    <m/>
    <m/>
    <d v="2025-07-23T00:00:00"/>
    <n v="236"/>
    <x v="3"/>
    <x v="12"/>
    <x v="0"/>
    <x v="8"/>
    <m/>
    <m/>
    <m/>
  </r>
  <r>
    <s v="60.02"/>
    <x v="156"/>
    <x v="327"/>
    <s v="Списание с расчетного счета 00БП-001173 от 01.04.2025 17:50:04"/>
    <s v="01.04.25"/>
    <n v="86800"/>
    <m/>
    <m/>
    <d v="2025-04-01T00:00:00"/>
    <n v="349"/>
    <x v="6"/>
    <x v="12"/>
    <x v="0"/>
    <x v="8"/>
    <m/>
    <m/>
    <m/>
  </r>
  <r>
    <s v="60.02"/>
    <x v="158"/>
    <x v="329"/>
    <s v="Списание с расчетного счета 00БП-000529 от 27.02.2026 17:35:38"/>
    <s v="27.02.26"/>
    <n v="657833.19999999995"/>
    <m/>
    <m/>
    <d v="2026-02-27T00:00:00"/>
    <n v="17"/>
    <x v="2"/>
    <x v="12"/>
    <x v="0"/>
    <x v="0"/>
    <m/>
    <m/>
    <m/>
  </r>
  <r>
    <s v="60.02"/>
    <x v="158"/>
    <x v="1439"/>
    <s v="Списание с расчетного счета 00БП-000707 от 11.03.2026 17:50:03"/>
    <s v="11.03.26"/>
    <n v="2271935.9300000002"/>
    <m/>
    <m/>
    <d v="2026-03-11T00:00:00"/>
    <n v="5"/>
    <x v="2"/>
    <x v="12"/>
    <x v="0"/>
    <x v="0"/>
    <m/>
    <m/>
    <m/>
  </r>
  <r>
    <s v="60.02"/>
    <x v="159"/>
    <x v="330"/>
    <s v="Списание с расчетного счета 00БП-000052 от 15.01.2026 14:53:19"/>
    <s v="15.01.26"/>
    <n v="819000"/>
    <m/>
    <m/>
    <d v="2026-01-15T00:00:00"/>
    <n v="60"/>
    <x v="1"/>
    <x v="12"/>
    <x v="0"/>
    <x v="0"/>
    <m/>
    <m/>
    <m/>
  </r>
  <r>
    <s v="60.02"/>
    <x v="159"/>
    <x v="330"/>
    <s v="Списание с расчетного счета 00БП-000583 от 03.03.2026 17:44:35"/>
    <s v="03.03.26"/>
    <n v="546000"/>
    <m/>
    <m/>
    <d v="2026-03-03T00:00:00"/>
    <n v="13"/>
    <x v="2"/>
    <x v="12"/>
    <x v="0"/>
    <x v="0"/>
    <m/>
    <m/>
    <m/>
  </r>
  <r>
    <s v="60.02"/>
    <x v="160"/>
    <x v="331"/>
    <s v="Списание с расчетного счета 00БП-007407 от 09.10.2025 16:57:54"/>
    <s v="09.10.25"/>
    <n v="244320"/>
    <m/>
    <m/>
    <d v="2025-10-09T00:00:00"/>
    <n v="158"/>
    <x v="0"/>
    <x v="12"/>
    <x v="0"/>
    <x v="0"/>
    <m/>
    <m/>
    <m/>
  </r>
  <r>
    <s v="60.02"/>
    <x v="161"/>
    <x v="73"/>
    <s v="Авансовый отчет 00БП-000339 от 24.11.2025 12:03:37"/>
    <s v="24.11.25"/>
    <n v="3630"/>
    <m/>
    <m/>
    <d v="2025-11-24T00:00:00"/>
    <n v="112"/>
    <x v="4"/>
    <x v="12"/>
    <x v="0"/>
    <x v="0"/>
    <m/>
    <m/>
    <m/>
  </r>
  <r>
    <s v="60.02"/>
    <x v="162"/>
    <x v="332"/>
    <s v="Списание с расчетного счета 00БП-006742 от 26.10.2022 17:19:37"/>
    <s v="26.10.22"/>
    <n v="4"/>
    <m/>
    <m/>
    <d v="2022-10-26T00:00:00"/>
    <n v="1237"/>
    <x v="5"/>
    <x v="12"/>
    <x v="0"/>
    <x v="0"/>
    <m/>
    <m/>
    <m/>
  </r>
  <r>
    <s v="60.02"/>
    <x v="163"/>
    <x v="333"/>
    <s v="Списание с расчетного счета 00БП-005938 от 21.08.2025 17:24:50"/>
    <s v="21.08.25"/>
    <n v="11631.14"/>
    <m/>
    <m/>
    <d v="2025-08-21T00:00:00"/>
    <n v="207"/>
    <x v="3"/>
    <x v="12"/>
    <x v="0"/>
    <x v="0"/>
    <m/>
    <m/>
    <m/>
  </r>
  <r>
    <s v="60.02"/>
    <x v="164"/>
    <x v="334"/>
    <s v="Корректировка долга 00БП-000094 от 25.09.2025 17:23:53"/>
    <s v="25.09.25"/>
    <n v="52780.5"/>
    <m/>
    <m/>
    <d v="2025-09-25T00:00:00"/>
    <n v="172"/>
    <x v="0"/>
    <x v="12"/>
    <x v="0"/>
    <x v="0"/>
    <m/>
    <m/>
    <m/>
  </r>
  <r>
    <s v="60.02"/>
    <x v="165"/>
    <x v="335"/>
    <s v="Списание с расчетного счета 00БП-005475 от 07.08.2025 19:08:49"/>
    <s v="07.08.25"/>
    <n v="96000"/>
    <m/>
    <m/>
    <d v="2025-08-07T00:00:00"/>
    <n v="221"/>
    <x v="3"/>
    <x v="12"/>
    <x v="0"/>
    <x v="0"/>
    <m/>
    <m/>
    <m/>
  </r>
  <r>
    <s v="60.32"/>
    <x v="167"/>
    <x v="337"/>
    <s v="Списание с расчетного счета 00БП-000024 от 14.01.2026 16:45:17"/>
    <s v="14.01.26"/>
    <n v="2819920.72"/>
    <m/>
    <m/>
    <d v="2026-01-14T00:00:00"/>
    <n v="61"/>
    <x v="1"/>
    <x v="12"/>
    <x v="0"/>
    <x v="0"/>
    <m/>
    <m/>
    <m/>
  </r>
  <r>
    <s v="60.32"/>
    <x v="167"/>
    <x v="338"/>
    <s v="Списание с расчетного счета 00БП-006625 от 19.09.2024 18:14:26"/>
    <s v="19.09.24"/>
    <n v="35421.75"/>
    <m/>
    <m/>
    <d v="2024-09-19T00:00:00"/>
    <n v="543"/>
    <x v="5"/>
    <x v="12"/>
    <x v="0"/>
    <x v="13"/>
    <m/>
    <m/>
    <m/>
  </r>
  <r>
    <s v="60.32"/>
    <x v="38"/>
    <x v="339"/>
    <s v="Списание с расчетного счета 00БП-006941 от 25.09.2025 17:23:37"/>
    <s v="25.09.25"/>
    <n v="4103412.84"/>
    <m/>
    <m/>
    <d v="2025-09-25T00:00:00"/>
    <n v="172"/>
    <x v="0"/>
    <x v="12"/>
    <x v="0"/>
    <x v="0"/>
    <m/>
    <m/>
    <m/>
  </r>
  <r>
    <s v="60.32"/>
    <x v="38"/>
    <x v="340"/>
    <s v="Списание с расчетного счета 00БП-007817 от 21.10.2025 17:30:28"/>
    <s v="21.10.25"/>
    <n v="81774.75"/>
    <m/>
    <m/>
    <d v="2025-10-21T00:00:00"/>
    <n v="146"/>
    <x v="0"/>
    <x v="12"/>
    <x v="0"/>
    <x v="0"/>
    <m/>
    <m/>
    <m/>
  </r>
  <r>
    <s v="60.32"/>
    <x v="38"/>
    <x v="340"/>
    <s v="Списание с расчетного счета 00БП-007824 от 21.10.2025 17:30:35"/>
    <s v="21.10.25"/>
    <n v="381299.85"/>
    <m/>
    <m/>
    <d v="2025-10-21T00:00:00"/>
    <n v="146"/>
    <x v="0"/>
    <x v="12"/>
    <x v="0"/>
    <x v="0"/>
    <m/>
    <m/>
    <m/>
  </r>
  <r>
    <s v="60.32"/>
    <x v="38"/>
    <x v="340"/>
    <s v="Списание с расчетного счета 00БП-008864 от 20.11.2025 17:08:39"/>
    <s v="20.11.25"/>
    <n v="242292.07"/>
    <m/>
    <m/>
    <d v="2025-11-20T00:00:00"/>
    <n v="116"/>
    <x v="4"/>
    <x v="12"/>
    <x v="0"/>
    <x v="0"/>
    <m/>
    <m/>
    <m/>
  </r>
  <r>
    <s v="60.32"/>
    <x v="38"/>
    <x v="340"/>
    <s v="Списание с расчетного счета 00БП-008877 от 21.11.2025 18:51:04"/>
    <s v="21.11.25"/>
    <n v="9195.39"/>
    <m/>
    <m/>
    <d v="2025-11-21T00:00:00"/>
    <n v="115"/>
    <x v="4"/>
    <x v="12"/>
    <x v="0"/>
    <x v="0"/>
    <m/>
    <m/>
    <m/>
  </r>
  <r>
    <s v="60.32"/>
    <x v="38"/>
    <x v="340"/>
    <s v="Списание с расчетного счета 00БП-008880 от 21.11.2025 18:51:07"/>
    <s v="21.11.25"/>
    <n v="96959.25"/>
    <m/>
    <m/>
    <d v="2025-11-21T00:00:00"/>
    <n v="115"/>
    <x v="4"/>
    <x v="12"/>
    <x v="0"/>
    <x v="0"/>
    <m/>
    <m/>
    <m/>
  </r>
  <r>
    <s v="60.32"/>
    <x v="38"/>
    <x v="341"/>
    <s v="Списание с расчетного счета 00БП-000325 от 12.02.2026 15:36:56"/>
    <s v="12.02.26"/>
    <n v="1065006.21"/>
    <m/>
    <m/>
    <d v="2026-02-12T00:00:00"/>
    <n v="32"/>
    <x v="1"/>
    <x v="12"/>
    <x v="0"/>
    <x v="0"/>
    <m/>
    <m/>
    <m/>
  </r>
  <r>
    <s v="60.32"/>
    <x v="38"/>
    <x v="342"/>
    <s v="Списание с расчетного счета 00БП-007402 от 09.10.2025 16:57:49"/>
    <s v="09.10.25"/>
    <n v="17940.52"/>
    <m/>
    <m/>
    <d v="2025-10-09T00:00:00"/>
    <n v="158"/>
    <x v="0"/>
    <x v="12"/>
    <x v="0"/>
    <x v="0"/>
    <m/>
    <m/>
    <m/>
  </r>
  <r>
    <s v="60.32"/>
    <x v="38"/>
    <x v="343"/>
    <s v="Списание с расчетного счета 00БП-009293 от 25.12.2025 12:00:17"/>
    <s v="25.12.25"/>
    <n v="42558293.729999997"/>
    <m/>
    <m/>
    <d v="2025-12-25T00:00:00"/>
    <n v="81"/>
    <x v="1"/>
    <x v="12"/>
    <x v="0"/>
    <x v="0"/>
    <m/>
    <m/>
    <m/>
  </r>
  <r>
    <s v="60.32"/>
    <x v="38"/>
    <x v="343"/>
    <s v="Списание с расчетного счета 00БП-000643 от 06.03.2026 18:53:52"/>
    <s v="06.03.26"/>
    <n v="101346957.59999999"/>
    <m/>
    <m/>
    <d v="2026-03-06T00:00:00"/>
    <n v="10"/>
    <x v="2"/>
    <x v="12"/>
    <x v="0"/>
    <x v="0"/>
    <m/>
    <m/>
    <m/>
  </r>
  <r>
    <s v="60.32"/>
    <x v="78"/>
    <x v="344"/>
    <s v="Списание с расчетного счета 00БП-009029 от 01.12.2025 15:42:24"/>
    <s v="01.12.25"/>
    <n v="100541017.20999999"/>
    <m/>
    <m/>
    <d v="2025-12-01T00:00:00"/>
    <n v="105"/>
    <x v="4"/>
    <x v="12"/>
    <x v="0"/>
    <x v="0"/>
    <m/>
    <m/>
    <m/>
  </r>
  <r>
    <s v="60.32"/>
    <x v="78"/>
    <x v="345"/>
    <s v="Списание с расчетного счета 00БП-000532 от 27.02.2026 17:35:41"/>
    <s v="27.02.26"/>
    <n v="10023164.039999999"/>
    <m/>
    <m/>
    <d v="2026-02-27T00:00:00"/>
    <n v="17"/>
    <x v="2"/>
    <x v="12"/>
    <x v="0"/>
    <x v="0"/>
    <m/>
    <m/>
    <m/>
  </r>
  <r>
    <s v="60.32"/>
    <x v="78"/>
    <x v="345"/>
    <s v="Списание с расчетного счета 00БП-000550 от 02.03.2026 18:40:15"/>
    <s v="02.03.26"/>
    <n v="46.36"/>
    <m/>
    <m/>
    <d v="2026-03-02T00:00:00"/>
    <n v="14"/>
    <x v="2"/>
    <x v="12"/>
    <x v="0"/>
    <x v="0"/>
    <m/>
    <m/>
    <m/>
  </r>
  <r>
    <s v="60.32"/>
    <x v="78"/>
    <x v="346"/>
    <s v="Списание с расчетного счета 00БП-000875 от 21.03.2025 17:21:00"/>
    <s v="21.03.25"/>
    <n v="4.22"/>
    <m/>
    <m/>
    <d v="2025-03-21T00:00:00"/>
    <n v="360"/>
    <x v="6"/>
    <x v="12"/>
    <x v="0"/>
    <x v="0"/>
    <m/>
    <m/>
    <m/>
  </r>
  <r>
    <s v="60.32"/>
    <x v="78"/>
    <x v="347"/>
    <s v="Списание с расчетного счета 00БП-008463 от 14.11.2025 15:51:00"/>
    <s v="14.11.25"/>
    <n v="19041986.25"/>
    <m/>
    <m/>
    <d v="2025-11-14T00:00:00"/>
    <n v="122"/>
    <x v="0"/>
    <x v="12"/>
    <x v="0"/>
    <x v="0"/>
    <m/>
    <m/>
    <m/>
  </r>
  <r>
    <s v="60.32"/>
    <x v="78"/>
    <x v="348"/>
    <s v="Списание с расчетного счета 00БП-007312 от 06.10.2025 18:16:22"/>
    <s v="06.10.25"/>
    <n v="832127.38"/>
    <m/>
    <m/>
    <d v="2025-10-06T00:00:00"/>
    <n v="161"/>
    <x v="0"/>
    <x v="12"/>
    <x v="0"/>
    <x v="0"/>
    <m/>
    <m/>
    <m/>
  </r>
  <r>
    <s v="60.32"/>
    <x v="78"/>
    <x v="349"/>
    <s v="Списание с расчетного счета 00БП-007338 от 07.10.2025 17:57:46"/>
    <s v="07.10.25"/>
    <n v="19608750"/>
    <m/>
    <m/>
    <d v="2025-10-07T00:00:00"/>
    <n v="160"/>
    <x v="0"/>
    <x v="12"/>
    <x v="0"/>
    <x v="0"/>
    <m/>
    <m/>
    <m/>
  </r>
  <r>
    <s v="60.32"/>
    <x v="78"/>
    <x v="350"/>
    <s v="Списание с расчетного счета 00БП-007683 от 14.10.2025 17:30:20"/>
    <s v="14.10.25"/>
    <n v="8521724.8000000007"/>
    <m/>
    <m/>
    <d v="2025-10-14T00:00:00"/>
    <n v="153"/>
    <x v="0"/>
    <x v="12"/>
    <x v="0"/>
    <x v="0"/>
    <m/>
    <m/>
    <m/>
  </r>
  <r>
    <s v="60.32"/>
    <x v="78"/>
    <x v="351"/>
    <s v="Списание с расчетного счета 00БП-007684 от 14.10.2025 17:30:21"/>
    <s v="14.10.25"/>
    <n v="565552.64000000001"/>
    <m/>
    <m/>
    <d v="2025-10-14T00:00:00"/>
    <n v="153"/>
    <x v="0"/>
    <x v="12"/>
    <x v="0"/>
    <x v="0"/>
    <m/>
    <m/>
    <m/>
  </r>
  <r>
    <s v="60.32"/>
    <x v="168"/>
    <x v="352"/>
    <s v="Списание с расчетного счета 00БП-009269 от 24.12.2025 11:37:20"/>
    <s v="24.12.25"/>
    <n v="595854"/>
    <m/>
    <m/>
    <d v="2025-12-24T00:00:00"/>
    <n v="82"/>
    <x v="1"/>
    <x v="12"/>
    <x v="0"/>
    <x v="0"/>
    <m/>
    <m/>
    <m/>
  </r>
  <r>
    <s v="60.32"/>
    <x v="168"/>
    <x v="352"/>
    <s v="Списание с расчетного счета 00БП-009288 от 25.12.2025 12:00:12"/>
    <s v="25.12.25"/>
    <n v="3400245.12"/>
    <m/>
    <m/>
    <d v="2025-12-25T00:00:00"/>
    <n v="81"/>
    <x v="1"/>
    <x v="12"/>
    <x v="0"/>
    <x v="0"/>
    <m/>
    <m/>
    <m/>
  </r>
  <r>
    <s v="60.32"/>
    <x v="169"/>
    <x v="353"/>
    <s v="Списание с расчетного счета 00БП-000270 от 06.02.2026 12:00:07"/>
    <s v="06.02.26"/>
    <n v="100427453.63"/>
    <m/>
    <m/>
    <d v="2026-02-06T00:00:00"/>
    <n v="38"/>
    <x v="1"/>
    <x v="12"/>
    <x v="0"/>
    <x v="0"/>
    <m/>
    <m/>
    <m/>
  </r>
  <r>
    <s v="60.32"/>
    <x v="106"/>
    <x v="354"/>
    <s v="Списание с расчетного счета 00БП-000143 от 27.01.2026 15:05:21"/>
    <s v="27.01.26"/>
    <n v="5895177.5800000001"/>
    <m/>
    <m/>
    <d v="2026-01-27T00:00:00"/>
    <n v="48"/>
    <x v="1"/>
    <x v="12"/>
    <x v="0"/>
    <x v="0"/>
    <m/>
    <m/>
    <m/>
  </r>
  <r>
    <s v="60.32"/>
    <x v="106"/>
    <x v="354"/>
    <s v="Списание с расчетного счета 00БП-000479 от 25.02.2026 17:39:42"/>
    <s v="25.02.26"/>
    <n v="6661076.0499999998"/>
    <m/>
    <m/>
    <d v="2026-02-25T00:00:00"/>
    <n v="19"/>
    <x v="2"/>
    <x v="12"/>
    <x v="0"/>
    <x v="0"/>
    <m/>
    <m/>
    <m/>
  </r>
  <r>
    <s v="60.32"/>
    <x v="170"/>
    <x v="355"/>
    <s v="Списание с расчетного счета 00БП-000067 от 16.01.2026 17:13:35"/>
    <s v="16.01.26"/>
    <n v="2080992"/>
    <m/>
    <m/>
    <d v="2026-01-16T00:00:00"/>
    <n v="59"/>
    <x v="1"/>
    <x v="12"/>
    <x v="0"/>
    <x v="0"/>
    <m/>
    <m/>
    <m/>
  </r>
  <r>
    <s v="60.32"/>
    <x v="170"/>
    <x v="356"/>
    <s v="Списание с расчетного счета 00БП-000068 от 16.01.2026 17:13:36"/>
    <s v="16.01.26"/>
    <n v="2080992"/>
    <m/>
    <m/>
    <d v="2026-01-16T00:00:00"/>
    <n v="59"/>
    <x v="1"/>
    <x v="12"/>
    <x v="0"/>
    <x v="0"/>
    <m/>
    <m/>
    <m/>
  </r>
  <r>
    <s v="60.32"/>
    <x v="170"/>
    <x v="357"/>
    <s v="Списание с расчетного счета 00БП-000066 от 16.01.2026 17:13:34"/>
    <s v="16.01.26"/>
    <n v="1978905.6000000001"/>
    <m/>
    <m/>
    <d v="2026-01-16T00:00:00"/>
    <n v="59"/>
    <x v="1"/>
    <x v="12"/>
    <x v="0"/>
    <x v="0"/>
    <m/>
    <m/>
    <m/>
  </r>
  <r>
    <s v="60.32"/>
    <x v="127"/>
    <x v="358"/>
    <s v="Списание с расчетного счета 00БП-009356 от 30.12.2025 12:00:18"/>
    <s v="30.12.25"/>
    <n v="948672.83"/>
    <m/>
    <m/>
    <d v="2025-12-30T00:00:00"/>
    <n v="76"/>
    <x v="1"/>
    <x v="12"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417E8-3597-42EF-98FC-59AF9D9946AE}" name="Сводная таблица2" cacheId="77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24:N157" firstHeaderRow="1" firstDataRow="2" firstDataCol="1" rowPageCount="4" colPageCount="1"/>
  <pivotFields count="17">
    <pivotField showAll="0" defaultSubtotal="0"/>
    <pivotField axis="axisRow" showAll="0" defaultSubtotal="0">
      <items count="487">
        <item x="397"/>
        <item x="373"/>
        <item x="186"/>
        <item x="252"/>
        <item x="398"/>
        <item x="253"/>
        <item x="0"/>
        <item x="1"/>
        <item x="254"/>
        <item x="2"/>
        <item x="399"/>
        <item x="3"/>
        <item x="166"/>
        <item x="4"/>
        <item x="5"/>
        <item x="188"/>
        <item x="6"/>
        <item x="187"/>
        <item x="7"/>
        <item x="8"/>
        <item x="9"/>
        <item x="443"/>
        <item x="255"/>
        <item x="189"/>
        <item x="190"/>
        <item x="444"/>
        <item x="10"/>
        <item x="11"/>
        <item x="12"/>
        <item x="256"/>
        <item x="257"/>
        <item x="400"/>
        <item x="191"/>
        <item x="374"/>
        <item x="167"/>
        <item x="171"/>
        <item x="13"/>
        <item x="14"/>
        <item x="258"/>
        <item x="328"/>
        <item x="172"/>
        <item x="329"/>
        <item x="15"/>
        <item x="259"/>
        <item x="260"/>
        <item x="192"/>
        <item x="193"/>
        <item x="470"/>
        <item x="401"/>
        <item x="261"/>
        <item x="445"/>
        <item x="330"/>
        <item x="16"/>
        <item x="262"/>
        <item x="17"/>
        <item x="18"/>
        <item x="402"/>
        <item x="19"/>
        <item x="194"/>
        <item x="20"/>
        <item x="195"/>
        <item x="403"/>
        <item x="21"/>
        <item x="263"/>
        <item x="375"/>
        <item x="376"/>
        <item x="264"/>
        <item x="22"/>
        <item x="404"/>
        <item x="23"/>
        <item x="363"/>
        <item x="24"/>
        <item x="173"/>
        <item x="25"/>
        <item x="26"/>
        <item x="265"/>
        <item x="405"/>
        <item x="446"/>
        <item x="27"/>
        <item x="331"/>
        <item x="196"/>
        <item x="364"/>
        <item x="174"/>
        <item x="447"/>
        <item x="406"/>
        <item x="28"/>
        <item x="29"/>
        <item x="407"/>
        <item x="30"/>
        <item x="197"/>
        <item x="480"/>
        <item x="332"/>
        <item x="198"/>
        <item x="31"/>
        <item x="377"/>
        <item x="408"/>
        <item x="448"/>
        <item x="182"/>
        <item x="32"/>
        <item x="199"/>
        <item x="449"/>
        <item x="34"/>
        <item x="33"/>
        <item x="409"/>
        <item x="35"/>
        <item x="200"/>
        <item x="36"/>
        <item x="201"/>
        <item x="478"/>
        <item x="410"/>
        <item x="37"/>
        <item x="378"/>
        <item x="38"/>
        <item x="450"/>
        <item x="202"/>
        <item x="411"/>
        <item x="266"/>
        <item x="267"/>
        <item x="39"/>
        <item x="327"/>
        <item x="412"/>
        <item x="333"/>
        <item x="379"/>
        <item x="203"/>
        <item x="268"/>
        <item x="40"/>
        <item x="395"/>
        <item x="269"/>
        <item x="471"/>
        <item x="41"/>
        <item x="42"/>
        <item x="334"/>
        <item x="365"/>
        <item x="204"/>
        <item x="43"/>
        <item x="205"/>
        <item x="380"/>
        <item x="396"/>
        <item x="335"/>
        <item x="206"/>
        <item x="183"/>
        <item x="44"/>
        <item x="472"/>
        <item x="45"/>
        <item x="381"/>
        <item x="270"/>
        <item x="46"/>
        <item x="271"/>
        <item x="272"/>
        <item x="47"/>
        <item x="207"/>
        <item x="273"/>
        <item x="208"/>
        <item x="209"/>
        <item x="210"/>
        <item x="336"/>
        <item x="413"/>
        <item x="48"/>
        <item x="49"/>
        <item x="50"/>
        <item x="51"/>
        <item x="274"/>
        <item x="52"/>
        <item x="211"/>
        <item x="175"/>
        <item x="212"/>
        <item x="213"/>
        <item x="53"/>
        <item x="54"/>
        <item x="55"/>
        <item x="382"/>
        <item x="275"/>
        <item x="56"/>
        <item x="276"/>
        <item x="57"/>
        <item x="277"/>
        <item x="451"/>
        <item x="58"/>
        <item x="452"/>
        <item x="278"/>
        <item x="59"/>
        <item x="414"/>
        <item x="214"/>
        <item x="215"/>
        <item x="60"/>
        <item x="337"/>
        <item x="216"/>
        <item x="61"/>
        <item x="62"/>
        <item x="338"/>
        <item x="415"/>
        <item x="63"/>
        <item x="339"/>
        <item x="279"/>
        <item x="184"/>
        <item x="64"/>
        <item x="453"/>
        <item x="340"/>
        <item x="65"/>
        <item x="341"/>
        <item x="217"/>
        <item x="66"/>
        <item x="280"/>
        <item x="67"/>
        <item x="454"/>
        <item x="68"/>
        <item x="342"/>
        <item x="69"/>
        <item x="70"/>
        <item x="416"/>
        <item x="281"/>
        <item x="282"/>
        <item x="71"/>
        <item x="283"/>
        <item x="72"/>
        <item x="73"/>
        <item x="417"/>
        <item x="383"/>
        <item x="418"/>
        <item x="419"/>
        <item x="74"/>
        <item x="75"/>
        <item x="343"/>
        <item x="218"/>
        <item x="219"/>
        <item x="76"/>
        <item x="220"/>
        <item x="176"/>
        <item x="284"/>
        <item x="285"/>
        <item x="384"/>
        <item x="344"/>
        <item x="77"/>
        <item x="78"/>
        <item x="221"/>
        <item x="345"/>
        <item x="286"/>
        <item x="366"/>
        <item x="346"/>
        <item x="287"/>
        <item x="79"/>
        <item x="473"/>
        <item x="420"/>
        <item x="80"/>
        <item x="222"/>
        <item x="421"/>
        <item x="177"/>
        <item x="81"/>
        <item x="455"/>
        <item x="223"/>
        <item x="288"/>
        <item x="289"/>
        <item x="290"/>
        <item x="82"/>
        <item x="83"/>
        <item x="422"/>
        <item x="423"/>
        <item x="291"/>
        <item x="178"/>
        <item x="456"/>
        <item x="84"/>
        <item x="482"/>
        <item x="292"/>
        <item x="85"/>
        <item x="457"/>
        <item x="86"/>
        <item x="87"/>
        <item x="474"/>
        <item x="293"/>
        <item x="458"/>
        <item x="88"/>
        <item x="424"/>
        <item x="459"/>
        <item x="224"/>
        <item x="225"/>
        <item x="89"/>
        <item x="90"/>
        <item x="385"/>
        <item x="294"/>
        <item x="295"/>
        <item x="483"/>
        <item x="460"/>
        <item x="386"/>
        <item x="91"/>
        <item x="92"/>
        <item x="93"/>
        <item x="461"/>
        <item x="94"/>
        <item x="95"/>
        <item x="96"/>
        <item x="387"/>
        <item x="97"/>
        <item x="347"/>
        <item x="168"/>
        <item x="388"/>
        <item x="226"/>
        <item x="98"/>
        <item x="99"/>
        <item x="169"/>
        <item x="100"/>
        <item x="425"/>
        <item x="426"/>
        <item x="427"/>
        <item x="462"/>
        <item m="1" x="486"/>
        <item x="428"/>
        <item x="348"/>
        <item x="227"/>
        <item x="429"/>
        <item x="296"/>
        <item x="367"/>
        <item x="101"/>
        <item x="297"/>
        <item x="228"/>
        <item x="430"/>
        <item x="102"/>
        <item x="298"/>
        <item x="103"/>
        <item x="229"/>
        <item x="230"/>
        <item x="299"/>
        <item x="104"/>
        <item x="105"/>
        <item x="431"/>
        <item x="300"/>
        <item x="106"/>
        <item x="107"/>
        <item x="108"/>
        <item x="432"/>
        <item x="179"/>
        <item x="368"/>
        <item x="231"/>
        <item x="232"/>
        <item x="233"/>
        <item x="463"/>
        <item x="109"/>
        <item x="110"/>
        <item x="234"/>
        <item x="301"/>
        <item x="111"/>
        <item x="112"/>
        <item x="185"/>
        <item x="113"/>
        <item x="114"/>
        <item x="115"/>
        <item x="302"/>
        <item x="303"/>
        <item x="235"/>
        <item x="349"/>
        <item x="350"/>
        <item x="304"/>
        <item x="116"/>
        <item x="117"/>
        <item x="305"/>
        <item x="306"/>
        <item x="118"/>
        <item x="119"/>
        <item x="120"/>
        <item x="351"/>
        <item x="464"/>
        <item x="433"/>
        <item x="434"/>
        <item x="465"/>
        <item x="352"/>
        <item x="389"/>
        <item x="369"/>
        <item x="121"/>
        <item x="122"/>
        <item x="123"/>
        <item x="124"/>
        <item x="435"/>
        <item x="170"/>
        <item x="466"/>
        <item x="307"/>
        <item x="125"/>
        <item x="308"/>
        <item x="236"/>
        <item x="237"/>
        <item x="390"/>
        <item x="309"/>
        <item x="238"/>
        <item x="353"/>
        <item x="126"/>
        <item x="127"/>
        <item x="239"/>
        <item x="354"/>
        <item x="475"/>
        <item x="370"/>
        <item x="467"/>
        <item x="128"/>
        <item x="129"/>
        <item x="436"/>
        <item x="310"/>
        <item x="130"/>
        <item x="131"/>
        <item x="240"/>
        <item x="132"/>
        <item x="133"/>
        <item x="311"/>
        <item x="134"/>
        <item x="355"/>
        <item x="476"/>
        <item x="312"/>
        <item x="241"/>
        <item x="313"/>
        <item x="391"/>
        <item x="356"/>
        <item x="484"/>
        <item x="180"/>
        <item x="437"/>
        <item x="135"/>
        <item x="314"/>
        <item x="315"/>
        <item x="392"/>
        <item x="136"/>
        <item x="242"/>
        <item x="371"/>
        <item x="316"/>
        <item x="243"/>
        <item x="438"/>
        <item x="137"/>
        <item x="138"/>
        <item x="139"/>
        <item x="140"/>
        <item x="477"/>
        <item x="357"/>
        <item x="317"/>
        <item x="141"/>
        <item x="142"/>
        <item x="143"/>
        <item x="244"/>
        <item x="468"/>
        <item x="144"/>
        <item x="245"/>
        <item x="145"/>
        <item x="181"/>
        <item x="246"/>
        <item x="146"/>
        <item x="247"/>
        <item x="147"/>
        <item x="485"/>
        <item x="148"/>
        <item x="149"/>
        <item x="150"/>
        <item x="248"/>
        <item x="151"/>
        <item x="249"/>
        <item x="152"/>
        <item x="153"/>
        <item x="439"/>
        <item x="154"/>
        <item x="440"/>
        <item x="250"/>
        <item x="318"/>
        <item x="155"/>
        <item x="319"/>
        <item x="441"/>
        <item x="393"/>
        <item x="320"/>
        <item x="469"/>
        <item x="156"/>
        <item x="157"/>
        <item x="321"/>
        <item x="251"/>
        <item x="322"/>
        <item x="323"/>
        <item x="324"/>
        <item x="358"/>
        <item x="158"/>
        <item x="159"/>
        <item x="325"/>
        <item x="160"/>
        <item x="359"/>
        <item x="360"/>
        <item x="361"/>
        <item x="394"/>
        <item x="161"/>
        <item x="162"/>
        <item x="362"/>
        <item x="163"/>
        <item x="442"/>
        <item x="164"/>
        <item x="326"/>
        <item x="165"/>
        <item x="372"/>
        <item x="479"/>
        <item x="481"/>
      </items>
    </pivotField>
    <pivotField axis="axisPage" outline="0" showAll="0" defaultSubtotal="0">
      <items count="1440">
        <item x="364"/>
        <item x="246"/>
        <item x="240"/>
        <item x="133"/>
        <item x="25"/>
        <item x="1372"/>
        <item x="74"/>
        <item x="416"/>
        <item x="402"/>
        <item x="807"/>
        <item x="808"/>
        <item x="809"/>
        <item x="831"/>
        <item x="264"/>
        <item x="199"/>
        <item x="607"/>
        <item x="138"/>
        <item x="29"/>
        <item x="949"/>
        <item x="810"/>
        <item x="54"/>
        <item x="321"/>
        <item x="55"/>
        <item x="322"/>
        <item x="620"/>
        <item x="930"/>
        <item x="577"/>
        <item x="291"/>
        <item x="752"/>
        <item x="302"/>
        <item x="1418"/>
        <item x="323"/>
        <item x="324"/>
        <item x="1072"/>
        <item x="989"/>
        <item x="30"/>
        <item x="31"/>
        <item x="1175"/>
        <item x="56"/>
        <item x="57"/>
        <item x="927"/>
        <item x="774"/>
        <item x="1071"/>
        <item x="1206"/>
        <item x="590"/>
        <item x="695"/>
        <item x="369"/>
        <item x="586"/>
        <item x="587"/>
        <item x="58"/>
        <item x="734"/>
        <item x="60"/>
        <item x="61"/>
        <item x="62"/>
        <item x="63"/>
        <item x="219"/>
        <item x="608"/>
        <item x="1230"/>
        <item x="200"/>
        <item x="609"/>
        <item x="1133"/>
        <item x="479"/>
        <item x="1229"/>
        <item x="290"/>
        <item x="1270"/>
        <item x="146"/>
        <item x="353"/>
        <item x="383"/>
        <item x="1089"/>
        <item x="1208"/>
        <item x="1074"/>
        <item x="1375"/>
        <item x="141"/>
        <item x="977"/>
        <item x="312"/>
        <item x="313"/>
        <item x="36"/>
        <item x="863"/>
        <item x="32"/>
        <item x="1347"/>
        <item x="1332"/>
        <item x="928"/>
        <item x="210"/>
        <item x="945"/>
        <item x="413"/>
        <item x="1195"/>
        <item x="33"/>
        <item x="134"/>
        <item x="328"/>
        <item x="222"/>
        <item x="816"/>
        <item x="1211"/>
        <item x="1356"/>
        <item x="1141"/>
        <item x="714"/>
        <item x="145"/>
        <item x="966"/>
        <item x="967"/>
        <item x="487"/>
        <item x="488"/>
        <item x="147"/>
        <item x="1323"/>
        <item x="741"/>
        <item x="836"/>
        <item x="692"/>
        <item x="861"/>
        <item x="893"/>
        <item x="894"/>
        <item x="232"/>
        <item x="895"/>
        <item x="896"/>
        <item x="897"/>
        <item x="1423"/>
        <item x="1285"/>
        <item x="1286"/>
        <item x="1287"/>
        <item x="1288"/>
        <item x="1289"/>
        <item x="1290"/>
        <item x="898"/>
        <item x="1291"/>
        <item x="899"/>
        <item x="758"/>
        <item x="1048"/>
        <item x="551"/>
        <item x="390"/>
        <item x="900"/>
        <item x="1424"/>
        <item x="285"/>
        <item x="325"/>
        <item x="1271"/>
        <item x="1373"/>
        <item x="198"/>
        <item x="975"/>
        <item x="976"/>
        <item x="819"/>
        <item x="385"/>
        <item x="1260"/>
        <item x="1398"/>
        <item x="149"/>
        <item x="822"/>
        <item x="1003"/>
        <item x="1042"/>
        <item x="1176"/>
        <item x="1073"/>
        <item x="37"/>
        <item x="953"/>
        <item x="954"/>
        <item x="40"/>
        <item x="41"/>
        <item x="1272"/>
        <item x="1360"/>
        <item x="825"/>
        <item x="459"/>
        <item x="1438"/>
        <item x="303"/>
        <item x="1215"/>
        <item x="286"/>
        <item x="1328"/>
        <item x="287"/>
        <item x="1147"/>
        <item x="5"/>
        <item x="1004"/>
        <item x="1005"/>
        <item x="1426"/>
        <item x="873"/>
        <item x="162"/>
        <item x="1002"/>
        <item x="1417"/>
        <item x="628"/>
        <item x="305"/>
        <item x="1232"/>
        <item x="316"/>
        <item x="1131"/>
        <item x="926"/>
        <item x="1278"/>
        <item x="934"/>
        <item x="860"/>
        <item x="751"/>
        <item x="259"/>
        <item x="1433"/>
        <item x="968"/>
        <item x="163"/>
        <item x="196"/>
        <item x="829"/>
        <item x="830"/>
        <item x="122"/>
        <item x="764"/>
        <item x="1069"/>
        <item x="693"/>
        <item x="164"/>
        <item x="1324"/>
        <item x="781"/>
        <item x="759"/>
        <item x="826"/>
        <item x="1148"/>
        <item x="317"/>
        <item x="561"/>
        <item x="937"/>
        <item x="1366"/>
        <item x="689"/>
        <item x="625"/>
        <item x="1376"/>
        <item x="626"/>
        <item x="1377"/>
        <item x="627"/>
        <item x="1378"/>
        <item x="869"/>
        <item x="35"/>
        <item x="761"/>
        <item x="1379"/>
        <item x="53"/>
        <item x="218"/>
        <item x="1267"/>
        <item x="1268"/>
        <item x="1153"/>
        <item x="958"/>
        <item x="1090"/>
        <item x="366"/>
        <item x="82"/>
        <item x="588"/>
        <item x="884"/>
        <item x="229"/>
        <item x="414"/>
        <item x="415"/>
        <item x="1338"/>
        <item x="583"/>
        <item x="742"/>
        <item x="384"/>
        <item x="407"/>
        <item x="827"/>
        <item x="17"/>
        <item x="483"/>
        <item x="776"/>
        <item x="1367"/>
        <item x="1325"/>
        <item x="1326"/>
        <item x="1327"/>
        <item x="950"/>
        <item x="951"/>
        <item x="380"/>
        <item x="195"/>
        <item x="233"/>
        <item x="208"/>
        <item x="344"/>
        <item x="1306"/>
        <item x="1369"/>
        <item x="1370"/>
        <item x="500"/>
        <item x="372"/>
        <item x="1416"/>
        <item x="1365"/>
        <item x="389"/>
        <item x="363"/>
        <item x="1362"/>
        <item x="223"/>
        <item x="1216"/>
        <item x="1217"/>
        <item x="1218"/>
        <item x="1219"/>
        <item x="1220"/>
        <item x="823"/>
        <item x="3"/>
        <item x="4"/>
        <item x="1075"/>
        <item x="1330"/>
        <item x="1221"/>
        <item x="26"/>
        <item x="1337"/>
        <item x="1346"/>
        <item x="123"/>
        <item x="1018"/>
        <item x="1055"/>
        <item x="1336"/>
        <item x="355"/>
        <item x="356"/>
        <item x="357"/>
        <item x="1359"/>
        <item x="1361"/>
        <item x="1357"/>
        <item x="1358"/>
        <item x="1213"/>
        <item x="1371"/>
        <item x="354"/>
        <item x="595"/>
        <item x="1214"/>
        <item x="763"/>
        <item x="1368"/>
        <item x="1364"/>
        <item x="337"/>
        <item x="1212"/>
        <item x="1333"/>
        <item x="1321"/>
        <item x="211"/>
        <item x="1331"/>
        <item x="1265"/>
        <item x="1158"/>
        <item x="1341"/>
        <item x="1026"/>
        <item x="13"/>
        <item x="875"/>
        <item x="1363"/>
        <item x="8"/>
        <item x="65"/>
        <item x="66"/>
        <item x="1348"/>
        <item x="1066"/>
        <item x="1352"/>
        <item x="392"/>
        <item x="1316"/>
        <item x="1063"/>
        <item x="197"/>
        <item x="1202"/>
        <item x="154"/>
        <item x="1061"/>
        <item x="182"/>
        <item x="1329"/>
        <item x="358"/>
        <item x="1315"/>
        <item x="750"/>
        <item x="1154"/>
        <item x="231"/>
        <item x="335"/>
        <item x="540"/>
        <item x="183"/>
        <item x="118"/>
        <item x="236"/>
        <item x="554"/>
        <item x="585"/>
        <item x="549"/>
        <item x="1259"/>
        <item x="789"/>
        <item x="1226"/>
        <item x="1034"/>
        <item x="1035"/>
        <item x="59"/>
        <item x="1223"/>
        <item x="39"/>
        <item x="124"/>
        <item x="14"/>
        <item x="330"/>
        <item x="1109"/>
        <item x="307"/>
        <item x="172"/>
        <item x="173"/>
        <item x="174"/>
        <item x="1031"/>
        <item x="1422"/>
        <item x="948"/>
        <item x="1279"/>
        <item x="209"/>
        <item x="2"/>
        <item x="874"/>
        <item x="142"/>
        <item x="641"/>
        <item x="642"/>
        <item x="352"/>
        <item x="852"/>
        <item x="120"/>
        <item x="591"/>
        <item x="1132"/>
        <item x="1104"/>
        <item x="126"/>
        <item x="1399"/>
        <item x="1334"/>
        <item x="623"/>
        <item x="1262"/>
        <item x="184"/>
        <item x="332"/>
        <item x="1077"/>
        <item x="185"/>
        <item x="46"/>
        <item x="638"/>
        <item x="1015"/>
        <item x="418"/>
        <item x="47"/>
        <item x="1100"/>
        <item x="419"/>
        <item x="639"/>
        <item x="48"/>
        <item x="420"/>
        <item x="421"/>
        <item x="422"/>
        <item x="49"/>
        <item x="50"/>
        <item x="423"/>
        <item x="424"/>
        <item x="51"/>
        <item x="1101"/>
        <item x="425"/>
        <item x="640"/>
        <item x="426"/>
        <item x="1016"/>
        <item x="52"/>
        <item x="427"/>
        <item x="1017"/>
        <item x="428"/>
        <item x="365"/>
        <item x="186"/>
        <item x="1274"/>
        <item x="130"/>
        <item x="131"/>
        <item x="944"/>
        <item x="1078"/>
        <item x="924"/>
        <item x="282"/>
        <item x="283"/>
        <item x="284"/>
        <item x="1435"/>
        <item x="925"/>
        <item x="1322"/>
        <item x="1225"/>
        <item x="361"/>
        <item x="1350"/>
        <item x="1256"/>
        <item x="1257"/>
        <item x="1134"/>
        <item x="1258"/>
        <item x="480"/>
        <item x="1294"/>
        <item x="1053"/>
        <item x="766"/>
        <item x="767"/>
        <item x="768"/>
        <item x="982"/>
        <item x="1137"/>
        <item x="864"/>
        <item x="386"/>
        <item x="865"/>
        <item x="1253"/>
        <item x="135"/>
        <item x="1400"/>
        <item x="1401"/>
        <item x="1254"/>
        <item x="1028"/>
        <item x="1255"/>
        <item x="481"/>
        <item x="1081"/>
        <item x="1293"/>
        <item x="1233"/>
        <item x="1234"/>
        <item x="1235"/>
        <item x="1144"/>
        <item x="791"/>
        <item x="288"/>
        <item x="1269"/>
        <item x="1129"/>
        <item x="1245"/>
        <item x="1023"/>
        <item x="1295"/>
        <item x="1296"/>
        <item x="903"/>
        <item x="241"/>
        <item x="242"/>
        <item x="243"/>
        <item x="212"/>
        <item x="213"/>
        <item x="1222"/>
        <item x="1263"/>
        <item x="148"/>
        <item x="374"/>
        <item x="812"/>
        <item x="952"/>
        <item x="27"/>
        <item x="1056"/>
        <item x="918"/>
        <item x="73"/>
        <item x="501"/>
        <item x="304"/>
        <item x="238"/>
        <item x="1204"/>
        <item x="805"/>
        <item x="1402"/>
        <item x="996"/>
        <item x="28"/>
        <item x="306"/>
        <item x="187"/>
        <item x="188"/>
        <item x="429"/>
        <item x="1420"/>
        <item x="890"/>
        <item x="754"/>
        <item x="221"/>
        <item x="1045"/>
        <item x="1162"/>
        <item x="189"/>
        <item x="935"/>
        <item x="1080"/>
        <item x="1243"/>
        <item x="121"/>
        <item x="1105"/>
        <item x="67"/>
        <item x="68"/>
        <item x="1275"/>
        <item x="1276"/>
        <item x="1277"/>
        <item x="207"/>
        <item x="1106"/>
        <item x="981"/>
        <item x="840"/>
        <item x="1237"/>
        <item x="1111"/>
        <item x="939"/>
        <item x="329"/>
        <item x="1439"/>
        <item x="1425"/>
        <item x="1136"/>
        <item x="696"/>
        <item x="697"/>
        <item x="833"/>
        <item x="621"/>
        <item x="1227"/>
        <item x="1228"/>
        <item x="258"/>
        <item x="165"/>
        <item x="166"/>
        <item x="167"/>
        <item x="168"/>
        <item x="169"/>
        <item x="170"/>
        <item x="876"/>
        <item x="732"/>
        <item x="247"/>
        <item x="891"/>
        <item x="1421"/>
        <item x="1164"/>
        <item x="1165"/>
        <item x="1283"/>
        <item x="1284"/>
        <item x="1314"/>
        <item x="1242"/>
        <item x="1384"/>
        <item x="202"/>
        <item x="203"/>
        <item x="21"/>
        <item x="116"/>
        <item x="314"/>
        <item x="297"/>
        <item x="298"/>
        <item x="23"/>
        <item x="9"/>
        <item x="10"/>
        <item x="602"/>
        <item x="603"/>
        <item x="11"/>
        <item x="433"/>
        <item x="1238"/>
        <item x="1239"/>
        <item x="1107"/>
        <item x="1264"/>
        <item x="300"/>
        <item x="1281"/>
        <item x="1292"/>
        <item x="1049"/>
        <item x="1050"/>
        <item x="1051"/>
        <item x="1385"/>
        <item x="1386"/>
        <item x="299"/>
        <item x="992"/>
        <item x="838"/>
        <item x="75"/>
        <item x="339"/>
        <item x="839"/>
        <item x="340"/>
        <item x="645"/>
        <item x="341"/>
        <item x="76"/>
        <item x="77"/>
        <item x="78"/>
        <item x="1241"/>
        <item x="1020"/>
        <item x="1079"/>
        <item x="643"/>
        <item x="235"/>
        <item x="942"/>
        <item x="940"/>
        <item x="990"/>
        <item x="979"/>
        <item x="991"/>
        <item x="79"/>
        <item x="889"/>
        <item x="220"/>
        <item x="345"/>
        <item x="460"/>
        <item x="1349"/>
        <item x="262"/>
        <item x="962"/>
        <item x="867"/>
        <item x="963"/>
        <item x="964"/>
        <item x="965"/>
        <item x="835"/>
        <item x="550"/>
        <item x="917"/>
        <item x="565"/>
        <item x="491"/>
        <item x="245"/>
        <item x="612"/>
        <item x="1161"/>
        <item x="579"/>
        <item x="745"/>
        <item x="1084"/>
        <item x="1032"/>
        <item x="137"/>
        <item x="994"/>
        <item x="995"/>
        <item x="127"/>
        <item x="464"/>
        <item x="465"/>
        <item x="466"/>
        <item x="467"/>
        <item x="468"/>
        <item x="469"/>
        <item x="470"/>
        <item x="471"/>
        <item x="472"/>
        <item x="368"/>
        <item x="128"/>
        <item x="129"/>
        <item x="473"/>
        <item x="474"/>
        <item x="475"/>
        <item x="476"/>
        <item x="308"/>
        <item x="815"/>
        <item x="151"/>
        <item x="136"/>
        <item x="753"/>
        <item x="289"/>
        <item x="214"/>
        <item x="756"/>
        <item x="770"/>
        <item x="616"/>
        <item x="765"/>
        <item x="749"/>
        <item x="1142"/>
        <item x="1170"/>
        <item x="617"/>
        <item x="743"/>
        <item x="362"/>
        <item x="811"/>
        <item x="338"/>
        <item x="1091"/>
        <item x="904"/>
        <item x="319"/>
        <item x="760"/>
        <item x="548"/>
        <item x="381"/>
        <item x="871"/>
        <item x="715"/>
        <item x="1339"/>
        <item x="462"/>
        <item x="1209"/>
        <item x="1244"/>
        <item x="1067"/>
        <item x="1374"/>
        <item x="797"/>
        <item x="477"/>
        <item x="905"/>
        <item x="463"/>
        <item x="1052"/>
        <item x="906"/>
        <item x="907"/>
        <item x="868"/>
        <item x="804"/>
        <item x="408"/>
        <item x="562"/>
        <item x="747"/>
        <item x="489"/>
        <item x="1033"/>
        <item x="1057"/>
        <item x="716"/>
        <item x="1019"/>
        <item x="1040"/>
        <item x="719"/>
        <item x="688"/>
        <item x="1436"/>
        <item x="296"/>
        <item x="42"/>
        <item x="803"/>
        <item x="563"/>
        <item x="1166"/>
        <item x="230"/>
        <item x="690"/>
        <item x="597"/>
        <item x="908"/>
        <item x="581"/>
        <item x="239"/>
        <item x="564"/>
        <item x="244"/>
        <item x="1076"/>
        <item x="974"/>
        <item x="1143"/>
        <item x="909"/>
        <item x="331"/>
        <item x="1114"/>
        <item x="832"/>
        <item x="1135"/>
        <item x="691"/>
        <item x="1044"/>
        <item x="1181"/>
        <item x="834"/>
        <item x="820"/>
        <item x="22"/>
        <item x="1383"/>
        <item x="707"/>
        <item x="155"/>
        <item x="1280"/>
        <item x="1282"/>
        <item x="1353"/>
        <item x="38"/>
        <item x="775"/>
        <item x="1092"/>
        <item x="1093"/>
        <item x="1064"/>
        <item x="119"/>
        <item x="1343"/>
        <item x="1344"/>
        <item x="1247"/>
        <item x="853"/>
        <item x="854"/>
        <item x="855"/>
        <item x="1248"/>
        <item x="1249"/>
        <item x="1250"/>
        <item x="856"/>
        <item x="857"/>
        <item x="574"/>
        <item x="1345"/>
        <item x="18"/>
        <item x="858"/>
        <item x="1027"/>
        <item x="1340"/>
        <item x="1009"/>
        <item x="398"/>
        <item x="1118"/>
        <item x="1119"/>
        <item x="1120"/>
        <item x="1121"/>
        <item x="959"/>
        <item x="83"/>
        <item x="1122"/>
        <item x="1123"/>
        <item x="1231"/>
        <item x="1124"/>
        <item x="1097"/>
        <item x="1010"/>
        <item x="1011"/>
        <item x="1012"/>
        <item x="1013"/>
        <item x="1098"/>
        <item x="545"/>
        <item x="1014"/>
        <item x="824"/>
        <item x="1125"/>
        <item x="956"/>
        <item x="1115"/>
        <item x="1126"/>
        <item x="1127"/>
        <item x="1128"/>
        <item x="412"/>
        <item x="1261"/>
        <item x="438"/>
        <item x="841"/>
        <item x="656"/>
        <item x="657"/>
        <item x="439"/>
        <item x="440"/>
        <item x="84"/>
        <item x="658"/>
        <item x="659"/>
        <item x="660"/>
        <item x="85"/>
        <item x="842"/>
        <item x="661"/>
        <item x="662"/>
        <item x="663"/>
        <item x="664"/>
        <item x="665"/>
        <item x="441"/>
        <item x="86"/>
        <item x="843"/>
        <item x="844"/>
        <item x="845"/>
        <item x="666"/>
        <item x="846"/>
        <item x="667"/>
        <item x="442"/>
        <item x="443"/>
        <item x="444"/>
        <item x="87"/>
        <item x="445"/>
        <item x="668"/>
        <item x="669"/>
        <item x="670"/>
        <item x="446"/>
        <item x="447"/>
        <item x="88"/>
        <item x="671"/>
        <item x="672"/>
        <item x="673"/>
        <item x="89"/>
        <item x="674"/>
        <item x="367"/>
        <item x="448"/>
        <item x="90"/>
        <item x="91"/>
        <item x="675"/>
        <item x="676"/>
        <item x="92"/>
        <item x="677"/>
        <item x="678"/>
        <item x="449"/>
        <item x="93"/>
        <item x="94"/>
        <item x="450"/>
        <item x="679"/>
        <item x="451"/>
        <item x="680"/>
        <item x="95"/>
        <item x="96"/>
        <item x="97"/>
        <item x="98"/>
        <item x="99"/>
        <item x="100"/>
        <item x="681"/>
        <item x="452"/>
        <item x="682"/>
        <item x="101"/>
        <item x="632"/>
        <item x="633"/>
        <item x="44"/>
        <item x="102"/>
        <item x="634"/>
        <item x="635"/>
        <item x="636"/>
        <item x="637"/>
        <item x="103"/>
        <item x="1197"/>
        <item x="417"/>
        <item x="683"/>
        <item x="104"/>
        <item x="847"/>
        <item x="694"/>
        <item x="453"/>
        <item x="105"/>
        <item x="848"/>
        <item x="106"/>
        <item x="387"/>
        <item x="733"/>
        <item x="592"/>
        <item x="1087"/>
        <item x="1387"/>
        <item x="1388"/>
        <item x="107"/>
        <item x="108"/>
        <item x="1389"/>
        <item x="1390"/>
        <item x="45"/>
        <item x="1391"/>
        <item x="1381"/>
        <item x="1382"/>
        <item x="1392"/>
        <item x="1393"/>
        <item x="1394"/>
        <item x="109"/>
        <item x="110"/>
        <item x="1395"/>
        <item x="111"/>
        <item x="112"/>
        <item x="113"/>
        <item x="771"/>
        <item x="1396"/>
        <item x="204"/>
        <item x="1065"/>
        <item x="1403"/>
        <item x="432"/>
        <item x="1029"/>
        <item x="814"/>
        <item x="613"/>
        <item x="629"/>
        <item x="600"/>
        <item x="558"/>
        <item x="729"/>
        <item x="983"/>
        <item x="201"/>
        <item x="1043"/>
        <item x="399"/>
        <item x="248"/>
        <item x="986"/>
        <item x="1182"/>
        <item x="69"/>
        <item x="769"/>
        <item x="1047"/>
        <item x="150"/>
        <item x="1427"/>
        <item x="1116"/>
        <item x="1030"/>
        <item x="885"/>
        <item x="1168"/>
        <item x="630"/>
        <item x="601"/>
        <item x="1319"/>
        <item x="1068"/>
        <item x="988"/>
        <item x="382"/>
        <item x="315"/>
        <item x="698"/>
        <item x="1117"/>
        <item x="24"/>
        <item x="542"/>
        <item x="684"/>
        <item x="1169"/>
        <item x="249"/>
        <item x="1174"/>
        <item x="772"/>
        <item x="1172"/>
        <item x="699"/>
        <item x="1088"/>
        <item x="802"/>
        <item x="700"/>
        <item x="215"/>
        <item x="1273"/>
        <item x="701"/>
        <item x="902"/>
        <item x="70"/>
        <item x="403"/>
        <item x="938"/>
        <item x="702"/>
        <item x="431"/>
        <item x="740"/>
        <item x="1335"/>
        <item x="599"/>
        <item x="250"/>
        <item x="703"/>
        <item x="704"/>
        <item x="788"/>
        <item x="393"/>
        <item x="705"/>
        <item x="706"/>
        <item x="251"/>
        <item x="1351"/>
        <item x="624"/>
        <item x="877"/>
        <item x="1354"/>
        <item x="410"/>
        <item x="748"/>
        <item x="614"/>
        <item x="1086"/>
        <item x="252"/>
        <item x="837"/>
        <item x="404"/>
        <item x="1157"/>
        <item x="461"/>
        <item x="777"/>
        <item x="1160"/>
        <item x="615"/>
        <item x="1022"/>
        <item x="253"/>
        <item x="790"/>
        <item x="910"/>
        <item x="546"/>
        <item x="547"/>
        <item x="1000"/>
        <item x="1297"/>
        <item x="1298"/>
        <item x="1299"/>
        <item x="644"/>
        <item x="71"/>
        <item x="405"/>
        <item x="144"/>
        <item x="254"/>
        <item x="1300"/>
        <item x="762"/>
        <item x="394"/>
        <item x="744"/>
        <item x="1355"/>
        <item x="1139"/>
        <item x="566"/>
        <item x="718"/>
        <item x="1177"/>
        <item x="1085"/>
        <item x="567"/>
        <item x="1094"/>
        <item x="482"/>
        <item x="125"/>
        <item x="1167"/>
        <item x="1240"/>
        <item x="72"/>
        <item x="406"/>
        <item x="216"/>
        <item x="978"/>
        <item x="611"/>
        <item x="798"/>
        <item x="1428"/>
        <item x="255"/>
        <item x="34"/>
        <item x="326"/>
        <item x="933"/>
        <item x="914"/>
        <item x="709"/>
        <item x="256"/>
        <item x="478"/>
        <item x="490"/>
        <item x="205"/>
        <item x="371"/>
        <item x="257"/>
        <item x="1196"/>
        <item x="1108"/>
        <item x="796"/>
        <item x="813"/>
        <item x="1173"/>
        <item x="1429"/>
        <item x="735"/>
        <item x="1301"/>
        <item x="1302"/>
        <item x="911"/>
        <item x="1430"/>
        <item x="1303"/>
        <item x="1304"/>
        <item x="1431"/>
        <item x="1432"/>
        <item x="1198"/>
        <item x="931"/>
        <item x="932"/>
        <item x="484"/>
        <item x="792"/>
        <item x="793"/>
        <item x="800"/>
        <item x="941"/>
        <item x="710"/>
        <item x="606"/>
        <item x="16"/>
        <item x="1419"/>
        <item x="1001"/>
        <item x="1112"/>
        <item x="388"/>
        <item x="618"/>
        <item x="1102"/>
        <item x="712"/>
        <item x="1110"/>
        <item x="888"/>
        <item x="912"/>
        <item x="913"/>
        <item x="929"/>
        <item x="711"/>
        <item x="555"/>
        <item x="598"/>
        <item x="397"/>
        <item x="0"/>
        <item x="15"/>
        <item x="619"/>
        <item x="64"/>
        <item x="1041"/>
        <item x="373"/>
        <item x="139"/>
        <item x="955"/>
        <item x="171"/>
        <item x="773"/>
        <item x="140"/>
        <item x="217"/>
        <item x="409"/>
        <item x="647"/>
        <item x="336"/>
        <item x="175"/>
        <item x="176"/>
        <item x="177"/>
        <item x="178"/>
        <item x="1404"/>
        <item x="1405"/>
        <item x="1406"/>
        <item x="346"/>
        <item x="878"/>
        <item x="1149"/>
        <item x="502"/>
        <item x="879"/>
        <item x="880"/>
        <item x="503"/>
        <item x="504"/>
        <item x="736"/>
        <item x="505"/>
        <item x="1150"/>
        <item x="1151"/>
        <item x="506"/>
        <item x="737"/>
        <item x="507"/>
        <item x="508"/>
        <item x="1152"/>
        <item x="509"/>
        <item x="738"/>
        <item x="510"/>
        <item x="969"/>
        <item x="511"/>
        <item x="512"/>
        <item x="513"/>
        <item x="970"/>
        <item x="739"/>
        <item x="514"/>
        <item x="515"/>
        <item x="516"/>
        <item x="517"/>
        <item x="518"/>
        <item x="971"/>
        <item x="881"/>
        <item x="972"/>
        <item x="519"/>
        <item x="882"/>
        <item x="973"/>
        <item x="520"/>
        <item x="521"/>
        <item x="347"/>
        <item x="348"/>
        <item x="349"/>
        <item x="522"/>
        <item x="523"/>
        <item x="524"/>
        <item x="525"/>
        <item x="526"/>
        <item x="527"/>
        <item x="528"/>
        <item x="883"/>
        <item x="529"/>
        <item x="530"/>
        <item x="531"/>
        <item x="532"/>
        <item x="533"/>
        <item x="534"/>
        <item x="535"/>
        <item x="536"/>
        <item x="537"/>
        <item x="538"/>
        <item x="350"/>
        <item x="351"/>
        <item x="1407"/>
        <item x="1408"/>
        <item x="1409"/>
        <item x="594"/>
        <item x="1410"/>
        <item x="1411"/>
        <item x="1412"/>
        <item x="1413"/>
        <item x="1414"/>
        <item x="1415"/>
        <item x="539"/>
        <item x="179"/>
        <item x="180"/>
        <item x="181"/>
        <item x="862"/>
        <item x="1192"/>
        <item x="1193"/>
        <item x="117"/>
        <item x="1246"/>
        <item x="849"/>
        <item x="1024"/>
        <item x="685"/>
        <item x="960"/>
        <item x="1130"/>
        <item x="686"/>
        <item x="687"/>
        <item x="454"/>
        <item x="610"/>
        <item x="19"/>
        <item x="20"/>
        <item x="730"/>
        <item x="646"/>
        <item x="596"/>
        <item x="411"/>
        <item x="152"/>
        <item x="153"/>
        <item x="851"/>
        <item x="1145"/>
        <item x="1146"/>
        <item x="1039"/>
        <item x="720"/>
        <item x="1036"/>
        <item x="1037"/>
        <item x="301"/>
        <item x="870"/>
        <item x="311"/>
        <item x="866"/>
        <item x="708"/>
        <item x="497"/>
        <item x="498"/>
        <item x="376"/>
        <item x="795"/>
        <item x="578"/>
        <item x="292"/>
        <item x="377"/>
        <item x="293"/>
        <item x="378"/>
        <item x="379"/>
        <item x="294"/>
        <item x="295"/>
        <item x="943"/>
        <item x="334"/>
        <item x="818"/>
        <item x="224"/>
        <item x="225"/>
        <item x="80"/>
        <item x="946"/>
        <item x="947"/>
        <item x="434"/>
        <item x="81"/>
        <item x="342"/>
        <item x="1021"/>
        <item x="993"/>
        <item x="343"/>
        <item x="226"/>
        <item x="499"/>
        <item x="401"/>
        <item x="572"/>
        <item x="573"/>
        <item x="1155"/>
        <item x="1156"/>
        <item x="780"/>
        <item x="916"/>
        <item x="746"/>
        <item x="430"/>
        <item x="828"/>
        <item x="997"/>
        <item x="396"/>
        <item x="1046"/>
        <item x="143"/>
        <item x="486"/>
        <item x="998"/>
        <item x="999"/>
        <item x="980"/>
        <item x="557"/>
        <item x="1201"/>
        <item x="1180"/>
        <item x="648"/>
        <item x="649"/>
        <item x="650"/>
        <item x="651"/>
        <item x="652"/>
        <item x="436"/>
        <item x="437"/>
        <item x="653"/>
        <item x="571"/>
        <item x="1194"/>
        <item x="1060"/>
        <item x="987"/>
        <item x="821"/>
        <item x="654"/>
        <item x="655"/>
        <item x="817"/>
        <item x="43"/>
        <item x="1380"/>
        <item x="543"/>
        <item x="206"/>
        <item x="544"/>
        <item x="757"/>
        <item x="556"/>
        <item x="370"/>
        <item x="915"/>
        <item x="541"/>
        <item x="1096"/>
        <item x="886"/>
        <item x="887"/>
        <item x="631"/>
        <item x="576"/>
        <item x="455"/>
        <item x="456"/>
        <item x="457"/>
        <item x="327"/>
        <item x="1099"/>
        <item x="1025"/>
        <item x="553"/>
        <item x="1140"/>
        <item x="552"/>
        <item x="1006"/>
        <item x="1007"/>
        <item x="1008"/>
        <item x="584"/>
        <item x="936"/>
        <item x="1224"/>
        <item x="1318"/>
        <item x="1095"/>
        <item x="1320"/>
        <item x="1054"/>
        <item x="801"/>
        <item x="1178"/>
        <item x="778"/>
        <item x="721"/>
        <item x="156"/>
        <item x="722"/>
        <item x="157"/>
        <item x="1138"/>
        <item x="723"/>
        <item x="724"/>
        <item x="725"/>
        <item x="726"/>
        <item x="435"/>
        <item x="559"/>
        <item x="727"/>
        <item x="158"/>
        <item x="492"/>
        <item x="728"/>
        <item x="622"/>
        <item x="237"/>
        <item x="1038"/>
        <item x="493"/>
        <item x="494"/>
        <item x="495"/>
        <item x="1203"/>
        <item x="159"/>
        <item x="961"/>
        <item x="575"/>
        <item x="901"/>
        <item x="560"/>
        <item x="779"/>
        <item x="1179"/>
        <item x="872"/>
        <item x="1205"/>
        <item x="806"/>
        <item x="589"/>
        <item x="260"/>
        <item x="261"/>
        <item x="1207"/>
        <item x="320"/>
        <item x="234"/>
        <item x="593"/>
        <item x="359"/>
        <item x="12"/>
        <item x="604"/>
        <item x="605"/>
        <item x="400"/>
        <item x="360"/>
        <item x="280"/>
        <item x="281"/>
        <item x="265"/>
        <item x="1163"/>
        <item x="227"/>
        <item x="228"/>
        <item x="755"/>
        <item x="1183"/>
        <item x="1307"/>
        <item x="266"/>
        <item x="1308"/>
        <item x="1309"/>
        <item x="1310"/>
        <item x="1311"/>
        <item x="1312"/>
        <item x="1313"/>
        <item x="267"/>
        <item x="1184"/>
        <item x="1185"/>
        <item x="268"/>
        <item x="1186"/>
        <item x="1187"/>
        <item x="269"/>
        <item x="1188"/>
        <item x="1189"/>
        <item x="1190"/>
        <item x="1058"/>
        <item x="1059"/>
        <item x="984"/>
        <item x="919"/>
        <item x="985"/>
        <item x="270"/>
        <item x="271"/>
        <item x="272"/>
        <item x="273"/>
        <item x="274"/>
        <item x="920"/>
        <item x="275"/>
        <item x="276"/>
        <item x="1434"/>
        <item x="921"/>
        <item x="922"/>
        <item x="923"/>
        <item x="277"/>
        <item x="782"/>
        <item x="783"/>
        <item x="784"/>
        <item x="785"/>
        <item x="786"/>
        <item x="787"/>
        <item x="278"/>
        <item x="279"/>
        <item x="568"/>
        <item x="569"/>
        <item x="570"/>
        <item x="375"/>
        <item x="1191"/>
        <item x="1251"/>
        <item x="1083"/>
        <item x="1"/>
        <item x="850"/>
        <item x="717"/>
        <item x="263"/>
        <item x="582"/>
        <item x="1305"/>
        <item x="892"/>
        <item x="1210"/>
        <item x="6"/>
        <item x="7"/>
        <item x="799"/>
        <item x="580"/>
        <item x="713"/>
        <item x="731"/>
        <item x="160"/>
        <item x="161"/>
        <item x="859"/>
        <item x="957"/>
        <item x="114"/>
        <item x="115"/>
        <item x="1397"/>
        <item x="1342"/>
        <item x="458"/>
        <item x="1252"/>
        <item x="391"/>
        <item x="1062"/>
        <item x="190"/>
        <item x="191"/>
        <item x="192"/>
        <item x="1317"/>
        <item x="1199"/>
        <item x="1200"/>
        <item x="1082"/>
        <item x="485"/>
        <item x="794"/>
        <item x="1159"/>
        <item x="1236"/>
        <item x="1103"/>
        <item x="1113"/>
        <item x="310"/>
        <item x="193"/>
        <item x="1171"/>
        <item x="496"/>
        <item x="1266"/>
        <item x="1437"/>
        <item x="194"/>
        <item x="132"/>
        <item x="395"/>
        <item x="318"/>
        <item x="1070"/>
        <item x="309"/>
        <item x="3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dataField="1" numFmtId="3" showAll="0" defaultSubtotal="0"/>
    <pivotField showAll="0" defaultSubtotal="0"/>
    <pivotField showAll="0" defaultSubtotal="0"/>
    <pivotField numFmtId="14" showAll="0" defaultSubtotal="0"/>
    <pivotField showAll="0" defaultSubtotal="0"/>
    <pivotField axis="axisPage" multipleItemSelectionAllowed="1" showAll="0" defaultSubtotal="0">
      <items count="7">
        <item h="1" x="2"/>
        <item h="1" x="1"/>
        <item h="1" x="4"/>
        <item h="1" x="0"/>
        <item x="3"/>
        <item x="6"/>
        <item x="5"/>
      </items>
    </pivotField>
    <pivotField axis="axisCol" numFmtId="14" showAll="0" defaultSubtotal="0">
      <items count="13"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x="12"/>
      </items>
    </pivotField>
    <pivotField axis="axisPage" multipleItemSelectionAllowed="1" showAll="0" defaultSubtotal="0">
      <items count="3">
        <item x="2"/>
        <item x="1"/>
        <item x="0"/>
      </items>
    </pivotField>
    <pivotField axis="axisPage" outline="0" showAll="0" defaultSubtotal="0">
      <items count="24">
        <item x="5"/>
        <item x="16"/>
        <item x="19"/>
        <item x="18"/>
        <item x="20"/>
        <item x="13"/>
        <item x="21"/>
        <item x="1"/>
        <item x="12"/>
        <item x="3"/>
        <item x="2"/>
        <item x="8"/>
        <item m="1" x="23"/>
        <item x="14"/>
        <item x="10"/>
        <item x="7"/>
        <item x="6"/>
        <item x="9"/>
        <item x="17"/>
        <item x="4"/>
        <item x="22"/>
        <item x="11"/>
        <item x="15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showAll="0" defaultSubtotal="0"/>
  </pivotFields>
  <rowFields count="1">
    <field x="1"/>
  </rowFields>
  <rowItems count="132">
    <i>
      <x/>
    </i>
    <i>
      <x v="6"/>
    </i>
    <i>
      <x v="12"/>
    </i>
    <i>
      <x v="14"/>
    </i>
    <i>
      <x v="16"/>
    </i>
    <i>
      <x v="20"/>
    </i>
    <i>
      <x v="24"/>
    </i>
    <i>
      <x v="27"/>
    </i>
    <i>
      <x v="28"/>
    </i>
    <i>
      <x v="34"/>
    </i>
    <i>
      <x v="53"/>
    </i>
    <i>
      <x v="55"/>
    </i>
    <i>
      <x v="57"/>
    </i>
    <i>
      <x v="59"/>
    </i>
    <i>
      <x v="62"/>
    </i>
    <i>
      <x v="63"/>
    </i>
    <i>
      <x v="69"/>
    </i>
    <i>
      <x v="71"/>
    </i>
    <i>
      <x v="78"/>
    </i>
    <i>
      <x v="86"/>
    </i>
    <i>
      <x v="88"/>
    </i>
    <i>
      <x v="89"/>
    </i>
    <i>
      <x v="94"/>
    </i>
    <i>
      <x v="104"/>
    </i>
    <i>
      <x v="106"/>
    </i>
    <i>
      <x v="107"/>
    </i>
    <i>
      <x v="112"/>
    </i>
    <i>
      <x v="125"/>
    </i>
    <i>
      <x v="128"/>
    </i>
    <i>
      <x v="132"/>
    </i>
    <i>
      <x v="136"/>
    </i>
    <i>
      <x v="137"/>
    </i>
    <i>
      <x v="140"/>
    </i>
    <i>
      <x v="144"/>
    </i>
    <i>
      <x v="152"/>
    </i>
    <i>
      <x v="154"/>
    </i>
    <i>
      <x v="157"/>
    </i>
    <i>
      <x v="159"/>
    </i>
    <i>
      <x v="160"/>
    </i>
    <i>
      <x v="162"/>
    </i>
    <i>
      <x v="166"/>
    </i>
    <i>
      <x v="168"/>
    </i>
    <i>
      <x v="170"/>
    </i>
    <i>
      <x v="172"/>
    </i>
    <i>
      <x v="177"/>
    </i>
    <i>
      <x v="184"/>
    </i>
    <i>
      <x v="187"/>
    </i>
    <i>
      <x v="188"/>
    </i>
    <i>
      <x v="195"/>
    </i>
    <i>
      <x v="198"/>
    </i>
    <i>
      <x v="203"/>
    </i>
    <i>
      <x v="207"/>
    </i>
    <i>
      <x v="209"/>
    </i>
    <i>
      <x v="211"/>
    </i>
    <i>
      <x v="212"/>
    </i>
    <i>
      <x v="215"/>
    </i>
    <i>
      <x v="217"/>
    </i>
    <i>
      <x v="220"/>
    </i>
    <i>
      <x v="226"/>
    </i>
    <i>
      <x v="232"/>
    </i>
    <i>
      <x v="233"/>
    </i>
    <i>
      <x v="239"/>
    </i>
    <i>
      <x v="240"/>
    </i>
    <i>
      <x v="243"/>
    </i>
    <i>
      <x v="246"/>
    </i>
    <i>
      <x v="249"/>
    </i>
    <i>
      <x v="270"/>
    </i>
    <i>
      <x v="276"/>
    </i>
    <i>
      <x v="283"/>
    </i>
    <i>
      <x v="284"/>
    </i>
    <i>
      <x v="291"/>
    </i>
    <i>
      <x v="296"/>
    </i>
    <i>
      <x v="299"/>
    </i>
    <i>
      <x v="306"/>
    </i>
    <i>
      <x v="308"/>
    </i>
    <i>
      <x v="315"/>
    </i>
    <i>
      <x v="321"/>
    </i>
    <i>
      <x v="322"/>
    </i>
    <i>
      <x v="325"/>
    </i>
    <i>
      <x v="326"/>
    </i>
    <i>
      <x v="329"/>
    </i>
    <i>
      <x v="335"/>
    </i>
    <i>
      <x v="337"/>
    </i>
    <i>
      <x v="340"/>
    </i>
    <i>
      <x v="341"/>
    </i>
    <i>
      <x v="342"/>
    </i>
    <i>
      <x v="343"/>
    </i>
    <i>
      <x v="344"/>
    </i>
    <i>
      <x v="347"/>
    </i>
    <i>
      <x v="351"/>
    </i>
    <i>
      <x v="353"/>
    </i>
    <i>
      <x v="354"/>
    </i>
    <i>
      <x v="356"/>
    </i>
    <i>
      <x v="367"/>
    </i>
    <i>
      <x v="368"/>
    </i>
    <i>
      <x v="369"/>
    </i>
    <i>
      <x v="374"/>
    </i>
    <i>
      <x v="377"/>
    </i>
    <i>
      <x v="383"/>
    </i>
    <i>
      <x v="384"/>
    </i>
    <i>
      <x v="392"/>
    </i>
    <i>
      <x v="393"/>
    </i>
    <i>
      <x v="400"/>
    </i>
    <i>
      <x v="405"/>
    </i>
    <i>
      <x v="420"/>
    </i>
    <i>
      <x v="421"/>
    </i>
    <i>
      <x v="426"/>
    </i>
    <i>
      <x v="427"/>
    </i>
    <i>
      <x v="428"/>
    </i>
    <i>
      <x v="432"/>
    </i>
    <i>
      <x v="434"/>
    </i>
    <i>
      <x v="436"/>
    </i>
    <i>
      <x v="439"/>
    </i>
    <i>
      <x v="441"/>
    </i>
    <i>
      <x v="442"/>
    </i>
    <i>
      <x v="443"/>
    </i>
    <i>
      <x v="445"/>
    </i>
    <i>
      <x v="446"/>
    </i>
    <i>
      <x v="447"/>
    </i>
    <i>
      <x v="448"/>
    </i>
    <i>
      <x v="450"/>
    </i>
    <i>
      <x v="454"/>
    </i>
    <i>
      <x v="457"/>
    </i>
    <i>
      <x v="460"/>
    </i>
    <i>
      <x v="461"/>
    </i>
    <i>
      <x v="466"/>
    </i>
    <i>
      <x v="472"/>
    </i>
    <i>
      <x v="477"/>
    </i>
    <i>
      <x v="479"/>
    </i>
    <i>
      <x v="482"/>
    </i>
    <i>
      <x v="483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4">
    <pageField fld="12" hier="-1"/>
    <pageField fld="10" hier="-1"/>
    <pageField fld="13" hier="-1"/>
    <pageField fld="2" hier="-1"/>
  </pageFields>
  <dataFields count="1">
    <dataField name="Сумма по полю Сумма остаток Дт" fld="5" baseField="10" baseItem="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3EA24-B271-47B0-9F63-49CD72FA3AA3}" name="Сводная таблица1" cacheId="77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5:J14" firstHeaderRow="1" firstDataRow="2" firstDataCol="1" rowPageCount="1" colPageCount="1"/>
  <pivotFields count="17"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numFmtId="14" showAll="0"/>
    <pivotField showAll="0"/>
    <pivotField axis="axisRow" showAll="0">
      <items count="8">
        <item x="2"/>
        <item x="1"/>
        <item x="4"/>
        <item x="0"/>
        <item x="3"/>
        <item x="6"/>
        <item x="5"/>
        <item t="default"/>
      </items>
    </pivotField>
    <pivotField axis="axisCol" numFmtId="14" showAll="0">
      <items count="14"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x="12"/>
        <item t="default"/>
      </items>
    </pivotField>
    <pivotField axis="axisPage" multipleItemSelectionAllowed="1" showAll="0">
      <items count="4">
        <item h="1"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9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1">
    <pageField fld="12" hier="-1"/>
  </pageFields>
  <dataFields count="1">
    <dataField name="Сумма по полю Сумма остаток Дт" fld="5" baseField="10" baseItem="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6F67F-0FA0-4265-AA25-4B85BA777663}" name="Таблица1" displayName="Таблица1" ref="A1:Q4510" totalsRowShown="0" headerRowDxfId="2" headerRowBorderDxfId="6" tableBorderDxfId="7">
  <autoFilter ref="A1:Q4510" xr:uid="{568644E2-2179-4ADC-BC64-F6D6402E3440}"/>
  <tableColumns count="17">
    <tableColumn id="1" xr3:uid="{447403CD-955B-4564-B2C7-1E6681FED6C1}" name="Счет"/>
    <tableColumn id="2" xr3:uid="{8940893B-10F8-4A6B-A409-5F34801012E7}" name="Контрагент"/>
    <tableColumn id="3" xr3:uid="{A4312391-6E56-4D17-BB53-785BA32B1DB0}" name="Документ"/>
    <tableColumn id="4" xr3:uid="{CB9CA25A-A633-4B22-9E5E-8780DE8257D7}" name="Субконто"/>
    <tableColumn id="5" xr3:uid="{3A87EB38-73D8-434D-A857-D2B20052CF4D}" name="Дата"/>
    <tableColumn id="6" xr3:uid="{FD0B86BF-401E-4CD7-B0FA-E6E2EEAA991F}" name="Сумма остаток Дт" dataDxfId="1"/>
    <tableColumn id="7" xr3:uid="{5EE368DC-A9BD-4C88-91CA-A9AA9F6649F3}" name="Сумма остаток Кт"/>
    <tableColumn id="8" xr3:uid="{9B0EF638-79CD-4E17-9F0A-2B8020288724}" name="Количество записей"/>
    <tableColumn id="9" xr3:uid="{CFDC0B2E-842F-4B42-8F7B-74C7C0273860}" name="Дата образования задолженности" dataDxfId="5">
      <calculatedColumnFormula>E2*1</calculatedColumnFormula>
    </tableColumn>
    <tableColumn id="10" xr3:uid="{C9FA450A-9591-470A-BF2C-D1EF6BBF9137}" name="срок дебиторской задолженности" dataDxfId="4">
      <calculatedColumnFormula>L2-I2</calculatedColumnFormula>
    </tableColumn>
    <tableColumn id="11" xr3:uid="{50C960EC-0C45-4497-A0DF-E0C825BCAD5C}" name="Период задолженности">
      <calculatedColumnFormula>IF(J2&lt;=30,"0-30",IF(J2&lt;=90,"31-90",IF(J2&lt;=120,"91-120",IF(J2&lt;=180,"121-180",IF(J2&lt;=270,"181-270",IF(J2&lt;=360,"271-360","&gt;360"))))))</calculatedColumnFormula>
    </tableColumn>
    <tableColumn id="12" xr3:uid="{A936CE7F-7756-41F3-A3A3-39CCA17120C2}" name="Дата отчета" dataDxfId="3"/>
    <tableColumn id="16" xr3:uid="{DE40C249-81A0-4CD1-BE7A-F84DA1AC4E8D}" name="Год" dataDxfId="0">
      <calculatedColumnFormula>YEAR(Таблица1[[#This Row],[Дата отчета]])</calculatedColumnFormula>
    </tableColumn>
    <tableColumn id="13" xr3:uid="{CB9DD1A9-3C5B-4C88-B561-7B92628BB973}" name="Причина образования ДЗ"/>
    <tableColumn id="17" xr3:uid="{457A674E-14FF-4DB3-9D04-A57F614839A6}" name="Срок по договору "/>
    <tableColumn id="14" xr3:uid="{2EE54285-4423-48A2-8C53-B516F231888F}" name="Ответственный отдел по урегулированию ДЗ"/>
    <tableColumn id="15" xr3:uid="{032C6AF4-771C-40E8-B2FE-CBAE3172BBAC}" name="Комментарий реш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EDE8-CFAE-4C3A-9890-4A142544D799}">
  <dimension ref="A1:Q4515"/>
  <sheetViews>
    <sheetView zoomScale="85" zoomScaleNormal="85" workbookViewId="0">
      <selection activeCell="N45" sqref="N45"/>
    </sheetView>
  </sheetViews>
  <sheetFormatPr defaultRowHeight="15" x14ac:dyDescent="0.25"/>
  <cols>
    <col min="2" max="2" width="13.5703125" customWidth="1"/>
    <col min="3" max="3" width="22.28515625" customWidth="1"/>
    <col min="4" max="4" width="23.85546875" customWidth="1"/>
    <col min="6" max="6" width="12.7109375" style="20" customWidth="1"/>
    <col min="7" max="7" width="10.85546875" customWidth="1"/>
    <col min="8" max="8" width="12.28515625" customWidth="1"/>
    <col min="9" max="9" width="35.7109375" customWidth="1"/>
    <col min="10" max="10" width="35.140625" customWidth="1"/>
    <col min="11" max="11" width="23.42578125" customWidth="1"/>
    <col min="12" max="13" width="14.42578125" customWidth="1"/>
    <col min="14" max="15" width="27.28515625" customWidth="1"/>
    <col min="16" max="16" width="45.85546875" customWidth="1"/>
    <col min="17" max="17" width="24.5703125" customWidth="1"/>
  </cols>
  <sheetData>
    <row r="1" spans="1:17" ht="25.5" x14ac:dyDescent="0.25">
      <c r="A1" s="13" t="s">
        <v>0</v>
      </c>
      <c r="B1" s="13" t="s">
        <v>4503</v>
      </c>
      <c r="C1" s="13" t="s">
        <v>4504</v>
      </c>
      <c r="D1" s="13" t="s">
        <v>4505</v>
      </c>
      <c r="E1" s="13" t="s">
        <v>1</v>
      </c>
      <c r="F1" s="17" t="s">
        <v>2</v>
      </c>
      <c r="G1" s="14" t="s">
        <v>3</v>
      </c>
      <c r="H1" s="13" t="s">
        <v>4</v>
      </c>
      <c r="I1" s="15" t="s">
        <v>5</v>
      </c>
      <c r="J1" s="16" t="s">
        <v>6</v>
      </c>
      <c r="K1" s="16" t="s">
        <v>7</v>
      </c>
      <c r="L1" s="16" t="s">
        <v>8</v>
      </c>
      <c r="M1" s="16" t="s">
        <v>4510</v>
      </c>
      <c r="N1" s="15" t="s">
        <v>9</v>
      </c>
      <c r="O1" s="15" t="s">
        <v>4542</v>
      </c>
      <c r="P1" s="16" t="s">
        <v>10</v>
      </c>
      <c r="Q1" s="15" t="s">
        <v>11</v>
      </c>
    </row>
    <row r="2" spans="1:17" x14ac:dyDescent="0.25">
      <c r="A2" s="1" t="s">
        <v>12</v>
      </c>
      <c r="B2" s="2" t="s">
        <v>18</v>
      </c>
      <c r="C2" s="2" t="s">
        <v>19</v>
      </c>
      <c r="D2" s="2" t="s">
        <v>20</v>
      </c>
      <c r="E2" s="3" t="s">
        <v>21</v>
      </c>
      <c r="F2" s="18">
        <v>17000</v>
      </c>
      <c r="G2" s="4"/>
      <c r="H2" s="2">
        <v>1</v>
      </c>
      <c r="I2" s="3">
        <v>45953</v>
      </c>
      <c r="J2" s="4">
        <v>129</v>
      </c>
      <c r="K2" s="4" t="s">
        <v>22</v>
      </c>
      <c r="L2" s="3">
        <v>46082</v>
      </c>
      <c r="M2" s="23">
        <f>YEAR(Таблица1[[#This Row],[Дата отчета]])</f>
        <v>2026</v>
      </c>
      <c r="N2" s="2"/>
      <c r="O2" s="2"/>
      <c r="P2" s="2"/>
      <c r="Q2" s="5"/>
    </row>
    <row r="3" spans="1:17" x14ac:dyDescent="0.25">
      <c r="A3" s="6" t="s">
        <v>12</v>
      </c>
      <c r="B3" s="7" t="s">
        <v>23</v>
      </c>
      <c r="C3" s="7" t="s">
        <v>24</v>
      </c>
      <c r="D3" s="7" t="s">
        <v>25</v>
      </c>
      <c r="E3" s="8" t="s">
        <v>26</v>
      </c>
      <c r="F3" s="19">
        <v>21271</v>
      </c>
      <c r="G3" s="9"/>
      <c r="H3" s="7">
        <v>1</v>
      </c>
      <c r="I3" s="8">
        <v>46044</v>
      </c>
      <c r="J3" s="9">
        <v>38</v>
      </c>
      <c r="K3" s="9" t="s">
        <v>27</v>
      </c>
      <c r="L3" s="8">
        <v>46082</v>
      </c>
      <c r="M3" s="23">
        <f>YEAR(Таблица1[[#This Row],[Дата отчета]])</f>
        <v>2026</v>
      </c>
      <c r="N3" s="7"/>
      <c r="O3" s="7"/>
      <c r="P3" s="7"/>
      <c r="Q3" s="10"/>
    </row>
    <row r="4" spans="1:17" x14ac:dyDescent="0.25">
      <c r="A4" s="1" t="s">
        <v>12</v>
      </c>
      <c r="B4" s="2" t="s">
        <v>28</v>
      </c>
      <c r="C4" s="2" t="s">
        <v>29</v>
      </c>
      <c r="D4" s="2" t="s">
        <v>30</v>
      </c>
      <c r="E4" s="3" t="s">
        <v>31</v>
      </c>
      <c r="F4" s="18">
        <v>11000000</v>
      </c>
      <c r="G4" s="4"/>
      <c r="H4" s="2">
        <v>1</v>
      </c>
      <c r="I4" s="3">
        <v>46015</v>
      </c>
      <c r="J4" s="4">
        <v>67</v>
      </c>
      <c r="K4" s="4" t="s">
        <v>27</v>
      </c>
      <c r="L4" s="3">
        <v>46082</v>
      </c>
      <c r="M4" s="23">
        <f>YEAR(Таблица1[[#This Row],[Дата отчета]])</f>
        <v>2026</v>
      </c>
      <c r="N4" s="2"/>
      <c r="O4" s="2"/>
      <c r="P4" s="2"/>
      <c r="Q4" s="5"/>
    </row>
    <row r="5" spans="1:17" x14ac:dyDescent="0.25">
      <c r="A5" s="6" t="s">
        <v>12</v>
      </c>
      <c r="B5" s="7" t="s">
        <v>32</v>
      </c>
      <c r="C5" s="7" t="s">
        <v>33</v>
      </c>
      <c r="D5" s="7" t="s">
        <v>34</v>
      </c>
      <c r="E5" s="8" t="s">
        <v>35</v>
      </c>
      <c r="F5" s="19">
        <v>10657877.73</v>
      </c>
      <c r="G5" s="9"/>
      <c r="H5" s="7">
        <v>1</v>
      </c>
      <c r="I5" s="8">
        <v>46036</v>
      </c>
      <c r="J5" s="9">
        <v>46</v>
      </c>
      <c r="K5" s="9" t="s">
        <v>27</v>
      </c>
      <c r="L5" s="8">
        <v>46082</v>
      </c>
      <c r="M5" s="23">
        <f>YEAR(Таблица1[[#This Row],[Дата отчета]])</f>
        <v>2026</v>
      </c>
      <c r="N5" s="7"/>
      <c r="O5" s="7"/>
      <c r="P5" s="7"/>
      <c r="Q5" s="10"/>
    </row>
    <row r="6" spans="1:17" x14ac:dyDescent="0.25">
      <c r="A6" s="1" t="s">
        <v>12</v>
      </c>
      <c r="B6" s="2" t="s">
        <v>32</v>
      </c>
      <c r="C6" s="2" t="s">
        <v>33</v>
      </c>
      <c r="D6" s="2" t="s">
        <v>36</v>
      </c>
      <c r="E6" s="3" t="s">
        <v>37</v>
      </c>
      <c r="F6" s="18">
        <v>4517905.22</v>
      </c>
      <c r="G6" s="4"/>
      <c r="H6" s="2">
        <v>1</v>
      </c>
      <c r="I6" s="3">
        <v>46066</v>
      </c>
      <c r="J6" s="4">
        <v>16</v>
      </c>
      <c r="K6" s="4" t="s">
        <v>38</v>
      </c>
      <c r="L6" s="3">
        <v>46082</v>
      </c>
      <c r="M6" s="23">
        <f>YEAR(Таблица1[[#This Row],[Дата отчета]])</f>
        <v>2026</v>
      </c>
      <c r="N6" s="2"/>
      <c r="O6" s="2"/>
      <c r="P6" s="2"/>
      <c r="Q6" s="5"/>
    </row>
    <row r="7" spans="1:17" x14ac:dyDescent="0.25">
      <c r="A7" s="6" t="s">
        <v>12</v>
      </c>
      <c r="B7" s="7" t="s">
        <v>32</v>
      </c>
      <c r="C7" s="7" t="s">
        <v>39</v>
      </c>
      <c r="D7" s="7" t="s">
        <v>40</v>
      </c>
      <c r="E7" s="8" t="s">
        <v>35</v>
      </c>
      <c r="F7" s="19">
        <v>5963831.3700000001</v>
      </c>
      <c r="G7" s="9"/>
      <c r="H7" s="7">
        <v>1</v>
      </c>
      <c r="I7" s="8">
        <v>46036</v>
      </c>
      <c r="J7" s="9">
        <v>46</v>
      </c>
      <c r="K7" s="9" t="s">
        <v>27</v>
      </c>
      <c r="L7" s="8">
        <v>46082</v>
      </c>
      <c r="M7" s="23">
        <f>YEAR(Таблица1[[#This Row],[Дата отчета]])</f>
        <v>2026</v>
      </c>
      <c r="N7" s="7"/>
      <c r="O7" s="7"/>
      <c r="P7" s="7"/>
      <c r="Q7" s="10"/>
    </row>
    <row r="8" spans="1:17" x14ac:dyDescent="0.25">
      <c r="A8" s="1" t="s">
        <v>12</v>
      </c>
      <c r="B8" s="2" t="s">
        <v>32</v>
      </c>
      <c r="C8" s="2" t="s">
        <v>39</v>
      </c>
      <c r="D8" s="2" t="s">
        <v>41</v>
      </c>
      <c r="E8" s="3" t="s">
        <v>37</v>
      </c>
      <c r="F8" s="18">
        <v>2528085.33</v>
      </c>
      <c r="G8" s="4"/>
      <c r="H8" s="2">
        <v>1</v>
      </c>
      <c r="I8" s="3">
        <v>46066</v>
      </c>
      <c r="J8" s="4">
        <v>16</v>
      </c>
      <c r="K8" s="4" t="s">
        <v>38</v>
      </c>
      <c r="L8" s="3">
        <v>46082</v>
      </c>
      <c r="M8" s="23">
        <f>YEAR(Таблица1[[#This Row],[Дата отчета]])</f>
        <v>2026</v>
      </c>
      <c r="N8" s="2"/>
      <c r="O8" s="2"/>
      <c r="P8" s="2"/>
      <c r="Q8" s="5"/>
    </row>
    <row r="9" spans="1:17" x14ac:dyDescent="0.25">
      <c r="A9" s="6" t="s">
        <v>12</v>
      </c>
      <c r="B9" s="7" t="s">
        <v>42</v>
      </c>
      <c r="C9" s="7" t="s">
        <v>43</v>
      </c>
      <c r="D9" s="7" t="s">
        <v>44</v>
      </c>
      <c r="E9" s="8" t="s">
        <v>45</v>
      </c>
      <c r="F9" s="19">
        <v>30900000</v>
      </c>
      <c r="G9" s="9"/>
      <c r="H9" s="7">
        <v>1</v>
      </c>
      <c r="I9" s="8">
        <v>45938</v>
      </c>
      <c r="J9" s="9">
        <v>144</v>
      </c>
      <c r="K9" s="9" t="s">
        <v>22</v>
      </c>
      <c r="L9" s="8">
        <v>46082</v>
      </c>
      <c r="M9" s="23">
        <f>YEAR(Таблица1[[#This Row],[Дата отчета]])</f>
        <v>2026</v>
      </c>
      <c r="N9" s="7"/>
      <c r="O9" s="7"/>
      <c r="P9" s="7"/>
      <c r="Q9" s="10"/>
    </row>
    <row r="10" spans="1:17" x14ac:dyDescent="0.25">
      <c r="A10" s="1" t="s">
        <v>12</v>
      </c>
      <c r="B10" s="2" t="s">
        <v>42</v>
      </c>
      <c r="C10" s="2" t="s">
        <v>46</v>
      </c>
      <c r="D10" s="2" t="s">
        <v>47</v>
      </c>
      <c r="E10" s="3" t="s">
        <v>48</v>
      </c>
      <c r="F10" s="18">
        <v>70000</v>
      </c>
      <c r="G10" s="4"/>
      <c r="H10" s="2">
        <v>1</v>
      </c>
      <c r="I10" s="3">
        <v>46078</v>
      </c>
      <c r="J10" s="4">
        <v>4</v>
      </c>
      <c r="K10" s="4" t="s">
        <v>38</v>
      </c>
      <c r="L10" s="3">
        <v>46082</v>
      </c>
      <c r="M10" s="23">
        <f>YEAR(Таблица1[[#This Row],[Дата отчета]])</f>
        <v>2026</v>
      </c>
      <c r="N10" s="2"/>
      <c r="O10" s="2"/>
      <c r="P10" s="2"/>
      <c r="Q10" s="5"/>
    </row>
    <row r="11" spans="1:17" x14ac:dyDescent="0.25">
      <c r="A11" s="6" t="s">
        <v>12</v>
      </c>
      <c r="B11" s="7" t="s">
        <v>42</v>
      </c>
      <c r="C11" s="7" t="s">
        <v>49</v>
      </c>
      <c r="D11" s="7" t="s">
        <v>50</v>
      </c>
      <c r="E11" s="8" t="s">
        <v>51</v>
      </c>
      <c r="F11" s="19">
        <v>603882</v>
      </c>
      <c r="G11" s="9"/>
      <c r="H11" s="7">
        <v>1</v>
      </c>
      <c r="I11" s="8">
        <v>45939</v>
      </c>
      <c r="J11" s="9">
        <v>143</v>
      </c>
      <c r="K11" s="9" t="s">
        <v>22</v>
      </c>
      <c r="L11" s="8">
        <v>46082</v>
      </c>
      <c r="M11" s="23">
        <f>YEAR(Таблица1[[#This Row],[Дата отчета]])</f>
        <v>2026</v>
      </c>
      <c r="N11" s="7"/>
      <c r="O11" s="7"/>
      <c r="P11" s="7"/>
      <c r="Q11" s="10"/>
    </row>
    <row r="12" spans="1:17" x14ac:dyDescent="0.25">
      <c r="A12" s="1" t="s">
        <v>12</v>
      </c>
      <c r="B12" s="2" t="s">
        <v>52</v>
      </c>
      <c r="C12" s="2" t="s">
        <v>53</v>
      </c>
      <c r="D12" s="2" t="s">
        <v>54</v>
      </c>
      <c r="E12" s="3" t="s">
        <v>48</v>
      </c>
      <c r="F12" s="18">
        <v>3698422</v>
      </c>
      <c r="G12" s="4"/>
      <c r="H12" s="2">
        <v>1</v>
      </c>
      <c r="I12" s="3">
        <v>46078</v>
      </c>
      <c r="J12" s="4">
        <v>4</v>
      </c>
      <c r="K12" s="4" t="s">
        <v>38</v>
      </c>
      <c r="L12" s="3">
        <v>46082</v>
      </c>
      <c r="M12" s="23">
        <f>YEAR(Таблица1[[#This Row],[Дата отчета]])</f>
        <v>2026</v>
      </c>
      <c r="N12" s="2"/>
      <c r="O12" s="2"/>
      <c r="P12" s="2"/>
      <c r="Q12" s="5"/>
    </row>
    <row r="13" spans="1:17" x14ac:dyDescent="0.25">
      <c r="A13" s="6" t="s">
        <v>12</v>
      </c>
      <c r="B13" s="7" t="s">
        <v>52</v>
      </c>
      <c r="C13" s="7" t="s">
        <v>55</v>
      </c>
      <c r="D13" s="7" t="s">
        <v>56</v>
      </c>
      <c r="E13" s="8" t="s">
        <v>57</v>
      </c>
      <c r="F13" s="19">
        <v>352400</v>
      </c>
      <c r="G13" s="9"/>
      <c r="H13" s="7">
        <v>1</v>
      </c>
      <c r="I13" s="8">
        <v>46043</v>
      </c>
      <c r="J13" s="9">
        <v>39</v>
      </c>
      <c r="K13" s="9" t="s">
        <v>27</v>
      </c>
      <c r="L13" s="8">
        <v>46082</v>
      </c>
      <c r="M13" s="23">
        <f>YEAR(Таблица1[[#This Row],[Дата отчета]])</f>
        <v>2026</v>
      </c>
      <c r="N13" s="7"/>
      <c r="O13" s="7"/>
      <c r="P13" s="7"/>
      <c r="Q13" s="10"/>
    </row>
    <row r="14" spans="1:17" x14ac:dyDescent="0.25">
      <c r="A14" s="1" t="s">
        <v>12</v>
      </c>
      <c r="B14" s="2" t="s">
        <v>52</v>
      </c>
      <c r="C14" s="2" t="s">
        <v>55</v>
      </c>
      <c r="D14" s="2" t="s">
        <v>58</v>
      </c>
      <c r="E14" s="3" t="s">
        <v>59</v>
      </c>
      <c r="F14" s="18">
        <v>40800</v>
      </c>
      <c r="G14" s="4"/>
      <c r="H14" s="2">
        <v>1</v>
      </c>
      <c r="I14" s="3">
        <v>46077</v>
      </c>
      <c r="J14" s="4">
        <v>5</v>
      </c>
      <c r="K14" s="4" t="s">
        <v>38</v>
      </c>
      <c r="L14" s="3">
        <v>46082</v>
      </c>
      <c r="M14" s="23">
        <f>YEAR(Таблица1[[#This Row],[Дата отчета]])</f>
        <v>2026</v>
      </c>
      <c r="N14" s="2"/>
      <c r="O14" s="2"/>
      <c r="P14" s="2"/>
      <c r="Q14" s="5"/>
    </row>
    <row r="15" spans="1:17" x14ac:dyDescent="0.25">
      <c r="A15" s="6" t="s">
        <v>12</v>
      </c>
      <c r="B15" s="7" t="s">
        <v>52</v>
      </c>
      <c r="C15" s="7" t="s">
        <v>55</v>
      </c>
      <c r="D15" s="7" t="s">
        <v>60</v>
      </c>
      <c r="E15" s="8" t="s">
        <v>61</v>
      </c>
      <c r="F15" s="19">
        <v>114575</v>
      </c>
      <c r="G15" s="9"/>
      <c r="H15" s="7">
        <v>1</v>
      </c>
      <c r="I15" s="8">
        <v>46079</v>
      </c>
      <c r="J15" s="9">
        <v>3</v>
      </c>
      <c r="K15" s="9" t="s">
        <v>38</v>
      </c>
      <c r="L15" s="8">
        <v>46082</v>
      </c>
      <c r="M15" s="23">
        <f>YEAR(Таблица1[[#This Row],[Дата отчета]])</f>
        <v>2026</v>
      </c>
      <c r="N15" s="7"/>
      <c r="O15" s="7"/>
      <c r="P15" s="7"/>
      <c r="Q15" s="10"/>
    </row>
    <row r="16" spans="1:17" x14ac:dyDescent="0.25">
      <c r="A16" s="1" t="s">
        <v>12</v>
      </c>
      <c r="B16" s="2" t="s">
        <v>52</v>
      </c>
      <c r="C16" s="2" t="s">
        <v>62</v>
      </c>
      <c r="D16" s="2" t="s">
        <v>63</v>
      </c>
      <c r="E16" s="3" t="s">
        <v>37</v>
      </c>
      <c r="F16" s="18">
        <v>429500</v>
      </c>
      <c r="G16" s="4"/>
      <c r="H16" s="2">
        <v>1</v>
      </c>
      <c r="I16" s="3">
        <v>46066</v>
      </c>
      <c r="J16" s="4">
        <v>16</v>
      </c>
      <c r="K16" s="4" t="s">
        <v>38</v>
      </c>
      <c r="L16" s="3">
        <v>46082</v>
      </c>
      <c r="M16" s="23">
        <f>YEAR(Таблица1[[#This Row],[Дата отчета]])</f>
        <v>2026</v>
      </c>
      <c r="N16" s="2"/>
      <c r="O16" s="2"/>
      <c r="P16" s="2"/>
      <c r="Q16" s="5"/>
    </row>
    <row r="17" spans="1:17" x14ac:dyDescent="0.25">
      <c r="A17" s="6" t="s">
        <v>12</v>
      </c>
      <c r="B17" s="7" t="s">
        <v>52</v>
      </c>
      <c r="C17" s="7" t="s">
        <v>64</v>
      </c>
      <c r="D17" s="7" t="s">
        <v>65</v>
      </c>
      <c r="E17" s="8" t="s">
        <v>66</v>
      </c>
      <c r="F17" s="19">
        <v>30100</v>
      </c>
      <c r="G17" s="9"/>
      <c r="H17" s="7">
        <v>1</v>
      </c>
      <c r="I17" s="8">
        <v>45895</v>
      </c>
      <c r="J17" s="9">
        <v>187</v>
      </c>
      <c r="K17" s="9" t="s">
        <v>67</v>
      </c>
      <c r="L17" s="8">
        <v>46082</v>
      </c>
      <c r="M17" s="23">
        <f>YEAR(Таблица1[[#This Row],[Дата отчета]])</f>
        <v>2026</v>
      </c>
      <c r="N17" s="7"/>
      <c r="O17" s="7"/>
      <c r="P17" s="7"/>
      <c r="Q17" s="10"/>
    </row>
    <row r="18" spans="1:17" x14ac:dyDescent="0.25">
      <c r="A18" s="1" t="s">
        <v>12</v>
      </c>
      <c r="B18" s="2" t="s">
        <v>52</v>
      </c>
      <c r="C18" s="2" t="s">
        <v>68</v>
      </c>
      <c r="D18" s="2" t="s">
        <v>69</v>
      </c>
      <c r="E18" s="3" t="s">
        <v>70</v>
      </c>
      <c r="F18" s="18">
        <v>661131</v>
      </c>
      <c r="G18" s="4"/>
      <c r="H18" s="2">
        <v>1</v>
      </c>
      <c r="I18" s="3">
        <v>45979</v>
      </c>
      <c r="J18" s="4">
        <v>103</v>
      </c>
      <c r="K18" s="4" t="s">
        <v>71</v>
      </c>
      <c r="L18" s="3">
        <v>46082</v>
      </c>
      <c r="M18" s="23">
        <f>YEAR(Таблица1[[#This Row],[Дата отчета]])</f>
        <v>2026</v>
      </c>
      <c r="N18" s="2"/>
      <c r="O18" s="2"/>
      <c r="P18" s="2"/>
      <c r="Q18" s="5"/>
    </row>
    <row r="19" spans="1:17" x14ac:dyDescent="0.25">
      <c r="A19" s="6" t="s">
        <v>12</v>
      </c>
      <c r="B19" s="7" t="s">
        <v>13</v>
      </c>
      <c r="C19" s="7" t="s">
        <v>14</v>
      </c>
      <c r="D19" s="7" t="s">
        <v>15</v>
      </c>
      <c r="E19" s="8" t="s">
        <v>16</v>
      </c>
      <c r="F19" s="19">
        <v>0.01</v>
      </c>
      <c r="G19" s="9"/>
      <c r="H19" s="7">
        <v>1</v>
      </c>
      <c r="I19" s="8">
        <v>45051</v>
      </c>
      <c r="J19" s="9">
        <v>1031</v>
      </c>
      <c r="K19" s="9" t="s">
        <v>17</v>
      </c>
      <c r="L19" s="8">
        <v>46082</v>
      </c>
      <c r="M19" s="23">
        <f>YEAR(Таблица1[[#This Row],[Дата отчета]])</f>
        <v>2026</v>
      </c>
      <c r="N19" s="7"/>
      <c r="O19" s="7"/>
      <c r="P19" s="7"/>
      <c r="Q19" s="10"/>
    </row>
    <row r="20" spans="1:17" x14ac:dyDescent="0.25">
      <c r="A20" s="1" t="s">
        <v>12</v>
      </c>
      <c r="B20" s="2" t="s">
        <v>72</v>
      </c>
      <c r="C20" s="2" t="s">
        <v>73</v>
      </c>
      <c r="D20" s="2" t="s">
        <v>74</v>
      </c>
      <c r="E20" s="3" t="s">
        <v>75</v>
      </c>
      <c r="F20" s="18">
        <v>28800000</v>
      </c>
      <c r="G20" s="4"/>
      <c r="H20" s="2">
        <v>1</v>
      </c>
      <c r="I20" s="3">
        <v>46016</v>
      </c>
      <c r="J20" s="4">
        <v>66</v>
      </c>
      <c r="K20" s="4" t="s">
        <v>27</v>
      </c>
      <c r="L20" s="3">
        <v>46082</v>
      </c>
      <c r="M20" s="23">
        <f>YEAR(Таблица1[[#This Row],[Дата отчета]])</f>
        <v>2026</v>
      </c>
      <c r="N20" s="2"/>
      <c r="O20" s="2"/>
      <c r="P20" s="2"/>
      <c r="Q20" s="5"/>
    </row>
    <row r="21" spans="1:17" x14ac:dyDescent="0.25">
      <c r="A21" s="6" t="s">
        <v>12</v>
      </c>
      <c r="B21" s="7" t="s">
        <v>76</v>
      </c>
      <c r="C21" s="7" t="s">
        <v>77</v>
      </c>
      <c r="D21" s="7" t="s">
        <v>78</v>
      </c>
      <c r="E21" s="8" t="s">
        <v>79</v>
      </c>
      <c r="F21" s="19">
        <v>1984080</v>
      </c>
      <c r="G21" s="9"/>
      <c r="H21" s="7">
        <v>1</v>
      </c>
      <c r="I21" s="8">
        <v>45980</v>
      </c>
      <c r="J21" s="9">
        <v>102</v>
      </c>
      <c r="K21" s="9" t="s">
        <v>71</v>
      </c>
      <c r="L21" s="8">
        <v>46082</v>
      </c>
      <c r="M21" s="23">
        <f>YEAR(Таблица1[[#This Row],[Дата отчета]])</f>
        <v>2026</v>
      </c>
      <c r="N21" s="7"/>
      <c r="O21" s="7"/>
      <c r="P21" s="7"/>
      <c r="Q21" s="10"/>
    </row>
    <row r="22" spans="1:17" x14ac:dyDescent="0.25">
      <c r="A22" s="1" t="s">
        <v>12</v>
      </c>
      <c r="B22" s="2" t="s">
        <v>80</v>
      </c>
      <c r="C22" s="2" t="s">
        <v>81</v>
      </c>
      <c r="D22" s="2" t="s">
        <v>82</v>
      </c>
      <c r="E22" s="3" t="s">
        <v>83</v>
      </c>
      <c r="F22" s="18">
        <v>4985</v>
      </c>
      <c r="G22" s="4"/>
      <c r="H22" s="2">
        <v>1</v>
      </c>
      <c r="I22" s="3">
        <v>45852</v>
      </c>
      <c r="J22" s="4">
        <v>230</v>
      </c>
      <c r="K22" s="4" t="s">
        <v>67</v>
      </c>
      <c r="L22" s="3">
        <v>46082</v>
      </c>
      <c r="M22" s="23">
        <f>YEAR(Таблица1[[#This Row],[Дата отчета]])</f>
        <v>2026</v>
      </c>
      <c r="N22" s="2"/>
      <c r="O22" s="2"/>
      <c r="P22" s="2"/>
      <c r="Q22" s="5"/>
    </row>
    <row r="23" spans="1:17" x14ac:dyDescent="0.25">
      <c r="A23" s="6" t="s">
        <v>12</v>
      </c>
      <c r="B23" s="7" t="s">
        <v>84</v>
      </c>
      <c r="C23" s="7" t="s">
        <v>85</v>
      </c>
      <c r="D23" s="7" t="s">
        <v>86</v>
      </c>
      <c r="E23" s="8" t="s">
        <v>87</v>
      </c>
      <c r="F23" s="19">
        <v>124374672.66</v>
      </c>
      <c r="G23" s="9"/>
      <c r="H23" s="7">
        <v>1</v>
      </c>
      <c r="I23" s="8">
        <v>46020</v>
      </c>
      <c r="J23" s="9">
        <v>62</v>
      </c>
      <c r="K23" s="9" t="s">
        <v>27</v>
      </c>
      <c r="L23" s="8">
        <v>46082</v>
      </c>
      <c r="M23" s="23">
        <f>YEAR(Таблица1[[#This Row],[Дата отчета]])</f>
        <v>2026</v>
      </c>
      <c r="N23" s="7"/>
      <c r="O23" s="7"/>
      <c r="P23" s="7"/>
      <c r="Q23" s="10"/>
    </row>
    <row r="24" spans="1:17" x14ac:dyDescent="0.25">
      <c r="A24" s="1" t="s">
        <v>12</v>
      </c>
      <c r="B24" s="2" t="s">
        <v>88</v>
      </c>
      <c r="C24" s="2" t="s">
        <v>89</v>
      </c>
      <c r="D24" s="2" t="s">
        <v>90</v>
      </c>
      <c r="E24" s="3" t="s">
        <v>91</v>
      </c>
      <c r="F24" s="18">
        <v>198000</v>
      </c>
      <c r="G24" s="4"/>
      <c r="H24" s="2">
        <v>1</v>
      </c>
      <c r="I24" s="3">
        <v>45723</v>
      </c>
      <c r="J24" s="4">
        <v>359</v>
      </c>
      <c r="K24" s="4" t="s">
        <v>92</v>
      </c>
      <c r="L24" s="3">
        <v>46082</v>
      </c>
      <c r="M24" s="23">
        <f>YEAR(Таблица1[[#This Row],[Дата отчета]])</f>
        <v>2026</v>
      </c>
      <c r="N24" s="30" t="s">
        <v>4537</v>
      </c>
      <c r="O24" s="30"/>
      <c r="P24" s="2"/>
      <c r="Q24" s="5"/>
    </row>
    <row r="25" spans="1:17" x14ac:dyDescent="0.25">
      <c r="A25" s="6" t="s">
        <v>12</v>
      </c>
      <c r="B25" s="7" t="s">
        <v>93</v>
      </c>
      <c r="C25" s="7" t="s">
        <v>94</v>
      </c>
      <c r="D25" s="7" t="s">
        <v>95</v>
      </c>
      <c r="E25" s="8" t="s">
        <v>96</v>
      </c>
      <c r="F25" s="19">
        <v>17955.38</v>
      </c>
      <c r="G25" s="9"/>
      <c r="H25" s="7">
        <v>1</v>
      </c>
      <c r="I25" s="8">
        <v>45876</v>
      </c>
      <c r="J25" s="9">
        <v>206</v>
      </c>
      <c r="K25" s="9" t="s">
        <v>67</v>
      </c>
      <c r="L25" s="8">
        <v>46082</v>
      </c>
      <c r="M25" s="23">
        <f>YEAR(Таблица1[[#This Row],[Дата отчета]])</f>
        <v>2026</v>
      </c>
      <c r="N25" s="7" t="s">
        <v>4538</v>
      </c>
      <c r="O25" s="7"/>
      <c r="P25" s="7"/>
      <c r="Q25" s="10"/>
    </row>
    <row r="26" spans="1:17" x14ac:dyDescent="0.25">
      <c r="A26" s="1" t="s">
        <v>12</v>
      </c>
      <c r="B26" s="2" t="s">
        <v>93</v>
      </c>
      <c r="C26" s="2" t="s">
        <v>97</v>
      </c>
      <c r="D26" s="2" t="s">
        <v>98</v>
      </c>
      <c r="E26" s="3" t="s">
        <v>96</v>
      </c>
      <c r="F26" s="18">
        <v>67008.2</v>
      </c>
      <c r="G26" s="4"/>
      <c r="H26" s="2">
        <v>1</v>
      </c>
      <c r="I26" s="3">
        <v>45876</v>
      </c>
      <c r="J26" s="4">
        <v>206</v>
      </c>
      <c r="K26" s="4" t="s">
        <v>67</v>
      </c>
      <c r="L26" s="3">
        <v>46082</v>
      </c>
      <c r="M26" s="23">
        <f>YEAR(Таблица1[[#This Row],[Дата отчета]])</f>
        <v>2026</v>
      </c>
      <c r="N26" s="2" t="s">
        <v>4538</v>
      </c>
      <c r="O26" s="2"/>
      <c r="P26" s="2"/>
      <c r="Q26" s="5"/>
    </row>
    <row r="27" spans="1:17" x14ac:dyDescent="0.25">
      <c r="A27" s="6" t="s">
        <v>12</v>
      </c>
      <c r="B27" s="7" t="s">
        <v>93</v>
      </c>
      <c r="C27" s="7" t="s">
        <v>97</v>
      </c>
      <c r="D27" s="7" t="s">
        <v>99</v>
      </c>
      <c r="E27" s="8" t="s">
        <v>100</v>
      </c>
      <c r="F27" s="19">
        <v>8599.8700000000008</v>
      </c>
      <c r="G27" s="9"/>
      <c r="H27" s="7">
        <v>1</v>
      </c>
      <c r="I27" s="8">
        <v>45905</v>
      </c>
      <c r="J27" s="9">
        <v>177</v>
      </c>
      <c r="K27" s="9" t="s">
        <v>22</v>
      </c>
      <c r="L27" s="8">
        <v>46082</v>
      </c>
      <c r="M27" s="23">
        <f>YEAR(Таблица1[[#This Row],[Дата отчета]])</f>
        <v>2026</v>
      </c>
      <c r="N27" s="2" t="s">
        <v>4538</v>
      </c>
      <c r="O27" s="2"/>
      <c r="P27" s="7"/>
      <c r="Q27" s="10"/>
    </row>
    <row r="28" spans="1:17" x14ac:dyDescent="0.25">
      <c r="A28" s="1" t="s">
        <v>12</v>
      </c>
      <c r="B28" s="2" t="s">
        <v>101</v>
      </c>
      <c r="C28" s="2" t="s">
        <v>102</v>
      </c>
      <c r="D28" s="2" t="s">
        <v>103</v>
      </c>
      <c r="E28" s="3" t="s">
        <v>57</v>
      </c>
      <c r="F28" s="18">
        <v>10508130</v>
      </c>
      <c r="G28" s="4"/>
      <c r="H28" s="2">
        <v>1</v>
      </c>
      <c r="I28" s="3">
        <v>46043</v>
      </c>
      <c r="J28" s="4">
        <v>39</v>
      </c>
      <c r="K28" s="4" t="s">
        <v>27</v>
      </c>
      <c r="L28" s="3">
        <v>46082</v>
      </c>
      <c r="M28" s="23">
        <f>YEAR(Таблица1[[#This Row],[Дата отчета]])</f>
        <v>2026</v>
      </c>
      <c r="P28" s="2"/>
      <c r="Q28" s="5"/>
    </row>
    <row r="29" spans="1:17" x14ac:dyDescent="0.25">
      <c r="A29" s="6" t="s">
        <v>12</v>
      </c>
      <c r="B29" s="7" t="s">
        <v>101</v>
      </c>
      <c r="C29" s="7" t="s">
        <v>104</v>
      </c>
      <c r="D29" s="7" t="s">
        <v>105</v>
      </c>
      <c r="E29" s="8" t="s">
        <v>106</v>
      </c>
      <c r="F29" s="19">
        <v>1833304</v>
      </c>
      <c r="G29" s="9"/>
      <c r="H29" s="7">
        <v>1</v>
      </c>
      <c r="I29" s="8">
        <v>46017</v>
      </c>
      <c r="J29" s="9">
        <v>65</v>
      </c>
      <c r="K29" s="9" t="s">
        <v>27</v>
      </c>
      <c r="L29" s="8">
        <v>46082</v>
      </c>
      <c r="M29" s="23">
        <f>YEAR(Таблица1[[#This Row],[Дата отчета]])</f>
        <v>2026</v>
      </c>
      <c r="N29" s="7" t="s">
        <v>4539</v>
      </c>
      <c r="O29" s="7"/>
      <c r="P29" s="7"/>
      <c r="Q29" s="10"/>
    </row>
    <row r="30" spans="1:17" x14ac:dyDescent="0.25">
      <c r="A30" s="1" t="s">
        <v>12</v>
      </c>
      <c r="B30" s="2" t="s">
        <v>107</v>
      </c>
      <c r="C30" s="2" t="s">
        <v>108</v>
      </c>
      <c r="D30" s="2" t="s">
        <v>109</v>
      </c>
      <c r="E30" s="3" t="s">
        <v>61</v>
      </c>
      <c r="F30" s="18">
        <v>2287728</v>
      </c>
      <c r="G30" s="4"/>
      <c r="H30" s="2">
        <v>1</v>
      </c>
      <c r="I30" s="3">
        <v>46079</v>
      </c>
      <c r="J30" s="4">
        <v>3</v>
      </c>
      <c r="K30" s="4" t="s">
        <v>38</v>
      </c>
      <c r="L30" s="3">
        <v>46082</v>
      </c>
      <c r="M30" s="23">
        <f>YEAR(Таблица1[[#This Row],[Дата отчета]])</f>
        <v>2026</v>
      </c>
      <c r="N30" s="2"/>
      <c r="O30" s="2"/>
      <c r="P30" s="2"/>
      <c r="Q30" s="5"/>
    </row>
    <row r="31" spans="1:17" x14ac:dyDescent="0.25">
      <c r="A31" s="6" t="s">
        <v>12</v>
      </c>
      <c r="B31" s="7" t="s">
        <v>110</v>
      </c>
      <c r="C31" s="7" t="s">
        <v>111</v>
      </c>
      <c r="D31" s="7" t="s">
        <v>112</v>
      </c>
      <c r="E31" s="8" t="s">
        <v>113</v>
      </c>
      <c r="F31" s="19">
        <v>613440</v>
      </c>
      <c r="G31" s="9"/>
      <c r="H31" s="7">
        <v>1</v>
      </c>
      <c r="I31" s="8">
        <v>46009</v>
      </c>
      <c r="J31" s="9">
        <v>73</v>
      </c>
      <c r="K31" s="9" t="s">
        <v>27</v>
      </c>
      <c r="L31" s="8">
        <v>46082</v>
      </c>
      <c r="M31" s="23">
        <f>YEAR(Таблица1[[#This Row],[Дата отчета]])</f>
        <v>2026</v>
      </c>
      <c r="N31" s="7"/>
      <c r="O31" s="7"/>
      <c r="P31" s="7"/>
      <c r="Q31" s="10"/>
    </row>
    <row r="32" spans="1:17" x14ac:dyDescent="0.25">
      <c r="A32" s="1" t="s">
        <v>12</v>
      </c>
      <c r="B32" s="2" t="s">
        <v>114</v>
      </c>
      <c r="C32" s="2" t="s">
        <v>115</v>
      </c>
      <c r="D32" s="2" t="s">
        <v>116</v>
      </c>
      <c r="E32" s="3" t="s">
        <v>61</v>
      </c>
      <c r="F32" s="18">
        <v>1644686.04</v>
      </c>
      <c r="G32" s="4"/>
      <c r="H32" s="2">
        <v>1</v>
      </c>
      <c r="I32" s="3">
        <v>46079</v>
      </c>
      <c r="J32" s="4">
        <v>3</v>
      </c>
      <c r="K32" s="4" t="s">
        <v>38</v>
      </c>
      <c r="L32" s="3">
        <v>46082</v>
      </c>
      <c r="M32" s="23">
        <f>YEAR(Таблица1[[#This Row],[Дата отчета]])</f>
        <v>2026</v>
      </c>
      <c r="N32" s="2"/>
      <c r="O32" s="2"/>
      <c r="P32" s="2"/>
      <c r="Q32" s="5"/>
    </row>
    <row r="33" spans="1:17" x14ac:dyDescent="0.25">
      <c r="A33" s="6" t="s">
        <v>12</v>
      </c>
      <c r="B33" s="7" t="s">
        <v>117</v>
      </c>
      <c r="C33" s="7" t="s">
        <v>118</v>
      </c>
      <c r="D33" s="7" t="s">
        <v>119</v>
      </c>
      <c r="E33" s="8" t="s">
        <v>70</v>
      </c>
      <c r="F33" s="19">
        <v>350000</v>
      </c>
      <c r="G33" s="9"/>
      <c r="H33" s="7">
        <v>1</v>
      </c>
      <c r="I33" s="8">
        <v>45979</v>
      </c>
      <c r="J33" s="9">
        <v>103</v>
      </c>
      <c r="K33" s="9" t="s">
        <v>71</v>
      </c>
      <c r="L33" s="8">
        <v>46082</v>
      </c>
      <c r="M33" s="23">
        <f>YEAR(Таблица1[[#This Row],[Дата отчета]])</f>
        <v>2026</v>
      </c>
      <c r="N33" s="7"/>
      <c r="O33" s="7"/>
      <c r="P33" s="7"/>
      <c r="Q33" s="10"/>
    </row>
    <row r="34" spans="1:17" x14ac:dyDescent="0.25">
      <c r="A34" s="1" t="s">
        <v>12</v>
      </c>
      <c r="B34" s="2" t="s">
        <v>120</v>
      </c>
      <c r="C34" s="2" t="s">
        <v>121</v>
      </c>
      <c r="D34" s="2" t="s">
        <v>122</v>
      </c>
      <c r="E34" s="3" t="s">
        <v>123</v>
      </c>
      <c r="F34" s="18">
        <v>691600</v>
      </c>
      <c r="G34" s="4"/>
      <c r="H34" s="2">
        <v>1</v>
      </c>
      <c r="I34" s="3">
        <v>45782</v>
      </c>
      <c r="J34" s="4">
        <v>300</v>
      </c>
      <c r="K34" s="4" t="s">
        <v>92</v>
      </c>
      <c r="L34" s="3">
        <v>46082</v>
      </c>
      <c r="M34" s="23">
        <f>YEAR(Таблица1[[#This Row],[Дата отчета]])</f>
        <v>2026</v>
      </c>
      <c r="N34" s="2" t="s">
        <v>4541</v>
      </c>
      <c r="O34" s="2"/>
      <c r="P34" s="2"/>
      <c r="Q34" s="5"/>
    </row>
    <row r="35" spans="1:17" x14ac:dyDescent="0.25">
      <c r="A35" s="6" t="s">
        <v>12</v>
      </c>
      <c r="B35" s="7" t="s">
        <v>124</v>
      </c>
      <c r="C35" s="7" t="s">
        <v>125</v>
      </c>
      <c r="D35" s="7" t="s">
        <v>126</v>
      </c>
      <c r="E35" s="8" t="s">
        <v>127</v>
      </c>
      <c r="F35" s="19">
        <v>66000</v>
      </c>
      <c r="G35" s="9"/>
      <c r="H35" s="7">
        <v>1</v>
      </c>
      <c r="I35" s="8">
        <v>46037</v>
      </c>
      <c r="J35" s="9">
        <v>45</v>
      </c>
      <c r="K35" s="9" t="s">
        <v>27</v>
      </c>
      <c r="L35" s="8">
        <v>46082</v>
      </c>
      <c r="M35" s="23">
        <f>YEAR(Таблица1[[#This Row],[Дата отчета]])</f>
        <v>2026</v>
      </c>
      <c r="N35" s="7"/>
      <c r="O35" s="7"/>
      <c r="P35" s="7"/>
      <c r="Q35" s="10"/>
    </row>
    <row r="36" spans="1:17" x14ac:dyDescent="0.25">
      <c r="A36" s="1" t="s">
        <v>12</v>
      </c>
      <c r="B36" s="2" t="s">
        <v>128</v>
      </c>
      <c r="C36" s="2" t="s">
        <v>129</v>
      </c>
      <c r="D36" s="2" t="s">
        <v>130</v>
      </c>
      <c r="E36" s="3" t="s">
        <v>131</v>
      </c>
      <c r="F36" s="18">
        <v>400000</v>
      </c>
      <c r="G36" s="4"/>
      <c r="H36" s="2">
        <v>1</v>
      </c>
      <c r="I36" s="3">
        <v>45931</v>
      </c>
      <c r="J36" s="4">
        <v>151</v>
      </c>
      <c r="K36" s="4" t="s">
        <v>22</v>
      </c>
      <c r="L36" s="3">
        <v>46082</v>
      </c>
      <c r="M36" s="23">
        <f>YEAR(Таблица1[[#This Row],[Дата отчета]])</f>
        <v>2026</v>
      </c>
      <c r="N36" s="2" t="s">
        <v>4544</v>
      </c>
      <c r="O36" s="8">
        <v>45981</v>
      </c>
      <c r="P36" s="2" t="s">
        <v>4546</v>
      </c>
      <c r="Q36" s="5"/>
    </row>
    <row r="37" spans="1:17" x14ac:dyDescent="0.25">
      <c r="A37" s="6" t="s">
        <v>12</v>
      </c>
      <c r="B37" s="7" t="s">
        <v>128</v>
      </c>
      <c r="C37" s="7" t="s">
        <v>132</v>
      </c>
      <c r="D37" s="7" t="s">
        <v>133</v>
      </c>
      <c r="E37" s="8" t="s">
        <v>134</v>
      </c>
      <c r="F37" s="19">
        <v>1600000</v>
      </c>
      <c r="G37" s="9"/>
      <c r="H37" s="7">
        <v>1</v>
      </c>
      <c r="I37" s="8">
        <v>45856</v>
      </c>
      <c r="J37" s="9">
        <v>226</v>
      </c>
      <c r="K37" s="9" t="s">
        <v>67</v>
      </c>
      <c r="L37" s="8">
        <v>46082</v>
      </c>
      <c r="M37" s="23">
        <f>YEAR(Таблица1[[#This Row],[Дата отчета]])</f>
        <v>2026</v>
      </c>
      <c r="N37" s="2" t="s">
        <v>4543</v>
      </c>
      <c r="O37" s="8">
        <v>46068</v>
      </c>
      <c r="P37" s="2" t="s">
        <v>4546</v>
      </c>
      <c r="Q37" s="10"/>
    </row>
    <row r="38" spans="1:17" x14ac:dyDescent="0.25">
      <c r="A38" s="1" t="s">
        <v>12</v>
      </c>
      <c r="B38" s="2" t="s">
        <v>128</v>
      </c>
      <c r="C38" s="2" t="s">
        <v>132</v>
      </c>
      <c r="D38" s="2" t="s">
        <v>135</v>
      </c>
      <c r="E38" s="3" t="s">
        <v>106</v>
      </c>
      <c r="F38" s="18">
        <v>1200000</v>
      </c>
      <c r="G38" s="4"/>
      <c r="H38" s="2">
        <v>1</v>
      </c>
      <c r="I38" s="3">
        <v>46017</v>
      </c>
      <c r="J38" s="4">
        <v>65</v>
      </c>
      <c r="K38" s="4" t="s">
        <v>27</v>
      </c>
      <c r="L38" s="3">
        <v>46082</v>
      </c>
      <c r="M38" s="23">
        <f>YEAR(Таблица1[[#This Row],[Дата отчета]])</f>
        <v>2026</v>
      </c>
      <c r="N38" s="2" t="s">
        <v>4543</v>
      </c>
      <c r="O38" s="8">
        <v>46068</v>
      </c>
      <c r="P38" s="2" t="s">
        <v>4546</v>
      </c>
      <c r="Q38" s="5"/>
    </row>
    <row r="39" spans="1:17" x14ac:dyDescent="0.25">
      <c r="A39" s="6" t="s">
        <v>12</v>
      </c>
      <c r="B39" s="7" t="s">
        <v>128</v>
      </c>
      <c r="C39" s="7" t="s">
        <v>136</v>
      </c>
      <c r="D39" s="7" t="s">
        <v>137</v>
      </c>
      <c r="E39" s="8" t="s">
        <v>131</v>
      </c>
      <c r="F39" s="19">
        <v>400000</v>
      </c>
      <c r="G39" s="9"/>
      <c r="H39" s="7">
        <v>1</v>
      </c>
      <c r="I39" s="8">
        <v>45931</v>
      </c>
      <c r="J39" s="9">
        <v>151</v>
      </c>
      <c r="K39" s="9" t="s">
        <v>22</v>
      </c>
      <c r="L39" s="8">
        <v>46082</v>
      </c>
      <c r="M39" s="23">
        <f>YEAR(Таблица1[[#This Row],[Дата отчета]])</f>
        <v>2026</v>
      </c>
      <c r="N39" s="2" t="s">
        <v>4544</v>
      </c>
      <c r="O39" s="8">
        <v>45981</v>
      </c>
      <c r="P39" s="2" t="s">
        <v>4546</v>
      </c>
      <c r="Q39" s="10"/>
    </row>
    <row r="40" spans="1:17" x14ac:dyDescent="0.25">
      <c r="A40" s="1" t="s">
        <v>12</v>
      </c>
      <c r="B40" s="2" t="s">
        <v>128</v>
      </c>
      <c r="C40" s="2" t="s">
        <v>138</v>
      </c>
      <c r="D40" s="2" t="s">
        <v>139</v>
      </c>
      <c r="E40" s="3" t="s">
        <v>140</v>
      </c>
      <c r="F40" s="18">
        <v>250000</v>
      </c>
      <c r="G40" s="4"/>
      <c r="H40" s="2">
        <v>1</v>
      </c>
      <c r="I40" s="3">
        <v>45917</v>
      </c>
      <c r="J40" s="4">
        <v>165</v>
      </c>
      <c r="K40" s="4" t="s">
        <v>22</v>
      </c>
      <c r="L40" s="3">
        <v>46082</v>
      </c>
      <c r="M40" s="23">
        <f>YEAR(Таблица1[[#This Row],[Дата отчета]])</f>
        <v>2026</v>
      </c>
      <c r="N40" s="2" t="s">
        <v>4544</v>
      </c>
      <c r="O40" s="3">
        <v>45986</v>
      </c>
      <c r="P40" s="2" t="s">
        <v>4546</v>
      </c>
      <c r="Q40" s="5"/>
    </row>
    <row r="41" spans="1:17" x14ac:dyDescent="0.25">
      <c r="A41" s="6" t="s">
        <v>12</v>
      </c>
      <c r="B41" s="7" t="s">
        <v>128</v>
      </c>
      <c r="C41" s="7" t="s">
        <v>141</v>
      </c>
      <c r="D41" s="7" t="s">
        <v>142</v>
      </c>
      <c r="E41" s="8" t="s">
        <v>140</v>
      </c>
      <c r="F41" s="19">
        <v>250000</v>
      </c>
      <c r="G41" s="9"/>
      <c r="H41" s="7">
        <v>1</v>
      </c>
      <c r="I41" s="8">
        <v>45917</v>
      </c>
      <c r="J41" s="9">
        <v>165</v>
      </c>
      <c r="K41" s="9" t="s">
        <v>22</v>
      </c>
      <c r="L41" s="8">
        <v>46082</v>
      </c>
      <c r="M41" s="23">
        <f>YEAR(Таблица1[[#This Row],[Дата отчета]])</f>
        <v>2026</v>
      </c>
      <c r="N41" s="2" t="s">
        <v>4544</v>
      </c>
      <c r="O41" s="8">
        <v>45986</v>
      </c>
      <c r="P41" s="2" t="s">
        <v>4546</v>
      </c>
      <c r="Q41" s="10"/>
    </row>
    <row r="42" spans="1:17" x14ac:dyDescent="0.25">
      <c r="A42" s="1" t="s">
        <v>12</v>
      </c>
      <c r="B42" s="2" t="s">
        <v>143</v>
      </c>
      <c r="C42" s="2" t="s">
        <v>144</v>
      </c>
      <c r="D42" s="2" t="s">
        <v>145</v>
      </c>
      <c r="E42" s="3" t="s">
        <v>146</v>
      </c>
      <c r="F42" s="18">
        <v>7000</v>
      </c>
      <c r="G42" s="4"/>
      <c r="H42" s="2">
        <v>1</v>
      </c>
      <c r="I42" s="3">
        <v>45838</v>
      </c>
      <c r="J42" s="4">
        <v>244</v>
      </c>
      <c r="K42" s="4" t="s">
        <v>67</v>
      </c>
      <c r="L42" s="3">
        <v>46082</v>
      </c>
      <c r="M42" s="23">
        <f>YEAR(Таблица1[[#This Row],[Дата отчета]])</f>
        <v>2026</v>
      </c>
      <c r="N42" s="2" t="s">
        <v>807</v>
      </c>
      <c r="O42" s="2"/>
      <c r="P42" s="2"/>
      <c r="Q42" s="5"/>
    </row>
    <row r="43" spans="1:17" x14ac:dyDescent="0.25">
      <c r="A43" s="6" t="s">
        <v>12</v>
      </c>
      <c r="B43" s="7" t="s">
        <v>147</v>
      </c>
      <c r="C43" s="7" t="s">
        <v>148</v>
      </c>
      <c r="D43" s="7" t="s">
        <v>149</v>
      </c>
      <c r="E43" s="8" t="s">
        <v>37</v>
      </c>
      <c r="F43" s="19">
        <v>25000</v>
      </c>
      <c r="G43" s="9"/>
      <c r="H43" s="7">
        <v>1</v>
      </c>
      <c r="I43" s="8">
        <v>46066</v>
      </c>
      <c r="J43" s="9">
        <v>16</v>
      </c>
      <c r="K43" s="9" t="s">
        <v>38</v>
      </c>
      <c r="L43" s="8">
        <v>46082</v>
      </c>
      <c r="M43" s="23">
        <f>YEAR(Таблица1[[#This Row],[Дата отчета]])</f>
        <v>2026</v>
      </c>
      <c r="N43" s="7"/>
      <c r="O43" s="7"/>
      <c r="P43" s="7"/>
      <c r="Q43" s="10"/>
    </row>
    <row r="44" spans="1:17" x14ac:dyDescent="0.25">
      <c r="A44" s="1" t="s">
        <v>12</v>
      </c>
      <c r="B44" s="2" t="s">
        <v>150</v>
      </c>
      <c r="C44" s="2" t="s">
        <v>151</v>
      </c>
      <c r="D44" s="2" t="s">
        <v>152</v>
      </c>
      <c r="E44" s="3" t="s">
        <v>153</v>
      </c>
      <c r="F44" s="18">
        <v>1200041.6399999999</v>
      </c>
      <c r="G44" s="4"/>
      <c r="H44" s="2">
        <v>1</v>
      </c>
      <c r="I44" s="3">
        <v>46072</v>
      </c>
      <c r="J44" s="4">
        <v>10</v>
      </c>
      <c r="K44" s="4" t="s">
        <v>38</v>
      </c>
      <c r="L44" s="3">
        <v>46082</v>
      </c>
      <c r="M44" s="23">
        <f>YEAR(Таблица1[[#This Row],[Дата отчета]])</f>
        <v>2026</v>
      </c>
      <c r="N44" s="2"/>
      <c r="O44" s="2"/>
      <c r="P44" s="2"/>
      <c r="Q44" s="5"/>
    </row>
    <row r="45" spans="1:17" x14ac:dyDescent="0.25">
      <c r="A45" s="6" t="s">
        <v>12</v>
      </c>
      <c r="B45" s="7" t="s">
        <v>150</v>
      </c>
      <c r="C45" s="7" t="s">
        <v>154</v>
      </c>
      <c r="D45" s="7" t="s">
        <v>155</v>
      </c>
      <c r="E45" s="8" t="s">
        <v>156</v>
      </c>
      <c r="F45" s="19">
        <v>0.01</v>
      </c>
      <c r="G45" s="9"/>
      <c r="H45" s="7">
        <v>1</v>
      </c>
      <c r="I45" s="8">
        <v>46051</v>
      </c>
      <c r="J45" s="9">
        <v>31</v>
      </c>
      <c r="K45" s="9" t="s">
        <v>27</v>
      </c>
      <c r="L45" s="8">
        <v>46082</v>
      </c>
      <c r="M45" s="23">
        <f>YEAR(Таблица1[[#This Row],[Дата отчета]])</f>
        <v>2026</v>
      </c>
      <c r="N45" s="7"/>
      <c r="O45" s="7"/>
      <c r="P45" s="7"/>
      <c r="Q45" s="10"/>
    </row>
    <row r="46" spans="1:17" x14ac:dyDescent="0.25">
      <c r="A46" s="1" t="s">
        <v>12</v>
      </c>
      <c r="B46" s="2" t="s">
        <v>150</v>
      </c>
      <c r="C46" s="2" t="s">
        <v>154</v>
      </c>
      <c r="D46" s="2" t="s">
        <v>157</v>
      </c>
      <c r="E46" s="3" t="s">
        <v>37</v>
      </c>
      <c r="F46" s="18">
        <v>305626.94</v>
      </c>
      <c r="G46" s="4"/>
      <c r="H46" s="2">
        <v>1</v>
      </c>
      <c r="I46" s="3">
        <v>46066</v>
      </c>
      <c r="J46" s="4">
        <v>16</v>
      </c>
      <c r="K46" s="4" t="s">
        <v>38</v>
      </c>
      <c r="L46" s="3">
        <v>46082</v>
      </c>
      <c r="M46" s="23">
        <f>YEAR(Таблица1[[#This Row],[Дата отчета]])</f>
        <v>2026</v>
      </c>
      <c r="N46" s="2"/>
      <c r="O46" s="2"/>
      <c r="P46" s="2"/>
      <c r="Q46" s="5"/>
    </row>
    <row r="47" spans="1:17" x14ac:dyDescent="0.25">
      <c r="A47" s="6" t="s">
        <v>12</v>
      </c>
      <c r="B47" s="7" t="s">
        <v>158</v>
      </c>
      <c r="C47" s="7" t="s">
        <v>159</v>
      </c>
      <c r="D47" s="7" t="s">
        <v>160</v>
      </c>
      <c r="E47" s="8" t="s">
        <v>161</v>
      </c>
      <c r="F47" s="19">
        <v>52154.400000000001</v>
      </c>
      <c r="G47" s="9"/>
      <c r="H47" s="7">
        <v>1</v>
      </c>
      <c r="I47" s="8">
        <v>45890</v>
      </c>
      <c r="J47" s="9">
        <v>192</v>
      </c>
      <c r="K47" s="9" t="s">
        <v>67</v>
      </c>
      <c r="L47" s="8">
        <v>46082</v>
      </c>
      <c r="M47" s="23">
        <f>YEAR(Таблица1[[#This Row],[Дата отчета]])</f>
        <v>2026</v>
      </c>
      <c r="N47" s="7"/>
      <c r="O47" s="7"/>
      <c r="P47" s="7"/>
      <c r="Q47" s="10"/>
    </row>
    <row r="48" spans="1:17" x14ac:dyDescent="0.25">
      <c r="A48" s="1" t="s">
        <v>12</v>
      </c>
      <c r="B48" s="2" t="s">
        <v>162</v>
      </c>
      <c r="C48" s="2" t="s">
        <v>163</v>
      </c>
      <c r="D48" s="2" t="s">
        <v>164</v>
      </c>
      <c r="E48" s="3" t="s">
        <v>165</v>
      </c>
      <c r="F48" s="18">
        <v>12000</v>
      </c>
      <c r="G48" s="4"/>
      <c r="H48" s="2">
        <v>1</v>
      </c>
      <c r="I48" s="3">
        <v>46073</v>
      </c>
      <c r="J48" s="4">
        <v>9</v>
      </c>
      <c r="K48" s="4" t="s">
        <v>38</v>
      </c>
      <c r="L48" s="3">
        <v>46082</v>
      </c>
      <c r="M48" s="23">
        <f>YEAR(Таблица1[[#This Row],[Дата отчета]])</f>
        <v>2026</v>
      </c>
      <c r="N48" s="2"/>
      <c r="O48" s="2"/>
      <c r="P48" s="2"/>
      <c r="Q48" s="5"/>
    </row>
    <row r="49" spans="1:17" x14ac:dyDescent="0.25">
      <c r="A49" s="6" t="s">
        <v>12</v>
      </c>
      <c r="B49" s="7" t="s">
        <v>166</v>
      </c>
      <c r="C49" s="7" t="s">
        <v>167</v>
      </c>
      <c r="D49" s="7" t="s">
        <v>168</v>
      </c>
      <c r="E49" s="8" t="s">
        <v>169</v>
      </c>
      <c r="F49" s="19">
        <v>2405000</v>
      </c>
      <c r="G49" s="9"/>
      <c r="H49" s="7">
        <v>1</v>
      </c>
      <c r="I49" s="8">
        <v>46050</v>
      </c>
      <c r="J49" s="9">
        <v>32</v>
      </c>
      <c r="K49" s="9" t="s">
        <v>27</v>
      </c>
      <c r="L49" s="8">
        <v>46082</v>
      </c>
      <c r="M49" s="23">
        <f>YEAR(Таблица1[[#This Row],[Дата отчета]])</f>
        <v>2026</v>
      </c>
      <c r="N49" s="7"/>
      <c r="O49" s="7"/>
      <c r="P49" s="7"/>
      <c r="Q49" s="10"/>
    </row>
    <row r="50" spans="1:17" x14ac:dyDescent="0.25">
      <c r="A50" s="1" t="s">
        <v>12</v>
      </c>
      <c r="B50" s="2" t="s">
        <v>166</v>
      </c>
      <c r="C50" s="2" t="s">
        <v>170</v>
      </c>
      <c r="D50" s="2" t="s">
        <v>171</v>
      </c>
      <c r="E50" s="3" t="s">
        <v>169</v>
      </c>
      <c r="F50" s="18">
        <v>1150000</v>
      </c>
      <c r="G50" s="4"/>
      <c r="H50" s="2">
        <v>1</v>
      </c>
      <c r="I50" s="3">
        <v>46050</v>
      </c>
      <c r="J50" s="4">
        <v>32</v>
      </c>
      <c r="K50" s="4" t="s">
        <v>27</v>
      </c>
      <c r="L50" s="3">
        <v>46082</v>
      </c>
      <c r="M50" s="23">
        <f>YEAR(Таблица1[[#This Row],[Дата отчета]])</f>
        <v>2026</v>
      </c>
      <c r="N50" s="2"/>
      <c r="O50" s="2"/>
      <c r="P50" s="2"/>
      <c r="Q50" s="5"/>
    </row>
    <row r="51" spans="1:17" x14ac:dyDescent="0.25">
      <c r="A51" s="6" t="s">
        <v>12</v>
      </c>
      <c r="B51" s="7" t="s">
        <v>172</v>
      </c>
      <c r="C51" s="7" t="s">
        <v>173</v>
      </c>
      <c r="D51" s="7" t="s">
        <v>174</v>
      </c>
      <c r="E51" s="8" t="s">
        <v>175</v>
      </c>
      <c r="F51" s="19">
        <v>12630</v>
      </c>
      <c r="G51" s="9"/>
      <c r="H51" s="7">
        <v>1</v>
      </c>
      <c r="I51" s="8">
        <v>45399</v>
      </c>
      <c r="J51" s="9">
        <v>683</v>
      </c>
      <c r="K51" s="9" t="s">
        <v>17</v>
      </c>
      <c r="L51" s="8">
        <v>46082</v>
      </c>
      <c r="M51" s="23">
        <f>YEAR(Таблица1[[#This Row],[Дата отчета]])</f>
        <v>2026</v>
      </c>
      <c r="N51" s="7" t="s">
        <v>4547</v>
      </c>
      <c r="O51" s="7"/>
      <c r="P51" s="7"/>
      <c r="Q51" s="10"/>
    </row>
    <row r="52" spans="1:17" x14ac:dyDescent="0.25">
      <c r="A52" s="1" t="s">
        <v>12</v>
      </c>
      <c r="B52" s="2" t="s">
        <v>176</v>
      </c>
      <c r="C52" s="2" t="s">
        <v>177</v>
      </c>
      <c r="D52" s="2" t="s">
        <v>178</v>
      </c>
      <c r="E52" s="3" t="s">
        <v>179</v>
      </c>
      <c r="F52" s="18">
        <v>92350</v>
      </c>
      <c r="G52" s="4"/>
      <c r="H52" s="2">
        <v>1</v>
      </c>
      <c r="I52" s="3">
        <v>45987</v>
      </c>
      <c r="J52" s="4">
        <v>95</v>
      </c>
      <c r="K52" s="4" t="s">
        <v>71</v>
      </c>
      <c r="L52" s="3">
        <v>46082</v>
      </c>
      <c r="M52" s="23">
        <f>YEAR(Таблица1[[#This Row],[Дата отчета]])</f>
        <v>2026</v>
      </c>
      <c r="N52" s="2"/>
      <c r="O52" s="2"/>
      <c r="P52" s="2"/>
      <c r="Q52" s="5"/>
    </row>
    <row r="53" spans="1:17" x14ac:dyDescent="0.25">
      <c r="A53" s="6" t="s">
        <v>12</v>
      </c>
      <c r="B53" s="7" t="s">
        <v>180</v>
      </c>
      <c r="C53" s="7" t="s">
        <v>181</v>
      </c>
      <c r="D53" s="7" t="s">
        <v>182</v>
      </c>
      <c r="E53" s="8" t="s">
        <v>183</v>
      </c>
      <c r="F53" s="19">
        <v>14178</v>
      </c>
      <c r="G53" s="9"/>
      <c r="H53" s="7">
        <v>1</v>
      </c>
      <c r="I53" s="8">
        <v>45817</v>
      </c>
      <c r="J53" s="9">
        <v>265</v>
      </c>
      <c r="K53" s="9" t="s">
        <v>67</v>
      </c>
      <c r="L53" s="8">
        <v>46082</v>
      </c>
      <c r="M53" s="23">
        <f>YEAR(Таблица1[[#This Row],[Дата отчета]])</f>
        <v>2026</v>
      </c>
      <c r="N53" s="7" t="s">
        <v>4538</v>
      </c>
      <c r="O53" s="7"/>
      <c r="P53" s="7"/>
      <c r="Q53" s="10"/>
    </row>
    <row r="54" spans="1:17" x14ac:dyDescent="0.25">
      <c r="A54" s="1" t="s">
        <v>12</v>
      </c>
      <c r="B54" s="2" t="s">
        <v>180</v>
      </c>
      <c r="C54" s="2" t="s">
        <v>184</v>
      </c>
      <c r="D54" s="2" t="s">
        <v>185</v>
      </c>
      <c r="E54" s="3" t="s">
        <v>48</v>
      </c>
      <c r="F54" s="18">
        <v>405463</v>
      </c>
      <c r="G54" s="4"/>
      <c r="H54" s="2">
        <v>1</v>
      </c>
      <c r="I54" s="3">
        <v>46078</v>
      </c>
      <c r="J54" s="4">
        <v>4</v>
      </c>
      <c r="K54" s="4" t="s">
        <v>38</v>
      </c>
      <c r="L54" s="3">
        <v>46082</v>
      </c>
      <c r="M54" s="23">
        <f>YEAR(Таблица1[[#This Row],[Дата отчета]])</f>
        <v>2026</v>
      </c>
      <c r="N54" s="2"/>
      <c r="O54" s="2"/>
      <c r="P54" s="2"/>
      <c r="Q54" s="5"/>
    </row>
    <row r="55" spans="1:17" x14ac:dyDescent="0.25">
      <c r="A55" s="6" t="s">
        <v>12</v>
      </c>
      <c r="B55" s="7" t="s">
        <v>186</v>
      </c>
      <c r="C55" s="7" t="s">
        <v>187</v>
      </c>
      <c r="D55" s="7" t="s">
        <v>188</v>
      </c>
      <c r="E55" s="8" t="s">
        <v>189</v>
      </c>
      <c r="F55" s="19">
        <v>6600</v>
      </c>
      <c r="G55" s="9"/>
      <c r="H55" s="7">
        <v>1</v>
      </c>
      <c r="I55" s="8">
        <v>45471</v>
      </c>
      <c r="J55" s="9">
        <v>611</v>
      </c>
      <c r="K55" s="9" t="s">
        <v>17</v>
      </c>
      <c r="L55" s="8">
        <v>46082</v>
      </c>
      <c r="M55" s="23">
        <f>YEAR(Таблица1[[#This Row],[Дата отчета]])</f>
        <v>2026</v>
      </c>
      <c r="N55" s="7"/>
      <c r="O55" s="7"/>
      <c r="P55" s="7"/>
      <c r="Q55" s="10"/>
    </row>
    <row r="56" spans="1:17" x14ac:dyDescent="0.25">
      <c r="A56" s="1" t="s">
        <v>12</v>
      </c>
      <c r="B56" s="2" t="s">
        <v>186</v>
      </c>
      <c r="C56" s="2" t="s">
        <v>190</v>
      </c>
      <c r="D56" s="2" t="s">
        <v>191</v>
      </c>
      <c r="E56" s="3" t="s">
        <v>192</v>
      </c>
      <c r="F56" s="18">
        <v>6600</v>
      </c>
      <c r="G56" s="4"/>
      <c r="H56" s="2">
        <v>1</v>
      </c>
      <c r="I56" s="3">
        <v>45467</v>
      </c>
      <c r="J56" s="4">
        <v>615</v>
      </c>
      <c r="K56" s="4" t="s">
        <v>17</v>
      </c>
      <c r="L56" s="3">
        <v>46082</v>
      </c>
      <c r="M56" s="23">
        <f>YEAR(Таблица1[[#This Row],[Дата отчета]])</f>
        <v>2026</v>
      </c>
      <c r="N56" s="2"/>
      <c r="O56" s="2"/>
      <c r="P56" s="2"/>
      <c r="Q56" s="5"/>
    </row>
    <row r="57" spans="1:17" x14ac:dyDescent="0.25">
      <c r="A57" s="6" t="s">
        <v>12</v>
      </c>
      <c r="B57" s="7" t="s">
        <v>186</v>
      </c>
      <c r="C57" s="7" t="s">
        <v>193</v>
      </c>
      <c r="D57" s="7" t="s">
        <v>194</v>
      </c>
      <c r="E57" s="8" t="s">
        <v>195</v>
      </c>
      <c r="F57" s="19">
        <v>25000</v>
      </c>
      <c r="G57" s="9"/>
      <c r="H57" s="7">
        <v>1</v>
      </c>
      <c r="I57" s="8">
        <v>45916</v>
      </c>
      <c r="J57" s="9">
        <v>166</v>
      </c>
      <c r="K57" s="9" t="s">
        <v>22</v>
      </c>
      <c r="L57" s="8">
        <v>46082</v>
      </c>
      <c r="M57" s="23">
        <f>YEAR(Таблица1[[#This Row],[Дата отчета]])</f>
        <v>2026</v>
      </c>
      <c r="N57" s="7"/>
      <c r="O57" s="7"/>
      <c r="P57" s="7"/>
      <c r="Q57" s="10"/>
    </row>
    <row r="58" spans="1:17" x14ac:dyDescent="0.25">
      <c r="A58" s="1" t="s">
        <v>12</v>
      </c>
      <c r="B58" s="2" t="s">
        <v>186</v>
      </c>
      <c r="C58" s="2" t="s">
        <v>196</v>
      </c>
      <c r="D58" s="2" t="s">
        <v>197</v>
      </c>
      <c r="E58" s="3" t="s">
        <v>198</v>
      </c>
      <c r="F58" s="18">
        <v>6600</v>
      </c>
      <c r="G58" s="4"/>
      <c r="H58" s="2">
        <v>1</v>
      </c>
      <c r="I58" s="3">
        <v>45439</v>
      </c>
      <c r="J58" s="4">
        <v>643</v>
      </c>
      <c r="K58" s="4" t="s">
        <v>17</v>
      </c>
      <c r="L58" s="3">
        <v>46082</v>
      </c>
      <c r="M58" s="23">
        <f>YEAR(Таблица1[[#This Row],[Дата отчета]])</f>
        <v>2026</v>
      </c>
      <c r="N58" s="2"/>
      <c r="O58" s="2"/>
      <c r="P58" s="2"/>
      <c r="Q58" s="5"/>
    </row>
    <row r="59" spans="1:17" x14ac:dyDescent="0.25">
      <c r="A59" s="6" t="s">
        <v>12</v>
      </c>
      <c r="B59" s="7" t="s">
        <v>186</v>
      </c>
      <c r="C59" s="7" t="s">
        <v>199</v>
      </c>
      <c r="D59" s="7" t="s">
        <v>200</v>
      </c>
      <c r="E59" s="8" t="s">
        <v>201</v>
      </c>
      <c r="F59" s="19">
        <v>6600</v>
      </c>
      <c r="G59" s="9"/>
      <c r="H59" s="7">
        <v>1</v>
      </c>
      <c r="I59" s="8">
        <v>45800</v>
      </c>
      <c r="J59" s="9">
        <v>282</v>
      </c>
      <c r="K59" s="9" t="s">
        <v>92</v>
      </c>
      <c r="L59" s="8">
        <v>46082</v>
      </c>
      <c r="M59" s="23">
        <f>YEAR(Таблица1[[#This Row],[Дата отчета]])</f>
        <v>2026</v>
      </c>
      <c r="N59" s="7"/>
      <c r="O59" s="7"/>
      <c r="P59" s="7"/>
      <c r="Q59" s="10"/>
    </row>
    <row r="60" spans="1:17" x14ac:dyDescent="0.25">
      <c r="A60" s="1" t="s">
        <v>12</v>
      </c>
      <c r="B60" s="2" t="s">
        <v>186</v>
      </c>
      <c r="C60" s="2" t="s">
        <v>202</v>
      </c>
      <c r="D60" s="2" t="s">
        <v>203</v>
      </c>
      <c r="E60" s="3" t="s">
        <v>204</v>
      </c>
      <c r="F60" s="18">
        <v>25000</v>
      </c>
      <c r="G60" s="4"/>
      <c r="H60" s="2">
        <v>1</v>
      </c>
      <c r="I60" s="3">
        <v>45481</v>
      </c>
      <c r="J60" s="4">
        <v>601</v>
      </c>
      <c r="K60" s="4" t="s">
        <v>17</v>
      </c>
      <c r="L60" s="3">
        <v>46082</v>
      </c>
      <c r="M60" s="23">
        <f>YEAR(Таблица1[[#This Row],[Дата отчета]])</f>
        <v>2026</v>
      </c>
      <c r="N60" s="2"/>
      <c r="O60" s="2"/>
      <c r="P60" s="2"/>
      <c r="Q60" s="5"/>
    </row>
    <row r="61" spans="1:17" x14ac:dyDescent="0.25">
      <c r="A61" s="6" t="s">
        <v>12</v>
      </c>
      <c r="B61" s="7" t="s">
        <v>186</v>
      </c>
      <c r="C61" s="7" t="s">
        <v>205</v>
      </c>
      <c r="D61" s="7" t="s">
        <v>206</v>
      </c>
      <c r="E61" s="8" t="s">
        <v>207</v>
      </c>
      <c r="F61" s="19">
        <v>25000</v>
      </c>
      <c r="G61" s="9"/>
      <c r="H61" s="7">
        <v>1</v>
      </c>
      <c r="I61" s="8">
        <v>45901</v>
      </c>
      <c r="J61" s="9">
        <v>181</v>
      </c>
      <c r="K61" s="9" t="s">
        <v>67</v>
      </c>
      <c r="L61" s="8">
        <v>46082</v>
      </c>
      <c r="M61" s="23">
        <f>YEAR(Таблица1[[#This Row],[Дата отчета]])</f>
        <v>2026</v>
      </c>
      <c r="N61" s="7"/>
      <c r="O61" s="7"/>
      <c r="P61" s="7"/>
      <c r="Q61" s="10"/>
    </row>
    <row r="62" spans="1:17" x14ac:dyDescent="0.25">
      <c r="A62" s="1" t="s">
        <v>12</v>
      </c>
      <c r="B62" s="2" t="s">
        <v>208</v>
      </c>
      <c r="C62" s="2" t="s">
        <v>209</v>
      </c>
      <c r="D62" s="2" t="s">
        <v>210</v>
      </c>
      <c r="E62" s="3" t="s">
        <v>211</v>
      </c>
      <c r="F62" s="18">
        <v>179328</v>
      </c>
      <c r="G62" s="4"/>
      <c r="H62" s="2">
        <v>1</v>
      </c>
      <c r="I62" s="3">
        <v>46056</v>
      </c>
      <c r="J62" s="4">
        <v>26</v>
      </c>
      <c r="K62" s="4" t="s">
        <v>38</v>
      </c>
      <c r="L62" s="3">
        <v>46082</v>
      </c>
      <c r="M62" s="23">
        <f>YEAR(Таблица1[[#This Row],[Дата отчета]])</f>
        <v>2026</v>
      </c>
      <c r="N62" s="2"/>
      <c r="O62" s="2"/>
      <c r="P62" s="2"/>
      <c r="Q62" s="5"/>
    </row>
    <row r="63" spans="1:17" x14ac:dyDescent="0.25">
      <c r="A63" s="6" t="s">
        <v>12</v>
      </c>
      <c r="B63" s="7" t="s">
        <v>212</v>
      </c>
      <c r="C63" s="7" t="s">
        <v>213</v>
      </c>
      <c r="D63" s="7" t="s">
        <v>214</v>
      </c>
      <c r="E63" s="8" t="s">
        <v>215</v>
      </c>
      <c r="F63" s="19">
        <v>1750000</v>
      </c>
      <c r="G63" s="9"/>
      <c r="H63" s="7">
        <v>1</v>
      </c>
      <c r="I63" s="8">
        <v>45929</v>
      </c>
      <c r="J63" s="9">
        <v>153</v>
      </c>
      <c r="K63" s="9" t="s">
        <v>22</v>
      </c>
      <c r="L63" s="8">
        <v>46082</v>
      </c>
      <c r="M63" s="23">
        <f>YEAR(Таблица1[[#This Row],[Дата отчета]])</f>
        <v>2026</v>
      </c>
      <c r="N63" s="7"/>
      <c r="O63" s="7"/>
      <c r="P63" s="7"/>
      <c r="Q63" s="10"/>
    </row>
    <row r="64" spans="1:17" x14ac:dyDescent="0.25">
      <c r="A64" s="1" t="s">
        <v>12</v>
      </c>
      <c r="B64" s="2" t="s">
        <v>212</v>
      </c>
      <c r="C64" s="2" t="s">
        <v>216</v>
      </c>
      <c r="D64" s="2" t="s">
        <v>217</v>
      </c>
      <c r="E64" s="3" t="s">
        <v>218</v>
      </c>
      <c r="F64" s="18">
        <v>1750000</v>
      </c>
      <c r="G64" s="4"/>
      <c r="H64" s="2">
        <v>1</v>
      </c>
      <c r="I64" s="3">
        <v>45947</v>
      </c>
      <c r="J64" s="4">
        <v>135</v>
      </c>
      <c r="K64" s="4" t="s">
        <v>22</v>
      </c>
      <c r="L64" s="3">
        <v>46082</v>
      </c>
      <c r="M64" s="23">
        <f>YEAR(Таблица1[[#This Row],[Дата отчета]])</f>
        <v>2026</v>
      </c>
      <c r="N64" s="2"/>
      <c r="O64" s="2"/>
      <c r="P64" s="2"/>
      <c r="Q64" s="5"/>
    </row>
    <row r="65" spans="1:17" x14ac:dyDescent="0.25">
      <c r="A65" s="6" t="s">
        <v>12</v>
      </c>
      <c r="B65" s="7" t="s">
        <v>212</v>
      </c>
      <c r="C65" s="7" t="s">
        <v>219</v>
      </c>
      <c r="D65" s="7" t="s">
        <v>220</v>
      </c>
      <c r="E65" s="8" t="s">
        <v>215</v>
      </c>
      <c r="F65" s="19">
        <v>1750000</v>
      </c>
      <c r="G65" s="9"/>
      <c r="H65" s="7">
        <v>1</v>
      </c>
      <c r="I65" s="8">
        <v>45929</v>
      </c>
      <c r="J65" s="9">
        <v>153</v>
      </c>
      <c r="K65" s="9" t="s">
        <v>22</v>
      </c>
      <c r="L65" s="8">
        <v>46082</v>
      </c>
      <c r="M65" s="23">
        <f>YEAR(Таблица1[[#This Row],[Дата отчета]])</f>
        <v>2026</v>
      </c>
      <c r="N65" s="7"/>
      <c r="O65" s="7"/>
      <c r="P65" s="7"/>
      <c r="Q65" s="10"/>
    </row>
    <row r="66" spans="1:17" x14ac:dyDescent="0.25">
      <c r="A66" s="1" t="s">
        <v>12</v>
      </c>
      <c r="B66" s="2" t="s">
        <v>212</v>
      </c>
      <c r="C66" s="2" t="s">
        <v>221</v>
      </c>
      <c r="D66" s="2" t="s">
        <v>222</v>
      </c>
      <c r="E66" s="3" t="s">
        <v>218</v>
      </c>
      <c r="F66" s="18">
        <v>1750000</v>
      </c>
      <c r="G66" s="4"/>
      <c r="H66" s="2">
        <v>1</v>
      </c>
      <c r="I66" s="3">
        <v>45947</v>
      </c>
      <c r="J66" s="4">
        <v>135</v>
      </c>
      <c r="K66" s="4" t="s">
        <v>22</v>
      </c>
      <c r="L66" s="3">
        <v>46082</v>
      </c>
      <c r="M66" s="23">
        <f>YEAR(Таблица1[[#This Row],[Дата отчета]])</f>
        <v>2026</v>
      </c>
      <c r="N66" s="2"/>
      <c r="O66" s="2"/>
      <c r="P66" s="2"/>
      <c r="Q66" s="5"/>
    </row>
    <row r="67" spans="1:17" x14ac:dyDescent="0.25">
      <c r="A67" s="6" t="s">
        <v>12</v>
      </c>
      <c r="B67" s="7" t="s">
        <v>212</v>
      </c>
      <c r="C67" s="7" t="s">
        <v>223</v>
      </c>
      <c r="D67" s="7" t="s">
        <v>224</v>
      </c>
      <c r="E67" s="8" t="s">
        <v>215</v>
      </c>
      <c r="F67" s="19">
        <v>1750000</v>
      </c>
      <c r="G67" s="9"/>
      <c r="H67" s="7">
        <v>1</v>
      </c>
      <c r="I67" s="8">
        <v>45929</v>
      </c>
      <c r="J67" s="9">
        <v>153</v>
      </c>
      <c r="K67" s="9" t="s">
        <v>22</v>
      </c>
      <c r="L67" s="8">
        <v>46082</v>
      </c>
      <c r="M67" s="23">
        <f>YEAR(Таблица1[[#This Row],[Дата отчета]])</f>
        <v>2026</v>
      </c>
      <c r="N67" s="7"/>
      <c r="O67" s="7"/>
      <c r="P67" s="7"/>
      <c r="Q67" s="10"/>
    </row>
    <row r="68" spans="1:17" x14ac:dyDescent="0.25">
      <c r="A68" s="1" t="s">
        <v>12</v>
      </c>
      <c r="B68" s="2" t="s">
        <v>225</v>
      </c>
      <c r="C68" s="2" t="s">
        <v>226</v>
      </c>
      <c r="D68" s="2" t="s">
        <v>227</v>
      </c>
      <c r="E68" s="3" t="s">
        <v>37</v>
      </c>
      <c r="F68" s="18">
        <v>17831.84</v>
      </c>
      <c r="G68" s="4"/>
      <c r="H68" s="2">
        <v>1</v>
      </c>
      <c r="I68" s="3">
        <v>46066</v>
      </c>
      <c r="J68" s="4">
        <v>16</v>
      </c>
      <c r="K68" s="4" t="s">
        <v>38</v>
      </c>
      <c r="L68" s="3">
        <v>46082</v>
      </c>
      <c r="M68" s="23">
        <f>YEAR(Таблица1[[#This Row],[Дата отчета]])</f>
        <v>2026</v>
      </c>
      <c r="N68" s="2"/>
      <c r="O68" s="2"/>
      <c r="P68" s="2"/>
      <c r="Q68" s="5"/>
    </row>
    <row r="69" spans="1:17" x14ac:dyDescent="0.25">
      <c r="A69" s="6" t="s">
        <v>12</v>
      </c>
      <c r="B69" s="7" t="s">
        <v>228</v>
      </c>
      <c r="C69" s="7" t="s">
        <v>229</v>
      </c>
      <c r="D69" s="7" t="s">
        <v>230</v>
      </c>
      <c r="E69" s="8" t="s">
        <v>231</v>
      </c>
      <c r="F69" s="19">
        <v>2053117.29</v>
      </c>
      <c r="G69" s="9"/>
      <c r="H69" s="7">
        <v>1</v>
      </c>
      <c r="I69" s="8">
        <v>45992</v>
      </c>
      <c r="J69" s="9">
        <v>90</v>
      </c>
      <c r="K69" s="9" t="s">
        <v>27</v>
      </c>
      <c r="L69" s="8">
        <v>46082</v>
      </c>
      <c r="M69" s="23">
        <f>YEAR(Таблица1[[#This Row],[Дата отчета]])</f>
        <v>2026</v>
      </c>
      <c r="N69" s="7"/>
      <c r="O69" s="7"/>
      <c r="P69" s="7"/>
      <c r="Q69" s="10"/>
    </row>
    <row r="70" spans="1:17" x14ac:dyDescent="0.25">
      <c r="A70" s="1" t="s">
        <v>12</v>
      </c>
      <c r="B70" s="2" t="s">
        <v>228</v>
      </c>
      <c r="C70" s="2" t="s">
        <v>229</v>
      </c>
      <c r="D70" s="2" t="s">
        <v>232</v>
      </c>
      <c r="E70" s="3" t="s">
        <v>61</v>
      </c>
      <c r="F70" s="18">
        <v>1460604.1</v>
      </c>
      <c r="G70" s="4"/>
      <c r="H70" s="2">
        <v>1</v>
      </c>
      <c r="I70" s="3">
        <v>46079</v>
      </c>
      <c r="J70" s="4">
        <v>3</v>
      </c>
      <c r="K70" s="4" t="s">
        <v>38</v>
      </c>
      <c r="L70" s="3">
        <v>46082</v>
      </c>
      <c r="M70" s="23">
        <f>YEAR(Таблица1[[#This Row],[Дата отчета]])</f>
        <v>2026</v>
      </c>
      <c r="N70" s="7" t="s">
        <v>4545</v>
      </c>
      <c r="O70" s="7" t="s">
        <v>4549</v>
      </c>
      <c r="P70" s="2"/>
      <c r="Q70" s="5"/>
    </row>
    <row r="71" spans="1:17" x14ac:dyDescent="0.25">
      <c r="A71" s="6" t="s">
        <v>12</v>
      </c>
      <c r="B71" s="7" t="s">
        <v>228</v>
      </c>
      <c r="C71" s="7" t="s">
        <v>233</v>
      </c>
      <c r="D71" s="7" t="s">
        <v>234</v>
      </c>
      <c r="E71" s="8" t="s">
        <v>231</v>
      </c>
      <c r="F71" s="19">
        <v>1211264.99</v>
      </c>
      <c r="G71" s="9"/>
      <c r="H71" s="7">
        <v>1</v>
      </c>
      <c r="I71" s="8">
        <v>45992</v>
      </c>
      <c r="J71" s="9">
        <v>90</v>
      </c>
      <c r="K71" s="9" t="s">
        <v>27</v>
      </c>
      <c r="L71" s="8">
        <v>46082</v>
      </c>
      <c r="M71" s="23">
        <f>YEAR(Таблица1[[#This Row],[Дата отчета]])</f>
        <v>2026</v>
      </c>
      <c r="N71" s="7"/>
      <c r="O71" s="7"/>
      <c r="P71" s="7"/>
      <c r="Q71" s="10"/>
    </row>
    <row r="72" spans="1:17" x14ac:dyDescent="0.25">
      <c r="A72" s="1" t="s">
        <v>12</v>
      </c>
      <c r="B72" s="2" t="s">
        <v>228</v>
      </c>
      <c r="C72" s="2" t="s">
        <v>233</v>
      </c>
      <c r="D72" s="2" t="s">
        <v>235</v>
      </c>
      <c r="E72" s="3" t="s">
        <v>61</v>
      </c>
      <c r="F72" s="18">
        <v>1251640.57</v>
      </c>
      <c r="G72" s="4"/>
      <c r="H72" s="2">
        <v>1</v>
      </c>
      <c r="I72" s="3">
        <v>46079</v>
      </c>
      <c r="J72" s="4">
        <v>3</v>
      </c>
      <c r="K72" s="4" t="s">
        <v>38</v>
      </c>
      <c r="L72" s="3">
        <v>46082</v>
      </c>
      <c r="M72" s="23">
        <f>YEAR(Таблица1[[#This Row],[Дата отчета]])</f>
        <v>2026</v>
      </c>
      <c r="N72" s="2"/>
      <c r="O72" s="2"/>
      <c r="P72" s="2"/>
      <c r="Q72" s="5"/>
    </row>
    <row r="73" spans="1:17" x14ac:dyDescent="0.25">
      <c r="A73" s="6" t="s">
        <v>12</v>
      </c>
      <c r="B73" s="7" t="s">
        <v>228</v>
      </c>
      <c r="C73" s="7" t="s">
        <v>236</v>
      </c>
      <c r="D73" s="7" t="s">
        <v>237</v>
      </c>
      <c r="E73" s="8" t="s">
        <v>231</v>
      </c>
      <c r="F73" s="19">
        <v>512327.6</v>
      </c>
      <c r="G73" s="9"/>
      <c r="H73" s="7">
        <v>1</v>
      </c>
      <c r="I73" s="8">
        <v>45992</v>
      </c>
      <c r="J73" s="9">
        <v>90</v>
      </c>
      <c r="K73" s="9" t="s">
        <v>27</v>
      </c>
      <c r="L73" s="8">
        <v>46082</v>
      </c>
      <c r="M73" s="23">
        <f>YEAR(Таблица1[[#This Row],[Дата отчета]])</f>
        <v>2026</v>
      </c>
      <c r="N73" s="7"/>
      <c r="O73" s="7"/>
      <c r="P73" s="7"/>
      <c r="Q73" s="10"/>
    </row>
    <row r="74" spans="1:17" x14ac:dyDescent="0.25">
      <c r="A74" s="1" t="s">
        <v>12</v>
      </c>
      <c r="B74" s="2" t="s">
        <v>228</v>
      </c>
      <c r="C74" s="2" t="s">
        <v>236</v>
      </c>
      <c r="D74" s="2" t="s">
        <v>238</v>
      </c>
      <c r="E74" s="3" t="s">
        <v>239</v>
      </c>
      <c r="F74" s="18">
        <v>12000</v>
      </c>
      <c r="G74" s="4"/>
      <c r="H74" s="2">
        <v>1</v>
      </c>
      <c r="I74" s="3">
        <v>45996</v>
      </c>
      <c r="J74" s="4">
        <v>86</v>
      </c>
      <c r="K74" s="4" t="s">
        <v>27</v>
      </c>
      <c r="L74" s="3">
        <v>46082</v>
      </c>
      <c r="M74" s="23">
        <f>YEAR(Таблица1[[#This Row],[Дата отчета]])</f>
        <v>2026</v>
      </c>
      <c r="N74" s="2"/>
      <c r="O74" s="2"/>
      <c r="P74" s="2"/>
      <c r="Q74" s="5"/>
    </row>
    <row r="75" spans="1:17" x14ac:dyDescent="0.25">
      <c r="A75" s="6" t="s">
        <v>12</v>
      </c>
      <c r="B75" s="7" t="s">
        <v>228</v>
      </c>
      <c r="C75" s="7" t="s">
        <v>236</v>
      </c>
      <c r="D75" s="7" t="s">
        <v>240</v>
      </c>
      <c r="E75" s="8" t="s">
        <v>48</v>
      </c>
      <c r="F75" s="19">
        <v>541805.18000000005</v>
      </c>
      <c r="G75" s="9"/>
      <c r="H75" s="7">
        <v>1</v>
      </c>
      <c r="I75" s="8">
        <v>46078</v>
      </c>
      <c r="J75" s="9">
        <v>4</v>
      </c>
      <c r="K75" s="9" t="s">
        <v>38</v>
      </c>
      <c r="L75" s="8">
        <v>46082</v>
      </c>
      <c r="M75" s="23">
        <f>YEAR(Таблица1[[#This Row],[Дата отчета]])</f>
        <v>2026</v>
      </c>
      <c r="N75" s="7"/>
      <c r="O75" s="7"/>
      <c r="P75" s="7"/>
      <c r="Q75" s="10"/>
    </row>
    <row r="76" spans="1:17" x14ac:dyDescent="0.25">
      <c r="A76" s="1" t="s">
        <v>12</v>
      </c>
      <c r="B76" s="2" t="s">
        <v>228</v>
      </c>
      <c r="C76" s="2" t="s">
        <v>241</v>
      </c>
      <c r="D76" s="2" t="s">
        <v>242</v>
      </c>
      <c r="E76" s="3" t="s">
        <v>231</v>
      </c>
      <c r="F76" s="18">
        <v>438338.63</v>
      </c>
      <c r="G76" s="4"/>
      <c r="H76" s="2">
        <v>1</v>
      </c>
      <c r="I76" s="3">
        <v>45992</v>
      </c>
      <c r="J76" s="4">
        <v>90</v>
      </c>
      <c r="K76" s="4" t="s">
        <v>27</v>
      </c>
      <c r="L76" s="3">
        <v>46082</v>
      </c>
      <c r="M76" s="23">
        <f>YEAR(Таблица1[[#This Row],[Дата отчета]])</f>
        <v>2026</v>
      </c>
      <c r="N76" s="2"/>
      <c r="O76" s="2"/>
      <c r="P76" s="2"/>
      <c r="Q76" s="5"/>
    </row>
    <row r="77" spans="1:17" x14ac:dyDescent="0.25">
      <c r="A77" s="6" t="s">
        <v>12</v>
      </c>
      <c r="B77" s="7" t="s">
        <v>228</v>
      </c>
      <c r="C77" s="7" t="s">
        <v>241</v>
      </c>
      <c r="D77" s="7" t="s">
        <v>243</v>
      </c>
      <c r="E77" s="8" t="s">
        <v>61</v>
      </c>
      <c r="F77" s="19">
        <v>452949.89</v>
      </c>
      <c r="G77" s="9"/>
      <c r="H77" s="7">
        <v>1</v>
      </c>
      <c r="I77" s="8">
        <v>46079</v>
      </c>
      <c r="J77" s="9">
        <v>3</v>
      </c>
      <c r="K77" s="9" t="s">
        <v>38</v>
      </c>
      <c r="L77" s="8">
        <v>46082</v>
      </c>
      <c r="M77" s="23">
        <f>YEAR(Таблица1[[#This Row],[Дата отчета]])</f>
        <v>2026</v>
      </c>
      <c r="N77" s="7"/>
      <c r="O77" s="7"/>
      <c r="P77" s="7"/>
      <c r="Q77" s="10"/>
    </row>
    <row r="78" spans="1:17" x14ac:dyDescent="0.25">
      <c r="A78" s="1" t="s">
        <v>12</v>
      </c>
      <c r="B78" s="2" t="s">
        <v>244</v>
      </c>
      <c r="C78" s="2" t="s">
        <v>245</v>
      </c>
      <c r="D78" s="2" t="s">
        <v>246</v>
      </c>
      <c r="E78" s="3" t="s">
        <v>247</v>
      </c>
      <c r="F78" s="18">
        <v>275272</v>
      </c>
      <c r="G78" s="4"/>
      <c r="H78" s="2">
        <v>1</v>
      </c>
      <c r="I78" s="3">
        <v>45798</v>
      </c>
      <c r="J78" s="4">
        <v>284</v>
      </c>
      <c r="K78" s="4" t="s">
        <v>92</v>
      </c>
      <c r="L78" s="3">
        <v>46082</v>
      </c>
      <c r="M78" s="23">
        <f>YEAR(Таблица1[[#This Row],[Дата отчета]])</f>
        <v>2026</v>
      </c>
      <c r="N78" s="2" t="s">
        <v>4548</v>
      </c>
      <c r="O78" s="2"/>
      <c r="P78" s="2"/>
      <c r="Q78" s="5"/>
    </row>
    <row r="79" spans="1:17" x14ac:dyDescent="0.25">
      <c r="A79" s="6" t="s">
        <v>12</v>
      </c>
      <c r="B79" s="7" t="s">
        <v>248</v>
      </c>
      <c r="C79" s="7" t="s">
        <v>249</v>
      </c>
      <c r="D79" s="7" t="s">
        <v>250</v>
      </c>
      <c r="E79" s="8" t="s">
        <v>251</v>
      </c>
      <c r="F79" s="19">
        <v>15696807.25</v>
      </c>
      <c r="G79" s="9"/>
      <c r="H79" s="7">
        <v>1</v>
      </c>
      <c r="I79" s="8">
        <v>46038</v>
      </c>
      <c r="J79" s="9">
        <v>44</v>
      </c>
      <c r="K79" s="9" t="s">
        <v>27</v>
      </c>
      <c r="L79" s="8">
        <v>46082</v>
      </c>
      <c r="M79" s="23">
        <f>YEAR(Таблица1[[#This Row],[Дата отчета]])</f>
        <v>2026</v>
      </c>
      <c r="N79" s="7"/>
      <c r="O79" s="7"/>
      <c r="P79" s="7"/>
      <c r="Q79" s="10"/>
    </row>
    <row r="80" spans="1:17" x14ac:dyDescent="0.25">
      <c r="A80" s="1" t="s">
        <v>12</v>
      </c>
      <c r="B80" s="2" t="s">
        <v>248</v>
      </c>
      <c r="C80" s="2" t="s">
        <v>252</v>
      </c>
      <c r="D80" s="2" t="s">
        <v>253</v>
      </c>
      <c r="E80" s="3" t="s">
        <v>254</v>
      </c>
      <c r="F80" s="18">
        <v>23963645.800000001</v>
      </c>
      <c r="G80" s="4"/>
      <c r="H80" s="2">
        <v>1</v>
      </c>
      <c r="I80" s="3">
        <v>46048</v>
      </c>
      <c r="J80" s="4">
        <v>34</v>
      </c>
      <c r="K80" s="4" t="s">
        <v>27</v>
      </c>
      <c r="L80" s="3">
        <v>46082</v>
      </c>
      <c r="M80" s="23">
        <f>YEAR(Таблица1[[#This Row],[Дата отчета]])</f>
        <v>2026</v>
      </c>
      <c r="N80" s="2"/>
      <c r="O80" s="2"/>
      <c r="P80" s="2"/>
      <c r="Q80" s="5"/>
    </row>
    <row r="81" spans="1:17" x14ac:dyDescent="0.25">
      <c r="A81" s="6" t="s">
        <v>12</v>
      </c>
      <c r="B81" s="7" t="s">
        <v>248</v>
      </c>
      <c r="C81" s="7" t="s">
        <v>255</v>
      </c>
      <c r="D81" s="7" t="s">
        <v>256</v>
      </c>
      <c r="E81" s="8" t="s">
        <v>59</v>
      </c>
      <c r="F81" s="19">
        <v>321265</v>
      </c>
      <c r="G81" s="9"/>
      <c r="H81" s="7">
        <v>1</v>
      </c>
      <c r="I81" s="8">
        <v>46077</v>
      </c>
      <c r="J81" s="9">
        <v>5</v>
      </c>
      <c r="K81" s="9" t="s">
        <v>38</v>
      </c>
      <c r="L81" s="8">
        <v>46082</v>
      </c>
      <c r="M81" s="23">
        <f>YEAR(Таблица1[[#This Row],[Дата отчета]])</f>
        <v>2026</v>
      </c>
      <c r="N81" s="7"/>
      <c r="O81" s="7"/>
      <c r="P81" s="7"/>
      <c r="Q81" s="10"/>
    </row>
    <row r="82" spans="1:17" x14ac:dyDescent="0.25">
      <c r="A82" s="1" t="s">
        <v>12</v>
      </c>
      <c r="B82" s="2" t="s">
        <v>248</v>
      </c>
      <c r="C82" s="2" t="s">
        <v>257</v>
      </c>
      <c r="D82" s="2" t="s">
        <v>258</v>
      </c>
      <c r="E82" s="3" t="s">
        <v>259</v>
      </c>
      <c r="F82" s="18">
        <v>2644691.5</v>
      </c>
      <c r="G82" s="4"/>
      <c r="H82" s="2">
        <v>1</v>
      </c>
      <c r="I82" s="3">
        <v>46071</v>
      </c>
      <c r="J82" s="4">
        <v>11</v>
      </c>
      <c r="K82" s="4" t="s">
        <v>38</v>
      </c>
      <c r="L82" s="3">
        <v>46082</v>
      </c>
      <c r="M82" s="23">
        <f>YEAR(Таблица1[[#This Row],[Дата отчета]])</f>
        <v>2026</v>
      </c>
      <c r="N82" s="2"/>
      <c r="O82" s="2"/>
      <c r="P82" s="2"/>
      <c r="Q82" s="5"/>
    </row>
    <row r="83" spans="1:17" x14ac:dyDescent="0.25">
      <c r="A83" s="6" t="s">
        <v>12</v>
      </c>
      <c r="B83" s="7" t="s">
        <v>248</v>
      </c>
      <c r="C83" s="7" t="s">
        <v>260</v>
      </c>
      <c r="D83" s="7" t="s">
        <v>261</v>
      </c>
      <c r="E83" s="8" t="s">
        <v>211</v>
      </c>
      <c r="F83" s="19">
        <v>367360</v>
      </c>
      <c r="G83" s="9"/>
      <c r="H83" s="7">
        <v>1</v>
      </c>
      <c r="I83" s="8">
        <v>46056</v>
      </c>
      <c r="J83" s="9">
        <v>26</v>
      </c>
      <c r="K83" s="9" t="s">
        <v>38</v>
      </c>
      <c r="L83" s="8">
        <v>46082</v>
      </c>
      <c r="M83" s="23">
        <f>YEAR(Таблица1[[#This Row],[Дата отчета]])</f>
        <v>2026</v>
      </c>
      <c r="N83" s="7"/>
      <c r="O83" s="7"/>
      <c r="P83" s="7"/>
      <c r="Q83" s="10"/>
    </row>
    <row r="84" spans="1:17" x14ac:dyDescent="0.25">
      <c r="A84" s="1" t="s">
        <v>12</v>
      </c>
      <c r="B84" s="2" t="s">
        <v>248</v>
      </c>
      <c r="C84" s="2" t="s">
        <v>262</v>
      </c>
      <c r="D84" s="2" t="s">
        <v>263</v>
      </c>
      <c r="E84" s="3" t="s">
        <v>211</v>
      </c>
      <c r="F84" s="18">
        <v>1550000</v>
      </c>
      <c r="G84" s="4"/>
      <c r="H84" s="2">
        <v>1</v>
      </c>
      <c r="I84" s="3">
        <v>46056</v>
      </c>
      <c r="J84" s="4">
        <v>26</v>
      </c>
      <c r="K84" s="4" t="s">
        <v>38</v>
      </c>
      <c r="L84" s="3">
        <v>46082</v>
      </c>
      <c r="M84" s="23">
        <f>YEAR(Таблица1[[#This Row],[Дата отчета]])</f>
        <v>2026</v>
      </c>
      <c r="N84" s="2"/>
      <c r="O84" s="2"/>
      <c r="P84" s="2"/>
      <c r="Q84" s="5"/>
    </row>
    <row r="85" spans="1:17" x14ac:dyDescent="0.25">
      <c r="A85" s="6" t="s">
        <v>12</v>
      </c>
      <c r="B85" s="7" t="s">
        <v>248</v>
      </c>
      <c r="C85" s="7" t="s">
        <v>264</v>
      </c>
      <c r="D85" s="7" t="s">
        <v>265</v>
      </c>
      <c r="E85" s="8" t="s">
        <v>259</v>
      </c>
      <c r="F85" s="19">
        <v>6099500</v>
      </c>
      <c r="G85" s="9"/>
      <c r="H85" s="7">
        <v>1</v>
      </c>
      <c r="I85" s="8">
        <v>46071</v>
      </c>
      <c r="J85" s="9">
        <v>11</v>
      </c>
      <c r="K85" s="9" t="s">
        <v>38</v>
      </c>
      <c r="L85" s="8">
        <v>46082</v>
      </c>
      <c r="M85" s="23">
        <f>YEAR(Таблица1[[#This Row],[Дата отчета]])</f>
        <v>2026</v>
      </c>
      <c r="N85" s="7"/>
      <c r="O85" s="7"/>
      <c r="P85" s="7"/>
      <c r="Q85" s="10"/>
    </row>
    <row r="86" spans="1:17" x14ac:dyDescent="0.25">
      <c r="A86" s="1" t="s">
        <v>12</v>
      </c>
      <c r="B86" s="2" t="s">
        <v>248</v>
      </c>
      <c r="C86" s="2" t="s">
        <v>266</v>
      </c>
      <c r="D86" s="2" t="s">
        <v>267</v>
      </c>
      <c r="E86" s="3" t="s">
        <v>259</v>
      </c>
      <c r="F86" s="18">
        <v>3431200</v>
      </c>
      <c r="G86" s="4"/>
      <c r="H86" s="2">
        <v>1</v>
      </c>
      <c r="I86" s="3">
        <v>46071</v>
      </c>
      <c r="J86" s="4">
        <v>11</v>
      </c>
      <c r="K86" s="4" t="s">
        <v>38</v>
      </c>
      <c r="L86" s="3">
        <v>46082</v>
      </c>
      <c r="M86" s="23">
        <f>YEAR(Таблица1[[#This Row],[Дата отчета]])</f>
        <v>2026</v>
      </c>
      <c r="N86" s="2"/>
      <c r="O86" s="2"/>
      <c r="P86" s="2"/>
      <c r="Q86" s="5"/>
    </row>
    <row r="87" spans="1:17" x14ac:dyDescent="0.25">
      <c r="A87" s="6" t="s">
        <v>12</v>
      </c>
      <c r="B87" s="7" t="s">
        <v>268</v>
      </c>
      <c r="C87" s="7" t="s">
        <v>269</v>
      </c>
      <c r="D87" s="7" t="s">
        <v>270</v>
      </c>
      <c r="E87" s="8" t="s">
        <v>127</v>
      </c>
      <c r="F87" s="19">
        <v>130500</v>
      </c>
      <c r="G87" s="9"/>
      <c r="H87" s="7">
        <v>1</v>
      </c>
      <c r="I87" s="8">
        <v>46037</v>
      </c>
      <c r="J87" s="9">
        <v>45</v>
      </c>
      <c r="K87" s="9" t="s">
        <v>27</v>
      </c>
      <c r="L87" s="8">
        <v>46082</v>
      </c>
      <c r="M87" s="23">
        <f>YEAR(Таблица1[[#This Row],[Дата отчета]])</f>
        <v>2026</v>
      </c>
      <c r="N87" s="7"/>
      <c r="O87" s="7"/>
      <c r="P87" s="7"/>
      <c r="Q87" s="10"/>
    </row>
    <row r="88" spans="1:17" x14ac:dyDescent="0.25">
      <c r="A88" s="1" t="s">
        <v>12</v>
      </c>
      <c r="B88" s="2" t="s">
        <v>271</v>
      </c>
      <c r="C88" s="2" t="s">
        <v>272</v>
      </c>
      <c r="D88" s="2" t="s">
        <v>273</v>
      </c>
      <c r="E88" s="3" t="s">
        <v>37</v>
      </c>
      <c r="F88" s="18">
        <v>382630.8</v>
      </c>
      <c r="G88" s="4"/>
      <c r="H88" s="2">
        <v>1</v>
      </c>
      <c r="I88" s="3">
        <v>46066</v>
      </c>
      <c r="J88" s="4">
        <v>16</v>
      </c>
      <c r="K88" s="4" t="s">
        <v>38</v>
      </c>
      <c r="L88" s="3">
        <v>46082</v>
      </c>
      <c r="M88" s="23">
        <f>YEAR(Таблица1[[#This Row],[Дата отчета]])</f>
        <v>2026</v>
      </c>
      <c r="N88" s="2"/>
      <c r="O88" s="2"/>
      <c r="P88" s="2"/>
      <c r="Q88" s="5"/>
    </row>
    <row r="89" spans="1:17" x14ac:dyDescent="0.25">
      <c r="A89" s="6" t="s">
        <v>12</v>
      </c>
      <c r="B89" s="7" t="s">
        <v>271</v>
      </c>
      <c r="C89" s="7" t="s">
        <v>274</v>
      </c>
      <c r="D89" s="7" t="s">
        <v>275</v>
      </c>
      <c r="E89" s="8" t="s">
        <v>276</v>
      </c>
      <c r="F89" s="19">
        <v>682568</v>
      </c>
      <c r="G89" s="9"/>
      <c r="H89" s="7">
        <v>1</v>
      </c>
      <c r="I89" s="8">
        <v>45827</v>
      </c>
      <c r="J89" s="9">
        <v>255</v>
      </c>
      <c r="K89" s="9" t="s">
        <v>67</v>
      </c>
      <c r="L89" s="8">
        <v>46082</v>
      </c>
      <c r="M89" s="23">
        <f>YEAR(Таблица1[[#This Row],[Дата отчета]])</f>
        <v>2026</v>
      </c>
      <c r="N89" s="7"/>
      <c r="O89" s="7"/>
      <c r="P89" s="7"/>
      <c r="Q89" s="10"/>
    </row>
    <row r="90" spans="1:17" x14ac:dyDescent="0.25">
      <c r="A90" s="1" t="s">
        <v>12</v>
      </c>
      <c r="B90" s="2" t="s">
        <v>271</v>
      </c>
      <c r="C90" s="2" t="s">
        <v>277</v>
      </c>
      <c r="D90" s="2" t="s">
        <v>278</v>
      </c>
      <c r="E90" s="3" t="s">
        <v>37</v>
      </c>
      <c r="F90" s="18">
        <v>1926789.3</v>
      </c>
      <c r="G90" s="4"/>
      <c r="H90" s="2">
        <v>1</v>
      </c>
      <c r="I90" s="3">
        <v>46066</v>
      </c>
      <c r="J90" s="4">
        <v>16</v>
      </c>
      <c r="K90" s="4" t="s">
        <v>38</v>
      </c>
      <c r="L90" s="3">
        <v>46082</v>
      </c>
      <c r="M90" s="23">
        <f>YEAR(Таблица1[[#This Row],[Дата отчета]])</f>
        <v>2026</v>
      </c>
      <c r="N90" s="2"/>
      <c r="O90" s="2"/>
      <c r="P90" s="2"/>
      <c r="Q90" s="5"/>
    </row>
    <row r="91" spans="1:17" x14ac:dyDescent="0.25">
      <c r="A91" s="6" t="s">
        <v>12</v>
      </c>
      <c r="B91" s="7" t="s">
        <v>271</v>
      </c>
      <c r="C91" s="7" t="s">
        <v>279</v>
      </c>
      <c r="D91" s="7" t="s">
        <v>280</v>
      </c>
      <c r="E91" s="8" t="s">
        <v>281</v>
      </c>
      <c r="F91" s="19">
        <v>275291.09999999998</v>
      </c>
      <c r="G91" s="9"/>
      <c r="H91" s="7">
        <v>1</v>
      </c>
      <c r="I91" s="8">
        <v>46065</v>
      </c>
      <c r="J91" s="9">
        <v>17</v>
      </c>
      <c r="K91" s="9" t="s">
        <v>38</v>
      </c>
      <c r="L91" s="8">
        <v>46082</v>
      </c>
      <c r="M91" s="23">
        <f>YEAR(Таблица1[[#This Row],[Дата отчета]])</f>
        <v>2026</v>
      </c>
      <c r="N91" s="7"/>
      <c r="O91" s="7"/>
      <c r="P91" s="7"/>
      <c r="Q91" s="10"/>
    </row>
    <row r="92" spans="1:17" x14ac:dyDescent="0.25">
      <c r="A92" s="1" t="s">
        <v>12</v>
      </c>
      <c r="B92" s="2" t="s">
        <v>271</v>
      </c>
      <c r="C92" s="2" t="s">
        <v>282</v>
      </c>
      <c r="D92" s="2" t="s">
        <v>283</v>
      </c>
      <c r="E92" s="3" t="s">
        <v>284</v>
      </c>
      <c r="F92" s="18">
        <v>600</v>
      </c>
      <c r="G92" s="4"/>
      <c r="H92" s="2">
        <v>1</v>
      </c>
      <c r="I92" s="3">
        <v>45398</v>
      </c>
      <c r="J92" s="4">
        <v>684</v>
      </c>
      <c r="K92" s="4" t="s">
        <v>17</v>
      </c>
      <c r="L92" s="3">
        <v>46082</v>
      </c>
      <c r="M92" s="23">
        <f>YEAR(Таблица1[[#This Row],[Дата отчета]])</f>
        <v>2026</v>
      </c>
      <c r="N92" s="2"/>
      <c r="O92" s="2"/>
      <c r="P92" s="2"/>
      <c r="Q92" s="5"/>
    </row>
    <row r="93" spans="1:17" x14ac:dyDescent="0.25">
      <c r="A93" s="6" t="s">
        <v>12</v>
      </c>
      <c r="B93" s="7" t="s">
        <v>271</v>
      </c>
      <c r="C93" s="7" t="s">
        <v>285</v>
      </c>
      <c r="D93" s="7" t="s">
        <v>286</v>
      </c>
      <c r="E93" s="8" t="s">
        <v>57</v>
      </c>
      <c r="F93" s="19">
        <v>2253340.15</v>
      </c>
      <c r="G93" s="9"/>
      <c r="H93" s="7">
        <v>1</v>
      </c>
      <c r="I93" s="8">
        <v>46043</v>
      </c>
      <c r="J93" s="9">
        <v>39</v>
      </c>
      <c r="K93" s="9" t="s">
        <v>27</v>
      </c>
      <c r="L93" s="8">
        <v>46082</v>
      </c>
      <c r="M93" s="23">
        <f>YEAR(Таблица1[[#This Row],[Дата отчета]])</f>
        <v>2026</v>
      </c>
      <c r="N93" s="7"/>
      <c r="O93" s="7"/>
      <c r="P93" s="7"/>
      <c r="Q93" s="10"/>
    </row>
    <row r="94" spans="1:17" x14ac:dyDescent="0.25">
      <c r="A94" s="1" t="s">
        <v>12</v>
      </c>
      <c r="B94" s="2" t="s">
        <v>271</v>
      </c>
      <c r="C94" s="2" t="s">
        <v>287</v>
      </c>
      <c r="D94" s="2" t="s">
        <v>288</v>
      </c>
      <c r="E94" s="3" t="s">
        <v>289</v>
      </c>
      <c r="F94" s="18">
        <v>29963</v>
      </c>
      <c r="G94" s="4"/>
      <c r="H94" s="2">
        <v>1</v>
      </c>
      <c r="I94" s="3">
        <v>45716</v>
      </c>
      <c r="J94" s="4">
        <v>366</v>
      </c>
      <c r="K94" s="4" t="s">
        <v>17</v>
      </c>
      <c r="L94" s="3">
        <v>46082</v>
      </c>
      <c r="M94" s="23">
        <f>YEAR(Таблица1[[#This Row],[Дата отчета]])</f>
        <v>2026</v>
      </c>
      <c r="N94" s="2" t="s">
        <v>4538</v>
      </c>
      <c r="O94" s="2"/>
      <c r="P94" s="2"/>
      <c r="Q94" s="5"/>
    </row>
    <row r="95" spans="1:17" x14ac:dyDescent="0.25">
      <c r="A95" s="6" t="s">
        <v>12</v>
      </c>
      <c r="B95" s="7" t="s">
        <v>271</v>
      </c>
      <c r="C95" s="7" t="s">
        <v>290</v>
      </c>
      <c r="D95" s="7" t="s">
        <v>291</v>
      </c>
      <c r="E95" s="8" t="s">
        <v>292</v>
      </c>
      <c r="F95" s="19">
        <v>19600</v>
      </c>
      <c r="G95" s="9"/>
      <c r="H95" s="7">
        <v>1</v>
      </c>
      <c r="I95" s="8">
        <v>45933</v>
      </c>
      <c r="J95" s="9">
        <v>149</v>
      </c>
      <c r="K95" s="9" t="s">
        <v>22</v>
      </c>
      <c r="L95" s="8">
        <v>46082</v>
      </c>
      <c r="M95" s="23">
        <f>YEAR(Таблица1[[#This Row],[Дата отчета]])</f>
        <v>2026</v>
      </c>
      <c r="N95" s="7"/>
      <c r="O95" s="7"/>
      <c r="P95" s="7"/>
      <c r="Q95" s="10"/>
    </row>
    <row r="96" spans="1:17" x14ac:dyDescent="0.25">
      <c r="A96" s="1" t="s">
        <v>12</v>
      </c>
      <c r="B96" s="2" t="s">
        <v>293</v>
      </c>
      <c r="C96" s="2" t="s">
        <v>294</v>
      </c>
      <c r="D96" s="2" t="s">
        <v>295</v>
      </c>
      <c r="E96" s="3" t="s">
        <v>296</v>
      </c>
      <c r="F96" s="18">
        <v>132000</v>
      </c>
      <c r="G96" s="4"/>
      <c r="H96" s="2">
        <v>1</v>
      </c>
      <c r="I96" s="3">
        <v>45988</v>
      </c>
      <c r="J96" s="4">
        <v>94</v>
      </c>
      <c r="K96" s="4" t="s">
        <v>71</v>
      </c>
      <c r="L96" s="3">
        <v>46082</v>
      </c>
      <c r="M96" s="23">
        <f>YEAR(Таблица1[[#This Row],[Дата отчета]])</f>
        <v>2026</v>
      </c>
      <c r="N96" s="2"/>
      <c r="O96" s="2"/>
      <c r="P96" s="2"/>
      <c r="Q96" s="5"/>
    </row>
    <row r="97" spans="1:17" x14ac:dyDescent="0.25">
      <c r="A97" s="6" t="s">
        <v>12</v>
      </c>
      <c r="B97" s="7" t="s">
        <v>297</v>
      </c>
      <c r="C97" s="7" t="s">
        <v>298</v>
      </c>
      <c r="D97" s="7" t="s">
        <v>299</v>
      </c>
      <c r="E97" s="8" t="s">
        <v>300</v>
      </c>
      <c r="F97" s="19">
        <v>3959</v>
      </c>
      <c r="G97" s="9"/>
      <c r="H97" s="7">
        <v>1</v>
      </c>
      <c r="I97" s="8">
        <v>45449</v>
      </c>
      <c r="J97" s="9">
        <v>633</v>
      </c>
      <c r="K97" s="9" t="s">
        <v>17</v>
      </c>
      <c r="L97" s="8">
        <v>46082</v>
      </c>
      <c r="M97" s="23">
        <f>YEAR(Таблица1[[#This Row],[Дата отчета]])</f>
        <v>2026</v>
      </c>
      <c r="N97" s="7" t="s">
        <v>4547</v>
      </c>
      <c r="O97" s="7"/>
      <c r="P97" s="7"/>
      <c r="Q97" s="10"/>
    </row>
    <row r="98" spans="1:17" x14ac:dyDescent="0.25">
      <c r="A98" s="1" t="s">
        <v>12</v>
      </c>
      <c r="B98" s="2" t="s">
        <v>297</v>
      </c>
      <c r="C98" s="2" t="s">
        <v>301</v>
      </c>
      <c r="D98" s="2" t="s">
        <v>302</v>
      </c>
      <c r="E98" s="3" t="s">
        <v>303</v>
      </c>
      <c r="F98" s="18">
        <v>54211</v>
      </c>
      <c r="G98" s="4"/>
      <c r="H98" s="2">
        <v>1</v>
      </c>
      <c r="I98" s="3">
        <v>46059</v>
      </c>
      <c r="J98" s="4">
        <v>23</v>
      </c>
      <c r="K98" s="4" t="s">
        <v>38</v>
      </c>
      <c r="L98" s="3">
        <v>46082</v>
      </c>
      <c r="M98" s="23">
        <f>YEAR(Таблица1[[#This Row],[Дата отчета]])</f>
        <v>2026</v>
      </c>
      <c r="N98" s="2"/>
      <c r="O98" s="2"/>
      <c r="P98" s="2"/>
      <c r="Q98" s="5"/>
    </row>
    <row r="99" spans="1:17" x14ac:dyDescent="0.25">
      <c r="A99" s="6" t="s">
        <v>12</v>
      </c>
      <c r="B99" s="7" t="s">
        <v>297</v>
      </c>
      <c r="C99" s="7" t="s">
        <v>304</v>
      </c>
      <c r="D99" s="7" t="s">
        <v>305</v>
      </c>
      <c r="E99" s="8" t="s">
        <v>87</v>
      </c>
      <c r="F99" s="19">
        <v>53477</v>
      </c>
      <c r="G99" s="9"/>
      <c r="H99" s="7">
        <v>1</v>
      </c>
      <c r="I99" s="8">
        <v>46020</v>
      </c>
      <c r="J99" s="9">
        <v>62</v>
      </c>
      <c r="K99" s="9" t="s">
        <v>27</v>
      </c>
      <c r="L99" s="8">
        <v>46082</v>
      </c>
      <c r="M99" s="23">
        <f>YEAR(Таблица1[[#This Row],[Дата отчета]])</f>
        <v>2026</v>
      </c>
      <c r="N99" s="7"/>
      <c r="O99" s="7"/>
      <c r="P99" s="7"/>
      <c r="Q99" s="10"/>
    </row>
    <row r="100" spans="1:17" x14ac:dyDescent="0.25">
      <c r="A100" s="1" t="s">
        <v>12</v>
      </c>
      <c r="B100" s="2" t="s">
        <v>297</v>
      </c>
      <c r="C100" s="2" t="s">
        <v>306</v>
      </c>
      <c r="D100" s="2" t="s">
        <v>307</v>
      </c>
      <c r="E100" s="3" t="s">
        <v>79</v>
      </c>
      <c r="F100" s="18">
        <v>1875</v>
      </c>
      <c r="G100" s="4"/>
      <c r="H100" s="2">
        <v>1</v>
      </c>
      <c r="I100" s="3">
        <v>45980</v>
      </c>
      <c r="J100" s="4">
        <v>102</v>
      </c>
      <c r="K100" s="4" t="s">
        <v>71</v>
      </c>
      <c r="L100" s="3">
        <v>46082</v>
      </c>
      <c r="M100" s="23">
        <f>YEAR(Таблица1[[#This Row],[Дата отчета]])</f>
        <v>2026</v>
      </c>
      <c r="N100" s="2"/>
      <c r="O100" s="2"/>
      <c r="P100" s="2"/>
      <c r="Q100" s="5"/>
    </row>
    <row r="101" spans="1:17" x14ac:dyDescent="0.25">
      <c r="A101" s="6" t="s">
        <v>12</v>
      </c>
      <c r="B101" s="7" t="s">
        <v>297</v>
      </c>
      <c r="C101" s="7" t="s">
        <v>308</v>
      </c>
      <c r="D101" s="7" t="s">
        <v>309</v>
      </c>
      <c r="E101" s="8" t="s">
        <v>296</v>
      </c>
      <c r="F101" s="19">
        <v>13926</v>
      </c>
      <c r="G101" s="9"/>
      <c r="H101" s="7">
        <v>1</v>
      </c>
      <c r="I101" s="8">
        <v>45988</v>
      </c>
      <c r="J101" s="9">
        <v>94</v>
      </c>
      <c r="K101" s="9" t="s">
        <v>71</v>
      </c>
      <c r="L101" s="8">
        <v>46082</v>
      </c>
      <c r="M101" s="23">
        <f>YEAR(Таблица1[[#This Row],[Дата отчета]])</f>
        <v>2026</v>
      </c>
      <c r="N101" s="7"/>
      <c r="O101" s="7"/>
      <c r="P101" s="7"/>
      <c r="Q101" s="10"/>
    </row>
    <row r="102" spans="1:17" x14ac:dyDescent="0.25">
      <c r="A102" s="1" t="s">
        <v>12</v>
      </c>
      <c r="B102" s="2" t="s">
        <v>297</v>
      </c>
      <c r="C102" s="2" t="s">
        <v>310</v>
      </c>
      <c r="D102" s="2" t="s">
        <v>311</v>
      </c>
      <c r="E102" s="3" t="s">
        <v>312</v>
      </c>
      <c r="F102" s="18">
        <v>98480</v>
      </c>
      <c r="G102" s="4"/>
      <c r="H102" s="2">
        <v>1</v>
      </c>
      <c r="I102" s="3">
        <v>45960</v>
      </c>
      <c r="J102" s="4">
        <v>122</v>
      </c>
      <c r="K102" s="4" t="s">
        <v>22</v>
      </c>
      <c r="L102" s="3">
        <v>46082</v>
      </c>
      <c r="M102" s="23">
        <f>YEAR(Таблица1[[#This Row],[Дата отчета]])</f>
        <v>2026</v>
      </c>
      <c r="N102" s="2"/>
      <c r="O102" s="2"/>
      <c r="P102" s="2"/>
      <c r="Q102" s="5"/>
    </row>
    <row r="103" spans="1:17" x14ac:dyDescent="0.25">
      <c r="A103" s="6" t="s">
        <v>12</v>
      </c>
      <c r="B103" s="7" t="s">
        <v>297</v>
      </c>
      <c r="C103" s="7" t="s">
        <v>313</v>
      </c>
      <c r="D103" s="7" t="s">
        <v>314</v>
      </c>
      <c r="E103" s="8" t="s">
        <v>315</v>
      </c>
      <c r="F103" s="19">
        <v>39046</v>
      </c>
      <c r="G103" s="9"/>
      <c r="H103" s="7">
        <v>1</v>
      </c>
      <c r="I103" s="8">
        <v>45891</v>
      </c>
      <c r="J103" s="9">
        <v>191</v>
      </c>
      <c r="K103" s="9" t="s">
        <v>67</v>
      </c>
      <c r="L103" s="8">
        <v>46082</v>
      </c>
      <c r="M103" s="23">
        <f>YEAR(Таблица1[[#This Row],[Дата отчета]])</f>
        <v>2026</v>
      </c>
      <c r="N103" s="7"/>
      <c r="O103" s="7"/>
      <c r="P103" s="7"/>
      <c r="Q103" s="10"/>
    </row>
    <row r="104" spans="1:17" x14ac:dyDescent="0.25">
      <c r="A104" s="1" t="s">
        <v>12</v>
      </c>
      <c r="B104" s="2" t="s">
        <v>297</v>
      </c>
      <c r="C104" s="2" t="s">
        <v>316</v>
      </c>
      <c r="D104" s="2" t="s">
        <v>317</v>
      </c>
      <c r="E104" s="3" t="s">
        <v>318</v>
      </c>
      <c r="F104" s="18">
        <v>780</v>
      </c>
      <c r="G104" s="4"/>
      <c r="H104" s="2">
        <v>1</v>
      </c>
      <c r="I104" s="3">
        <v>45845</v>
      </c>
      <c r="J104" s="4">
        <v>237</v>
      </c>
      <c r="K104" s="4" t="s">
        <v>67</v>
      </c>
      <c r="L104" s="3">
        <v>46082</v>
      </c>
      <c r="M104" s="23">
        <f>YEAR(Таблица1[[#This Row],[Дата отчета]])</f>
        <v>2026</v>
      </c>
      <c r="N104" s="2"/>
      <c r="O104" s="2"/>
      <c r="P104" s="2"/>
      <c r="Q104" s="5"/>
    </row>
    <row r="105" spans="1:17" x14ac:dyDescent="0.25">
      <c r="A105" s="6" t="s">
        <v>12</v>
      </c>
      <c r="B105" s="7" t="s">
        <v>297</v>
      </c>
      <c r="C105" s="7" t="s">
        <v>319</v>
      </c>
      <c r="D105" s="7" t="s">
        <v>320</v>
      </c>
      <c r="E105" s="8" t="s">
        <v>321</v>
      </c>
      <c r="F105" s="19">
        <v>2154</v>
      </c>
      <c r="G105" s="9"/>
      <c r="H105" s="7">
        <v>1</v>
      </c>
      <c r="I105" s="8">
        <v>45880</v>
      </c>
      <c r="J105" s="9">
        <v>202</v>
      </c>
      <c r="K105" s="9" t="s">
        <v>67</v>
      </c>
      <c r="L105" s="8">
        <v>46082</v>
      </c>
      <c r="M105" s="23">
        <f>YEAR(Таблица1[[#This Row],[Дата отчета]])</f>
        <v>2026</v>
      </c>
      <c r="N105" s="7"/>
      <c r="O105" s="7"/>
      <c r="P105" s="7"/>
      <c r="Q105" s="10"/>
    </row>
    <row r="106" spans="1:17" x14ac:dyDescent="0.25">
      <c r="A106" s="1" t="s">
        <v>12</v>
      </c>
      <c r="B106" s="2" t="s">
        <v>297</v>
      </c>
      <c r="C106" s="2" t="s">
        <v>322</v>
      </c>
      <c r="D106" s="2" t="s">
        <v>323</v>
      </c>
      <c r="E106" s="3" t="s">
        <v>79</v>
      </c>
      <c r="F106" s="18">
        <v>1948</v>
      </c>
      <c r="G106" s="4"/>
      <c r="H106" s="2">
        <v>1</v>
      </c>
      <c r="I106" s="3">
        <v>45980</v>
      </c>
      <c r="J106" s="4">
        <v>102</v>
      </c>
      <c r="K106" s="4" t="s">
        <v>71</v>
      </c>
      <c r="L106" s="3">
        <v>46082</v>
      </c>
      <c r="M106" s="23">
        <f>YEAR(Таблица1[[#This Row],[Дата отчета]])</f>
        <v>2026</v>
      </c>
      <c r="N106" s="2"/>
      <c r="O106" s="2"/>
      <c r="P106" s="2"/>
      <c r="Q106" s="5"/>
    </row>
    <row r="107" spans="1:17" x14ac:dyDescent="0.25">
      <c r="A107" s="6" t="s">
        <v>12</v>
      </c>
      <c r="B107" s="7" t="s">
        <v>297</v>
      </c>
      <c r="C107" s="7" t="s">
        <v>324</v>
      </c>
      <c r="D107" s="7" t="s">
        <v>325</v>
      </c>
      <c r="E107" s="8" t="s">
        <v>51</v>
      </c>
      <c r="F107" s="19">
        <v>3247</v>
      </c>
      <c r="G107" s="9"/>
      <c r="H107" s="7">
        <v>1</v>
      </c>
      <c r="I107" s="8">
        <v>45939</v>
      </c>
      <c r="J107" s="9">
        <v>143</v>
      </c>
      <c r="K107" s="9" t="s">
        <v>22</v>
      </c>
      <c r="L107" s="8">
        <v>46082</v>
      </c>
      <c r="M107" s="23">
        <f>YEAR(Таблица1[[#This Row],[Дата отчета]])</f>
        <v>2026</v>
      </c>
      <c r="N107" s="7"/>
      <c r="O107" s="7"/>
      <c r="P107" s="7"/>
      <c r="Q107" s="10"/>
    </row>
    <row r="108" spans="1:17" x14ac:dyDescent="0.25">
      <c r="A108" s="1" t="s">
        <v>12</v>
      </c>
      <c r="B108" s="2" t="s">
        <v>297</v>
      </c>
      <c r="C108" s="2" t="s">
        <v>326</v>
      </c>
      <c r="D108" s="2" t="s">
        <v>327</v>
      </c>
      <c r="E108" s="3" t="s">
        <v>51</v>
      </c>
      <c r="F108" s="18">
        <v>12093</v>
      </c>
      <c r="G108" s="4"/>
      <c r="H108" s="2">
        <v>1</v>
      </c>
      <c r="I108" s="3">
        <v>45939</v>
      </c>
      <c r="J108" s="4">
        <v>143</v>
      </c>
      <c r="K108" s="4" t="s">
        <v>22</v>
      </c>
      <c r="L108" s="3">
        <v>46082</v>
      </c>
      <c r="M108" s="23">
        <f>YEAR(Таблица1[[#This Row],[Дата отчета]])</f>
        <v>2026</v>
      </c>
      <c r="N108" s="2"/>
      <c r="O108" s="2"/>
      <c r="P108" s="2"/>
      <c r="Q108" s="5"/>
    </row>
    <row r="109" spans="1:17" x14ac:dyDescent="0.25">
      <c r="A109" s="6" t="s">
        <v>12</v>
      </c>
      <c r="B109" s="7" t="s">
        <v>297</v>
      </c>
      <c r="C109" s="7" t="s">
        <v>328</v>
      </c>
      <c r="D109" s="7" t="s">
        <v>329</v>
      </c>
      <c r="E109" s="8" t="s">
        <v>292</v>
      </c>
      <c r="F109" s="19">
        <v>113416</v>
      </c>
      <c r="G109" s="9"/>
      <c r="H109" s="7">
        <v>1</v>
      </c>
      <c r="I109" s="8">
        <v>45933</v>
      </c>
      <c r="J109" s="9">
        <v>149</v>
      </c>
      <c r="K109" s="9" t="s">
        <v>22</v>
      </c>
      <c r="L109" s="8">
        <v>46082</v>
      </c>
      <c r="M109" s="23">
        <f>YEAR(Таблица1[[#This Row],[Дата отчета]])</f>
        <v>2026</v>
      </c>
      <c r="N109" s="7"/>
      <c r="O109" s="7"/>
      <c r="P109" s="7"/>
      <c r="Q109" s="10"/>
    </row>
    <row r="110" spans="1:17" x14ac:dyDescent="0.25">
      <c r="A110" s="1" t="s">
        <v>12</v>
      </c>
      <c r="B110" s="2" t="s">
        <v>297</v>
      </c>
      <c r="C110" s="2" t="s">
        <v>330</v>
      </c>
      <c r="D110" s="2" t="s">
        <v>331</v>
      </c>
      <c r="E110" s="3" t="s">
        <v>332</v>
      </c>
      <c r="F110" s="18">
        <v>279</v>
      </c>
      <c r="G110" s="4"/>
      <c r="H110" s="2">
        <v>1</v>
      </c>
      <c r="I110" s="3">
        <v>45936</v>
      </c>
      <c r="J110" s="4">
        <v>146</v>
      </c>
      <c r="K110" s="4" t="s">
        <v>22</v>
      </c>
      <c r="L110" s="3">
        <v>46082</v>
      </c>
      <c r="M110" s="23">
        <f>YEAR(Таблица1[[#This Row],[Дата отчета]])</f>
        <v>2026</v>
      </c>
      <c r="N110" s="2"/>
      <c r="O110" s="2"/>
      <c r="P110" s="2"/>
      <c r="Q110" s="5"/>
    </row>
    <row r="111" spans="1:17" x14ac:dyDescent="0.25">
      <c r="A111" s="6" t="s">
        <v>12</v>
      </c>
      <c r="B111" s="7" t="s">
        <v>297</v>
      </c>
      <c r="C111" s="7" t="s">
        <v>333</v>
      </c>
      <c r="D111" s="7" t="s">
        <v>334</v>
      </c>
      <c r="E111" s="8" t="s">
        <v>31</v>
      </c>
      <c r="F111" s="19">
        <v>930</v>
      </c>
      <c r="G111" s="9"/>
      <c r="H111" s="7">
        <v>1</v>
      </c>
      <c r="I111" s="8">
        <v>46015</v>
      </c>
      <c r="J111" s="9">
        <v>67</v>
      </c>
      <c r="K111" s="9" t="s">
        <v>27</v>
      </c>
      <c r="L111" s="8">
        <v>46082</v>
      </c>
      <c r="M111" s="23">
        <f>YEAR(Таблица1[[#This Row],[Дата отчета]])</f>
        <v>2026</v>
      </c>
      <c r="N111" s="7"/>
      <c r="O111" s="7"/>
      <c r="P111" s="7"/>
      <c r="Q111" s="10"/>
    </row>
    <row r="112" spans="1:17" x14ac:dyDescent="0.25">
      <c r="A112" s="1" t="s">
        <v>12</v>
      </c>
      <c r="B112" s="2" t="s">
        <v>297</v>
      </c>
      <c r="C112" s="2" t="s">
        <v>335</v>
      </c>
      <c r="D112" s="2" t="s">
        <v>336</v>
      </c>
      <c r="E112" s="3" t="s">
        <v>31</v>
      </c>
      <c r="F112" s="18">
        <v>930</v>
      </c>
      <c r="G112" s="4"/>
      <c r="H112" s="2">
        <v>1</v>
      </c>
      <c r="I112" s="3">
        <v>46015</v>
      </c>
      <c r="J112" s="4">
        <v>67</v>
      </c>
      <c r="K112" s="4" t="s">
        <v>27</v>
      </c>
      <c r="L112" s="3">
        <v>46082</v>
      </c>
      <c r="M112" s="23">
        <f>YEAR(Таблица1[[#This Row],[Дата отчета]])</f>
        <v>2026</v>
      </c>
      <c r="N112" s="2"/>
      <c r="O112" s="2"/>
      <c r="P112" s="2"/>
      <c r="Q112" s="5"/>
    </row>
    <row r="113" spans="1:17" x14ac:dyDescent="0.25">
      <c r="A113" s="6" t="s">
        <v>12</v>
      </c>
      <c r="B113" s="7" t="s">
        <v>297</v>
      </c>
      <c r="C113" s="7" t="s">
        <v>337</v>
      </c>
      <c r="D113" s="7" t="s">
        <v>338</v>
      </c>
      <c r="E113" s="8" t="s">
        <v>339</v>
      </c>
      <c r="F113" s="19">
        <v>1140</v>
      </c>
      <c r="G113" s="9"/>
      <c r="H113" s="7">
        <v>1</v>
      </c>
      <c r="I113" s="8">
        <v>45867</v>
      </c>
      <c r="J113" s="9">
        <v>215</v>
      </c>
      <c r="K113" s="9" t="s">
        <v>67</v>
      </c>
      <c r="L113" s="8">
        <v>46082</v>
      </c>
      <c r="M113" s="23">
        <f>YEAR(Таблица1[[#This Row],[Дата отчета]])</f>
        <v>2026</v>
      </c>
      <c r="N113" s="7"/>
      <c r="O113" s="7"/>
      <c r="P113" s="7"/>
      <c r="Q113" s="10"/>
    </row>
    <row r="114" spans="1:17" x14ac:dyDescent="0.25">
      <c r="A114" s="1" t="s">
        <v>12</v>
      </c>
      <c r="B114" s="2" t="s">
        <v>297</v>
      </c>
      <c r="C114" s="2" t="s">
        <v>340</v>
      </c>
      <c r="D114" s="2" t="s">
        <v>341</v>
      </c>
      <c r="E114" s="3" t="s">
        <v>342</v>
      </c>
      <c r="F114" s="18">
        <v>14870</v>
      </c>
      <c r="G114" s="4"/>
      <c r="H114" s="2">
        <v>1</v>
      </c>
      <c r="I114" s="3">
        <v>45959</v>
      </c>
      <c r="J114" s="4">
        <v>123</v>
      </c>
      <c r="K114" s="4" t="s">
        <v>22</v>
      </c>
      <c r="L114" s="3">
        <v>46082</v>
      </c>
      <c r="M114" s="23">
        <f>YEAR(Таблица1[[#This Row],[Дата отчета]])</f>
        <v>2026</v>
      </c>
      <c r="N114" s="2"/>
      <c r="O114" s="2"/>
      <c r="P114" s="2"/>
      <c r="Q114" s="5"/>
    </row>
    <row r="115" spans="1:17" x14ac:dyDescent="0.25">
      <c r="A115" s="6" t="s">
        <v>12</v>
      </c>
      <c r="B115" s="7" t="s">
        <v>297</v>
      </c>
      <c r="C115" s="7" t="s">
        <v>343</v>
      </c>
      <c r="D115" s="7" t="s">
        <v>344</v>
      </c>
      <c r="E115" s="8" t="s">
        <v>345</v>
      </c>
      <c r="F115" s="19">
        <v>1310</v>
      </c>
      <c r="G115" s="9"/>
      <c r="H115" s="7">
        <v>1</v>
      </c>
      <c r="I115" s="8">
        <v>45919</v>
      </c>
      <c r="J115" s="9">
        <v>163</v>
      </c>
      <c r="K115" s="9" t="s">
        <v>22</v>
      </c>
      <c r="L115" s="8">
        <v>46082</v>
      </c>
      <c r="M115" s="23">
        <f>YEAR(Таблица1[[#This Row],[Дата отчета]])</f>
        <v>2026</v>
      </c>
      <c r="N115" s="7"/>
      <c r="O115" s="7"/>
      <c r="P115" s="7"/>
      <c r="Q115" s="10"/>
    </row>
    <row r="116" spans="1:17" x14ac:dyDescent="0.25">
      <c r="A116" s="1" t="s">
        <v>12</v>
      </c>
      <c r="B116" s="2" t="s">
        <v>297</v>
      </c>
      <c r="C116" s="2" t="s">
        <v>346</v>
      </c>
      <c r="D116" s="2" t="s">
        <v>347</v>
      </c>
      <c r="E116" s="3" t="s">
        <v>51</v>
      </c>
      <c r="F116" s="18">
        <v>21872</v>
      </c>
      <c r="G116" s="4"/>
      <c r="H116" s="2">
        <v>1</v>
      </c>
      <c r="I116" s="3">
        <v>45939</v>
      </c>
      <c r="J116" s="4">
        <v>143</v>
      </c>
      <c r="K116" s="4" t="s">
        <v>22</v>
      </c>
      <c r="L116" s="3">
        <v>46082</v>
      </c>
      <c r="M116" s="23">
        <f>YEAR(Таблица1[[#This Row],[Дата отчета]])</f>
        <v>2026</v>
      </c>
      <c r="N116" s="2"/>
      <c r="O116" s="2"/>
      <c r="P116" s="2"/>
      <c r="Q116" s="5"/>
    </row>
    <row r="117" spans="1:17" x14ac:dyDescent="0.25">
      <c r="A117" s="6" t="s">
        <v>12</v>
      </c>
      <c r="B117" s="7" t="s">
        <v>297</v>
      </c>
      <c r="C117" s="7" t="s">
        <v>348</v>
      </c>
      <c r="D117" s="7" t="s">
        <v>349</v>
      </c>
      <c r="E117" s="8" t="s">
        <v>350</v>
      </c>
      <c r="F117" s="19">
        <v>4221</v>
      </c>
      <c r="G117" s="9"/>
      <c r="H117" s="7">
        <v>1</v>
      </c>
      <c r="I117" s="8">
        <v>46057</v>
      </c>
      <c r="J117" s="9">
        <v>25</v>
      </c>
      <c r="K117" s="9" t="s">
        <v>38</v>
      </c>
      <c r="L117" s="8">
        <v>46082</v>
      </c>
      <c r="M117" s="23">
        <f>YEAR(Таблица1[[#This Row],[Дата отчета]])</f>
        <v>2026</v>
      </c>
      <c r="N117" s="7"/>
      <c r="O117" s="7"/>
      <c r="P117" s="7"/>
      <c r="Q117" s="10"/>
    </row>
    <row r="118" spans="1:17" x14ac:dyDescent="0.25">
      <c r="A118" s="1" t="s">
        <v>12</v>
      </c>
      <c r="B118" s="2" t="s">
        <v>297</v>
      </c>
      <c r="C118" s="2" t="s">
        <v>351</v>
      </c>
      <c r="D118" s="2" t="s">
        <v>352</v>
      </c>
      <c r="E118" s="3" t="s">
        <v>353</v>
      </c>
      <c r="F118" s="18">
        <v>2373</v>
      </c>
      <c r="G118" s="4"/>
      <c r="H118" s="2">
        <v>1</v>
      </c>
      <c r="I118" s="3">
        <v>45957</v>
      </c>
      <c r="J118" s="4">
        <v>125</v>
      </c>
      <c r="K118" s="4" t="s">
        <v>22</v>
      </c>
      <c r="L118" s="3">
        <v>46082</v>
      </c>
      <c r="M118" s="23">
        <f>YEAR(Таблица1[[#This Row],[Дата отчета]])</f>
        <v>2026</v>
      </c>
      <c r="N118" s="2"/>
      <c r="O118" s="2"/>
      <c r="P118" s="2"/>
      <c r="Q118" s="5"/>
    </row>
    <row r="119" spans="1:17" x14ac:dyDescent="0.25">
      <c r="A119" s="6" t="s">
        <v>12</v>
      </c>
      <c r="B119" s="7" t="s">
        <v>297</v>
      </c>
      <c r="C119" s="7" t="s">
        <v>354</v>
      </c>
      <c r="D119" s="7" t="s">
        <v>355</v>
      </c>
      <c r="E119" s="8" t="s">
        <v>31</v>
      </c>
      <c r="F119" s="19">
        <v>943</v>
      </c>
      <c r="G119" s="9"/>
      <c r="H119" s="7">
        <v>1</v>
      </c>
      <c r="I119" s="8">
        <v>46015</v>
      </c>
      <c r="J119" s="9">
        <v>67</v>
      </c>
      <c r="K119" s="9" t="s">
        <v>27</v>
      </c>
      <c r="L119" s="8">
        <v>46082</v>
      </c>
      <c r="M119" s="23">
        <f>YEAR(Таблица1[[#This Row],[Дата отчета]])</f>
        <v>2026</v>
      </c>
      <c r="N119" s="7"/>
      <c r="O119" s="7"/>
      <c r="P119" s="7"/>
      <c r="Q119" s="10"/>
    </row>
    <row r="120" spans="1:17" x14ac:dyDescent="0.25">
      <c r="A120" s="1" t="s">
        <v>12</v>
      </c>
      <c r="B120" s="2" t="s">
        <v>297</v>
      </c>
      <c r="C120" s="2" t="s">
        <v>356</v>
      </c>
      <c r="D120" s="2" t="s">
        <v>357</v>
      </c>
      <c r="E120" s="3" t="s">
        <v>51</v>
      </c>
      <c r="F120" s="18">
        <v>279</v>
      </c>
      <c r="G120" s="4"/>
      <c r="H120" s="2">
        <v>1</v>
      </c>
      <c r="I120" s="3">
        <v>45939</v>
      </c>
      <c r="J120" s="4">
        <v>143</v>
      </c>
      <c r="K120" s="4" t="s">
        <v>22</v>
      </c>
      <c r="L120" s="3">
        <v>46082</v>
      </c>
      <c r="M120" s="23">
        <f>YEAR(Таблица1[[#This Row],[Дата отчета]])</f>
        <v>2026</v>
      </c>
      <c r="N120" s="2"/>
      <c r="O120" s="2"/>
      <c r="P120" s="2"/>
      <c r="Q120" s="5"/>
    </row>
    <row r="121" spans="1:17" x14ac:dyDescent="0.25">
      <c r="A121" s="6" t="s">
        <v>12</v>
      </c>
      <c r="B121" s="7" t="s">
        <v>297</v>
      </c>
      <c r="C121" s="7" t="s">
        <v>358</v>
      </c>
      <c r="D121" s="7" t="s">
        <v>359</v>
      </c>
      <c r="E121" s="8" t="s">
        <v>360</v>
      </c>
      <c r="F121" s="19">
        <v>13750</v>
      </c>
      <c r="G121" s="9"/>
      <c r="H121" s="7">
        <v>1</v>
      </c>
      <c r="I121" s="8">
        <v>46058</v>
      </c>
      <c r="J121" s="9">
        <v>24</v>
      </c>
      <c r="K121" s="9" t="s">
        <v>38</v>
      </c>
      <c r="L121" s="8">
        <v>46082</v>
      </c>
      <c r="M121" s="23">
        <f>YEAR(Таблица1[[#This Row],[Дата отчета]])</f>
        <v>2026</v>
      </c>
      <c r="N121" s="7"/>
      <c r="O121" s="7"/>
      <c r="P121" s="7"/>
      <c r="Q121" s="10"/>
    </row>
    <row r="122" spans="1:17" x14ac:dyDescent="0.25">
      <c r="A122" s="1" t="s">
        <v>12</v>
      </c>
      <c r="B122" s="2" t="s">
        <v>297</v>
      </c>
      <c r="C122" s="2" t="s">
        <v>361</v>
      </c>
      <c r="D122" s="2" t="s">
        <v>362</v>
      </c>
      <c r="E122" s="3" t="s">
        <v>165</v>
      </c>
      <c r="F122" s="18">
        <v>107310</v>
      </c>
      <c r="G122" s="4"/>
      <c r="H122" s="2">
        <v>1</v>
      </c>
      <c r="I122" s="3">
        <v>46073</v>
      </c>
      <c r="J122" s="4">
        <v>9</v>
      </c>
      <c r="K122" s="4" t="s">
        <v>38</v>
      </c>
      <c r="L122" s="3">
        <v>46082</v>
      </c>
      <c r="M122" s="23">
        <f>YEAR(Таблица1[[#This Row],[Дата отчета]])</f>
        <v>2026</v>
      </c>
      <c r="N122" s="2"/>
      <c r="O122" s="2"/>
      <c r="P122" s="2"/>
      <c r="Q122" s="5"/>
    </row>
    <row r="123" spans="1:17" x14ac:dyDescent="0.25">
      <c r="A123" s="6" t="s">
        <v>12</v>
      </c>
      <c r="B123" s="7" t="s">
        <v>297</v>
      </c>
      <c r="C123" s="7" t="s">
        <v>363</v>
      </c>
      <c r="D123" s="7" t="s">
        <v>364</v>
      </c>
      <c r="E123" s="8" t="s">
        <v>365</v>
      </c>
      <c r="F123" s="19">
        <v>11763</v>
      </c>
      <c r="G123" s="9"/>
      <c r="H123" s="7">
        <v>1</v>
      </c>
      <c r="I123" s="8">
        <v>46062</v>
      </c>
      <c r="J123" s="9">
        <v>20</v>
      </c>
      <c r="K123" s="9" t="s">
        <v>38</v>
      </c>
      <c r="L123" s="8">
        <v>46082</v>
      </c>
      <c r="M123" s="23">
        <f>YEAR(Таблица1[[#This Row],[Дата отчета]])</f>
        <v>2026</v>
      </c>
      <c r="N123" s="7"/>
      <c r="O123" s="7"/>
      <c r="P123" s="7"/>
      <c r="Q123" s="10"/>
    </row>
    <row r="124" spans="1:17" x14ac:dyDescent="0.25">
      <c r="A124" s="1" t="s">
        <v>12</v>
      </c>
      <c r="B124" s="2" t="s">
        <v>297</v>
      </c>
      <c r="C124" s="2" t="s">
        <v>366</v>
      </c>
      <c r="D124" s="2" t="s">
        <v>367</v>
      </c>
      <c r="E124" s="3" t="s">
        <v>48</v>
      </c>
      <c r="F124" s="18">
        <v>14331</v>
      </c>
      <c r="G124" s="4"/>
      <c r="H124" s="2">
        <v>1</v>
      </c>
      <c r="I124" s="3">
        <v>46078</v>
      </c>
      <c r="J124" s="4">
        <v>4</v>
      </c>
      <c r="K124" s="4" t="s">
        <v>38</v>
      </c>
      <c r="L124" s="3">
        <v>46082</v>
      </c>
      <c r="M124" s="23">
        <f>YEAR(Таблица1[[#This Row],[Дата отчета]])</f>
        <v>2026</v>
      </c>
      <c r="N124" s="2"/>
      <c r="O124" s="2"/>
      <c r="P124" s="2"/>
      <c r="Q124" s="5"/>
    </row>
    <row r="125" spans="1:17" x14ac:dyDescent="0.25">
      <c r="A125" s="6" t="s">
        <v>12</v>
      </c>
      <c r="B125" s="7" t="s">
        <v>297</v>
      </c>
      <c r="C125" s="7" t="s">
        <v>368</v>
      </c>
      <c r="D125" s="7" t="s">
        <v>369</v>
      </c>
      <c r="E125" s="8" t="s">
        <v>37</v>
      </c>
      <c r="F125" s="19">
        <v>47892</v>
      </c>
      <c r="G125" s="9"/>
      <c r="H125" s="7">
        <v>1</v>
      </c>
      <c r="I125" s="8">
        <v>46066</v>
      </c>
      <c r="J125" s="9">
        <v>16</v>
      </c>
      <c r="K125" s="9" t="s">
        <v>38</v>
      </c>
      <c r="L125" s="8">
        <v>46082</v>
      </c>
      <c r="M125" s="23">
        <f>YEAR(Таблица1[[#This Row],[Дата отчета]])</f>
        <v>2026</v>
      </c>
      <c r="N125" s="7"/>
      <c r="O125" s="7"/>
      <c r="P125" s="7"/>
      <c r="Q125" s="10"/>
    </row>
    <row r="126" spans="1:17" x14ac:dyDescent="0.25">
      <c r="A126" s="1" t="s">
        <v>12</v>
      </c>
      <c r="B126" s="2" t="s">
        <v>297</v>
      </c>
      <c r="C126" s="2" t="s">
        <v>370</v>
      </c>
      <c r="D126" s="2" t="s">
        <v>371</v>
      </c>
      <c r="E126" s="3" t="s">
        <v>169</v>
      </c>
      <c r="F126" s="18">
        <v>105441</v>
      </c>
      <c r="G126" s="4"/>
      <c r="H126" s="2">
        <v>1</v>
      </c>
      <c r="I126" s="3">
        <v>46050</v>
      </c>
      <c r="J126" s="4">
        <v>32</v>
      </c>
      <c r="K126" s="4" t="s">
        <v>27</v>
      </c>
      <c r="L126" s="3">
        <v>46082</v>
      </c>
      <c r="M126" s="23">
        <f>YEAR(Таблица1[[#This Row],[Дата отчета]])</f>
        <v>2026</v>
      </c>
      <c r="N126" s="2"/>
      <c r="O126" s="2"/>
      <c r="P126" s="2"/>
      <c r="Q126" s="5"/>
    </row>
    <row r="127" spans="1:17" x14ac:dyDescent="0.25">
      <c r="A127" s="6" t="s">
        <v>12</v>
      </c>
      <c r="B127" s="7" t="s">
        <v>297</v>
      </c>
      <c r="C127" s="7" t="s">
        <v>372</v>
      </c>
      <c r="D127" s="7" t="s">
        <v>373</v>
      </c>
      <c r="E127" s="8" t="s">
        <v>350</v>
      </c>
      <c r="F127" s="19">
        <v>86425</v>
      </c>
      <c r="G127" s="9"/>
      <c r="H127" s="7">
        <v>1</v>
      </c>
      <c r="I127" s="8">
        <v>46057</v>
      </c>
      <c r="J127" s="9">
        <v>25</v>
      </c>
      <c r="K127" s="9" t="s">
        <v>38</v>
      </c>
      <c r="L127" s="8">
        <v>46082</v>
      </c>
      <c r="M127" s="23">
        <f>YEAR(Таблица1[[#This Row],[Дата отчета]])</f>
        <v>2026</v>
      </c>
      <c r="N127" s="7"/>
      <c r="O127" s="7"/>
      <c r="P127" s="7"/>
      <c r="Q127" s="10"/>
    </row>
    <row r="128" spans="1:17" x14ac:dyDescent="0.25">
      <c r="A128" s="1" t="s">
        <v>12</v>
      </c>
      <c r="B128" s="2" t="s">
        <v>297</v>
      </c>
      <c r="C128" s="2" t="s">
        <v>374</v>
      </c>
      <c r="D128" s="2" t="s">
        <v>375</v>
      </c>
      <c r="E128" s="3" t="s">
        <v>35</v>
      </c>
      <c r="F128" s="18">
        <v>33606</v>
      </c>
      <c r="G128" s="4"/>
      <c r="H128" s="2">
        <v>1</v>
      </c>
      <c r="I128" s="3">
        <v>46036</v>
      </c>
      <c r="J128" s="4">
        <v>46</v>
      </c>
      <c r="K128" s="4" t="s">
        <v>27</v>
      </c>
      <c r="L128" s="3">
        <v>46082</v>
      </c>
      <c r="M128" s="23">
        <f>YEAR(Таблица1[[#This Row],[Дата отчета]])</f>
        <v>2026</v>
      </c>
      <c r="N128" s="2"/>
      <c r="O128" s="2"/>
      <c r="P128" s="2"/>
      <c r="Q128" s="5"/>
    </row>
    <row r="129" spans="1:17" x14ac:dyDescent="0.25">
      <c r="A129" s="6" t="s">
        <v>12</v>
      </c>
      <c r="B129" s="7" t="s">
        <v>297</v>
      </c>
      <c r="C129" s="7" t="s">
        <v>376</v>
      </c>
      <c r="D129" s="7" t="s">
        <v>377</v>
      </c>
      <c r="E129" s="8" t="s">
        <v>127</v>
      </c>
      <c r="F129" s="19">
        <v>1331</v>
      </c>
      <c r="G129" s="9"/>
      <c r="H129" s="7">
        <v>1</v>
      </c>
      <c r="I129" s="8">
        <v>46037</v>
      </c>
      <c r="J129" s="9">
        <v>45</v>
      </c>
      <c r="K129" s="9" t="s">
        <v>27</v>
      </c>
      <c r="L129" s="8">
        <v>46082</v>
      </c>
      <c r="M129" s="23">
        <f>YEAR(Таблица1[[#This Row],[Дата отчета]])</f>
        <v>2026</v>
      </c>
      <c r="N129" s="7"/>
      <c r="O129" s="7"/>
      <c r="P129" s="7"/>
      <c r="Q129" s="10"/>
    </row>
    <row r="130" spans="1:17" x14ac:dyDescent="0.25">
      <c r="A130" s="1" t="s">
        <v>12</v>
      </c>
      <c r="B130" s="2" t="s">
        <v>378</v>
      </c>
      <c r="C130" s="2" t="s">
        <v>379</v>
      </c>
      <c r="D130" s="2" t="s">
        <v>380</v>
      </c>
      <c r="E130" s="3" t="s">
        <v>75</v>
      </c>
      <c r="F130" s="18">
        <v>141389</v>
      </c>
      <c r="G130" s="4"/>
      <c r="H130" s="2">
        <v>1</v>
      </c>
      <c r="I130" s="3">
        <v>46016</v>
      </c>
      <c r="J130" s="4">
        <v>66</v>
      </c>
      <c r="K130" s="4" t="s">
        <v>27</v>
      </c>
      <c r="L130" s="3">
        <v>46082</v>
      </c>
      <c r="M130" s="23">
        <f>YEAR(Таблица1[[#This Row],[Дата отчета]])</f>
        <v>2026</v>
      </c>
      <c r="N130" s="2"/>
      <c r="O130" s="2"/>
      <c r="P130" s="2"/>
      <c r="Q130" s="5"/>
    </row>
    <row r="131" spans="1:17" x14ac:dyDescent="0.25">
      <c r="A131" s="6" t="s">
        <v>12</v>
      </c>
      <c r="B131" s="7" t="s">
        <v>378</v>
      </c>
      <c r="C131" s="7" t="s">
        <v>379</v>
      </c>
      <c r="D131" s="7" t="s">
        <v>381</v>
      </c>
      <c r="E131" s="8" t="s">
        <v>59</v>
      </c>
      <c r="F131" s="19">
        <v>248561</v>
      </c>
      <c r="G131" s="9"/>
      <c r="H131" s="7">
        <v>1</v>
      </c>
      <c r="I131" s="8">
        <v>46077</v>
      </c>
      <c r="J131" s="9">
        <v>5</v>
      </c>
      <c r="K131" s="9" t="s">
        <v>38</v>
      </c>
      <c r="L131" s="8">
        <v>46082</v>
      </c>
      <c r="M131" s="23">
        <f>YEAR(Таблица1[[#This Row],[Дата отчета]])</f>
        <v>2026</v>
      </c>
      <c r="N131" s="7"/>
      <c r="O131" s="7"/>
      <c r="P131" s="7"/>
      <c r="Q131" s="10"/>
    </row>
    <row r="132" spans="1:17" x14ac:dyDescent="0.25">
      <c r="A132" s="1" t="s">
        <v>12</v>
      </c>
      <c r="B132" s="2" t="s">
        <v>378</v>
      </c>
      <c r="C132" s="2" t="s">
        <v>379</v>
      </c>
      <c r="D132" s="2" t="s">
        <v>382</v>
      </c>
      <c r="E132" s="3" t="s">
        <v>61</v>
      </c>
      <c r="F132" s="18">
        <v>45150</v>
      </c>
      <c r="G132" s="4"/>
      <c r="H132" s="2">
        <v>1</v>
      </c>
      <c r="I132" s="3">
        <v>46079</v>
      </c>
      <c r="J132" s="4">
        <v>3</v>
      </c>
      <c r="K132" s="4" t="s">
        <v>38</v>
      </c>
      <c r="L132" s="3">
        <v>46082</v>
      </c>
      <c r="M132" s="23">
        <f>YEAR(Таблица1[[#This Row],[Дата отчета]])</f>
        <v>2026</v>
      </c>
      <c r="N132" s="2"/>
      <c r="O132" s="2"/>
      <c r="P132" s="2"/>
      <c r="Q132" s="5"/>
    </row>
    <row r="133" spans="1:17" x14ac:dyDescent="0.25">
      <c r="A133" s="6" t="s">
        <v>12</v>
      </c>
      <c r="B133" s="7" t="s">
        <v>383</v>
      </c>
      <c r="C133" s="7" t="s">
        <v>384</v>
      </c>
      <c r="D133" s="7" t="s">
        <v>385</v>
      </c>
      <c r="E133" s="8" t="s">
        <v>48</v>
      </c>
      <c r="F133" s="19">
        <v>29997</v>
      </c>
      <c r="G133" s="9"/>
      <c r="H133" s="7">
        <v>1</v>
      </c>
      <c r="I133" s="8">
        <v>46078</v>
      </c>
      <c r="J133" s="9">
        <v>4</v>
      </c>
      <c r="K133" s="9" t="s">
        <v>38</v>
      </c>
      <c r="L133" s="8">
        <v>46082</v>
      </c>
      <c r="M133" s="23">
        <f>YEAR(Таблица1[[#This Row],[Дата отчета]])</f>
        <v>2026</v>
      </c>
      <c r="N133" s="7"/>
      <c r="O133" s="7"/>
      <c r="P133" s="7"/>
      <c r="Q133" s="10"/>
    </row>
    <row r="134" spans="1:17" x14ac:dyDescent="0.25">
      <c r="A134" s="1" t="s">
        <v>12</v>
      </c>
      <c r="B134" s="2" t="s">
        <v>386</v>
      </c>
      <c r="C134" s="2" t="s">
        <v>387</v>
      </c>
      <c r="D134" s="2" t="s">
        <v>388</v>
      </c>
      <c r="E134" s="3" t="s">
        <v>259</v>
      </c>
      <c r="F134" s="18">
        <v>827640</v>
      </c>
      <c r="G134" s="4"/>
      <c r="H134" s="2">
        <v>1</v>
      </c>
      <c r="I134" s="3">
        <v>46071</v>
      </c>
      <c r="J134" s="4">
        <v>11</v>
      </c>
      <c r="K134" s="4" t="s">
        <v>38</v>
      </c>
      <c r="L134" s="3">
        <v>46082</v>
      </c>
      <c r="M134" s="23">
        <f>YEAR(Таблица1[[#This Row],[Дата отчета]])</f>
        <v>2026</v>
      </c>
      <c r="N134" s="2"/>
      <c r="O134" s="2"/>
      <c r="P134" s="2"/>
      <c r="Q134" s="5"/>
    </row>
    <row r="135" spans="1:17" x14ac:dyDescent="0.25">
      <c r="A135" s="6" t="s">
        <v>12</v>
      </c>
      <c r="B135" s="7" t="s">
        <v>389</v>
      </c>
      <c r="C135" s="7" t="s">
        <v>390</v>
      </c>
      <c r="D135" s="7" t="s">
        <v>391</v>
      </c>
      <c r="E135" s="8" t="s">
        <v>392</v>
      </c>
      <c r="F135" s="19">
        <v>97121</v>
      </c>
      <c r="G135" s="9"/>
      <c r="H135" s="7">
        <v>1</v>
      </c>
      <c r="I135" s="8">
        <v>45952</v>
      </c>
      <c r="J135" s="9">
        <v>130</v>
      </c>
      <c r="K135" s="9" t="s">
        <v>22</v>
      </c>
      <c r="L135" s="8">
        <v>46082</v>
      </c>
      <c r="M135" s="23">
        <f>YEAR(Таблица1[[#This Row],[Дата отчета]])</f>
        <v>2026</v>
      </c>
      <c r="N135" s="7"/>
      <c r="O135" s="7"/>
      <c r="P135" s="7"/>
      <c r="Q135" s="10"/>
    </row>
    <row r="136" spans="1:17" x14ac:dyDescent="0.25">
      <c r="A136" s="1" t="s">
        <v>12</v>
      </c>
      <c r="B136" s="2" t="s">
        <v>393</v>
      </c>
      <c r="C136" s="2" t="s">
        <v>394</v>
      </c>
      <c r="D136" s="2" t="s">
        <v>395</v>
      </c>
      <c r="E136" s="3" t="s">
        <v>37</v>
      </c>
      <c r="F136" s="18">
        <v>1220000</v>
      </c>
      <c r="G136" s="4"/>
      <c r="H136" s="2">
        <v>1</v>
      </c>
      <c r="I136" s="3">
        <v>46066</v>
      </c>
      <c r="J136" s="4">
        <v>16</v>
      </c>
      <c r="K136" s="4" t="s">
        <v>38</v>
      </c>
      <c r="L136" s="3">
        <v>46082</v>
      </c>
      <c r="M136" s="23">
        <f>YEAR(Таблица1[[#This Row],[Дата отчета]])</f>
        <v>2026</v>
      </c>
      <c r="N136" s="2"/>
      <c r="O136" s="2"/>
      <c r="P136" s="2"/>
      <c r="Q136" s="5"/>
    </row>
    <row r="137" spans="1:17" x14ac:dyDescent="0.25">
      <c r="A137" s="6" t="s">
        <v>12</v>
      </c>
      <c r="B137" s="7" t="s">
        <v>396</v>
      </c>
      <c r="C137" s="7" t="s">
        <v>397</v>
      </c>
      <c r="D137" s="7" t="s">
        <v>398</v>
      </c>
      <c r="E137" s="8" t="s">
        <v>165</v>
      </c>
      <c r="F137" s="19">
        <v>1974844.5</v>
      </c>
      <c r="G137" s="9"/>
      <c r="H137" s="7">
        <v>1</v>
      </c>
      <c r="I137" s="8">
        <v>46073</v>
      </c>
      <c r="J137" s="9">
        <v>9</v>
      </c>
      <c r="K137" s="9" t="s">
        <v>38</v>
      </c>
      <c r="L137" s="8">
        <v>46082</v>
      </c>
      <c r="M137" s="23">
        <f>YEAR(Таблица1[[#This Row],[Дата отчета]])</f>
        <v>2026</v>
      </c>
      <c r="N137" s="7"/>
      <c r="O137" s="7"/>
      <c r="P137" s="7"/>
      <c r="Q137" s="10"/>
    </row>
    <row r="138" spans="1:17" x14ac:dyDescent="0.25">
      <c r="A138" s="1" t="s">
        <v>12</v>
      </c>
      <c r="B138" s="2" t="s">
        <v>399</v>
      </c>
      <c r="C138" s="2" t="s">
        <v>400</v>
      </c>
      <c r="D138" s="2" t="s">
        <v>401</v>
      </c>
      <c r="E138" s="3" t="s">
        <v>61</v>
      </c>
      <c r="F138" s="18">
        <v>555424</v>
      </c>
      <c r="G138" s="4"/>
      <c r="H138" s="2">
        <v>1</v>
      </c>
      <c r="I138" s="3">
        <v>46079</v>
      </c>
      <c r="J138" s="4">
        <v>3</v>
      </c>
      <c r="K138" s="4" t="s">
        <v>38</v>
      </c>
      <c r="L138" s="3">
        <v>46082</v>
      </c>
      <c r="M138" s="23">
        <f>YEAR(Таблица1[[#This Row],[Дата отчета]])</f>
        <v>2026</v>
      </c>
      <c r="N138" s="2"/>
      <c r="O138" s="2"/>
      <c r="P138" s="2"/>
      <c r="Q138" s="5"/>
    </row>
    <row r="139" spans="1:17" x14ac:dyDescent="0.25">
      <c r="A139" s="6" t="s">
        <v>12</v>
      </c>
      <c r="B139" s="7" t="s">
        <v>402</v>
      </c>
      <c r="C139" s="7" t="s">
        <v>403</v>
      </c>
      <c r="D139" s="7" t="s">
        <v>404</v>
      </c>
      <c r="E139" s="8" t="s">
        <v>405</v>
      </c>
      <c r="F139" s="19">
        <v>6881.46</v>
      </c>
      <c r="G139" s="9"/>
      <c r="H139" s="7">
        <v>1</v>
      </c>
      <c r="I139" s="8">
        <v>44773</v>
      </c>
      <c r="J139" s="9">
        <v>1309</v>
      </c>
      <c r="K139" s="9" t="s">
        <v>17</v>
      </c>
      <c r="L139" s="8">
        <v>46082</v>
      </c>
      <c r="M139" s="23">
        <f>YEAR(Таблица1[[#This Row],[Дата отчета]])</f>
        <v>2026</v>
      </c>
      <c r="N139" s="7" t="s">
        <v>4538</v>
      </c>
      <c r="O139" s="7"/>
      <c r="P139" s="7"/>
      <c r="Q139" s="10"/>
    </row>
    <row r="140" spans="1:17" x14ac:dyDescent="0.25">
      <c r="A140" s="1" t="s">
        <v>12</v>
      </c>
      <c r="B140" s="2" t="s">
        <v>402</v>
      </c>
      <c r="C140" s="2" t="s">
        <v>406</v>
      </c>
      <c r="D140" s="2" t="s">
        <v>407</v>
      </c>
      <c r="E140" s="3" t="s">
        <v>408</v>
      </c>
      <c r="F140" s="18">
        <v>6883200</v>
      </c>
      <c r="G140" s="4"/>
      <c r="H140" s="2">
        <v>1</v>
      </c>
      <c r="I140" s="3">
        <v>46010</v>
      </c>
      <c r="J140" s="4">
        <v>72</v>
      </c>
      <c r="K140" s="4" t="s">
        <v>27</v>
      </c>
      <c r="L140" s="3">
        <v>46082</v>
      </c>
      <c r="M140" s="23">
        <f>YEAR(Таблица1[[#This Row],[Дата отчета]])</f>
        <v>2026</v>
      </c>
      <c r="N140" s="2"/>
      <c r="O140" s="2"/>
      <c r="P140" s="2"/>
      <c r="Q140" s="5"/>
    </row>
    <row r="141" spans="1:17" x14ac:dyDescent="0.25">
      <c r="A141" s="6" t="s">
        <v>12</v>
      </c>
      <c r="B141" s="7" t="s">
        <v>409</v>
      </c>
      <c r="C141" s="7" t="s">
        <v>410</v>
      </c>
      <c r="D141" s="7" t="s">
        <v>411</v>
      </c>
      <c r="E141" s="8" t="s">
        <v>48</v>
      </c>
      <c r="F141" s="19">
        <v>153376</v>
      </c>
      <c r="G141" s="9"/>
      <c r="H141" s="7">
        <v>1</v>
      </c>
      <c r="I141" s="8">
        <v>46078</v>
      </c>
      <c r="J141" s="9">
        <v>4</v>
      </c>
      <c r="K141" s="9" t="s">
        <v>38</v>
      </c>
      <c r="L141" s="8">
        <v>46082</v>
      </c>
      <c r="M141" s="23">
        <f>YEAR(Таблица1[[#This Row],[Дата отчета]])</f>
        <v>2026</v>
      </c>
      <c r="N141" s="7"/>
      <c r="O141" s="7"/>
      <c r="P141" s="7"/>
      <c r="Q141" s="10"/>
    </row>
    <row r="142" spans="1:17" x14ac:dyDescent="0.25">
      <c r="A142" s="1" t="s">
        <v>12</v>
      </c>
      <c r="B142" s="2" t="s">
        <v>412</v>
      </c>
      <c r="C142" s="2" t="s">
        <v>413</v>
      </c>
      <c r="D142" s="2" t="s">
        <v>414</v>
      </c>
      <c r="E142" s="3" t="s">
        <v>415</v>
      </c>
      <c r="F142" s="18">
        <v>0.04</v>
      </c>
      <c r="G142" s="4"/>
      <c r="H142" s="2">
        <v>1</v>
      </c>
      <c r="I142" s="3">
        <v>45833</v>
      </c>
      <c r="J142" s="4">
        <v>249</v>
      </c>
      <c r="K142" s="4" t="s">
        <v>67</v>
      </c>
      <c r="L142" s="3">
        <v>46082</v>
      </c>
      <c r="M142" s="23">
        <f>YEAR(Таблица1[[#This Row],[Дата отчета]])</f>
        <v>2026</v>
      </c>
      <c r="N142" s="2"/>
      <c r="O142" s="2"/>
      <c r="P142" s="2"/>
      <c r="Q142" s="5"/>
    </row>
    <row r="143" spans="1:17" x14ac:dyDescent="0.25">
      <c r="A143" s="6" t="s">
        <v>12</v>
      </c>
      <c r="B143" s="7" t="s">
        <v>416</v>
      </c>
      <c r="C143" s="7" t="s">
        <v>417</v>
      </c>
      <c r="D143" s="7" t="s">
        <v>418</v>
      </c>
      <c r="E143" s="8" t="s">
        <v>419</v>
      </c>
      <c r="F143" s="19">
        <v>5478</v>
      </c>
      <c r="G143" s="9"/>
      <c r="H143" s="7">
        <v>1</v>
      </c>
      <c r="I143" s="8">
        <v>45883</v>
      </c>
      <c r="J143" s="9">
        <v>199</v>
      </c>
      <c r="K143" s="9" t="s">
        <v>67</v>
      </c>
      <c r="L143" s="8">
        <v>46082</v>
      </c>
      <c r="M143" s="23">
        <f>YEAR(Таблица1[[#This Row],[Дата отчета]])</f>
        <v>2026</v>
      </c>
      <c r="N143" s="7"/>
      <c r="O143" s="7"/>
      <c r="P143" s="7"/>
      <c r="Q143" s="10"/>
    </row>
    <row r="144" spans="1:17" x14ac:dyDescent="0.25">
      <c r="A144" s="1" t="s">
        <v>12</v>
      </c>
      <c r="B144" s="2" t="s">
        <v>416</v>
      </c>
      <c r="C144" s="2" t="s">
        <v>420</v>
      </c>
      <c r="D144" s="2" t="s">
        <v>421</v>
      </c>
      <c r="E144" s="3" t="s">
        <v>422</v>
      </c>
      <c r="F144" s="18">
        <v>11518</v>
      </c>
      <c r="G144" s="4"/>
      <c r="H144" s="2">
        <v>1</v>
      </c>
      <c r="I144" s="3">
        <v>45972</v>
      </c>
      <c r="J144" s="4">
        <v>110</v>
      </c>
      <c r="K144" s="4" t="s">
        <v>71</v>
      </c>
      <c r="L144" s="3">
        <v>46082</v>
      </c>
      <c r="M144" s="23">
        <f>YEAR(Таблица1[[#This Row],[Дата отчета]])</f>
        <v>2026</v>
      </c>
      <c r="N144" s="2"/>
      <c r="O144" s="2"/>
      <c r="P144" s="2"/>
      <c r="Q144" s="5"/>
    </row>
    <row r="145" spans="1:17" x14ac:dyDescent="0.25">
      <c r="A145" s="6" t="s">
        <v>12</v>
      </c>
      <c r="B145" s="7" t="s">
        <v>416</v>
      </c>
      <c r="C145" s="7" t="s">
        <v>423</v>
      </c>
      <c r="D145" s="7" t="s">
        <v>424</v>
      </c>
      <c r="E145" s="8" t="s">
        <v>422</v>
      </c>
      <c r="F145" s="19">
        <v>65989</v>
      </c>
      <c r="G145" s="9"/>
      <c r="H145" s="7">
        <v>1</v>
      </c>
      <c r="I145" s="8">
        <v>45972</v>
      </c>
      <c r="J145" s="9">
        <v>110</v>
      </c>
      <c r="K145" s="9" t="s">
        <v>71</v>
      </c>
      <c r="L145" s="8">
        <v>46082</v>
      </c>
      <c r="M145" s="23">
        <f>YEAR(Таблица1[[#This Row],[Дата отчета]])</f>
        <v>2026</v>
      </c>
      <c r="N145" s="7"/>
      <c r="O145" s="7"/>
      <c r="P145" s="7"/>
      <c r="Q145" s="10"/>
    </row>
    <row r="146" spans="1:17" x14ac:dyDescent="0.25">
      <c r="A146" s="1" t="s">
        <v>12</v>
      </c>
      <c r="B146" s="2" t="s">
        <v>425</v>
      </c>
      <c r="C146" s="2" t="s">
        <v>426</v>
      </c>
      <c r="D146" s="2" t="s">
        <v>427</v>
      </c>
      <c r="E146" s="3" t="s">
        <v>415</v>
      </c>
      <c r="F146" s="18">
        <v>52500</v>
      </c>
      <c r="G146" s="4"/>
      <c r="H146" s="2">
        <v>1</v>
      </c>
      <c r="I146" s="3">
        <v>45833</v>
      </c>
      <c r="J146" s="4">
        <v>249</v>
      </c>
      <c r="K146" s="4" t="s">
        <v>67</v>
      </c>
      <c r="L146" s="3">
        <v>46082</v>
      </c>
      <c r="M146" s="23">
        <f>YEAR(Таблица1[[#This Row],[Дата отчета]])</f>
        <v>2026</v>
      </c>
      <c r="N146" s="2"/>
      <c r="O146" s="2"/>
      <c r="P146" s="2"/>
      <c r="Q146" s="5"/>
    </row>
    <row r="147" spans="1:17" x14ac:dyDescent="0.25">
      <c r="A147" s="6" t="s">
        <v>12</v>
      </c>
      <c r="B147" s="7" t="s">
        <v>425</v>
      </c>
      <c r="C147" s="7" t="s">
        <v>426</v>
      </c>
      <c r="D147" s="7" t="s">
        <v>428</v>
      </c>
      <c r="E147" s="8" t="s">
        <v>429</v>
      </c>
      <c r="F147" s="19">
        <v>297500</v>
      </c>
      <c r="G147" s="9"/>
      <c r="H147" s="7">
        <v>1</v>
      </c>
      <c r="I147" s="8">
        <v>45897</v>
      </c>
      <c r="J147" s="9">
        <v>185</v>
      </c>
      <c r="K147" s="9" t="s">
        <v>67</v>
      </c>
      <c r="L147" s="8">
        <v>46082</v>
      </c>
      <c r="M147" s="23">
        <f>YEAR(Таблица1[[#This Row],[Дата отчета]])</f>
        <v>2026</v>
      </c>
      <c r="N147" s="7"/>
      <c r="O147" s="7"/>
      <c r="P147" s="7"/>
      <c r="Q147" s="10"/>
    </row>
    <row r="148" spans="1:17" x14ac:dyDescent="0.25">
      <c r="A148" s="1" t="s">
        <v>12</v>
      </c>
      <c r="B148" s="2" t="s">
        <v>425</v>
      </c>
      <c r="C148" s="2" t="s">
        <v>430</v>
      </c>
      <c r="D148" s="2" t="s">
        <v>431</v>
      </c>
      <c r="E148" s="3" t="s">
        <v>61</v>
      </c>
      <c r="F148" s="18">
        <v>55050</v>
      </c>
      <c r="G148" s="4"/>
      <c r="H148" s="2">
        <v>1</v>
      </c>
      <c r="I148" s="3">
        <v>46079</v>
      </c>
      <c r="J148" s="4">
        <v>3</v>
      </c>
      <c r="K148" s="4" t="s">
        <v>38</v>
      </c>
      <c r="L148" s="3">
        <v>46082</v>
      </c>
      <c r="M148" s="23">
        <f>YEAR(Таблица1[[#This Row],[Дата отчета]])</f>
        <v>2026</v>
      </c>
      <c r="N148" s="2"/>
      <c r="O148" s="2"/>
      <c r="P148" s="2"/>
      <c r="Q148" s="5"/>
    </row>
    <row r="149" spans="1:17" x14ac:dyDescent="0.25">
      <c r="A149" s="6" t="s">
        <v>12</v>
      </c>
      <c r="B149" s="7" t="s">
        <v>425</v>
      </c>
      <c r="C149" s="7" t="s">
        <v>432</v>
      </c>
      <c r="D149" s="7" t="s">
        <v>433</v>
      </c>
      <c r="E149" s="8" t="s">
        <v>61</v>
      </c>
      <c r="F149" s="19">
        <v>22050</v>
      </c>
      <c r="G149" s="9"/>
      <c r="H149" s="7">
        <v>1</v>
      </c>
      <c r="I149" s="8">
        <v>46079</v>
      </c>
      <c r="J149" s="9">
        <v>3</v>
      </c>
      <c r="K149" s="9" t="s">
        <v>38</v>
      </c>
      <c r="L149" s="8">
        <v>46082</v>
      </c>
      <c r="M149" s="23">
        <f>YEAR(Таблица1[[#This Row],[Дата отчета]])</f>
        <v>2026</v>
      </c>
      <c r="N149" s="7"/>
      <c r="O149" s="7"/>
      <c r="P149" s="7"/>
      <c r="Q149" s="10"/>
    </row>
    <row r="150" spans="1:17" x14ac:dyDescent="0.25">
      <c r="A150" s="1" t="s">
        <v>12</v>
      </c>
      <c r="B150" s="2" t="s">
        <v>434</v>
      </c>
      <c r="C150" s="2" t="s">
        <v>435</v>
      </c>
      <c r="D150" s="2" t="s">
        <v>436</v>
      </c>
      <c r="E150" s="3" t="s">
        <v>37</v>
      </c>
      <c r="F150" s="18">
        <v>3156390</v>
      </c>
      <c r="G150" s="4"/>
      <c r="H150" s="2">
        <v>1</v>
      </c>
      <c r="I150" s="3">
        <v>46066</v>
      </c>
      <c r="J150" s="4">
        <v>16</v>
      </c>
      <c r="K150" s="4" t="s">
        <v>38</v>
      </c>
      <c r="L150" s="3">
        <v>46082</v>
      </c>
      <c r="M150" s="23">
        <f>YEAR(Таблица1[[#This Row],[Дата отчета]])</f>
        <v>2026</v>
      </c>
      <c r="N150" s="2"/>
      <c r="O150" s="2"/>
      <c r="P150" s="2"/>
      <c r="Q150" s="5"/>
    </row>
    <row r="151" spans="1:17" x14ac:dyDescent="0.25">
      <c r="A151" s="6" t="s">
        <v>12</v>
      </c>
      <c r="B151" s="7" t="s">
        <v>434</v>
      </c>
      <c r="C151" s="7" t="s">
        <v>437</v>
      </c>
      <c r="D151" s="7" t="s">
        <v>438</v>
      </c>
      <c r="E151" s="8" t="s">
        <v>422</v>
      </c>
      <c r="F151" s="19">
        <v>40216000</v>
      </c>
      <c r="G151" s="9"/>
      <c r="H151" s="7">
        <v>1</v>
      </c>
      <c r="I151" s="8">
        <v>45972</v>
      </c>
      <c r="J151" s="9">
        <v>110</v>
      </c>
      <c r="K151" s="9" t="s">
        <v>71</v>
      </c>
      <c r="L151" s="8">
        <v>46082</v>
      </c>
      <c r="M151" s="23">
        <f>YEAR(Таблица1[[#This Row],[Дата отчета]])</f>
        <v>2026</v>
      </c>
      <c r="N151" s="7"/>
      <c r="O151" s="7"/>
      <c r="P151" s="7"/>
      <c r="Q151" s="10"/>
    </row>
    <row r="152" spans="1:17" x14ac:dyDescent="0.25">
      <c r="A152" s="1" t="s">
        <v>12</v>
      </c>
      <c r="B152" s="2" t="s">
        <v>434</v>
      </c>
      <c r="C152" s="2" t="s">
        <v>437</v>
      </c>
      <c r="D152" s="2" t="s">
        <v>439</v>
      </c>
      <c r="E152" s="3" t="s">
        <v>440</v>
      </c>
      <c r="F152" s="18">
        <v>40216000</v>
      </c>
      <c r="G152" s="4"/>
      <c r="H152" s="2">
        <v>1</v>
      </c>
      <c r="I152" s="3">
        <v>46055</v>
      </c>
      <c r="J152" s="4">
        <v>27</v>
      </c>
      <c r="K152" s="4" t="s">
        <v>38</v>
      </c>
      <c r="L152" s="3">
        <v>46082</v>
      </c>
      <c r="M152" s="23">
        <f>YEAR(Таблица1[[#This Row],[Дата отчета]])</f>
        <v>2026</v>
      </c>
      <c r="N152" s="2"/>
      <c r="O152" s="2"/>
      <c r="P152" s="2"/>
      <c r="Q152" s="5"/>
    </row>
    <row r="153" spans="1:17" x14ac:dyDescent="0.25">
      <c r="A153" s="6" t="s">
        <v>12</v>
      </c>
      <c r="B153" s="7" t="s">
        <v>441</v>
      </c>
      <c r="C153" s="7" t="s">
        <v>442</v>
      </c>
      <c r="D153" s="7" t="s">
        <v>443</v>
      </c>
      <c r="E153" s="8" t="s">
        <v>75</v>
      </c>
      <c r="F153" s="19">
        <v>10077837.699999999</v>
      </c>
      <c r="G153" s="9"/>
      <c r="H153" s="7">
        <v>1</v>
      </c>
      <c r="I153" s="8">
        <v>46016</v>
      </c>
      <c r="J153" s="9">
        <v>66</v>
      </c>
      <c r="K153" s="9" t="s">
        <v>27</v>
      </c>
      <c r="L153" s="8">
        <v>46082</v>
      </c>
      <c r="M153" s="23">
        <f>YEAR(Таблица1[[#This Row],[Дата отчета]])</f>
        <v>2026</v>
      </c>
      <c r="N153" s="7"/>
      <c r="O153" s="7"/>
      <c r="P153" s="7"/>
      <c r="Q153" s="10"/>
    </row>
    <row r="154" spans="1:17" x14ac:dyDescent="0.25">
      <c r="A154" s="1" t="s">
        <v>12</v>
      </c>
      <c r="B154" s="2" t="s">
        <v>441</v>
      </c>
      <c r="C154" s="2" t="s">
        <v>442</v>
      </c>
      <c r="D154" s="2" t="s">
        <v>444</v>
      </c>
      <c r="E154" s="3" t="s">
        <v>59</v>
      </c>
      <c r="F154" s="18">
        <v>1897551.4</v>
      </c>
      <c r="G154" s="4"/>
      <c r="H154" s="2">
        <v>1</v>
      </c>
      <c r="I154" s="3">
        <v>46077</v>
      </c>
      <c r="J154" s="4">
        <v>5</v>
      </c>
      <c r="K154" s="4" t="s">
        <v>38</v>
      </c>
      <c r="L154" s="3">
        <v>46082</v>
      </c>
      <c r="M154" s="23">
        <f>YEAR(Таблица1[[#This Row],[Дата отчета]])</f>
        <v>2026</v>
      </c>
      <c r="N154" s="2"/>
      <c r="O154" s="2"/>
      <c r="P154" s="2"/>
      <c r="Q154" s="5"/>
    </row>
    <row r="155" spans="1:17" x14ac:dyDescent="0.25">
      <c r="A155" s="6" t="s">
        <v>12</v>
      </c>
      <c r="B155" s="7" t="s">
        <v>445</v>
      </c>
      <c r="C155" s="7" t="s">
        <v>446</v>
      </c>
      <c r="D155" s="7" t="s">
        <v>447</v>
      </c>
      <c r="E155" s="8" t="s">
        <v>45</v>
      </c>
      <c r="F155" s="19">
        <v>168000</v>
      </c>
      <c r="G155" s="9"/>
      <c r="H155" s="7">
        <v>1</v>
      </c>
      <c r="I155" s="8">
        <v>45938</v>
      </c>
      <c r="J155" s="9">
        <v>144</v>
      </c>
      <c r="K155" s="9" t="s">
        <v>22</v>
      </c>
      <c r="L155" s="8">
        <v>46082</v>
      </c>
      <c r="M155" s="23">
        <f>YEAR(Таблица1[[#This Row],[Дата отчета]])</f>
        <v>2026</v>
      </c>
      <c r="N155" s="7"/>
      <c r="O155" s="7"/>
      <c r="P155" s="7"/>
      <c r="Q155" s="10"/>
    </row>
    <row r="156" spans="1:17" x14ac:dyDescent="0.25">
      <c r="A156" s="1" t="s">
        <v>12</v>
      </c>
      <c r="B156" s="2" t="s">
        <v>448</v>
      </c>
      <c r="C156" s="2" t="s">
        <v>449</v>
      </c>
      <c r="D156" s="2" t="s">
        <v>450</v>
      </c>
      <c r="E156" s="3" t="s">
        <v>451</v>
      </c>
      <c r="F156" s="18">
        <v>7941</v>
      </c>
      <c r="G156" s="4"/>
      <c r="H156" s="2">
        <v>1</v>
      </c>
      <c r="I156" s="3">
        <v>45884</v>
      </c>
      <c r="J156" s="4">
        <v>198</v>
      </c>
      <c r="K156" s="4" t="s">
        <v>67</v>
      </c>
      <c r="L156" s="3">
        <v>46082</v>
      </c>
      <c r="M156" s="23">
        <f>YEAR(Таблица1[[#This Row],[Дата отчета]])</f>
        <v>2026</v>
      </c>
      <c r="N156" s="2"/>
      <c r="O156" s="2"/>
      <c r="P156" s="2"/>
      <c r="Q156" s="5"/>
    </row>
    <row r="157" spans="1:17" x14ac:dyDescent="0.25">
      <c r="A157" s="6" t="s">
        <v>12</v>
      </c>
      <c r="B157" s="7" t="s">
        <v>452</v>
      </c>
      <c r="C157" s="7" t="s">
        <v>453</v>
      </c>
      <c r="D157" s="7" t="s">
        <v>454</v>
      </c>
      <c r="E157" s="8" t="s">
        <v>455</v>
      </c>
      <c r="F157" s="19">
        <v>57500</v>
      </c>
      <c r="G157" s="9"/>
      <c r="H157" s="7">
        <v>1</v>
      </c>
      <c r="I157" s="8">
        <v>46080</v>
      </c>
      <c r="J157" s="9">
        <v>2</v>
      </c>
      <c r="K157" s="9" t="s">
        <v>38</v>
      </c>
      <c r="L157" s="8">
        <v>46082</v>
      </c>
      <c r="M157" s="23">
        <f>YEAR(Таблица1[[#This Row],[Дата отчета]])</f>
        <v>2026</v>
      </c>
      <c r="N157" s="7"/>
      <c r="O157" s="7"/>
      <c r="P157" s="7"/>
      <c r="Q157" s="10"/>
    </row>
    <row r="158" spans="1:17" x14ac:dyDescent="0.25">
      <c r="A158" s="1" t="s">
        <v>12</v>
      </c>
      <c r="B158" s="2" t="s">
        <v>456</v>
      </c>
      <c r="C158" s="2" t="s">
        <v>457</v>
      </c>
      <c r="D158" s="2" t="s">
        <v>458</v>
      </c>
      <c r="E158" s="3" t="s">
        <v>459</v>
      </c>
      <c r="F158" s="18">
        <v>5500</v>
      </c>
      <c r="G158" s="4"/>
      <c r="H158" s="2">
        <v>1</v>
      </c>
      <c r="I158" s="3">
        <v>45195</v>
      </c>
      <c r="J158" s="4">
        <v>887</v>
      </c>
      <c r="K158" s="4" t="s">
        <v>17</v>
      </c>
      <c r="L158" s="3">
        <v>46082</v>
      </c>
      <c r="M158" s="23">
        <f>YEAR(Таблица1[[#This Row],[Дата отчета]])</f>
        <v>2026</v>
      </c>
      <c r="N158" s="2"/>
      <c r="O158" s="2"/>
      <c r="P158" s="2"/>
      <c r="Q158" s="5"/>
    </row>
    <row r="159" spans="1:17" x14ac:dyDescent="0.25">
      <c r="A159" s="6" t="s">
        <v>12</v>
      </c>
      <c r="B159" s="7" t="s">
        <v>456</v>
      </c>
      <c r="C159" s="7" t="s">
        <v>460</v>
      </c>
      <c r="D159" s="7" t="s">
        <v>461</v>
      </c>
      <c r="E159" s="8" t="s">
        <v>462</v>
      </c>
      <c r="F159" s="19">
        <v>102545</v>
      </c>
      <c r="G159" s="9"/>
      <c r="H159" s="7">
        <v>1</v>
      </c>
      <c r="I159" s="8">
        <v>45945</v>
      </c>
      <c r="J159" s="9">
        <v>137</v>
      </c>
      <c r="K159" s="9" t="s">
        <v>22</v>
      </c>
      <c r="L159" s="8">
        <v>46082</v>
      </c>
      <c r="M159" s="23">
        <f>YEAR(Таблица1[[#This Row],[Дата отчета]])</f>
        <v>2026</v>
      </c>
      <c r="N159" s="7"/>
      <c r="O159" s="7"/>
      <c r="P159" s="7"/>
      <c r="Q159" s="10"/>
    </row>
    <row r="160" spans="1:17" x14ac:dyDescent="0.25">
      <c r="A160" s="1" t="s">
        <v>12</v>
      </c>
      <c r="B160" s="2" t="s">
        <v>463</v>
      </c>
      <c r="C160" s="2" t="s">
        <v>464</v>
      </c>
      <c r="D160" s="2" t="s">
        <v>465</v>
      </c>
      <c r="E160" s="3" t="s">
        <v>466</v>
      </c>
      <c r="F160" s="18">
        <v>2760000</v>
      </c>
      <c r="G160" s="4"/>
      <c r="H160" s="2">
        <v>1</v>
      </c>
      <c r="I160" s="3">
        <v>45986</v>
      </c>
      <c r="J160" s="4">
        <v>96</v>
      </c>
      <c r="K160" s="4" t="s">
        <v>71</v>
      </c>
      <c r="L160" s="3">
        <v>46082</v>
      </c>
      <c r="M160" s="23">
        <f>YEAR(Таблица1[[#This Row],[Дата отчета]])</f>
        <v>2026</v>
      </c>
      <c r="N160" s="2"/>
      <c r="O160" s="2"/>
      <c r="P160" s="2"/>
      <c r="Q160" s="5"/>
    </row>
    <row r="161" spans="1:17" x14ac:dyDescent="0.25">
      <c r="A161" s="6" t="s">
        <v>12</v>
      </c>
      <c r="B161" s="7" t="s">
        <v>467</v>
      </c>
      <c r="C161" s="7" t="s">
        <v>468</v>
      </c>
      <c r="D161" s="7" t="s">
        <v>469</v>
      </c>
      <c r="E161" s="8" t="s">
        <v>470</v>
      </c>
      <c r="F161" s="19">
        <v>2000</v>
      </c>
      <c r="G161" s="9"/>
      <c r="H161" s="7">
        <v>1</v>
      </c>
      <c r="I161" s="8">
        <v>44551</v>
      </c>
      <c r="J161" s="9">
        <v>1531</v>
      </c>
      <c r="K161" s="9" t="s">
        <v>17</v>
      </c>
      <c r="L161" s="8">
        <v>46082</v>
      </c>
      <c r="M161" s="23">
        <f>YEAR(Таблица1[[#This Row],[Дата отчета]])</f>
        <v>2026</v>
      </c>
      <c r="N161" s="7"/>
      <c r="O161" s="7"/>
      <c r="P161" s="7"/>
      <c r="Q161" s="10"/>
    </row>
    <row r="162" spans="1:17" x14ac:dyDescent="0.25">
      <c r="A162" s="1" t="s">
        <v>12</v>
      </c>
      <c r="B162" s="2" t="s">
        <v>471</v>
      </c>
      <c r="C162" s="2" t="s">
        <v>472</v>
      </c>
      <c r="D162" s="2" t="s">
        <v>473</v>
      </c>
      <c r="E162" s="3" t="s">
        <v>429</v>
      </c>
      <c r="F162" s="18">
        <v>25866</v>
      </c>
      <c r="G162" s="4"/>
      <c r="H162" s="2">
        <v>1</v>
      </c>
      <c r="I162" s="3">
        <v>45897</v>
      </c>
      <c r="J162" s="4">
        <v>185</v>
      </c>
      <c r="K162" s="4" t="s">
        <v>67</v>
      </c>
      <c r="L162" s="3">
        <v>46082</v>
      </c>
      <c r="M162" s="23">
        <f>YEAR(Таблица1[[#This Row],[Дата отчета]])</f>
        <v>2026</v>
      </c>
      <c r="N162" s="2"/>
      <c r="O162" s="2"/>
      <c r="P162" s="2"/>
      <c r="Q162" s="5"/>
    </row>
    <row r="163" spans="1:17" x14ac:dyDescent="0.25">
      <c r="A163" s="6" t="s">
        <v>12</v>
      </c>
      <c r="B163" s="7" t="s">
        <v>474</v>
      </c>
      <c r="C163" s="7" t="s">
        <v>475</v>
      </c>
      <c r="D163" s="7" t="s">
        <v>476</v>
      </c>
      <c r="E163" s="8" t="s">
        <v>477</v>
      </c>
      <c r="F163" s="19">
        <v>300</v>
      </c>
      <c r="G163" s="9"/>
      <c r="H163" s="7">
        <v>1</v>
      </c>
      <c r="I163" s="8">
        <v>45401</v>
      </c>
      <c r="J163" s="9">
        <v>681</v>
      </c>
      <c r="K163" s="9" t="s">
        <v>17</v>
      </c>
      <c r="L163" s="8">
        <v>46082</v>
      </c>
      <c r="M163" s="23">
        <f>YEAR(Таблица1[[#This Row],[Дата отчета]])</f>
        <v>2026</v>
      </c>
      <c r="N163" s="7"/>
      <c r="O163" s="7"/>
      <c r="P163" s="7"/>
      <c r="Q163" s="10"/>
    </row>
    <row r="164" spans="1:17" x14ac:dyDescent="0.25">
      <c r="A164" s="1" t="s">
        <v>12</v>
      </c>
      <c r="B164" s="2" t="s">
        <v>478</v>
      </c>
      <c r="C164" s="2" t="s">
        <v>479</v>
      </c>
      <c r="D164" s="2" t="s">
        <v>480</v>
      </c>
      <c r="E164" s="3" t="s">
        <v>75</v>
      </c>
      <c r="F164" s="18">
        <v>4790000</v>
      </c>
      <c r="G164" s="4"/>
      <c r="H164" s="2">
        <v>1</v>
      </c>
      <c r="I164" s="3">
        <v>46016</v>
      </c>
      <c r="J164" s="4">
        <v>66</v>
      </c>
      <c r="K164" s="4" t="s">
        <v>27</v>
      </c>
      <c r="L164" s="3">
        <v>46082</v>
      </c>
      <c r="M164" s="23">
        <f>YEAR(Таблица1[[#This Row],[Дата отчета]])</f>
        <v>2026</v>
      </c>
      <c r="N164" s="2"/>
      <c r="O164" s="2"/>
      <c r="P164" s="2"/>
      <c r="Q164" s="5"/>
    </row>
    <row r="165" spans="1:17" x14ac:dyDescent="0.25">
      <c r="A165" s="6" t="s">
        <v>12</v>
      </c>
      <c r="B165" s="7" t="s">
        <v>481</v>
      </c>
      <c r="C165" s="7" t="s">
        <v>482</v>
      </c>
      <c r="D165" s="7" t="s">
        <v>483</v>
      </c>
      <c r="E165" s="8" t="s">
        <v>70</v>
      </c>
      <c r="F165" s="19">
        <v>0.02</v>
      </c>
      <c r="G165" s="9"/>
      <c r="H165" s="7">
        <v>1</v>
      </c>
      <c r="I165" s="8">
        <v>45979</v>
      </c>
      <c r="J165" s="9">
        <v>103</v>
      </c>
      <c r="K165" s="9" t="s">
        <v>71</v>
      </c>
      <c r="L165" s="8">
        <v>46082</v>
      </c>
      <c r="M165" s="23">
        <f>YEAR(Таблица1[[#This Row],[Дата отчета]])</f>
        <v>2026</v>
      </c>
      <c r="N165" s="7"/>
      <c r="O165" s="7"/>
      <c r="P165" s="7"/>
      <c r="Q165" s="10"/>
    </row>
    <row r="166" spans="1:17" x14ac:dyDescent="0.25">
      <c r="A166" s="1" t="s">
        <v>12</v>
      </c>
      <c r="B166" s="2" t="s">
        <v>481</v>
      </c>
      <c r="C166" s="2" t="s">
        <v>484</v>
      </c>
      <c r="D166" s="2" t="s">
        <v>485</v>
      </c>
      <c r="E166" s="3" t="s">
        <v>486</v>
      </c>
      <c r="F166" s="18">
        <v>0.01</v>
      </c>
      <c r="G166" s="4"/>
      <c r="H166" s="2">
        <v>1</v>
      </c>
      <c r="I166" s="3">
        <v>45848</v>
      </c>
      <c r="J166" s="4">
        <v>234</v>
      </c>
      <c r="K166" s="4" t="s">
        <v>67</v>
      </c>
      <c r="L166" s="3">
        <v>46082</v>
      </c>
      <c r="M166" s="23">
        <f>YEAR(Таблица1[[#This Row],[Дата отчета]])</f>
        <v>2026</v>
      </c>
      <c r="N166" s="2"/>
      <c r="O166" s="2"/>
      <c r="P166" s="2"/>
      <c r="Q166" s="5"/>
    </row>
    <row r="167" spans="1:17" x14ac:dyDescent="0.25">
      <c r="A167" s="6" t="s">
        <v>12</v>
      </c>
      <c r="B167" s="7" t="s">
        <v>487</v>
      </c>
      <c r="C167" s="7" t="s">
        <v>488</v>
      </c>
      <c r="D167" s="7" t="s">
        <v>489</v>
      </c>
      <c r="E167" s="8" t="s">
        <v>490</v>
      </c>
      <c r="F167" s="19">
        <v>299500</v>
      </c>
      <c r="G167" s="9"/>
      <c r="H167" s="7">
        <v>1</v>
      </c>
      <c r="I167" s="8">
        <v>45631</v>
      </c>
      <c r="J167" s="9">
        <v>451</v>
      </c>
      <c r="K167" s="9" t="s">
        <v>17</v>
      </c>
      <c r="L167" s="8">
        <v>46082</v>
      </c>
      <c r="M167" s="23">
        <f>YEAR(Таблица1[[#This Row],[Дата отчета]])</f>
        <v>2026</v>
      </c>
      <c r="N167" s="7" t="s">
        <v>4554</v>
      </c>
      <c r="O167" s="7"/>
      <c r="P167" s="7"/>
      <c r="Q167" s="10"/>
    </row>
    <row r="168" spans="1:17" x14ac:dyDescent="0.25">
      <c r="A168" s="1" t="s">
        <v>12</v>
      </c>
      <c r="B168" s="2" t="s">
        <v>491</v>
      </c>
      <c r="C168" s="2" t="s">
        <v>492</v>
      </c>
      <c r="D168" s="2" t="s">
        <v>493</v>
      </c>
      <c r="E168" s="3" t="s">
        <v>165</v>
      </c>
      <c r="F168" s="18">
        <v>23700000</v>
      </c>
      <c r="G168" s="4"/>
      <c r="H168" s="2">
        <v>1</v>
      </c>
      <c r="I168" s="3">
        <v>46073</v>
      </c>
      <c r="J168" s="4">
        <v>9</v>
      </c>
      <c r="K168" s="4" t="s">
        <v>38</v>
      </c>
      <c r="L168" s="3">
        <v>46082</v>
      </c>
      <c r="M168" s="23">
        <f>YEAR(Таблица1[[#This Row],[Дата отчета]])</f>
        <v>2026</v>
      </c>
      <c r="N168" s="2"/>
      <c r="O168" s="2"/>
      <c r="P168" s="2"/>
      <c r="Q168" s="5"/>
    </row>
    <row r="169" spans="1:17" x14ac:dyDescent="0.25">
      <c r="A169" s="6" t="s">
        <v>12</v>
      </c>
      <c r="B169" s="7" t="s">
        <v>494</v>
      </c>
      <c r="C169" s="7" t="s">
        <v>495</v>
      </c>
      <c r="D169" s="7" t="s">
        <v>496</v>
      </c>
      <c r="E169" s="8" t="s">
        <v>497</v>
      </c>
      <c r="F169" s="19">
        <v>23544</v>
      </c>
      <c r="G169" s="9"/>
      <c r="H169" s="7">
        <v>1</v>
      </c>
      <c r="I169" s="8">
        <v>45875</v>
      </c>
      <c r="J169" s="9">
        <v>207</v>
      </c>
      <c r="K169" s="9" t="s">
        <v>67</v>
      </c>
      <c r="L169" s="8">
        <v>46082</v>
      </c>
      <c r="M169" s="23">
        <f>YEAR(Таблица1[[#This Row],[Дата отчета]])</f>
        <v>2026</v>
      </c>
      <c r="N169" s="7"/>
      <c r="O169" s="7"/>
      <c r="P169" s="7"/>
      <c r="Q169" s="10"/>
    </row>
    <row r="170" spans="1:17" x14ac:dyDescent="0.25">
      <c r="A170" s="1" t="s">
        <v>12</v>
      </c>
      <c r="B170" s="2" t="s">
        <v>498</v>
      </c>
      <c r="C170" s="2" t="s">
        <v>499</v>
      </c>
      <c r="D170" s="2" t="s">
        <v>500</v>
      </c>
      <c r="E170" s="3" t="s">
        <v>501</v>
      </c>
      <c r="F170" s="18">
        <v>28000</v>
      </c>
      <c r="G170" s="4"/>
      <c r="H170" s="2">
        <v>1</v>
      </c>
      <c r="I170" s="3">
        <v>45940</v>
      </c>
      <c r="J170" s="4">
        <v>142</v>
      </c>
      <c r="K170" s="4" t="s">
        <v>22</v>
      </c>
      <c r="L170" s="3">
        <v>46082</v>
      </c>
      <c r="M170" s="23">
        <f>YEAR(Таблица1[[#This Row],[Дата отчета]])</f>
        <v>2026</v>
      </c>
      <c r="N170" s="2"/>
      <c r="O170" s="2"/>
      <c r="P170" s="2"/>
      <c r="Q170" s="5"/>
    </row>
    <row r="171" spans="1:17" x14ac:dyDescent="0.25">
      <c r="A171" s="6" t="s">
        <v>12</v>
      </c>
      <c r="B171" s="7" t="s">
        <v>502</v>
      </c>
      <c r="C171" s="7" t="s">
        <v>503</v>
      </c>
      <c r="D171" s="7" t="s">
        <v>504</v>
      </c>
      <c r="E171" s="8" t="s">
        <v>505</v>
      </c>
      <c r="F171" s="19">
        <v>1334.4</v>
      </c>
      <c r="G171" s="9"/>
      <c r="H171" s="7">
        <v>1</v>
      </c>
      <c r="I171" s="8">
        <v>45587</v>
      </c>
      <c r="J171" s="9">
        <v>495</v>
      </c>
      <c r="K171" s="9" t="s">
        <v>17</v>
      </c>
      <c r="L171" s="8">
        <v>46082</v>
      </c>
      <c r="M171" s="23">
        <f>YEAR(Таблица1[[#This Row],[Дата отчета]])</f>
        <v>2026</v>
      </c>
      <c r="N171" s="7" t="s">
        <v>4538</v>
      </c>
      <c r="O171" s="7"/>
      <c r="P171" s="7"/>
      <c r="Q171" s="10"/>
    </row>
    <row r="172" spans="1:17" x14ac:dyDescent="0.25">
      <c r="A172" s="1" t="s">
        <v>12</v>
      </c>
      <c r="B172" s="2" t="s">
        <v>502</v>
      </c>
      <c r="C172" s="2" t="s">
        <v>506</v>
      </c>
      <c r="D172" s="2" t="s">
        <v>507</v>
      </c>
      <c r="E172" s="3" t="s">
        <v>508</v>
      </c>
      <c r="F172" s="18">
        <v>6990</v>
      </c>
      <c r="G172" s="4"/>
      <c r="H172" s="2">
        <v>1</v>
      </c>
      <c r="I172" s="3">
        <v>45593</v>
      </c>
      <c r="J172" s="4">
        <v>489</v>
      </c>
      <c r="K172" s="4" t="s">
        <v>17</v>
      </c>
      <c r="L172" s="3">
        <v>46082</v>
      </c>
      <c r="M172" s="23">
        <f>YEAR(Таблица1[[#This Row],[Дата отчета]])</f>
        <v>2026</v>
      </c>
      <c r="N172" s="7" t="s">
        <v>4538</v>
      </c>
      <c r="O172" s="2"/>
      <c r="P172" s="2"/>
      <c r="Q172" s="5"/>
    </row>
    <row r="173" spans="1:17" x14ac:dyDescent="0.25">
      <c r="A173" s="6" t="s">
        <v>12</v>
      </c>
      <c r="B173" s="7" t="s">
        <v>509</v>
      </c>
      <c r="C173" s="7" t="s">
        <v>510</v>
      </c>
      <c r="D173" s="7" t="s">
        <v>511</v>
      </c>
      <c r="E173" s="8" t="s">
        <v>70</v>
      </c>
      <c r="F173" s="19">
        <v>300000</v>
      </c>
      <c r="G173" s="9"/>
      <c r="H173" s="7">
        <v>1</v>
      </c>
      <c r="I173" s="8">
        <v>45979</v>
      </c>
      <c r="J173" s="9">
        <v>103</v>
      </c>
      <c r="K173" s="9" t="s">
        <v>71</v>
      </c>
      <c r="L173" s="8">
        <v>46082</v>
      </c>
      <c r="M173" s="23">
        <f>YEAR(Таблица1[[#This Row],[Дата отчета]])</f>
        <v>2026</v>
      </c>
      <c r="N173" s="7"/>
      <c r="O173" s="7"/>
      <c r="P173" s="7"/>
      <c r="Q173" s="10"/>
    </row>
    <row r="174" spans="1:17" x14ac:dyDescent="0.25">
      <c r="A174" s="1" t="s">
        <v>12</v>
      </c>
      <c r="B174" s="2" t="s">
        <v>512</v>
      </c>
      <c r="C174" s="2" t="s">
        <v>513</v>
      </c>
      <c r="D174" s="2" t="s">
        <v>514</v>
      </c>
      <c r="E174" s="3" t="s">
        <v>183</v>
      </c>
      <c r="F174" s="18">
        <v>24500</v>
      </c>
      <c r="G174" s="4"/>
      <c r="H174" s="2">
        <v>1</v>
      </c>
      <c r="I174" s="3">
        <v>45817</v>
      </c>
      <c r="J174" s="4">
        <v>265</v>
      </c>
      <c r="K174" s="4" t="s">
        <v>67</v>
      </c>
      <c r="L174" s="3">
        <v>46082</v>
      </c>
      <c r="M174" s="23">
        <f>YEAR(Таблица1[[#This Row],[Дата отчета]])</f>
        <v>2026</v>
      </c>
      <c r="N174" s="2"/>
      <c r="O174" s="2"/>
      <c r="P174" s="2"/>
      <c r="Q174" s="5"/>
    </row>
    <row r="175" spans="1:17" x14ac:dyDescent="0.25">
      <c r="A175" s="6" t="s">
        <v>12</v>
      </c>
      <c r="B175" s="7" t="s">
        <v>512</v>
      </c>
      <c r="C175" s="7" t="s">
        <v>515</v>
      </c>
      <c r="D175" s="7" t="s">
        <v>516</v>
      </c>
      <c r="E175" s="8" t="s">
        <v>517</v>
      </c>
      <c r="F175" s="19">
        <v>58485</v>
      </c>
      <c r="G175" s="9"/>
      <c r="H175" s="7">
        <v>1</v>
      </c>
      <c r="I175" s="8">
        <v>45797</v>
      </c>
      <c r="J175" s="9">
        <v>285</v>
      </c>
      <c r="K175" s="9" t="s">
        <v>92</v>
      </c>
      <c r="L175" s="8">
        <v>46082</v>
      </c>
      <c r="M175" s="23">
        <f>YEAR(Таблица1[[#This Row],[Дата отчета]])</f>
        <v>2026</v>
      </c>
      <c r="N175" s="7"/>
      <c r="O175" s="7"/>
      <c r="P175" s="7"/>
      <c r="Q175" s="10"/>
    </row>
    <row r="176" spans="1:17" x14ac:dyDescent="0.25">
      <c r="A176" s="1" t="s">
        <v>12</v>
      </c>
      <c r="B176" s="2" t="s">
        <v>512</v>
      </c>
      <c r="C176" s="2" t="s">
        <v>518</v>
      </c>
      <c r="D176" s="2" t="s">
        <v>519</v>
      </c>
      <c r="E176" s="3" t="s">
        <v>520</v>
      </c>
      <c r="F176" s="18">
        <v>2690</v>
      </c>
      <c r="G176" s="4"/>
      <c r="H176" s="2">
        <v>1</v>
      </c>
      <c r="I176" s="3">
        <v>45811</v>
      </c>
      <c r="J176" s="4">
        <v>271</v>
      </c>
      <c r="K176" s="4" t="s">
        <v>92</v>
      </c>
      <c r="L176" s="3">
        <v>46082</v>
      </c>
      <c r="M176" s="23">
        <f>YEAR(Таблица1[[#This Row],[Дата отчета]])</f>
        <v>2026</v>
      </c>
      <c r="N176" s="2"/>
      <c r="O176" s="2"/>
      <c r="P176" s="2"/>
      <c r="Q176" s="5"/>
    </row>
    <row r="177" spans="1:17" x14ac:dyDescent="0.25">
      <c r="A177" s="6" t="s">
        <v>12</v>
      </c>
      <c r="B177" s="7" t="s">
        <v>512</v>
      </c>
      <c r="C177" s="7" t="s">
        <v>521</v>
      </c>
      <c r="D177" s="7" t="s">
        <v>522</v>
      </c>
      <c r="E177" s="8" t="s">
        <v>83</v>
      </c>
      <c r="F177" s="19">
        <v>16020</v>
      </c>
      <c r="G177" s="9"/>
      <c r="H177" s="7">
        <v>1</v>
      </c>
      <c r="I177" s="8">
        <v>45852</v>
      </c>
      <c r="J177" s="9">
        <v>230</v>
      </c>
      <c r="K177" s="9" t="s">
        <v>67</v>
      </c>
      <c r="L177" s="8">
        <v>46082</v>
      </c>
      <c r="M177" s="23">
        <f>YEAR(Таблица1[[#This Row],[Дата отчета]])</f>
        <v>2026</v>
      </c>
      <c r="N177" s="7"/>
      <c r="O177" s="7"/>
      <c r="P177" s="7"/>
      <c r="Q177" s="10"/>
    </row>
    <row r="178" spans="1:17" x14ac:dyDescent="0.25">
      <c r="A178" s="1" t="s">
        <v>12</v>
      </c>
      <c r="B178" s="2" t="s">
        <v>512</v>
      </c>
      <c r="C178" s="2" t="s">
        <v>523</v>
      </c>
      <c r="D178" s="2" t="s">
        <v>524</v>
      </c>
      <c r="E178" s="3" t="s">
        <v>525</v>
      </c>
      <c r="F178" s="18">
        <v>29748</v>
      </c>
      <c r="G178" s="4"/>
      <c r="H178" s="2">
        <v>1</v>
      </c>
      <c r="I178" s="3">
        <v>45954</v>
      </c>
      <c r="J178" s="4">
        <v>128</v>
      </c>
      <c r="K178" s="4" t="s">
        <v>22</v>
      </c>
      <c r="L178" s="3">
        <v>46082</v>
      </c>
      <c r="M178" s="23">
        <f>YEAR(Таблица1[[#This Row],[Дата отчета]])</f>
        <v>2026</v>
      </c>
      <c r="N178" s="2"/>
      <c r="O178" s="2"/>
      <c r="P178" s="2"/>
      <c r="Q178" s="5"/>
    </row>
    <row r="179" spans="1:17" x14ac:dyDescent="0.25">
      <c r="A179" s="6" t="s">
        <v>12</v>
      </c>
      <c r="B179" s="7" t="s">
        <v>526</v>
      </c>
      <c r="C179" s="7" t="s">
        <v>269</v>
      </c>
      <c r="D179" s="7" t="s">
        <v>527</v>
      </c>
      <c r="E179" s="8" t="s">
        <v>528</v>
      </c>
      <c r="F179" s="19">
        <v>3135726.34</v>
      </c>
      <c r="G179" s="9"/>
      <c r="H179" s="7">
        <v>1</v>
      </c>
      <c r="I179" s="8">
        <v>45985</v>
      </c>
      <c r="J179" s="9">
        <v>97</v>
      </c>
      <c r="K179" s="9" t="s">
        <v>71</v>
      </c>
      <c r="L179" s="8">
        <v>46082</v>
      </c>
      <c r="M179" s="23">
        <f>YEAR(Таблица1[[#This Row],[Дата отчета]])</f>
        <v>2026</v>
      </c>
      <c r="N179" s="7"/>
      <c r="O179" s="7"/>
      <c r="P179" s="7"/>
      <c r="Q179" s="10"/>
    </row>
    <row r="180" spans="1:17" x14ac:dyDescent="0.25">
      <c r="A180" s="1" t="s">
        <v>12</v>
      </c>
      <c r="B180" s="2" t="s">
        <v>529</v>
      </c>
      <c r="C180" s="2" t="s">
        <v>530</v>
      </c>
      <c r="D180" s="2" t="s">
        <v>531</v>
      </c>
      <c r="E180" s="3" t="s">
        <v>532</v>
      </c>
      <c r="F180" s="18">
        <v>5900</v>
      </c>
      <c r="G180" s="4"/>
      <c r="H180" s="2">
        <v>1</v>
      </c>
      <c r="I180" s="3">
        <v>45813</v>
      </c>
      <c r="J180" s="4">
        <v>269</v>
      </c>
      <c r="K180" s="4" t="s">
        <v>67</v>
      </c>
      <c r="L180" s="3">
        <v>46082</v>
      </c>
      <c r="M180" s="23">
        <f>YEAR(Таблица1[[#This Row],[Дата отчета]])</f>
        <v>2026</v>
      </c>
      <c r="N180" s="2"/>
      <c r="O180" s="2"/>
      <c r="P180" s="2"/>
      <c r="Q180" s="5"/>
    </row>
    <row r="181" spans="1:17" x14ac:dyDescent="0.25">
      <c r="A181" s="6" t="s">
        <v>12</v>
      </c>
      <c r="B181" s="7" t="s">
        <v>529</v>
      </c>
      <c r="C181" s="7" t="s">
        <v>533</v>
      </c>
      <c r="D181" s="7" t="s">
        <v>534</v>
      </c>
      <c r="E181" s="8" t="s">
        <v>535</v>
      </c>
      <c r="F181" s="19">
        <v>76000</v>
      </c>
      <c r="G181" s="9"/>
      <c r="H181" s="7">
        <v>1</v>
      </c>
      <c r="I181" s="8">
        <v>45796</v>
      </c>
      <c r="J181" s="9">
        <v>286</v>
      </c>
      <c r="K181" s="9" t="s">
        <v>92</v>
      </c>
      <c r="L181" s="8">
        <v>46082</v>
      </c>
      <c r="M181" s="23">
        <f>YEAR(Таблица1[[#This Row],[Дата отчета]])</f>
        <v>2026</v>
      </c>
      <c r="N181" s="7"/>
      <c r="O181" s="7"/>
      <c r="P181" s="7"/>
      <c r="Q181" s="10"/>
    </row>
    <row r="182" spans="1:17" x14ac:dyDescent="0.25">
      <c r="A182" s="1" t="s">
        <v>12</v>
      </c>
      <c r="B182" s="2" t="s">
        <v>536</v>
      </c>
      <c r="C182" s="2" t="s">
        <v>537</v>
      </c>
      <c r="D182" s="2" t="s">
        <v>538</v>
      </c>
      <c r="E182" s="3" t="s">
        <v>91</v>
      </c>
      <c r="F182" s="18">
        <v>9000</v>
      </c>
      <c r="G182" s="4"/>
      <c r="H182" s="2">
        <v>1</v>
      </c>
      <c r="I182" s="3">
        <v>45723</v>
      </c>
      <c r="J182" s="4">
        <v>359</v>
      </c>
      <c r="K182" s="4" t="s">
        <v>92</v>
      </c>
      <c r="L182" s="3">
        <v>46082</v>
      </c>
      <c r="M182" s="23">
        <f>YEAR(Таблица1[[#This Row],[Дата отчета]])</f>
        <v>2026</v>
      </c>
      <c r="N182" s="2" t="s">
        <v>807</v>
      </c>
      <c r="O182" s="2"/>
      <c r="P182" s="2"/>
      <c r="Q182" s="5"/>
    </row>
    <row r="183" spans="1:17" x14ac:dyDescent="0.25">
      <c r="A183" s="6" t="s">
        <v>12</v>
      </c>
      <c r="B183" s="7" t="s">
        <v>539</v>
      </c>
      <c r="C183" s="7" t="s">
        <v>540</v>
      </c>
      <c r="D183" s="7" t="s">
        <v>541</v>
      </c>
      <c r="E183" s="8" t="s">
        <v>87</v>
      </c>
      <c r="F183" s="19">
        <v>23320</v>
      </c>
      <c r="G183" s="9"/>
      <c r="H183" s="7">
        <v>1</v>
      </c>
      <c r="I183" s="8">
        <v>46020</v>
      </c>
      <c r="J183" s="9">
        <v>62</v>
      </c>
      <c r="K183" s="9" t="s">
        <v>27</v>
      </c>
      <c r="L183" s="8">
        <v>46082</v>
      </c>
      <c r="M183" s="23">
        <f>YEAR(Таблица1[[#This Row],[Дата отчета]])</f>
        <v>2026</v>
      </c>
      <c r="N183" s="7"/>
      <c r="O183" s="7"/>
      <c r="P183" s="7"/>
      <c r="Q183" s="10"/>
    </row>
    <row r="184" spans="1:17" x14ac:dyDescent="0.25">
      <c r="A184" s="1" t="s">
        <v>12</v>
      </c>
      <c r="B184" s="2" t="s">
        <v>539</v>
      </c>
      <c r="C184" s="2" t="s">
        <v>542</v>
      </c>
      <c r="D184" s="2" t="s">
        <v>543</v>
      </c>
      <c r="E184" s="3" t="s">
        <v>392</v>
      </c>
      <c r="F184" s="18">
        <v>427500</v>
      </c>
      <c r="G184" s="4"/>
      <c r="H184" s="2">
        <v>1</v>
      </c>
      <c r="I184" s="3">
        <v>45952</v>
      </c>
      <c r="J184" s="4">
        <v>130</v>
      </c>
      <c r="K184" s="4" t="s">
        <v>22</v>
      </c>
      <c r="L184" s="3">
        <v>46082</v>
      </c>
      <c r="M184" s="23">
        <f>YEAR(Таблица1[[#This Row],[Дата отчета]])</f>
        <v>2026</v>
      </c>
      <c r="N184" s="2"/>
      <c r="O184" s="2"/>
      <c r="P184" s="2"/>
      <c r="Q184" s="5"/>
    </row>
    <row r="185" spans="1:17" x14ac:dyDescent="0.25">
      <c r="A185" s="6" t="s">
        <v>12</v>
      </c>
      <c r="B185" s="7" t="s">
        <v>544</v>
      </c>
      <c r="C185" s="7" t="s">
        <v>545</v>
      </c>
      <c r="D185" s="7" t="s">
        <v>546</v>
      </c>
      <c r="E185" s="8" t="s">
        <v>528</v>
      </c>
      <c r="F185" s="19">
        <v>5088000</v>
      </c>
      <c r="G185" s="9"/>
      <c r="H185" s="7">
        <v>1</v>
      </c>
      <c r="I185" s="8">
        <v>45985</v>
      </c>
      <c r="J185" s="9">
        <v>97</v>
      </c>
      <c r="K185" s="9" t="s">
        <v>71</v>
      </c>
      <c r="L185" s="8">
        <v>46082</v>
      </c>
      <c r="M185" s="23">
        <f>YEAR(Таблица1[[#This Row],[Дата отчета]])</f>
        <v>2026</v>
      </c>
      <c r="N185" s="7"/>
      <c r="O185" s="7"/>
      <c r="P185" s="7"/>
      <c r="Q185" s="10"/>
    </row>
    <row r="186" spans="1:17" x14ac:dyDescent="0.25">
      <c r="A186" s="1" t="s">
        <v>12</v>
      </c>
      <c r="B186" s="2" t="s">
        <v>544</v>
      </c>
      <c r="C186" s="2" t="s">
        <v>547</v>
      </c>
      <c r="D186" s="2" t="s">
        <v>548</v>
      </c>
      <c r="E186" s="3" t="s">
        <v>528</v>
      </c>
      <c r="F186" s="18">
        <v>4563000</v>
      </c>
      <c r="G186" s="4"/>
      <c r="H186" s="2">
        <v>1</v>
      </c>
      <c r="I186" s="3">
        <v>45985</v>
      </c>
      <c r="J186" s="4">
        <v>97</v>
      </c>
      <c r="K186" s="4" t="s">
        <v>71</v>
      </c>
      <c r="L186" s="3">
        <v>46082</v>
      </c>
      <c r="M186" s="23">
        <f>YEAR(Таблица1[[#This Row],[Дата отчета]])</f>
        <v>2026</v>
      </c>
      <c r="N186" s="2"/>
      <c r="O186" s="2"/>
      <c r="P186" s="2"/>
      <c r="Q186" s="5"/>
    </row>
    <row r="187" spans="1:17" x14ac:dyDescent="0.25">
      <c r="A187" s="6" t="s">
        <v>12</v>
      </c>
      <c r="B187" s="7" t="s">
        <v>544</v>
      </c>
      <c r="C187" s="7" t="s">
        <v>549</v>
      </c>
      <c r="D187" s="7" t="s">
        <v>550</v>
      </c>
      <c r="E187" s="8" t="s">
        <v>528</v>
      </c>
      <c r="F187" s="19">
        <v>492000</v>
      </c>
      <c r="G187" s="9"/>
      <c r="H187" s="7">
        <v>1</v>
      </c>
      <c r="I187" s="8">
        <v>45985</v>
      </c>
      <c r="J187" s="9">
        <v>97</v>
      </c>
      <c r="K187" s="9" t="s">
        <v>71</v>
      </c>
      <c r="L187" s="8">
        <v>46082</v>
      </c>
      <c r="M187" s="23">
        <f>YEAR(Таблица1[[#This Row],[Дата отчета]])</f>
        <v>2026</v>
      </c>
      <c r="N187" s="7"/>
      <c r="O187" s="7"/>
      <c r="P187" s="7"/>
      <c r="Q187" s="10"/>
    </row>
    <row r="188" spans="1:17" x14ac:dyDescent="0.25">
      <c r="A188" s="1" t="s">
        <v>12</v>
      </c>
      <c r="B188" s="2" t="s">
        <v>544</v>
      </c>
      <c r="C188" s="2" t="s">
        <v>551</v>
      </c>
      <c r="D188" s="2" t="s">
        <v>552</v>
      </c>
      <c r="E188" s="3" t="s">
        <v>528</v>
      </c>
      <c r="F188" s="18">
        <v>8808000</v>
      </c>
      <c r="G188" s="4"/>
      <c r="H188" s="2">
        <v>1</v>
      </c>
      <c r="I188" s="3">
        <v>45985</v>
      </c>
      <c r="J188" s="4">
        <v>97</v>
      </c>
      <c r="K188" s="4" t="s">
        <v>71</v>
      </c>
      <c r="L188" s="3">
        <v>46082</v>
      </c>
      <c r="M188" s="23">
        <f>YEAR(Таблица1[[#This Row],[Дата отчета]])</f>
        <v>2026</v>
      </c>
      <c r="N188" s="2"/>
      <c r="O188" s="2"/>
      <c r="P188" s="2"/>
      <c r="Q188" s="5"/>
    </row>
    <row r="189" spans="1:17" x14ac:dyDescent="0.25">
      <c r="A189" s="6" t="s">
        <v>12</v>
      </c>
      <c r="B189" s="7" t="s">
        <v>544</v>
      </c>
      <c r="C189" s="7" t="s">
        <v>553</v>
      </c>
      <c r="D189" s="7" t="s">
        <v>554</v>
      </c>
      <c r="E189" s="8" t="s">
        <v>303</v>
      </c>
      <c r="F189" s="19">
        <v>2857301</v>
      </c>
      <c r="G189" s="9"/>
      <c r="H189" s="7">
        <v>1</v>
      </c>
      <c r="I189" s="8">
        <v>46059</v>
      </c>
      <c r="J189" s="9">
        <v>23</v>
      </c>
      <c r="K189" s="9" t="s">
        <v>38</v>
      </c>
      <c r="L189" s="8">
        <v>46082</v>
      </c>
      <c r="M189" s="23">
        <f>YEAR(Таблица1[[#This Row],[Дата отчета]])</f>
        <v>2026</v>
      </c>
      <c r="N189" s="7"/>
      <c r="O189" s="7"/>
      <c r="P189" s="7"/>
      <c r="Q189" s="10"/>
    </row>
    <row r="190" spans="1:17" x14ac:dyDescent="0.25">
      <c r="A190" s="1" t="s">
        <v>12</v>
      </c>
      <c r="B190" s="2" t="s">
        <v>544</v>
      </c>
      <c r="C190" s="2" t="s">
        <v>555</v>
      </c>
      <c r="D190" s="2" t="s">
        <v>556</v>
      </c>
      <c r="E190" s="3" t="s">
        <v>303</v>
      </c>
      <c r="F190" s="18">
        <v>7210200</v>
      </c>
      <c r="G190" s="4"/>
      <c r="H190" s="2">
        <v>1</v>
      </c>
      <c r="I190" s="3">
        <v>46059</v>
      </c>
      <c r="J190" s="4">
        <v>23</v>
      </c>
      <c r="K190" s="4" t="s">
        <v>38</v>
      </c>
      <c r="L190" s="3">
        <v>46082</v>
      </c>
      <c r="M190" s="23">
        <f>YEAR(Таблица1[[#This Row],[Дата отчета]])</f>
        <v>2026</v>
      </c>
      <c r="N190" s="2"/>
      <c r="O190" s="2"/>
      <c r="P190" s="2"/>
      <c r="Q190" s="5"/>
    </row>
    <row r="191" spans="1:17" x14ac:dyDescent="0.25">
      <c r="A191" s="6" t="s">
        <v>12</v>
      </c>
      <c r="B191" s="7" t="s">
        <v>557</v>
      </c>
      <c r="C191" s="7" t="s">
        <v>558</v>
      </c>
      <c r="D191" s="7" t="s">
        <v>559</v>
      </c>
      <c r="E191" s="8" t="s">
        <v>560</v>
      </c>
      <c r="F191" s="19">
        <v>39502.11</v>
      </c>
      <c r="G191" s="9"/>
      <c r="H191" s="7">
        <v>1</v>
      </c>
      <c r="I191" s="8">
        <v>45805</v>
      </c>
      <c r="J191" s="9">
        <v>277</v>
      </c>
      <c r="K191" s="9" t="s">
        <v>92</v>
      </c>
      <c r="L191" s="8">
        <v>46082</v>
      </c>
      <c r="M191" s="23">
        <f>YEAR(Таблица1[[#This Row],[Дата отчета]])</f>
        <v>2026</v>
      </c>
      <c r="N191" s="7"/>
      <c r="O191" s="7"/>
      <c r="P191" s="7"/>
      <c r="Q191" s="10"/>
    </row>
    <row r="192" spans="1:17" x14ac:dyDescent="0.25">
      <c r="A192" s="1" t="s">
        <v>12</v>
      </c>
      <c r="B192" s="2" t="s">
        <v>561</v>
      </c>
      <c r="C192" s="2" t="s">
        <v>562</v>
      </c>
      <c r="D192" s="2" t="s">
        <v>563</v>
      </c>
      <c r="E192" s="3" t="s">
        <v>31</v>
      </c>
      <c r="F192" s="18">
        <v>59150000</v>
      </c>
      <c r="G192" s="4"/>
      <c r="H192" s="2">
        <v>1</v>
      </c>
      <c r="I192" s="3">
        <v>46015</v>
      </c>
      <c r="J192" s="4">
        <v>67</v>
      </c>
      <c r="K192" s="4" t="s">
        <v>27</v>
      </c>
      <c r="L192" s="3">
        <v>46082</v>
      </c>
      <c r="M192" s="23">
        <f>YEAR(Таблица1[[#This Row],[Дата отчета]])</f>
        <v>2026</v>
      </c>
      <c r="N192" s="2"/>
      <c r="O192" s="2"/>
      <c r="P192" s="2"/>
      <c r="Q192" s="5"/>
    </row>
    <row r="193" spans="1:17" x14ac:dyDescent="0.25">
      <c r="A193" s="6" t="s">
        <v>12</v>
      </c>
      <c r="B193" s="7" t="s">
        <v>561</v>
      </c>
      <c r="C193" s="7" t="s">
        <v>564</v>
      </c>
      <c r="D193" s="7" t="s">
        <v>565</v>
      </c>
      <c r="E193" s="8" t="s">
        <v>204</v>
      </c>
      <c r="F193" s="19">
        <v>31.2</v>
      </c>
      <c r="G193" s="9"/>
      <c r="H193" s="7">
        <v>1</v>
      </c>
      <c r="I193" s="8">
        <v>45481</v>
      </c>
      <c r="J193" s="9">
        <v>601</v>
      </c>
      <c r="K193" s="9" t="s">
        <v>17</v>
      </c>
      <c r="L193" s="8">
        <v>46082</v>
      </c>
      <c r="M193" s="23">
        <f>YEAR(Таблица1[[#This Row],[Дата отчета]])</f>
        <v>2026</v>
      </c>
      <c r="N193" s="7"/>
      <c r="O193" s="7"/>
      <c r="P193" s="7"/>
      <c r="Q193" s="10"/>
    </row>
    <row r="194" spans="1:17" x14ac:dyDescent="0.25">
      <c r="A194" s="1" t="s">
        <v>12</v>
      </c>
      <c r="B194" s="2" t="s">
        <v>561</v>
      </c>
      <c r="C194" s="2" t="s">
        <v>564</v>
      </c>
      <c r="D194" s="2" t="s">
        <v>566</v>
      </c>
      <c r="E194" s="3" t="s">
        <v>204</v>
      </c>
      <c r="F194" s="18">
        <v>995281.85</v>
      </c>
      <c r="G194" s="4"/>
      <c r="H194" s="2">
        <v>1</v>
      </c>
      <c r="I194" s="3">
        <v>45481</v>
      </c>
      <c r="J194" s="4">
        <v>601</v>
      </c>
      <c r="K194" s="4" t="s">
        <v>17</v>
      </c>
      <c r="L194" s="3">
        <v>46082</v>
      </c>
      <c r="M194" s="23">
        <f>YEAR(Таблица1[[#This Row],[Дата отчета]])</f>
        <v>2026</v>
      </c>
      <c r="N194" s="2"/>
      <c r="O194" s="2"/>
      <c r="P194" s="2"/>
      <c r="Q194" s="5"/>
    </row>
    <row r="195" spans="1:17" x14ac:dyDescent="0.25">
      <c r="A195" s="6" t="s">
        <v>12</v>
      </c>
      <c r="B195" s="7" t="s">
        <v>561</v>
      </c>
      <c r="C195" s="7" t="s">
        <v>564</v>
      </c>
      <c r="D195" s="7" t="s">
        <v>567</v>
      </c>
      <c r="E195" s="8" t="s">
        <v>568</v>
      </c>
      <c r="F195" s="19">
        <v>395493.5</v>
      </c>
      <c r="G195" s="9"/>
      <c r="H195" s="7">
        <v>1</v>
      </c>
      <c r="I195" s="8">
        <v>45527</v>
      </c>
      <c r="J195" s="9">
        <v>555</v>
      </c>
      <c r="K195" s="9" t="s">
        <v>17</v>
      </c>
      <c r="L195" s="8">
        <v>46082</v>
      </c>
      <c r="M195" s="23">
        <f>YEAR(Таблица1[[#This Row],[Дата отчета]])</f>
        <v>2026</v>
      </c>
      <c r="N195" s="7"/>
      <c r="O195" s="7"/>
      <c r="P195" s="7"/>
      <c r="Q195" s="10"/>
    </row>
    <row r="196" spans="1:17" x14ac:dyDescent="0.25">
      <c r="A196" s="1" t="s">
        <v>12</v>
      </c>
      <c r="B196" s="2" t="s">
        <v>561</v>
      </c>
      <c r="C196" s="2" t="s">
        <v>569</v>
      </c>
      <c r="D196" s="2" t="s">
        <v>570</v>
      </c>
      <c r="E196" s="3" t="s">
        <v>571</v>
      </c>
      <c r="F196" s="18">
        <v>969720.57</v>
      </c>
      <c r="G196" s="4"/>
      <c r="H196" s="2">
        <v>1</v>
      </c>
      <c r="I196" s="3">
        <v>45951</v>
      </c>
      <c r="J196" s="4">
        <v>131</v>
      </c>
      <c r="K196" s="4" t="s">
        <v>22</v>
      </c>
      <c r="L196" s="3">
        <v>46082</v>
      </c>
      <c r="M196" s="23">
        <f>YEAR(Таблица1[[#This Row],[Дата отчета]])</f>
        <v>2026</v>
      </c>
      <c r="N196" s="2"/>
      <c r="O196" s="2"/>
      <c r="P196" s="2"/>
      <c r="Q196" s="5"/>
    </row>
    <row r="197" spans="1:17" x14ac:dyDescent="0.25">
      <c r="A197" s="6" t="s">
        <v>12</v>
      </c>
      <c r="B197" s="7" t="s">
        <v>561</v>
      </c>
      <c r="C197" s="7" t="s">
        <v>569</v>
      </c>
      <c r="D197" s="7" t="s">
        <v>572</v>
      </c>
      <c r="E197" s="8" t="s">
        <v>525</v>
      </c>
      <c r="F197" s="19">
        <v>389696.13</v>
      </c>
      <c r="G197" s="9"/>
      <c r="H197" s="7">
        <v>1</v>
      </c>
      <c r="I197" s="8">
        <v>45954</v>
      </c>
      <c r="J197" s="9">
        <v>128</v>
      </c>
      <c r="K197" s="9" t="s">
        <v>22</v>
      </c>
      <c r="L197" s="8">
        <v>46082</v>
      </c>
      <c r="M197" s="23">
        <f>YEAR(Таблица1[[#This Row],[Дата отчета]])</f>
        <v>2026</v>
      </c>
      <c r="N197" s="7"/>
      <c r="O197" s="7"/>
      <c r="P197" s="7"/>
      <c r="Q197" s="10"/>
    </row>
    <row r="198" spans="1:17" x14ac:dyDescent="0.25">
      <c r="A198" s="1" t="s">
        <v>12</v>
      </c>
      <c r="B198" s="2" t="s">
        <v>561</v>
      </c>
      <c r="C198" s="2" t="s">
        <v>569</v>
      </c>
      <c r="D198" s="2" t="s">
        <v>573</v>
      </c>
      <c r="E198" s="3" t="s">
        <v>525</v>
      </c>
      <c r="F198" s="18">
        <v>1002946.15</v>
      </c>
      <c r="G198" s="4"/>
      <c r="H198" s="2">
        <v>1</v>
      </c>
      <c r="I198" s="3">
        <v>45954</v>
      </c>
      <c r="J198" s="4">
        <v>128</v>
      </c>
      <c r="K198" s="4" t="s">
        <v>22</v>
      </c>
      <c r="L198" s="3">
        <v>46082</v>
      </c>
      <c r="M198" s="23">
        <f>YEAR(Таблица1[[#This Row],[Дата отчета]])</f>
        <v>2026</v>
      </c>
      <c r="N198" s="2"/>
      <c r="O198" s="2"/>
      <c r="P198" s="2"/>
      <c r="Q198" s="5"/>
    </row>
    <row r="199" spans="1:17" x14ac:dyDescent="0.25">
      <c r="A199" s="6" t="s">
        <v>12</v>
      </c>
      <c r="B199" s="7" t="s">
        <v>561</v>
      </c>
      <c r="C199" s="7" t="s">
        <v>574</v>
      </c>
      <c r="D199" s="7" t="s">
        <v>575</v>
      </c>
      <c r="E199" s="8" t="s">
        <v>576</v>
      </c>
      <c r="F199" s="19">
        <v>9675994.3599999994</v>
      </c>
      <c r="G199" s="9"/>
      <c r="H199" s="7">
        <v>1</v>
      </c>
      <c r="I199" s="8">
        <v>46064</v>
      </c>
      <c r="J199" s="9">
        <v>18</v>
      </c>
      <c r="K199" s="9" t="s">
        <v>38</v>
      </c>
      <c r="L199" s="8">
        <v>46082</v>
      </c>
      <c r="M199" s="23">
        <f>YEAR(Таблица1[[#This Row],[Дата отчета]])</f>
        <v>2026</v>
      </c>
      <c r="N199" s="7"/>
      <c r="O199" s="7"/>
      <c r="P199" s="7"/>
      <c r="Q199" s="10"/>
    </row>
    <row r="200" spans="1:17" x14ac:dyDescent="0.25">
      <c r="A200" s="1" t="s">
        <v>12</v>
      </c>
      <c r="B200" s="2" t="s">
        <v>561</v>
      </c>
      <c r="C200" s="2" t="s">
        <v>577</v>
      </c>
      <c r="D200" s="2" t="s">
        <v>578</v>
      </c>
      <c r="E200" s="3" t="s">
        <v>48</v>
      </c>
      <c r="F200" s="18">
        <v>27479576.449999999</v>
      </c>
      <c r="G200" s="4"/>
      <c r="H200" s="2">
        <v>1</v>
      </c>
      <c r="I200" s="3">
        <v>46078</v>
      </c>
      <c r="J200" s="4">
        <v>4</v>
      </c>
      <c r="K200" s="4" t="s">
        <v>38</v>
      </c>
      <c r="L200" s="3">
        <v>46082</v>
      </c>
      <c r="M200" s="23">
        <f>YEAR(Таблица1[[#This Row],[Дата отчета]])</f>
        <v>2026</v>
      </c>
      <c r="N200" s="2"/>
      <c r="O200" s="2"/>
      <c r="P200" s="2"/>
      <c r="Q200" s="5"/>
    </row>
    <row r="201" spans="1:17" x14ac:dyDescent="0.25">
      <c r="A201" s="6" t="s">
        <v>12</v>
      </c>
      <c r="B201" s="7" t="s">
        <v>561</v>
      </c>
      <c r="C201" s="7" t="s">
        <v>579</v>
      </c>
      <c r="D201" s="7" t="s">
        <v>580</v>
      </c>
      <c r="E201" s="8" t="s">
        <v>576</v>
      </c>
      <c r="F201" s="19">
        <v>710983.33</v>
      </c>
      <c r="G201" s="9"/>
      <c r="H201" s="7">
        <v>1</v>
      </c>
      <c r="I201" s="8">
        <v>46064</v>
      </c>
      <c r="J201" s="9">
        <v>18</v>
      </c>
      <c r="K201" s="9" t="s">
        <v>38</v>
      </c>
      <c r="L201" s="8">
        <v>46082</v>
      </c>
      <c r="M201" s="23">
        <f>YEAR(Таблица1[[#This Row],[Дата отчета]])</f>
        <v>2026</v>
      </c>
      <c r="N201" s="7"/>
      <c r="O201" s="7"/>
      <c r="P201" s="7"/>
      <c r="Q201" s="10"/>
    </row>
    <row r="202" spans="1:17" x14ac:dyDescent="0.25">
      <c r="A202" s="1" t="s">
        <v>12</v>
      </c>
      <c r="B202" s="2" t="s">
        <v>561</v>
      </c>
      <c r="C202" s="2" t="s">
        <v>581</v>
      </c>
      <c r="D202" s="2" t="s">
        <v>582</v>
      </c>
      <c r="E202" s="3" t="s">
        <v>576</v>
      </c>
      <c r="F202" s="18">
        <v>949199.4</v>
      </c>
      <c r="G202" s="4"/>
      <c r="H202" s="2">
        <v>1</v>
      </c>
      <c r="I202" s="3">
        <v>46064</v>
      </c>
      <c r="J202" s="4">
        <v>18</v>
      </c>
      <c r="K202" s="4" t="s">
        <v>38</v>
      </c>
      <c r="L202" s="3">
        <v>46082</v>
      </c>
      <c r="M202" s="23">
        <f>YEAR(Таблица1[[#This Row],[Дата отчета]])</f>
        <v>2026</v>
      </c>
      <c r="N202" s="2"/>
      <c r="O202" s="2"/>
      <c r="P202" s="2"/>
      <c r="Q202" s="5"/>
    </row>
    <row r="203" spans="1:17" x14ac:dyDescent="0.25">
      <c r="A203" s="6" t="s">
        <v>12</v>
      </c>
      <c r="B203" s="7" t="s">
        <v>561</v>
      </c>
      <c r="C203" s="7" t="s">
        <v>583</v>
      </c>
      <c r="D203" s="7" t="s">
        <v>584</v>
      </c>
      <c r="E203" s="8" t="s">
        <v>106</v>
      </c>
      <c r="F203" s="19">
        <v>3536597.4</v>
      </c>
      <c r="G203" s="9"/>
      <c r="H203" s="7">
        <v>1</v>
      </c>
      <c r="I203" s="8">
        <v>46017</v>
      </c>
      <c r="J203" s="9">
        <v>65</v>
      </c>
      <c r="K203" s="9" t="s">
        <v>27</v>
      </c>
      <c r="L203" s="8">
        <v>46082</v>
      </c>
      <c r="M203" s="23">
        <f>YEAR(Таблица1[[#This Row],[Дата отчета]])</f>
        <v>2026</v>
      </c>
      <c r="N203" s="7"/>
      <c r="O203" s="7"/>
      <c r="P203" s="7"/>
      <c r="Q203" s="10"/>
    </row>
    <row r="204" spans="1:17" x14ac:dyDescent="0.25">
      <c r="A204" s="1" t="s">
        <v>12</v>
      </c>
      <c r="B204" s="2" t="s">
        <v>561</v>
      </c>
      <c r="C204" s="2" t="s">
        <v>585</v>
      </c>
      <c r="D204" s="2" t="s">
        <v>586</v>
      </c>
      <c r="E204" s="3" t="s">
        <v>106</v>
      </c>
      <c r="F204" s="18">
        <v>1857916.08</v>
      </c>
      <c r="G204" s="4"/>
      <c r="H204" s="2">
        <v>1</v>
      </c>
      <c r="I204" s="3">
        <v>46017</v>
      </c>
      <c r="J204" s="4">
        <v>65</v>
      </c>
      <c r="K204" s="4" t="s">
        <v>27</v>
      </c>
      <c r="L204" s="3">
        <v>46082</v>
      </c>
      <c r="M204" s="23">
        <f>YEAR(Таблица1[[#This Row],[Дата отчета]])</f>
        <v>2026</v>
      </c>
      <c r="N204" s="2"/>
      <c r="O204" s="2"/>
      <c r="P204" s="2"/>
      <c r="Q204" s="5"/>
    </row>
    <row r="205" spans="1:17" x14ac:dyDescent="0.25">
      <c r="A205" s="6" t="s">
        <v>12</v>
      </c>
      <c r="B205" s="7" t="s">
        <v>561</v>
      </c>
      <c r="C205" s="7" t="s">
        <v>587</v>
      </c>
      <c r="D205" s="7" t="s">
        <v>588</v>
      </c>
      <c r="E205" s="8" t="s">
        <v>408</v>
      </c>
      <c r="F205" s="19">
        <v>4806964.25</v>
      </c>
      <c r="G205" s="9"/>
      <c r="H205" s="7">
        <v>1</v>
      </c>
      <c r="I205" s="8">
        <v>46010</v>
      </c>
      <c r="J205" s="9">
        <v>72</v>
      </c>
      <c r="K205" s="9" t="s">
        <v>27</v>
      </c>
      <c r="L205" s="8">
        <v>46082</v>
      </c>
      <c r="M205" s="23">
        <f>YEAR(Таблица1[[#This Row],[Дата отчета]])</f>
        <v>2026</v>
      </c>
      <c r="N205" s="7"/>
      <c r="O205" s="7"/>
      <c r="P205" s="7"/>
      <c r="Q205" s="10"/>
    </row>
    <row r="206" spans="1:17" x14ac:dyDescent="0.25">
      <c r="A206" s="1" t="s">
        <v>12</v>
      </c>
      <c r="B206" s="2" t="s">
        <v>589</v>
      </c>
      <c r="C206" s="2" t="s">
        <v>590</v>
      </c>
      <c r="D206" s="2" t="s">
        <v>591</v>
      </c>
      <c r="E206" s="3" t="s">
        <v>592</v>
      </c>
      <c r="F206" s="18">
        <v>904.82</v>
      </c>
      <c r="G206" s="4"/>
      <c r="H206" s="2">
        <v>1</v>
      </c>
      <c r="I206" s="3">
        <v>45966</v>
      </c>
      <c r="J206" s="4">
        <v>116</v>
      </c>
      <c r="K206" s="4" t="s">
        <v>71</v>
      </c>
      <c r="L206" s="3">
        <v>46082</v>
      </c>
      <c r="M206" s="23">
        <f>YEAR(Таблица1[[#This Row],[Дата отчета]])</f>
        <v>2026</v>
      </c>
      <c r="N206" s="2"/>
      <c r="O206" s="2"/>
      <c r="P206" s="2"/>
      <c r="Q206" s="5"/>
    </row>
    <row r="207" spans="1:17" x14ac:dyDescent="0.25">
      <c r="A207" s="6" t="s">
        <v>12</v>
      </c>
      <c r="B207" s="7" t="s">
        <v>589</v>
      </c>
      <c r="C207" s="7" t="s">
        <v>590</v>
      </c>
      <c r="D207" s="7" t="s">
        <v>593</v>
      </c>
      <c r="E207" s="8" t="s">
        <v>211</v>
      </c>
      <c r="F207" s="19">
        <v>2000</v>
      </c>
      <c r="G207" s="9"/>
      <c r="H207" s="7">
        <v>1</v>
      </c>
      <c r="I207" s="8">
        <v>46056</v>
      </c>
      <c r="J207" s="9">
        <v>26</v>
      </c>
      <c r="K207" s="9" t="s">
        <v>38</v>
      </c>
      <c r="L207" s="8">
        <v>46082</v>
      </c>
      <c r="M207" s="23">
        <f>YEAR(Таблица1[[#This Row],[Дата отчета]])</f>
        <v>2026</v>
      </c>
      <c r="N207" s="7"/>
      <c r="O207" s="7"/>
      <c r="P207" s="7"/>
      <c r="Q207" s="10"/>
    </row>
    <row r="208" spans="1:17" x14ac:dyDescent="0.25">
      <c r="A208" s="1" t="s">
        <v>12</v>
      </c>
      <c r="B208" s="2" t="s">
        <v>589</v>
      </c>
      <c r="C208" s="2" t="s">
        <v>594</v>
      </c>
      <c r="D208" s="2" t="s">
        <v>595</v>
      </c>
      <c r="E208" s="3" t="s">
        <v>211</v>
      </c>
      <c r="F208" s="18">
        <v>2534.89</v>
      </c>
      <c r="G208" s="4"/>
      <c r="H208" s="2">
        <v>1</v>
      </c>
      <c r="I208" s="3">
        <v>46056</v>
      </c>
      <c r="J208" s="4">
        <v>26</v>
      </c>
      <c r="K208" s="4" t="s">
        <v>38</v>
      </c>
      <c r="L208" s="3">
        <v>46082</v>
      </c>
      <c r="M208" s="23">
        <f>YEAR(Таблица1[[#This Row],[Дата отчета]])</f>
        <v>2026</v>
      </c>
      <c r="N208" s="2"/>
      <c r="O208" s="2"/>
      <c r="P208" s="2"/>
      <c r="Q208" s="5"/>
    </row>
    <row r="209" spans="1:17" x14ac:dyDescent="0.25">
      <c r="A209" s="6" t="s">
        <v>12</v>
      </c>
      <c r="B209" s="7" t="s">
        <v>589</v>
      </c>
      <c r="C209" s="7" t="s">
        <v>596</v>
      </c>
      <c r="D209" s="7" t="s">
        <v>597</v>
      </c>
      <c r="E209" s="8" t="s">
        <v>59</v>
      </c>
      <c r="F209" s="19">
        <v>7952.65</v>
      </c>
      <c r="G209" s="9"/>
      <c r="H209" s="7">
        <v>1</v>
      </c>
      <c r="I209" s="8">
        <v>46077</v>
      </c>
      <c r="J209" s="9">
        <v>5</v>
      </c>
      <c r="K209" s="9" t="s">
        <v>38</v>
      </c>
      <c r="L209" s="8">
        <v>46082</v>
      </c>
      <c r="M209" s="23">
        <f>YEAR(Таблица1[[#This Row],[Дата отчета]])</f>
        <v>2026</v>
      </c>
      <c r="N209" s="7"/>
      <c r="O209" s="7"/>
      <c r="P209" s="7"/>
      <c r="Q209" s="10"/>
    </row>
    <row r="210" spans="1:17" x14ac:dyDescent="0.25">
      <c r="A210" s="1" t="s">
        <v>12</v>
      </c>
      <c r="B210" s="2" t="s">
        <v>589</v>
      </c>
      <c r="C210" s="2" t="s">
        <v>598</v>
      </c>
      <c r="D210" s="2" t="s">
        <v>599</v>
      </c>
      <c r="E210" s="3" t="s">
        <v>600</v>
      </c>
      <c r="F210" s="18">
        <v>45.91</v>
      </c>
      <c r="G210" s="4"/>
      <c r="H210" s="2">
        <v>1</v>
      </c>
      <c r="I210" s="3">
        <v>43560</v>
      </c>
      <c r="J210" s="4">
        <v>2522</v>
      </c>
      <c r="K210" s="4" t="s">
        <v>17</v>
      </c>
      <c r="L210" s="3">
        <v>46082</v>
      </c>
      <c r="M210" s="23">
        <f>YEAR(Таблица1[[#This Row],[Дата отчета]])</f>
        <v>2026</v>
      </c>
      <c r="N210" s="2"/>
      <c r="O210" s="2"/>
      <c r="P210" s="2"/>
      <c r="Q210" s="5"/>
    </row>
    <row r="211" spans="1:17" x14ac:dyDescent="0.25">
      <c r="A211" s="6" t="s">
        <v>12</v>
      </c>
      <c r="B211" s="7" t="s">
        <v>589</v>
      </c>
      <c r="C211" s="7" t="s">
        <v>601</v>
      </c>
      <c r="D211" s="7" t="s">
        <v>602</v>
      </c>
      <c r="E211" s="8" t="s">
        <v>592</v>
      </c>
      <c r="F211" s="19">
        <v>2028.51</v>
      </c>
      <c r="G211" s="9"/>
      <c r="H211" s="7">
        <v>1</v>
      </c>
      <c r="I211" s="8">
        <v>45966</v>
      </c>
      <c r="J211" s="9">
        <v>116</v>
      </c>
      <c r="K211" s="9" t="s">
        <v>71</v>
      </c>
      <c r="L211" s="8">
        <v>46082</v>
      </c>
      <c r="M211" s="23">
        <f>YEAR(Таблица1[[#This Row],[Дата отчета]])</f>
        <v>2026</v>
      </c>
      <c r="N211" s="7"/>
      <c r="O211" s="7"/>
      <c r="P211" s="7"/>
      <c r="Q211" s="10"/>
    </row>
    <row r="212" spans="1:17" x14ac:dyDescent="0.25">
      <c r="A212" s="1" t="s">
        <v>12</v>
      </c>
      <c r="B212" s="2" t="s">
        <v>589</v>
      </c>
      <c r="C212" s="2" t="s">
        <v>601</v>
      </c>
      <c r="D212" s="2" t="s">
        <v>603</v>
      </c>
      <c r="E212" s="3" t="s">
        <v>211</v>
      </c>
      <c r="F212" s="18">
        <v>2000</v>
      </c>
      <c r="G212" s="4"/>
      <c r="H212" s="2">
        <v>1</v>
      </c>
      <c r="I212" s="3">
        <v>46056</v>
      </c>
      <c r="J212" s="4">
        <v>26</v>
      </c>
      <c r="K212" s="4" t="s">
        <v>38</v>
      </c>
      <c r="L212" s="3">
        <v>46082</v>
      </c>
      <c r="M212" s="23">
        <f>YEAR(Таблица1[[#This Row],[Дата отчета]])</f>
        <v>2026</v>
      </c>
      <c r="N212" s="2"/>
      <c r="O212" s="2"/>
      <c r="P212" s="2"/>
      <c r="Q212" s="5"/>
    </row>
    <row r="213" spans="1:17" x14ac:dyDescent="0.25">
      <c r="A213" s="6" t="s">
        <v>12</v>
      </c>
      <c r="B213" s="7" t="s">
        <v>589</v>
      </c>
      <c r="C213" s="7" t="s">
        <v>604</v>
      </c>
      <c r="D213" s="7" t="s">
        <v>605</v>
      </c>
      <c r="E213" s="8" t="s">
        <v>606</v>
      </c>
      <c r="F213" s="19">
        <v>316.13</v>
      </c>
      <c r="G213" s="9"/>
      <c r="H213" s="7">
        <v>1</v>
      </c>
      <c r="I213" s="8">
        <v>45873</v>
      </c>
      <c r="J213" s="9">
        <v>209</v>
      </c>
      <c r="K213" s="9" t="s">
        <v>67</v>
      </c>
      <c r="L213" s="8">
        <v>46082</v>
      </c>
      <c r="M213" s="23">
        <f>YEAR(Таблица1[[#This Row],[Дата отчета]])</f>
        <v>2026</v>
      </c>
      <c r="N213" s="7"/>
      <c r="O213" s="7"/>
      <c r="P213" s="7"/>
      <c r="Q213" s="10"/>
    </row>
    <row r="214" spans="1:17" x14ac:dyDescent="0.25">
      <c r="A214" s="1" t="s">
        <v>12</v>
      </c>
      <c r="B214" s="2" t="s">
        <v>589</v>
      </c>
      <c r="C214" s="2" t="s">
        <v>607</v>
      </c>
      <c r="D214" s="2" t="s">
        <v>608</v>
      </c>
      <c r="E214" s="3" t="s">
        <v>609</v>
      </c>
      <c r="F214" s="18">
        <v>771.25</v>
      </c>
      <c r="G214" s="4"/>
      <c r="H214" s="2">
        <v>1</v>
      </c>
      <c r="I214" s="3">
        <v>45233</v>
      </c>
      <c r="J214" s="4">
        <v>849</v>
      </c>
      <c r="K214" s="4" t="s">
        <v>17</v>
      </c>
      <c r="L214" s="3">
        <v>46082</v>
      </c>
      <c r="M214" s="23">
        <f>YEAR(Таблица1[[#This Row],[Дата отчета]])</f>
        <v>2026</v>
      </c>
      <c r="N214" s="2"/>
      <c r="O214" s="2"/>
      <c r="P214" s="2"/>
      <c r="Q214" s="5"/>
    </row>
    <row r="215" spans="1:17" x14ac:dyDescent="0.25">
      <c r="A215" s="6" t="s">
        <v>12</v>
      </c>
      <c r="B215" s="7" t="s">
        <v>589</v>
      </c>
      <c r="C215" s="7" t="s">
        <v>607</v>
      </c>
      <c r="D215" s="7" t="s">
        <v>610</v>
      </c>
      <c r="E215" s="8" t="s">
        <v>611</v>
      </c>
      <c r="F215" s="19">
        <v>500</v>
      </c>
      <c r="G215" s="9"/>
      <c r="H215" s="7">
        <v>1</v>
      </c>
      <c r="I215" s="8">
        <v>45335</v>
      </c>
      <c r="J215" s="9">
        <v>747</v>
      </c>
      <c r="K215" s="9" t="s">
        <v>17</v>
      </c>
      <c r="L215" s="8">
        <v>46082</v>
      </c>
      <c r="M215" s="23">
        <f>YEAR(Таблица1[[#This Row],[Дата отчета]])</f>
        <v>2026</v>
      </c>
      <c r="N215" s="7"/>
      <c r="O215" s="7"/>
      <c r="P215" s="7"/>
      <c r="Q215" s="10"/>
    </row>
    <row r="216" spans="1:17" x14ac:dyDescent="0.25">
      <c r="A216" s="1" t="s">
        <v>12</v>
      </c>
      <c r="B216" s="2" t="s">
        <v>589</v>
      </c>
      <c r="C216" s="2" t="s">
        <v>612</v>
      </c>
      <c r="D216" s="2" t="s">
        <v>613</v>
      </c>
      <c r="E216" s="3" t="s">
        <v>592</v>
      </c>
      <c r="F216" s="18">
        <v>2124.0700000000002</v>
      </c>
      <c r="G216" s="4"/>
      <c r="H216" s="2">
        <v>1</v>
      </c>
      <c r="I216" s="3">
        <v>45966</v>
      </c>
      <c r="J216" s="4">
        <v>116</v>
      </c>
      <c r="K216" s="4" t="s">
        <v>71</v>
      </c>
      <c r="L216" s="3">
        <v>46082</v>
      </c>
      <c r="M216" s="23">
        <f>YEAR(Таблица1[[#This Row],[Дата отчета]])</f>
        <v>2026</v>
      </c>
      <c r="N216" s="2"/>
      <c r="O216" s="2"/>
      <c r="P216" s="2"/>
      <c r="Q216" s="5"/>
    </row>
    <row r="217" spans="1:17" x14ac:dyDescent="0.25">
      <c r="A217" s="6" t="s">
        <v>12</v>
      </c>
      <c r="B217" s="7" t="s">
        <v>589</v>
      </c>
      <c r="C217" s="7" t="s">
        <v>612</v>
      </c>
      <c r="D217" s="7" t="s">
        <v>614</v>
      </c>
      <c r="E217" s="8" t="s">
        <v>211</v>
      </c>
      <c r="F217" s="19">
        <v>2000</v>
      </c>
      <c r="G217" s="9"/>
      <c r="H217" s="7">
        <v>1</v>
      </c>
      <c r="I217" s="8">
        <v>46056</v>
      </c>
      <c r="J217" s="9">
        <v>26</v>
      </c>
      <c r="K217" s="9" t="s">
        <v>38</v>
      </c>
      <c r="L217" s="8">
        <v>46082</v>
      </c>
      <c r="M217" s="23">
        <f>YEAR(Таблица1[[#This Row],[Дата отчета]])</f>
        <v>2026</v>
      </c>
      <c r="N217" s="7"/>
      <c r="O217" s="7"/>
      <c r="P217" s="7"/>
      <c r="Q217" s="10"/>
    </row>
    <row r="218" spans="1:17" x14ac:dyDescent="0.25">
      <c r="A218" s="1" t="s">
        <v>12</v>
      </c>
      <c r="B218" s="2" t="s">
        <v>589</v>
      </c>
      <c r="C218" s="2" t="s">
        <v>615</v>
      </c>
      <c r="D218" s="2" t="s">
        <v>616</v>
      </c>
      <c r="E218" s="3" t="s">
        <v>617</v>
      </c>
      <c r="F218" s="18">
        <v>127.6</v>
      </c>
      <c r="G218" s="4"/>
      <c r="H218" s="2">
        <v>1</v>
      </c>
      <c r="I218" s="3">
        <v>42468</v>
      </c>
      <c r="J218" s="4">
        <v>3614</v>
      </c>
      <c r="K218" s="4" t="s">
        <v>17</v>
      </c>
      <c r="L218" s="3">
        <v>46082</v>
      </c>
      <c r="M218" s="23">
        <f>YEAR(Таблица1[[#This Row],[Дата отчета]])</f>
        <v>2026</v>
      </c>
      <c r="N218" s="2"/>
      <c r="O218" s="2"/>
      <c r="P218" s="2"/>
      <c r="Q218" s="5"/>
    </row>
    <row r="219" spans="1:17" x14ac:dyDescent="0.25">
      <c r="A219" s="6" t="s">
        <v>12</v>
      </c>
      <c r="B219" s="7" t="s">
        <v>589</v>
      </c>
      <c r="C219" s="7" t="s">
        <v>615</v>
      </c>
      <c r="D219" s="7" t="s">
        <v>618</v>
      </c>
      <c r="E219" s="8" t="s">
        <v>619</v>
      </c>
      <c r="F219" s="19">
        <v>430</v>
      </c>
      <c r="G219" s="9"/>
      <c r="H219" s="7">
        <v>1</v>
      </c>
      <c r="I219" s="8">
        <v>42501</v>
      </c>
      <c r="J219" s="9">
        <v>3581</v>
      </c>
      <c r="K219" s="9" t="s">
        <v>17</v>
      </c>
      <c r="L219" s="8">
        <v>46082</v>
      </c>
      <c r="M219" s="23">
        <f>YEAR(Таблица1[[#This Row],[Дата отчета]])</f>
        <v>2026</v>
      </c>
      <c r="N219" s="7"/>
      <c r="O219" s="7"/>
      <c r="P219" s="7"/>
      <c r="Q219" s="10"/>
    </row>
    <row r="220" spans="1:17" x14ac:dyDescent="0.25">
      <c r="A220" s="1" t="s">
        <v>12</v>
      </c>
      <c r="B220" s="2" t="s">
        <v>589</v>
      </c>
      <c r="C220" s="2" t="s">
        <v>615</v>
      </c>
      <c r="D220" s="2" t="s">
        <v>620</v>
      </c>
      <c r="E220" s="3" t="s">
        <v>621</v>
      </c>
      <c r="F220" s="18">
        <v>0.01</v>
      </c>
      <c r="G220" s="4"/>
      <c r="H220" s="2">
        <v>1</v>
      </c>
      <c r="I220" s="3">
        <v>43817</v>
      </c>
      <c r="J220" s="4">
        <v>2265</v>
      </c>
      <c r="K220" s="4" t="s">
        <v>17</v>
      </c>
      <c r="L220" s="3">
        <v>46082</v>
      </c>
      <c r="M220" s="23">
        <f>YEAR(Таблица1[[#This Row],[Дата отчета]])</f>
        <v>2026</v>
      </c>
      <c r="N220" s="2"/>
      <c r="O220" s="2"/>
      <c r="P220" s="2"/>
      <c r="Q220" s="5"/>
    </row>
    <row r="221" spans="1:17" x14ac:dyDescent="0.25">
      <c r="A221" s="6" t="s">
        <v>12</v>
      </c>
      <c r="B221" s="7" t="s">
        <v>589</v>
      </c>
      <c r="C221" s="7" t="s">
        <v>622</v>
      </c>
      <c r="D221" s="7"/>
      <c r="E221" s="8"/>
      <c r="F221" s="19">
        <v>68.27</v>
      </c>
      <c r="G221" s="9"/>
      <c r="H221" s="7">
        <v>1</v>
      </c>
      <c r="I221" s="8">
        <v>0</v>
      </c>
      <c r="J221" s="9">
        <v>46082</v>
      </c>
      <c r="K221" s="9" t="s">
        <v>17</v>
      </c>
      <c r="L221" s="8">
        <v>46082</v>
      </c>
      <c r="M221" s="23">
        <f>YEAR(Таблица1[[#This Row],[Дата отчета]])</f>
        <v>2026</v>
      </c>
      <c r="N221" s="7"/>
      <c r="O221" s="7"/>
      <c r="P221" s="7"/>
      <c r="Q221" s="10"/>
    </row>
    <row r="222" spans="1:17" x14ac:dyDescent="0.25">
      <c r="A222" s="1" t="s">
        <v>12</v>
      </c>
      <c r="B222" s="2" t="s">
        <v>589</v>
      </c>
      <c r="C222" s="2" t="s">
        <v>623</v>
      </c>
      <c r="D222" s="2" t="s">
        <v>624</v>
      </c>
      <c r="E222" s="3" t="s">
        <v>625</v>
      </c>
      <c r="F222" s="18">
        <v>799.94</v>
      </c>
      <c r="G222" s="4"/>
      <c r="H222" s="2">
        <v>1</v>
      </c>
      <c r="I222" s="3">
        <v>42429</v>
      </c>
      <c r="J222" s="4">
        <v>3653</v>
      </c>
      <c r="K222" s="4" t="s">
        <v>17</v>
      </c>
      <c r="L222" s="3">
        <v>46082</v>
      </c>
      <c r="M222" s="23">
        <f>YEAR(Таблица1[[#This Row],[Дата отчета]])</f>
        <v>2026</v>
      </c>
      <c r="N222" s="2"/>
      <c r="O222" s="2"/>
      <c r="P222" s="2"/>
      <c r="Q222" s="5"/>
    </row>
    <row r="223" spans="1:17" x14ac:dyDescent="0.25">
      <c r="A223" s="6" t="s">
        <v>12</v>
      </c>
      <c r="B223" s="7" t="s">
        <v>589</v>
      </c>
      <c r="C223" s="7" t="s">
        <v>626</v>
      </c>
      <c r="D223" s="7" t="s">
        <v>627</v>
      </c>
      <c r="E223" s="8" t="s">
        <v>606</v>
      </c>
      <c r="F223" s="19">
        <v>2356.06</v>
      </c>
      <c r="G223" s="9"/>
      <c r="H223" s="7">
        <v>1</v>
      </c>
      <c r="I223" s="8">
        <v>45873</v>
      </c>
      <c r="J223" s="9">
        <v>209</v>
      </c>
      <c r="K223" s="9" t="s">
        <v>67</v>
      </c>
      <c r="L223" s="8">
        <v>46082</v>
      </c>
      <c r="M223" s="23">
        <f>YEAR(Таблица1[[#This Row],[Дата отчета]])</f>
        <v>2026</v>
      </c>
      <c r="N223" s="7"/>
      <c r="O223" s="7"/>
      <c r="P223" s="7"/>
      <c r="Q223" s="10"/>
    </row>
    <row r="224" spans="1:17" x14ac:dyDescent="0.25">
      <c r="A224" s="1" t="s">
        <v>12</v>
      </c>
      <c r="B224" s="2" t="s">
        <v>589</v>
      </c>
      <c r="C224" s="2" t="s">
        <v>626</v>
      </c>
      <c r="D224" s="2" t="s">
        <v>628</v>
      </c>
      <c r="E224" s="3" t="s">
        <v>592</v>
      </c>
      <c r="F224" s="18">
        <v>5000</v>
      </c>
      <c r="G224" s="4"/>
      <c r="H224" s="2">
        <v>1</v>
      </c>
      <c r="I224" s="3">
        <v>45966</v>
      </c>
      <c r="J224" s="4">
        <v>116</v>
      </c>
      <c r="K224" s="4" t="s">
        <v>71</v>
      </c>
      <c r="L224" s="3">
        <v>46082</v>
      </c>
      <c r="M224" s="23">
        <f>YEAR(Таблица1[[#This Row],[Дата отчета]])</f>
        <v>2026</v>
      </c>
      <c r="N224" s="2"/>
      <c r="O224" s="2"/>
      <c r="P224" s="2"/>
      <c r="Q224" s="5"/>
    </row>
    <row r="225" spans="1:17" x14ac:dyDescent="0.25">
      <c r="A225" s="6" t="s">
        <v>12</v>
      </c>
      <c r="B225" s="7" t="s">
        <v>589</v>
      </c>
      <c r="C225" s="7" t="s">
        <v>626</v>
      </c>
      <c r="D225" s="7" t="s">
        <v>629</v>
      </c>
      <c r="E225" s="8" t="s">
        <v>211</v>
      </c>
      <c r="F225" s="19">
        <v>2000</v>
      </c>
      <c r="G225" s="9"/>
      <c r="H225" s="7">
        <v>1</v>
      </c>
      <c r="I225" s="8">
        <v>46056</v>
      </c>
      <c r="J225" s="9">
        <v>26</v>
      </c>
      <c r="K225" s="9" t="s">
        <v>38</v>
      </c>
      <c r="L225" s="8">
        <v>46082</v>
      </c>
      <c r="M225" s="23">
        <f>YEAR(Таблица1[[#This Row],[Дата отчета]])</f>
        <v>2026</v>
      </c>
      <c r="N225" s="7"/>
      <c r="O225" s="7"/>
      <c r="P225" s="7"/>
      <c r="Q225" s="10"/>
    </row>
    <row r="226" spans="1:17" x14ac:dyDescent="0.25">
      <c r="A226" s="1" t="s">
        <v>12</v>
      </c>
      <c r="B226" s="2" t="s">
        <v>589</v>
      </c>
      <c r="C226" s="2" t="s">
        <v>630</v>
      </c>
      <c r="D226" s="2" t="s">
        <v>631</v>
      </c>
      <c r="E226" s="3" t="s">
        <v>528</v>
      </c>
      <c r="F226" s="18">
        <v>800</v>
      </c>
      <c r="G226" s="4"/>
      <c r="H226" s="2">
        <v>1</v>
      </c>
      <c r="I226" s="3">
        <v>45985</v>
      </c>
      <c r="J226" s="4">
        <v>97</v>
      </c>
      <c r="K226" s="4" t="s">
        <v>71</v>
      </c>
      <c r="L226" s="3">
        <v>46082</v>
      </c>
      <c r="M226" s="23">
        <f>YEAR(Таблица1[[#This Row],[Дата отчета]])</f>
        <v>2026</v>
      </c>
      <c r="N226" s="2"/>
      <c r="O226" s="2"/>
      <c r="P226" s="2"/>
      <c r="Q226" s="5"/>
    </row>
    <row r="227" spans="1:17" x14ac:dyDescent="0.25">
      <c r="A227" s="6" t="s">
        <v>12</v>
      </c>
      <c r="B227" s="7" t="s">
        <v>632</v>
      </c>
      <c r="C227" s="7" t="s">
        <v>633</v>
      </c>
      <c r="D227" s="7" t="s">
        <v>634</v>
      </c>
      <c r="E227" s="8" t="s">
        <v>635</v>
      </c>
      <c r="F227" s="19">
        <v>45000</v>
      </c>
      <c r="G227" s="9"/>
      <c r="H227" s="7">
        <v>1</v>
      </c>
      <c r="I227" s="8">
        <v>45910</v>
      </c>
      <c r="J227" s="9">
        <v>172</v>
      </c>
      <c r="K227" s="9" t="s">
        <v>22</v>
      </c>
      <c r="L227" s="8">
        <v>46082</v>
      </c>
      <c r="M227" s="23">
        <f>YEAR(Таблица1[[#This Row],[Дата отчета]])</f>
        <v>2026</v>
      </c>
      <c r="N227" s="7"/>
      <c r="O227" s="7"/>
      <c r="P227" s="7"/>
      <c r="Q227" s="10"/>
    </row>
    <row r="228" spans="1:17" x14ac:dyDescent="0.25">
      <c r="A228" s="1" t="s">
        <v>12</v>
      </c>
      <c r="B228" s="2" t="s">
        <v>636</v>
      </c>
      <c r="C228" s="2" t="s">
        <v>637</v>
      </c>
      <c r="D228" s="2" t="s">
        <v>638</v>
      </c>
      <c r="E228" s="3" t="s">
        <v>75</v>
      </c>
      <c r="F228" s="18">
        <v>411323.77</v>
      </c>
      <c r="G228" s="4"/>
      <c r="H228" s="2">
        <v>1</v>
      </c>
      <c r="I228" s="3">
        <v>46016</v>
      </c>
      <c r="J228" s="4">
        <v>66</v>
      </c>
      <c r="K228" s="4" t="s">
        <v>27</v>
      </c>
      <c r="L228" s="3">
        <v>46082</v>
      </c>
      <c r="M228" s="23">
        <f>YEAR(Таблица1[[#This Row],[Дата отчета]])</f>
        <v>2026</v>
      </c>
      <c r="N228" s="2"/>
      <c r="O228" s="2"/>
      <c r="P228" s="2"/>
      <c r="Q228" s="5"/>
    </row>
    <row r="229" spans="1:17" x14ac:dyDescent="0.25">
      <c r="A229" s="6" t="s">
        <v>12</v>
      </c>
      <c r="B229" s="7" t="s">
        <v>636</v>
      </c>
      <c r="C229" s="7" t="s">
        <v>639</v>
      </c>
      <c r="D229" s="7" t="s">
        <v>640</v>
      </c>
      <c r="E229" s="8" t="s">
        <v>455</v>
      </c>
      <c r="F229" s="19">
        <v>5632282.5</v>
      </c>
      <c r="G229" s="9"/>
      <c r="H229" s="7">
        <v>1</v>
      </c>
      <c r="I229" s="8">
        <v>46080</v>
      </c>
      <c r="J229" s="9">
        <v>2</v>
      </c>
      <c r="K229" s="9" t="s">
        <v>38</v>
      </c>
      <c r="L229" s="8">
        <v>46082</v>
      </c>
      <c r="M229" s="23">
        <f>YEAR(Таблица1[[#This Row],[Дата отчета]])</f>
        <v>2026</v>
      </c>
      <c r="N229" s="7"/>
      <c r="O229" s="7"/>
      <c r="P229" s="7"/>
      <c r="Q229" s="10"/>
    </row>
    <row r="230" spans="1:17" x14ac:dyDescent="0.25">
      <c r="A230" s="1" t="s">
        <v>12</v>
      </c>
      <c r="B230" s="2" t="s">
        <v>641</v>
      </c>
      <c r="C230" s="2" t="s">
        <v>642</v>
      </c>
      <c r="D230" s="2" t="s">
        <v>643</v>
      </c>
      <c r="E230" s="3" t="s">
        <v>360</v>
      </c>
      <c r="F230" s="18">
        <v>1750000</v>
      </c>
      <c r="G230" s="4"/>
      <c r="H230" s="2">
        <v>1</v>
      </c>
      <c r="I230" s="3">
        <v>46058</v>
      </c>
      <c r="J230" s="4">
        <v>24</v>
      </c>
      <c r="K230" s="4" t="s">
        <v>38</v>
      </c>
      <c r="L230" s="3">
        <v>46082</v>
      </c>
      <c r="M230" s="23">
        <f>YEAR(Таблица1[[#This Row],[Дата отчета]])</f>
        <v>2026</v>
      </c>
      <c r="N230" s="2"/>
      <c r="O230" s="2"/>
      <c r="P230" s="2"/>
      <c r="Q230" s="5"/>
    </row>
    <row r="231" spans="1:17" x14ac:dyDescent="0.25">
      <c r="A231" s="6" t="s">
        <v>12</v>
      </c>
      <c r="B231" s="7" t="s">
        <v>641</v>
      </c>
      <c r="C231" s="7" t="s">
        <v>642</v>
      </c>
      <c r="D231" s="7" t="s">
        <v>644</v>
      </c>
      <c r="E231" s="8" t="s">
        <v>455</v>
      </c>
      <c r="F231" s="19">
        <v>1750000</v>
      </c>
      <c r="G231" s="9"/>
      <c r="H231" s="7">
        <v>1</v>
      </c>
      <c r="I231" s="8">
        <v>46080</v>
      </c>
      <c r="J231" s="9">
        <v>2</v>
      </c>
      <c r="K231" s="9" t="s">
        <v>38</v>
      </c>
      <c r="L231" s="8">
        <v>46082</v>
      </c>
      <c r="M231" s="23">
        <f>YEAR(Таблица1[[#This Row],[Дата отчета]])</f>
        <v>2026</v>
      </c>
      <c r="N231" s="7"/>
      <c r="O231" s="7"/>
      <c r="P231" s="7"/>
      <c r="Q231" s="10"/>
    </row>
    <row r="232" spans="1:17" x14ac:dyDescent="0.25">
      <c r="A232" s="1" t="s">
        <v>12</v>
      </c>
      <c r="B232" s="2" t="s">
        <v>645</v>
      </c>
      <c r="C232" s="2" t="s">
        <v>646</v>
      </c>
      <c r="D232" s="2" t="s">
        <v>647</v>
      </c>
      <c r="E232" s="3" t="s">
        <v>26</v>
      </c>
      <c r="F232" s="18">
        <v>9237364.1999999993</v>
      </c>
      <c r="G232" s="4"/>
      <c r="H232" s="2">
        <v>1</v>
      </c>
      <c r="I232" s="3">
        <v>46044</v>
      </c>
      <c r="J232" s="4">
        <v>38</v>
      </c>
      <c r="K232" s="4" t="s">
        <v>27</v>
      </c>
      <c r="L232" s="3">
        <v>46082</v>
      </c>
      <c r="M232" s="23">
        <f>YEAR(Таблица1[[#This Row],[Дата отчета]])</f>
        <v>2026</v>
      </c>
      <c r="N232" s="2"/>
      <c r="O232" s="2"/>
      <c r="P232" s="2"/>
      <c r="Q232" s="5"/>
    </row>
    <row r="233" spans="1:17" x14ac:dyDescent="0.25">
      <c r="A233" s="6" t="s">
        <v>12</v>
      </c>
      <c r="B233" s="7" t="s">
        <v>645</v>
      </c>
      <c r="C233" s="7" t="s">
        <v>648</v>
      </c>
      <c r="D233" s="7" t="s">
        <v>649</v>
      </c>
      <c r="E233" s="8" t="s">
        <v>576</v>
      </c>
      <c r="F233" s="19">
        <v>9237364.1999999993</v>
      </c>
      <c r="G233" s="9"/>
      <c r="H233" s="7">
        <v>1</v>
      </c>
      <c r="I233" s="8">
        <v>46064</v>
      </c>
      <c r="J233" s="9">
        <v>18</v>
      </c>
      <c r="K233" s="9" t="s">
        <v>38</v>
      </c>
      <c r="L233" s="8">
        <v>46082</v>
      </c>
      <c r="M233" s="23">
        <f>YEAR(Таблица1[[#This Row],[Дата отчета]])</f>
        <v>2026</v>
      </c>
      <c r="N233" s="7"/>
      <c r="O233" s="7"/>
      <c r="P233" s="7"/>
      <c r="Q233" s="10"/>
    </row>
    <row r="234" spans="1:17" x14ac:dyDescent="0.25">
      <c r="A234" s="1" t="s">
        <v>12</v>
      </c>
      <c r="B234" s="2" t="s">
        <v>645</v>
      </c>
      <c r="C234" s="2" t="s">
        <v>650</v>
      </c>
      <c r="D234" s="2" t="s">
        <v>651</v>
      </c>
      <c r="E234" s="3" t="s">
        <v>652</v>
      </c>
      <c r="F234" s="18">
        <v>456108</v>
      </c>
      <c r="G234" s="4"/>
      <c r="H234" s="2">
        <v>1</v>
      </c>
      <c r="I234" s="3">
        <v>45971</v>
      </c>
      <c r="J234" s="4">
        <v>111</v>
      </c>
      <c r="K234" s="4" t="s">
        <v>71</v>
      </c>
      <c r="L234" s="3">
        <v>46082</v>
      </c>
      <c r="M234" s="23">
        <f>YEAR(Таблица1[[#This Row],[Дата отчета]])</f>
        <v>2026</v>
      </c>
      <c r="N234" s="2"/>
      <c r="O234" s="2"/>
      <c r="P234" s="2"/>
      <c r="Q234" s="5"/>
    </row>
    <row r="235" spans="1:17" x14ac:dyDescent="0.25">
      <c r="A235" s="6" t="s">
        <v>12</v>
      </c>
      <c r="B235" s="7" t="s">
        <v>653</v>
      </c>
      <c r="C235" s="7" t="s">
        <v>654</v>
      </c>
      <c r="D235" s="7" t="s">
        <v>655</v>
      </c>
      <c r="E235" s="8" t="s">
        <v>656</v>
      </c>
      <c r="F235" s="19">
        <v>2210602</v>
      </c>
      <c r="G235" s="9"/>
      <c r="H235" s="7">
        <v>1</v>
      </c>
      <c r="I235" s="8">
        <v>46052</v>
      </c>
      <c r="J235" s="9">
        <v>30</v>
      </c>
      <c r="K235" s="9" t="s">
        <v>38</v>
      </c>
      <c r="L235" s="8">
        <v>46082</v>
      </c>
      <c r="M235" s="23">
        <f>YEAR(Таблица1[[#This Row],[Дата отчета]])</f>
        <v>2026</v>
      </c>
      <c r="N235" s="7"/>
      <c r="O235" s="7"/>
      <c r="P235" s="7"/>
      <c r="Q235" s="10"/>
    </row>
    <row r="236" spans="1:17" x14ac:dyDescent="0.25">
      <c r="A236" s="1" t="s">
        <v>12</v>
      </c>
      <c r="B236" s="2" t="s">
        <v>653</v>
      </c>
      <c r="C236" s="2" t="s">
        <v>657</v>
      </c>
      <c r="D236" s="2" t="s">
        <v>658</v>
      </c>
      <c r="E236" s="3" t="s">
        <v>350</v>
      </c>
      <c r="F236" s="18">
        <v>20163208.710000001</v>
      </c>
      <c r="G236" s="4"/>
      <c r="H236" s="2">
        <v>1</v>
      </c>
      <c r="I236" s="3">
        <v>46057</v>
      </c>
      <c r="J236" s="4">
        <v>25</v>
      </c>
      <c r="K236" s="4" t="s">
        <v>38</v>
      </c>
      <c r="L236" s="3">
        <v>46082</v>
      </c>
      <c r="M236" s="23">
        <f>YEAR(Таблица1[[#This Row],[Дата отчета]])</f>
        <v>2026</v>
      </c>
      <c r="N236" s="2"/>
      <c r="O236" s="2"/>
      <c r="P236" s="2"/>
      <c r="Q236" s="5"/>
    </row>
    <row r="237" spans="1:17" x14ac:dyDescent="0.25">
      <c r="A237" s="6" t="s">
        <v>12</v>
      </c>
      <c r="B237" s="7" t="s">
        <v>659</v>
      </c>
      <c r="C237" s="7" t="s">
        <v>660</v>
      </c>
      <c r="D237" s="7" t="s">
        <v>661</v>
      </c>
      <c r="E237" s="8" t="s">
        <v>662</v>
      </c>
      <c r="F237" s="19">
        <v>7568</v>
      </c>
      <c r="G237" s="9"/>
      <c r="H237" s="7">
        <v>1</v>
      </c>
      <c r="I237" s="8">
        <v>45932</v>
      </c>
      <c r="J237" s="9">
        <v>150</v>
      </c>
      <c r="K237" s="9" t="s">
        <v>22</v>
      </c>
      <c r="L237" s="8">
        <v>46082</v>
      </c>
      <c r="M237" s="23">
        <f>YEAR(Таблица1[[#This Row],[Дата отчета]])</f>
        <v>2026</v>
      </c>
      <c r="N237" s="7"/>
      <c r="O237" s="7"/>
      <c r="P237" s="7"/>
      <c r="Q237" s="10"/>
    </row>
    <row r="238" spans="1:17" x14ac:dyDescent="0.25">
      <c r="A238" s="1" t="s">
        <v>12</v>
      </c>
      <c r="B238" s="2" t="s">
        <v>663</v>
      </c>
      <c r="C238" s="2" t="s">
        <v>664</v>
      </c>
      <c r="D238" s="2" t="s">
        <v>665</v>
      </c>
      <c r="E238" s="3" t="s">
        <v>70</v>
      </c>
      <c r="F238" s="18">
        <v>9550</v>
      </c>
      <c r="G238" s="4"/>
      <c r="H238" s="2">
        <v>1</v>
      </c>
      <c r="I238" s="3">
        <v>45979</v>
      </c>
      <c r="J238" s="4">
        <v>103</v>
      </c>
      <c r="K238" s="4" t="s">
        <v>71</v>
      </c>
      <c r="L238" s="3">
        <v>46082</v>
      </c>
      <c r="M238" s="23">
        <f>YEAR(Таблица1[[#This Row],[Дата отчета]])</f>
        <v>2026</v>
      </c>
      <c r="N238" s="2"/>
      <c r="O238" s="2"/>
      <c r="P238" s="2"/>
      <c r="Q238" s="5"/>
    </row>
    <row r="239" spans="1:17" x14ac:dyDescent="0.25">
      <c r="A239" s="6" t="s">
        <v>12</v>
      </c>
      <c r="B239" s="7" t="s">
        <v>666</v>
      </c>
      <c r="C239" s="7" t="s">
        <v>667</v>
      </c>
      <c r="D239" s="7" t="s">
        <v>668</v>
      </c>
      <c r="E239" s="8" t="s">
        <v>669</v>
      </c>
      <c r="F239" s="19">
        <v>25035</v>
      </c>
      <c r="G239" s="9"/>
      <c r="H239" s="7">
        <v>1</v>
      </c>
      <c r="I239" s="8">
        <v>45930</v>
      </c>
      <c r="J239" s="9">
        <v>152</v>
      </c>
      <c r="K239" s="9" t="s">
        <v>22</v>
      </c>
      <c r="L239" s="8">
        <v>46082</v>
      </c>
      <c r="M239" s="23">
        <f>YEAR(Таблица1[[#This Row],[Дата отчета]])</f>
        <v>2026</v>
      </c>
      <c r="N239" s="7"/>
      <c r="O239" s="7"/>
      <c r="P239" s="7"/>
      <c r="Q239" s="10"/>
    </row>
    <row r="240" spans="1:17" x14ac:dyDescent="0.25">
      <c r="A240" s="1" t="s">
        <v>12</v>
      </c>
      <c r="B240" s="2" t="s">
        <v>670</v>
      </c>
      <c r="C240" s="2" t="s">
        <v>671</v>
      </c>
      <c r="D240" s="2" t="s">
        <v>672</v>
      </c>
      <c r="E240" s="3" t="s">
        <v>673</v>
      </c>
      <c r="F240" s="18">
        <v>114.79</v>
      </c>
      <c r="G240" s="4"/>
      <c r="H240" s="2">
        <v>1</v>
      </c>
      <c r="I240" s="3">
        <v>45775</v>
      </c>
      <c r="J240" s="4">
        <v>307</v>
      </c>
      <c r="K240" s="4" t="s">
        <v>92</v>
      </c>
      <c r="L240" s="3">
        <v>46082</v>
      </c>
      <c r="M240" s="23">
        <f>YEAR(Таблица1[[#This Row],[Дата отчета]])</f>
        <v>2026</v>
      </c>
      <c r="N240" s="2"/>
      <c r="O240" s="2"/>
      <c r="P240" s="2"/>
      <c r="Q240" s="5"/>
    </row>
    <row r="241" spans="1:17" x14ac:dyDescent="0.25">
      <c r="A241" s="6" t="s">
        <v>12</v>
      </c>
      <c r="B241" s="7" t="s">
        <v>674</v>
      </c>
      <c r="C241" s="7" t="s">
        <v>675</v>
      </c>
      <c r="D241" s="7" t="s">
        <v>676</v>
      </c>
      <c r="E241" s="8" t="s">
        <v>350</v>
      </c>
      <c r="F241" s="19">
        <v>830516.83</v>
      </c>
      <c r="G241" s="9"/>
      <c r="H241" s="7">
        <v>1</v>
      </c>
      <c r="I241" s="8">
        <v>46057</v>
      </c>
      <c r="J241" s="9">
        <v>25</v>
      </c>
      <c r="K241" s="9" t="s">
        <v>38</v>
      </c>
      <c r="L241" s="8">
        <v>46082</v>
      </c>
      <c r="M241" s="23">
        <f>YEAR(Таблица1[[#This Row],[Дата отчета]])</f>
        <v>2026</v>
      </c>
      <c r="N241" s="7"/>
      <c r="O241" s="7"/>
      <c r="P241" s="7"/>
      <c r="Q241" s="10"/>
    </row>
    <row r="242" spans="1:17" x14ac:dyDescent="0.25">
      <c r="A242" s="1" t="s">
        <v>12</v>
      </c>
      <c r="B242" s="2" t="s">
        <v>677</v>
      </c>
      <c r="C242" s="2" t="s">
        <v>678</v>
      </c>
      <c r="D242" s="2" t="s">
        <v>679</v>
      </c>
      <c r="E242" s="3" t="s">
        <v>239</v>
      </c>
      <c r="F242" s="18">
        <v>0.01</v>
      </c>
      <c r="G242" s="4"/>
      <c r="H242" s="2">
        <v>1</v>
      </c>
      <c r="I242" s="3">
        <v>45996</v>
      </c>
      <c r="J242" s="4">
        <v>86</v>
      </c>
      <c r="K242" s="4" t="s">
        <v>27</v>
      </c>
      <c r="L242" s="3">
        <v>46082</v>
      </c>
      <c r="M242" s="23">
        <f>YEAR(Таблица1[[#This Row],[Дата отчета]])</f>
        <v>2026</v>
      </c>
      <c r="N242" s="2"/>
      <c r="O242" s="2"/>
      <c r="P242" s="2"/>
      <c r="Q242" s="5"/>
    </row>
    <row r="243" spans="1:17" x14ac:dyDescent="0.25">
      <c r="A243" s="6" t="s">
        <v>12</v>
      </c>
      <c r="B243" s="7" t="s">
        <v>677</v>
      </c>
      <c r="C243" s="7" t="s">
        <v>269</v>
      </c>
      <c r="D243" s="7"/>
      <c r="E243" s="8"/>
      <c r="F243" s="19">
        <v>49553</v>
      </c>
      <c r="G243" s="9"/>
      <c r="H243" s="7">
        <v>1</v>
      </c>
      <c r="I243" s="8">
        <v>0</v>
      </c>
      <c r="J243" s="9">
        <v>46082</v>
      </c>
      <c r="K243" s="9" t="s">
        <v>17</v>
      </c>
      <c r="L243" s="8">
        <v>46082</v>
      </c>
      <c r="M243" s="23">
        <f>YEAR(Таблица1[[#This Row],[Дата отчета]])</f>
        <v>2026</v>
      </c>
      <c r="N243" s="7"/>
      <c r="O243" s="7"/>
      <c r="P243" s="7"/>
      <c r="Q243" s="10"/>
    </row>
    <row r="244" spans="1:17" x14ac:dyDescent="0.25">
      <c r="A244" s="1" t="s">
        <v>12</v>
      </c>
      <c r="B244" s="2" t="s">
        <v>680</v>
      </c>
      <c r="C244" s="2" t="s">
        <v>681</v>
      </c>
      <c r="D244" s="2" t="s">
        <v>682</v>
      </c>
      <c r="E244" s="3" t="s">
        <v>683</v>
      </c>
      <c r="F244" s="18">
        <v>25739.47</v>
      </c>
      <c r="G244" s="4"/>
      <c r="H244" s="2">
        <v>1</v>
      </c>
      <c r="I244" s="3">
        <v>45748</v>
      </c>
      <c r="J244" s="4">
        <v>334</v>
      </c>
      <c r="K244" s="4" t="s">
        <v>92</v>
      </c>
      <c r="L244" s="3">
        <v>46082</v>
      </c>
      <c r="M244" s="23">
        <f>YEAR(Таблица1[[#This Row],[Дата отчета]])</f>
        <v>2026</v>
      </c>
      <c r="N244" s="2"/>
      <c r="O244" s="2"/>
      <c r="P244" s="2"/>
      <c r="Q244" s="5"/>
    </row>
    <row r="245" spans="1:17" x14ac:dyDescent="0.25">
      <c r="A245" s="6" t="s">
        <v>12</v>
      </c>
      <c r="B245" s="7" t="s">
        <v>684</v>
      </c>
      <c r="C245" s="7" t="s">
        <v>685</v>
      </c>
      <c r="D245" s="7" t="s">
        <v>686</v>
      </c>
      <c r="E245" s="8" t="s">
        <v>687</v>
      </c>
      <c r="F245" s="19">
        <v>231787.21</v>
      </c>
      <c r="G245" s="9"/>
      <c r="H245" s="7">
        <v>1</v>
      </c>
      <c r="I245" s="8">
        <v>45771</v>
      </c>
      <c r="J245" s="9">
        <v>311</v>
      </c>
      <c r="K245" s="9" t="s">
        <v>92</v>
      </c>
      <c r="L245" s="8">
        <v>46082</v>
      </c>
      <c r="M245" s="23">
        <f>YEAR(Таблица1[[#This Row],[Дата отчета]])</f>
        <v>2026</v>
      </c>
      <c r="N245" s="7"/>
      <c r="O245" s="7"/>
      <c r="P245" s="7"/>
      <c r="Q245" s="10"/>
    </row>
    <row r="246" spans="1:17" x14ac:dyDescent="0.25">
      <c r="A246" s="1" t="s">
        <v>12</v>
      </c>
      <c r="B246" s="2" t="s">
        <v>684</v>
      </c>
      <c r="C246" s="2" t="s">
        <v>688</v>
      </c>
      <c r="D246" s="2" t="s">
        <v>689</v>
      </c>
      <c r="E246" s="3" t="s">
        <v>690</v>
      </c>
      <c r="F246" s="18">
        <v>1109648.04</v>
      </c>
      <c r="G246" s="4"/>
      <c r="H246" s="2">
        <v>1</v>
      </c>
      <c r="I246" s="3">
        <v>45958</v>
      </c>
      <c r="J246" s="4">
        <v>124</v>
      </c>
      <c r="K246" s="4" t="s">
        <v>22</v>
      </c>
      <c r="L246" s="3">
        <v>46082</v>
      </c>
      <c r="M246" s="23">
        <f>YEAR(Таблица1[[#This Row],[Дата отчета]])</f>
        <v>2026</v>
      </c>
      <c r="N246" s="2"/>
      <c r="O246" s="2"/>
      <c r="P246" s="2"/>
      <c r="Q246" s="5"/>
    </row>
    <row r="247" spans="1:17" x14ac:dyDescent="0.25">
      <c r="A247" s="6" t="s">
        <v>12</v>
      </c>
      <c r="B247" s="7" t="s">
        <v>684</v>
      </c>
      <c r="C247" s="7" t="s">
        <v>688</v>
      </c>
      <c r="D247" s="7" t="s">
        <v>691</v>
      </c>
      <c r="E247" s="8" t="s">
        <v>692</v>
      </c>
      <c r="F247" s="19">
        <v>623307.19999999995</v>
      </c>
      <c r="G247" s="9"/>
      <c r="H247" s="7">
        <v>1</v>
      </c>
      <c r="I247" s="8">
        <v>45982</v>
      </c>
      <c r="J247" s="9">
        <v>100</v>
      </c>
      <c r="K247" s="9" t="s">
        <v>71</v>
      </c>
      <c r="L247" s="8">
        <v>46082</v>
      </c>
      <c r="M247" s="23">
        <f>YEAR(Таблица1[[#This Row],[Дата отчета]])</f>
        <v>2026</v>
      </c>
      <c r="N247" s="7"/>
      <c r="O247" s="7"/>
      <c r="P247" s="7"/>
      <c r="Q247" s="10"/>
    </row>
    <row r="248" spans="1:17" x14ac:dyDescent="0.25">
      <c r="A248" s="1" t="s">
        <v>12</v>
      </c>
      <c r="B248" s="2" t="s">
        <v>684</v>
      </c>
      <c r="C248" s="2" t="s">
        <v>693</v>
      </c>
      <c r="D248" s="2" t="s">
        <v>694</v>
      </c>
      <c r="E248" s="3" t="s">
        <v>156</v>
      </c>
      <c r="F248" s="18">
        <v>662388</v>
      </c>
      <c r="G248" s="4"/>
      <c r="H248" s="2">
        <v>1</v>
      </c>
      <c r="I248" s="3">
        <v>46051</v>
      </c>
      <c r="J248" s="4">
        <v>31</v>
      </c>
      <c r="K248" s="4" t="s">
        <v>27</v>
      </c>
      <c r="L248" s="3">
        <v>46082</v>
      </c>
      <c r="M248" s="23">
        <f>YEAR(Таблица1[[#This Row],[Дата отчета]])</f>
        <v>2026</v>
      </c>
      <c r="N248" s="2"/>
      <c r="O248" s="2"/>
      <c r="P248" s="2"/>
      <c r="Q248" s="5"/>
    </row>
    <row r="249" spans="1:17" x14ac:dyDescent="0.25">
      <c r="A249" s="6" t="s">
        <v>12</v>
      </c>
      <c r="B249" s="7" t="s">
        <v>684</v>
      </c>
      <c r="C249" s="7" t="s">
        <v>695</v>
      </c>
      <c r="D249" s="7" t="s">
        <v>696</v>
      </c>
      <c r="E249" s="8" t="s">
        <v>218</v>
      </c>
      <c r="F249" s="19">
        <v>140313</v>
      </c>
      <c r="G249" s="9"/>
      <c r="H249" s="7">
        <v>1</v>
      </c>
      <c r="I249" s="8">
        <v>45947</v>
      </c>
      <c r="J249" s="9">
        <v>135</v>
      </c>
      <c r="K249" s="9" t="s">
        <v>22</v>
      </c>
      <c r="L249" s="8">
        <v>46082</v>
      </c>
      <c r="M249" s="23">
        <f>YEAR(Таблица1[[#This Row],[Дата отчета]])</f>
        <v>2026</v>
      </c>
      <c r="N249" s="7"/>
      <c r="O249" s="7"/>
      <c r="P249" s="7"/>
      <c r="Q249" s="10"/>
    </row>
    <row r="250" spans="1:17" x14ac:dyDescent="0.25">
      <c r="A250" s="1" t="s">
        <v>12</v>
      </c>
      <c r="B250" s="2" t="s">
        <v>684</v>
      </c>
      <c r="C250" s="2" t="s">
        <v>697</v>
      </c>
      <c r="D250" s="2" t="s">
        <v>698</v>
      </c>
      <c r="E250" s="3" t="s">
        <v>699</v>
      </c>
      <c r="F250" s="18">
        <v>172161</v>
      </c>
      <c r="G250" s="4"/>
      <c r="H250" s="2">
        <v>1</v>
      </c>
      <c r="I250" s="3">
        <v>45218</v>
      </c>
      <c r="J250" s="4">
        <v>864</v>
      </c>
      <c r="K250" s="4" t="s">
        <v>17</v>
      </c>
      <c r="L250" s="3">
        <v>46082</v>
      </c>
      <c r="M250" s="23">
        <f>YEAR(Таблица1[[#This Row],[Дата отчета]])</f>
        <v>2026</v>
      </c>
      <c r="N250" s="2" t="s">
        <v>4535</v>
      </c>
      <c r="O250" s="2"/>
      <c r="P250" s="2"/>
      <c r="Q250" s="5"/>
    </row>
    <row r="251" spans="1:17" x14ac:dyDescent="0.25">
      <c r="A251" s="6" t="s">
        <v>12</v>
      </c>
      <c r="B251" s="7" t="s">
        <v>684</v>
      </c>
      <c r="C251" s="7" t="s">
        <v>700</v>
      </c>
      <c r="D251" s="7" t="s">
        <v>701</v>
      </c>
      <c r="E251" s="8" t="s">
        <v>702</v>
      </c>
      <c r="F251" s="19">
        <v>1192763</v>
      </c>
      <c r="G251" s="9"/>
      <c r="H251" s="7">
        <v>1</v>
      </c>
      <c r="I251" s="8">
        <v>45943</v>
      </c>
      <c r="J251" s="9">
        <v>139</v>
      </c>
      <c r="K251" s="9" t="s">
        <v>22</v>
      </c>
      <c r="L251" s="8">
        <v>46082</v>
      </c>
      <c r="M251" s="23">
        <f>YEAR(Таблица1[[#This Row],[Дата отчета]])</f>
        <v>2026</v>
      </c>
      <c r="N251" s="7"/>
      <c r="O251" s="7"/>
      <c r="P251" s="7"/>
      <c r="Q251" s="10"/>
    </row>
    <row r="252" spans="1:17" x14ac:dyDescent="0.25">
      <c r="A252" s="1" t="s">
        <v>12</v>
      </c>
      <c r="B252" s="2" t="s">
        <v>684</v>
      </c>
      <c r="C252" s="2" t="s">
        <v>703</v>
      </c>
      <c r="D252" s="2" t="s">
        <v>704</v>
      </c>
      <c r="E252" s="3" t="s">
        <v>702</v>
      </c>
      <c r="F252" s="18">
        <v>546480</v>
      </c>
      <c r="G252" s="4"/>
      <c r="H252" s="2">
        <v>1</v>
      </c>
      <c r="I252" s="3">
        <v>45943</v>
      </c>
      <c r="J252" s="4">
        <v>139</v>
      </c>
      <c r="K252" s="4" t="s">
        <v>22</v>
      </c>
      <c r="L252" s="3">
        <v>46082</v>
      </c>
      <c r="M252" s="23">
        <f>YEAR(Таблица1[[#This Row],[Дата отчета]])</f>
        <v>2026</v>
      </c>
      <c r="N252" s="2"/>
      <c r="O252" s="2"/>
      <c r="P252" s="2"/>
      <c r="Q252" s="5"/>
    </row>
    <row r="253" spans="1:17" x14ac:dyDescent="0.25">
      <c r="A253" s="6" t="s">
        <v>12</v>
      </c>
      <c r="B253" s="7" t="s">
        <v>705</v>
      </c>
      <c r="C253" s="7" t="s">
        <v>706</v>
      </c>
      <c r="D253" s="7" t="s">
        <v>707</v>
      </c>
      <c r="E253" s="8" t="s">
        <v>70</v>
      </c>
      <c r="F253" s="19">
        <v>876000</v>
      </c>
      <c r="G253" s="9"/>
      <c r="H253" s="7">
        <v>1</v>
      </c>
      <c r="I253" s="8">
        <v>45979</v>
      </c>
      <c r="J253" s="9">
        <v>103</v>
      </c>
      <c r="K253" s="9" t="s">
        <v>71</v>
      </c>
      <c r="L253" s="8">
        <v>46082</v>
      </c>
      <c r="M253" s="23">
        <f>YEAR(Таблица1[[#This Row],[Дата отчета]])</f>
        <v>2026</v>
      </c>
      <c r="N253" s="7"/>
      <c r="O253" s="7"/>
      <c r="P253" s="7"/>
      <c r="Q253" s="10"/>
    </row>
    <row r="254" spans="1:17" x14ac:dyDescent="0.25">
      <c r="A254" s="1" t="s">
        <v>12</v>
      </c>
      <c r="B254" s="2" t="s">
        <v>708</v>
      </c>
      <c r="C254" s="2" t="s">
        <v>709</v>
      </c>
      <c r="D254" s="2" t="s">
        <v>710</v>
      </c>
      <c r="E254" s="3" t="s">
        <v>711</v>
      </c>
      <c r="F254" s="18">
        <v>344584</v>
      </c>
      <c r="G254" s="4"/>
      <c r="H254" s="2">
        <v>1</v>
      </c>
      <c r="I254" s="3">
        <v>46069</v>
      </c>
      <c r="J254" s="4">
        <v>13</v>
      </c>
      <c r="K254" s="4" t="s">
        <v>38</v>
      </c>
      <c r="L254" s="3">
        <v>46082</v>
      </c>
      <c r="M254" s="23">
        <f>YEAR(Таблица1[[#This Row],[Дата отчета]])</f>
        <v>2026</v>
      </c>
      <c r="N254" s="2"/>
      <c r="O254" s="2"/>
      <c r="P254" s="2"/>
      <c r="Q254" s="5"/>
    </row>
    <row r="255" spans="1:17" x14ac:dyDescent="0.25">
      <c r="A255" s="6" t="s">
        <v>12</v>
      </c>
      <c r="B255" s="7" t="s">
        <v>712</v>
      </c>
      <c r="C255" s="7" t="s">
        <v>713</v>
      </c>
      <c r="D255" s="7" t="s">
        <v>714</v>
      </c>
      <c r="E255" s="8" t="s">
        <v>57</v>
      </c>
      <c r="F255" s="19">
        <v>500000</v>
      </c>
      <c r="G255" s="9"/>
      <c r="H255" s="7">
        <v>1</v>
      </c>
      <c r="I255" s="8">
        <v>46043</v>
      </c>
      <c r="J255" s="9">
        <v>39</v>
      </c>
      <c r="K255" s="9" t="s">
        <v>27</v>
      </c>
      <c r="L255" s="8">
        <v>46082</v>
      </c>
      <c r="M255" s="23">
        <f>YEAR(Таблица1[[#This Row],[Дата отчета]])</f>
        <v>2026</v>
      </c>
      <c r="N255" s="7"/>
      <c r="O255" s="7"/>
      <c r="P255" s="7"/>
      <c r="Q255" s="10"/>
    </row>
    <row r="256" spans="1:17" x14ac:dyDescent="0.25">
      <c r="A256" s="1" t="s">
        <v>12</v>
      </c>
      <c r="B256" s="2" t="s">
        <v>715</v>
      </c>
      <c r="C256" s="2" t="s">
        <v>716</v>
      </c>
      <c r="D256" s="2" t="s">
        <v>717</v>
      </c>
      <c r="E256" s="3" t="s">
        <v>718</v>
      </c>
      <c r="F256" s="18">
        <v>161919248.72</v>
      </c>
      <c r="G256" s="4"/>
      <c r="H256" s="2">
        <v>1</v>
      </c>
      <c r="I256" s="3">
        <v>45999</v>
      </c>
      <c r="J256" s="4">
        <v>83</v>
      </c>
      <c r="K256" s="4" t="s">
        <v>27</v>
      </c>
      <c r="L256" s="3">
        <v>46082</v>
      </c>
      <c r="M256" s="23">
        <f>YEAR(Таблица1[[#This Row],[Дата отчета]])</f>
        <v>2026</v>
      </c>
      <c r="N256" s="2"/>
      <c r="O256" s="2"/>
      <c r="P256" s="2"/>
      <c r="Q256" s="5"/>
    </row>
    <row r="257" spans="1:17" x14ac:dyDescent="0.25">
      <c r="A257" s="6" t="s">
        <v>12</v>
      </c>
      <c r="B257" s="7" t="s">
        <v>719</v>
      </c>
      <c r="C257" s="7" t="s">
        <v>720</v>
      </c>
      <c r="D257" s="7" t="s">
        <v>721</v>
      </c>
      <c r="E257" s="8" t="s">
        <v>113</v>
      </c>
      <c r="F257" s="19">
        <v>236250</v>
      </c>
      <c r="G257" s="9"/>
      <c r="H257" s="7">
        <v>1</v>
      </c>
      <c r="I257" s="8">
        <v>46009</v>
      </c>
      <c r="J257" s="9">
        <v>73</v>
      </c>
      <c r="K257" s="9" t="s">
        <v>27</v>
      </c>
      <c r="L257" s="8">
        <v>46082</v>
      </c>
      <c r="M257" s="23">
        <f>YEAR(Таблица1[[#This Row],[Дата отчета]])</f>
        <v>2026</v>
      </c>
      <c r="N257" s="7"/>
      <c r="O257" s="8">
        <v>46099</v>
      </c>
      <c r="P257" s="7"/>
      <c r="Q257" s="10"/>
    </row>
    <row r="258" spans="1:17" x14ac:dyDescent="0.25">
      <c r="A258" s="1" t="s">
        <v>12</v>
      </c>
      <c r="B258" s="2" t="s">
        <v>719</v>
      </c>
      <c r="C258" s="2" t="s">
        <v>722</v>
      </c>
      <c r="D258" s="2" t="s">
        <v>723</v>
      </c>
      <c r="E258" s="3" t="s">
        <v>183</v>
      </c>
      <c r="F258" s="18">
        <v>1181250</v>
      </c>
      <c r="G258" s="4"/>
      <c r="H258" s="2">
        <v>1</v>
      </c>
      <c r="I258" s="3">
        <v>45817</v>
      </c>
      <c r="J258" s="4">
        <v>265</v>
      </c>
      <c r="K258" s="4" t="s">
        <v>67</v>
      </c>
      <c r="L258" s="3">
        <v>46082</v>
      </c>
      <c r="M258" s="23">
        <f>YEAR(Таблица1[[#This Row],[Дата отчета]])</f>
        <v>2026</v>
      </c>
      <c r="N258" s="2"/>
      <c r="O258" s="8">
        <v>46099</v>
      </c>
      <c r="P258" s="2"/>
      <c r="Q258" s="5"/>
    </row>
    <row r="259" spans="1:17" x14ac:dyDescent="0.25">
      <c r="A259" s="6" t="s">
        <v>12</v>
      </c>
      <c r="B259" s="7" t="s">
        <v>719</v>
      </c>
      <c r="C259" s="7" t="s">
        <v>722</v>
      </c>
      <c r="D259" s="7" t="s">
        <v>724</v>
      </c>
      <c r="E259" s="8" t="s">
        <v>725</v>
      </c>
      <c r="F259" s="19">
        <v>236250</v>
      </c>
      <c r="G259" s="9"/>
      <c r="H259" s="7">
        <v>1</v>
      </c>
      <c r="I259" s="8">
        <v>46002</v>
      </c>
      <c r="J259" s="9">
        <v>80</v>
      </c>
      <c r="K259" s="9" t="s">
        <v>27</v>
      </c>
      <c r="L259" s="8">
        <v>46082</v>
      </c>
      <c r="M259" s="23">
        <f>YEAR(Таблица1[[#This Row],[Дата отчета]])</f>
        <v>2026</v>
      </c>
      <c r="N259" s="7"/>
      <c r="O259" s="8">
        <v>46099</v>
      </c>
      <c r="P259" s="7"/>
      <c r="Q259" s="10"/>
    </row>
    <row r="260" spans="1:17" x14ac:dyDescent="0.25">
      <c r="A260" s="1" t="s">
        <v>12</v>
      </c>
      <c r="B260" s="2" t="s">
        <v>726</v>
      </c>
      <c r="C260" s="2" t="s">
        <v>727</v>
      </c>
      <c r="D260" s="2" t="s">
        <v>728</v>
      </c>
      <c r="E260" s="3" t="s">
        <v>729</v>
      </c>
      <c r="F260" s="18">
        <v>6869.56</v>
      </c>
      <c r="G260" s="4"/>
      <c r="H260" s="2">
        <v>1</v>
      </c>
      <c r="I260" s="3">
        <v>45799</v>
      </c>
      <c r="J260" s="4">
        <v>283</v>
      </c>
      <c r="K260" s="4" t="s">
        <v>92</v>
      </c>
      <c r="L260" s="3">
        <v>46082</v>
      </c>
      <c r="M260" s="23">
        <f>YEAR(Таблица1[[#This Row],[Дата отчета]])</f>
        <v>2026</v>
      </c>
      <c r="N260" s="2" t="s">
        <v>807</v>
      </c>
      <c r="O260" s="2"/>
      <c r="P260" s="2"/>
      <c r="Q260" s="5"/>
    </row>
    <row r="261" spans="1:17" x14ac:dyDescent="0.25">
      <c r="A261" s="6" t="s">
        <v>12</v>
      </c>
      <c r="B261" s="7" t="s">
        <v>726</v>
      </c>
      <c r="C261" s="7" t="s">
        <v>730</v>
      </c>
      <c r="D261" s="7" t="s">
        <v>731</v>
      </c>
      <c r="E261" s="8" t="s">
        <v>535</v>
      </c>
      <c r="F261" s="19">
        <v>16930</v>
      </c>
      <c r="G261" s="9"/>
      <c r="H261" s="7">
        <v>1</v>
      </c>
      <c r="I261" s="8">
        <v>45796</v>
      </c>
      <c r="J261" s="9">
        <v>286</v>
      </c>
      <c r="K261" s="9" t="s">
        <v>92</v>
      </c>
      <c r="L261" s="8">
        <v>46082</v>
      </c>
      <c r="M261" s="23">
        <f>YEAR(Таблица1[[#This Row],[Дата отчета]])</f>
        <v>2026</v>
      </c>
      <c r="N261" s="2" t="s">
        <v>807</v>
      </c>
      <c r="O261" s="7"/>
      <c r="P261" s="7"/>
      <c r="Q261" s="10"/>
    </row>
    <row r="262" spans="1:17" x14ac:dyDescent="0.25">
      <c r="A262" s="1" t="s">
        <v>12</v>
      </c>
      <c r="B262" s="2" t="s">
        <v>726</v>
      </c>
      <c r="C262" s="2" t="s">
        <v>732</v>
      </c>
      <c r="D262" s="2" t="s">
        <v>733</v>
      </c>
      <c r="E262" s="3" t="s">
        <v>734</v>
      </c>
      <c r="F262" s="18">
        <v>2163.48</v>
      </c>
      <c r="G262" s="4"/>
      <c r="H262" s="2">
        <v>1</v>
      </c>
      <c r="I262" s="3">
        <v>45541</v>
      </c>
      <c r="J262" s="4">
        <v>541</v>
      </c>
      <c r="K262" s="4" t="s">
        <v>17</v>
      </c>
      <c r="L262" s="3">
        <v>46082</v>
      </c>
      <c r="M262" s="23">
        <f>YEAR(Таблица1[[#This Row],[Дата отчета]])</f>
        <v>2026</v>
      </c>
      <c r="N262" s="2" t="s">
        <v>807</v>
      </c>
      <c r="O262" s="2"/>
      <c r="P262" s="2"/>
      <c r="Q262" s="5"/>
    </row>
    <row r="263" spans="1:17" x14ac:dyDescent="0.25">
      <c r="A263" s="6" t="s">
        <v>12</v>
      </c>
      <c r="B263" s="7" t="s">
        <v>726</v>
      </c>
      <c r="C263" s="7" t="s">
        <v>735</v>
      </c>
      <c r="D263" s="7" t="s">
        <v>736</v>
      </c>
      <c r="E263" s="8" t="s">
        <v>247</v>
      </c>
      <c r="F263" s="19">
        <v>35983.96</v>
      </c>
      <c r="G263" s="9"/>
      <c r="H263" s="7">
        <v>1</v>
      </c>
      <c r="I263" s="8">
        <v>45798</v>
      </c>
      <c r="J263" s="9">
        <v>284</v>
      </c>
      <c r="K263" s="9" t="s">
        <v>92</v>
      </c>
      <c r="L263" s="8">
        <v>46082</v>
      </c>
      <c r="M263" s="23">
        <f>YEAR(Таблица1[[#This Row],[Дата отчета]])</f>
        <v>2026</v>
      </c>
      <c r="N263" s="2" t="s">
        <v>807</v>
      </c>
      <c r="O263" s="7"/>
      <c r="P263" s="7"/>
      <c r="Q263" s="10"/>
    </row>
    <row r="264" spans="1:17" x14ac:dyDescent="0.25">
      <c r="A264" s="1" t="s">
        <v>12</v>
      </c>
      <c r="B264" s="2" t="s">
        <v>726</v>
      </c>
      <c r="C264" s="2" t="s">
        <v>737</v>
      </c>
      <c r="D264" s="2" t="s">
        <v>738</v>
      </c>
      <c r="E264" s="3" t="s">
        <v>739</v>
      </c>
      <c r="F264" s="18">
        <v>3413.74</v>
      </c>
      <c r="G264" s="4"/>
      <c r="H264" s="2">
        <v>1</v>
      </c>
      <c r="I264" s="3">
        <v>45839</v>
      </c>
      <c r="J264" s="4">
        <v>243</v>
      </c>
      <c r="K264" s="4" t="s">
        <v>67</v>
      </c>
      <c r="L264" s="3">
        <v>46082</v>
      </c>
      <c r="M264" s="23">
        <f>YEAR(Таблица1[[#This Row],[Дата отчета]])</f>
        <v>2026</v>
      </c>
      <c r="N264" s="2" t="s">
        <v>807</v>
      </c>
      <c r="O264" s="2"/>
      <c r="P264" s="2"/>
      <c r="Q264" s="5"/>
    </row>
    <row r="265" spans="1:17" x14ac:dyDescent="0.25">
      <c r="A265" s="6" t="s">
        <v>12</v>
      </c>
      <c r="B265" s="7" t="s">
        <v>740</v>
      </c>
      <c r="C265" s="7" t="s">
        <v>741</v>
      </c>
      <c r="D265" s="7" t="s">
        <v>742</v>
      </c>
      <c r="E265" s="8" t="s">
        <v>75</v>
      </c>
      <c r="F265" s="19">
        <v>2223000</v>
      </c>
      <c r="G265" s="9"/>
      <c r="H265" s="7">
        <v>1</v>
      </c>
      <c r="I265" s="8">
        <v>46016</v>
      </c>
      <c r="J265" s="9">
        <v>66</v>
      </c>
      <c r="K265" s="9" t="s">
        <v>27</v>
      </c>
      <c r="L265" s="8">
        <v>46082</v>
      </c>
      <c r="M265" s="23">
        <f>YEAR(Таблица1[[#This Row],[Дата отчета]])</f>
        <v>2026</v>
      </c>
      <c r="N265" s="7"/>
      <c r="O265" s="7"/>
      <c r="P265" s="7"/>
      <c r="Q265" s="10"/>
    </row>
    <row r="266" spans="1:17" x14ac:dyDescent="0.25">
      <c r="A266" s="1" t="s">
        <v>12</v>
      </c>
      <c r="B266" s="2" t="s">
        <v>740</v>
      </c>
      <c r="C266" s="2" t="s">
        <v>741</v>
      </c>
      <c r="D266" s="2" t="s">
        <v>743</v>
      </c>
      <c r="E266" s="3" t="s">
        <v>365</v>
      </c>
      <c r="F266" s="18">
        <v>123500</v>
      </c>
      <c r="G266" s="4"/>
      <c r="H266" s="2">
        <v>1</v>
      </c>
      <c r="I266" s="3">
        <v>46062</v>
      </c>
      <c r="J266" s="4">
        <v>20</v>
      </c>
      <c r="K266" s="4" t="s">
        <v>38</v>
      </c>
      <c r="L266" s="3">
        <v>46082</v>
      </c>
      <c r="M266" s="23">
        <f>YEAR(Таблица1[[#This Row],[Дата отчета]])</f>
        <v>2026</v>
      </c>
      <c r="N266" s="2"/>
      <c r="O266" s="2"/>
      <c r="P266" s="2"/>
      <c r="Q266" s="5"/>
    </row>
    <row r="267" spans="1:17" x14ac:dyDescent="0.25">
      <c r="A267" s="6" t="s">
        <v>12</v>
      </c>
      <c r="B267" s="7" t="s">
        <v>740</v>
      </c>
      <c r="C267" s="7" t="s">
        <v>741</v>
      </c>
      <c r="D267" s="7" t="s">
        <v>744</v>
      </c>
      <c r="E267" s="8" t="s">
        <v>365</v>
      </c>
      <c r="F267" s="19">
        <v>5187000</v>
      </c>
      <c r="G267" s="9"/>
      <c r="H267" s="7">
        <v>1</v>
      </c>
      <c r="I267" s="8">
        <v>46062</v>
      </c>
      <c r="J267" s="9">
        <v>20</v>
      </c>
      <c r="K267" s="9" t="s">
        <v>38</v>
      </c>
      <c r="L267" s="8">
        <v>46082</v>
      </c>
      <c r="M267" s="23">
        <f>YEAR(Таблица1[[#This Row],[Дата отчета]])</f>
        <v>2026</v>
      </c>
      <c r="N267" s="7"/>
      <c r="O267" s="7"/>
      <c r="P267" s="7"/>
      <c r="Q267" s="10"/>
    </row>
    <row r="268" spans="1:17" x14ac:dyDescent="0.25">
      <c r="A268" s="1" t="s">
        <v>12</v>
      </c>
      <c r="B268" s="2" t="s">
        <v>745</v>
      </c>
      <c r="C268" s="2" t="s">
        <v>746</v>
      </c>
      <c r="D268" s="2" t="s">
        <v>747</v>
      </c>
      <c r="E268" s="3" t="s">
        <v>748</v>
      </c>
      <c r="F268" s="18">
        <v>2798.49</v>
      </c>
      <c r="G268" s="4"/>
      <c r="H268" s="2">
        <v>1</v>
      </c>
      <c r="I268" s="3">
        <v>45580</v>
      </c>
      <c r="J268" s="4">
        <v>502</v>
      </c>
      <c r="K268" s="4" t="s">
        <v>17</v>
      </c>
      <c r="L268" s="3">
        <v>46082</v>
      </c>
      <c r="M268" s="23">
        <f>YEAR(Таблица1[[#This Row],[Дата отчета]])</f>
        <v>2026</v>
      </c>
      <c r="N268" s="2"/>
      <c r="O268" s="2"/>
      <c r="P268" s="2"/>
      <c r="Q268" s="5"/>
    </row>
    <row r="269" spans="1:17" x14ac:dyDescent="0.25">
      <c r="A269" s="6" t="s">
        <v>12</v>
      </c>
      <c r="B269" s="7" t="s">
        <v>749</v>
      </c>
      <c r="C269" s="7" t="s">
        <v>750</v>
      </c>
      <c r="D269" s="7" t="s">
        <v>751</v>
      </c>
      <c r="E269" s="8" t="s">
        <v>576</v>
      </c>
      <c r="F269" s="19">
        <v>2778000</v>
      </c>
      <c r="G269" s="9"/>
      <c r="H269" s="7">
        <v>1</v>
      </c>
      <c r="I269" s="8">
        <v>46064</v>
      </c>
      <c r="J269" s="9">
        <v>18</v>
      </c>
      <c r="K269" s="9" t="s">
        <v>38</v>
      </c>
      <c r="L269" s="8">
        <v>46082</v>
      </c>
      <c r="M269" s="23">
        <f>YEAR(Таблица1[[#This Row],[Дата отчета]])</f>
        <v>2026</v>
      </c>
      <c r="N269" s="7"/>
      <c r="O269" s="7"/>
      <c r="P269" s="7"/>
      <c r="Q269" s="10"/>
    </row>
    <row r="270" spans="1:17" x14ac:dyDescent="0.25">
      <c r="A270" s="1" t="s">
        <v>12</v>
      </c>
      <c r="B270" s="2" t="s">
        <v>752</v>
      </c>
      <c r="C270" s="2" t="s">
        <v>753</v>
      </c>
      <c r="D270" s="2" t="s">
        <v>754</v>
      </c>
      <c r="E270" s="3" t="s">
        <v>350</v>
      </c>
      <c r="F270" s="18">
        <v>130000</v>
      </c>
      <c r="G270" s="4"/>
      <c r="H270" s="2">
        <v>1</v>
      </c>
      <c r="I270" s="3">
        <v>46057</v>
      </c>
      <c r="J270" s="4">
        <v>25</v>
      </c>
      <c r="K270" s="4" t="s">
        <v>38</v>
      </c>
      <c r="L270" s="3">
        <v>46082</v>
      </c>
      <c r="M270" s="23">
        <f>YEAR(Таблица1[[#This Row],[Дата отчета]])</f>
        <v>2026</v>
      </c>
      <c r="N270" s="2"/>
      <c r="O270" s="2"/>
      <c r="P270" s="2"/>
      <c r="Q270" s="5"/>
    </row>
    <row r="271" spans="1:17" x14ac:dyDescent="0.25">
      <c r="A271" s="6" t="s">
        <v>12</v>
      </c>
      <c r="B271" s="7" t="s">
        <v>755</v>
      </c>
      <c r="C271" s="7" t="s">
        <v>756</v>
      </c>
      <c r="D271" s="7" t="s">
        <v>757</v>
      </c>
      <c r="E271" s="8" t="s">
        <v>711</v>
      </c>
      <c r="F271" s="19">
        <v>500</v>
      </c>
      <c r="G271" s="9"/>
      <c r="H271" s="7">
        <v>1</v>
      </c>
      <c r="I271" s="8">
        <v>46069</v>
      </c>
      <c r="J271" s="9">
        <v>13</v>
      </c>
      <c r="K271" s="9" t="s">
        <v>38</v>
      </c>
      <c r="L271" s="8">
        <v>46082</v>
      </c>
      <c r="M271" s="23">
        <f>YEAR(Таблица1[[#This Row],[Дата отчета]])</f>
        <v>2026</v>
      </c>
      <c r="N271" s="7"/>
      <c r="O271" s="7"/>
      <c r="P271" s="7"/>
      <c r="Q271" s="10"/>
    </row>
    <row r="272" spans="1:17" x14ac:dyDescent="0.25">
      <c r="A272" s="1" t="s">
        <v>12</v>
      </c>
      <c r="B272" s="2" t="s">
        <v>758</v>
      </c>
      <c r="C272" s="2" t="s">
        <v>759</v>
      </c>
      <c r="D272" s="2" t="s">
        <v>760</v>
      </c>
      <c r="E272" s="3" t="s">
        <v>761</v>
      </c>
      <c r="F272" s="18">
        <v>0.3</v>
      </c>
      <c r="G272" s="4"/>
      <c r="H272" s="2">
        <v>1</v>
      </c>
      <c r="I272" s="3">
        <v>45803</v>
      </c>
      <c r="J272" s="4">
        <v>279</v>
      </c>
      <c r="K272" s="4" t="s">
        <v>92</v>
      </c>
      <c r="L272" s="3">
        <v>46082</v>
      </c>
      <c r="M272" s="23">
        <f>YEAR(Таблица1[[#This Row],[Дата отчета]])</f>
        <v>2026</v>
      </c>
      <c r="N272" s="2"/>
      <c r="O272" s="2"/>
      <c r="P272" s="2"/>
      <c r="Q272" s="5"/>
    </row>
    <row r="273" spans="1:17" x14ac:dyDescent="0.25">
      <c r="A273" s="6" t="s">
        <v>12</v>
      </c>
      <c r="B273" s="7" t="s">
        <v>762</v>
      </c>
      <c r="C273" s="7" t="s">
        <v>763</v>
      </c>
      <c r="D273" s="7" t="s">
        <v>764</v>
      </c>
      <c r="E273" s="8" t="s">
        <v>765</v>
      </c>
      <c r="F273" s="19">
        <v>1425</v>
      </c>
      <c r="G273" s="9"/>
      <c r="H273" s="7">
        <v>1</v>
      </c>
      <c r="I273" s="8">
        <v>45751</v>
      </c>
      <c r="J273" s="9">
        <v>331</v>
      </c>
      <c r="K273" s="9" t="s">
        <v>92</v>
      </c>
      <c r="L273" s="8">
        <v>46082</v>
      </c>
      <c r="M273" s="23">
        <f>YEAR(Таблица1[[#This Row],[Дата отчета]])</f>
        <v>2026</v>
      </c>
      <c r="N273" s="7" t="s">
        <v>4550</v>
      </c>
      <c r="O273" s="7"/>
      <c r="P273" s="7"/>
      <c r="Q273" s="10"/>
    </row>
    <row r="274" spans="1:17" x14ac:dyDescent="0.25">
      <c r="A274" s="1" t="s">
        <v>12</v>
      </c>
      <c r="B274" s="2" t="s">
        <v>766</v>
      </c>
      <c r="C274" s="2" t="s">
        <v>767</v>
      </c>
      <c r="D274" s="2" t="s">
        <v>768</v>
      </c>
      <c r="E274" s="3" t="s">
        <v>769</v>
      </c>
      <c r="F274" s="18">
        <v>163072</v>
      </c>
      <c r="G274" s="4"/>
      <c r="H274" s="2">
        <v>1</v>
      </c>
      <c r="I274" s="3">
        <v>45825</v>
      </c>
      <c r="J274" s="4">
        <v>257</v>
      </c>
      <c r="K274" s="4" t="s">
        <v>67</v>
      </c>
      <c r="L274" s="3">
        <v>46082</v>
      </c>
      <c r="M274" s="23">
        <f>YEAR(Таблица1[[#This Row],[Дата отчета]])</f>
        <v>2026</v>
      </c>
      <c r="N274" s="2" t="s">
        <v>4538</v>
      </c>
      <c r="O274" s="2"/>
      <c r="P274" s="2"/>
      <c r="Q274" s="5"/>
    </row>
    <row r="275" spans="1:17" x14ac:dyDescent="0.25">
      <c r="A275" s="6" t="s">
        <v>12</v>
      </c>
      <c r="B275" s="7" t="s">
        <v>770</v>
      </c>
      <c r="C275" s="7" t="s">
        <v>771</v>
      </c>
      <c r="D275" s="7" t="s">
        <v>772</v>
      </c>
      <c r="E275" s="8" t="s">
        <v>773</v>
      </c>
      <c r="F275" s="19">
        <v>11240</v>
      </c>
      <c r="G275" s="9"/>
      <c r="H275" s="7">
        <v>1</v>
      </c>
      <c r="I275" s="8">
        <v>45888</v>
      </c>
      <c r="J275" s="9">
        <v>194</v>
      </c>
      <c r="K275" s="9" t="s">
        <v>67</v>
      </c>
      <c r="L275" s="8">
        <v>46082</v>
      </c>
      <c r="M275" s="23">
        <f>YEAR(Таблица1[[#This Row],[Дата отчета]])</f>
        <v>2026</v>
      </c>
      <c r="N275" s="7"/>
      <c r="O275" s="7"/>
      <c r="P275" s="7"/>
      <c r="Q275" s="10"/>
    </row>
    <row r="276" spans="1:17" x14ac:dyDescent="0.25">
      <c r="A276" s="1" t="s">
        <v>12</v>
      </c>
      <c r="B276" s="2" t="s">
        <v>774</v>
      </c>
      <c r="C276" s="2" t="s">
        <v>775</v>
      </c>
      <c r="D276" s="2" t="s">
        <v>776</v>
      </c>
      <c r="E276" s="3" t="s">
        <v>725</v>
      </c>
      <c r="F276" s="18">
        <v>460100</v>
      </c>
      <c r="G276" s="4"/>
      <c r="H276" s="2">
        <v>1</v>
      </c>
      <c r="I276" s="3">
        <v>46002</v>
      </c>
      <c r="J276" s="4">
        <v>80</v>
      </c>
      <c r="K276" s="4" t="s">
        <v>27</v>
      </c>
      <c r="L276" s="3">
        <v>46082</v>
      </c>
      <c r="M276" s="23">
        <f>YEAR(Таблица1[[#This Row],[Дата отчета]])</f>
        <v>2026</v>
      </c>
      <c r="N276" s="2"/>
      <c r="O276" s="2"/>
      <c r="P276" s="2"/>
      <c r="Q276" s="5"/>
    </row>
    <row r="277" spans="1:17" x14ac:dyDescent="0.25">
      <c r="A277" s="6" t="s">
        <v>12</v>
      </c>
      <c r="B277" s="7" t="s">
        <v>777</v>
      </c>
      <c r="C277" s="7" t="s">
        <v>778</v>
      </c>
      <c r="D277" s="7" t="s">
        <v>779</v>
      </c>
      <c r="E277" s="8" t="s">
        <v>780</v>
      </c>
      <c r="F277" s="19">
        <v>196.02</v>
      </c>
      <c r="G277" s="9"/>
      <c r="H277" s="7">
        <v>1</v>
      </c>
      <c r="I277" s="8">
        <v>44868</v>
      </c>
      <c r="J277" s="9">
        <v>1214</v>
      </c>
      <c r="K277" s="9" t="s">
        <v>17</v>
      </c>
      <c r="L277" s="8">
        <v>46082</v>
      </c>
      <c r="M277" s="23">
        <f>YEAR(Таблица1[[#This Row],[Дата отчета]])</f>
        <v>2026</v>
      </c>
      <c r="N277" s="2" t="s">
        <v>807</v>
      </c>
      <c r="O277" s="7"/>
      <c r="P277" s="7"/>
      <c r="Q277" s="10"/>
    </row>
    <row r="278" spans="1:17" x14ac:dyDescent="0.25">
      <c r="A278" s="1" t="s">
        <v>12</v>
      </c>
      <c r="B278" s="2" t="s">
        <v>781</v>
      </c>
      <c r="C278" s="2" t="s">
        <v>782</v>
      </c>
      <c r="D278" s="2" t="s">
        <v>783</v>
      </c>
      <c r="E278" s="3" t="s">
        <v>259</v>
      </c>
      <c r="F278" s="18">
        <v>1819352.97</v>
      </c>
      <c r="G278" s="4"/>
      <c r="H278" s="2">
        <v>1</v>
      </c>
      <c r="I278" s="3">
        <v>46071</v>
      </c>
      <c r="J278" s="4">
        <v>11</v>
      </c>
      <c r="K278" s="4" t="s">
        <v>38</v>
      </c>
      <c r="L278" s="3">
        <v>46082</v>
      </c>
      <c r="M278" s="23">
        <f>YEAR(Таблица1[[#This Row],[Дата отчета]])</f>
        <v>2026</v>
      </c>
      <c r="N278" s="2"/>
      <c r="O278" s="2"/>
      <c r="P278" s="2"/>
      <c r="Q278" s="5"/>
    </row>
    <row r="279" spans="1:17" x14ac:dyDescent="0.25">
      <c r="A279" s="6" t="s">
        <v>12</v>
      </c>
      <c r="B279" s="7" t="s">
        <v>784</v>
      </c>
      <c r="C279" s="7" t="s">
        <v>785</v>
      </c>
      <c r="D279" s="7" t="s">
        <v>786</v>
      </c>
      <c r="E279" s="8" t="s">
        <v>211</v>
      </c>
      <c r="F279" s="19">
        <v>12083389.800000001</v>
      </c>
      <c r="G279" s="9"/>
      <c r="H279" s="7">
        <v>1</v>
      </c>
      <c r="I279" s="8">
        <v>46056</v>
      </c>
      <c r="J279" s="9">
        <v>26</v>
      </c>
      <c r="K279" s="9" t="s">
        <v>38</v>
      </c>
      <c r="L279" s="8">
        <v>46082</v>
      </c>
      <c r="M279" s="23">
        <f>YEAR(Таблица1[[#This Row],[Дата отчета]])</f>
        <v>2026</v>
      </c>
      <c r="N279" s="7"/>
      <c r="O279" s="7"/>
      <c r="P279" s="7"/>
      <c r="Q279" s="10"/>
    </row>
    <row r="280" spans="1:17" x14ac:dyDescent="0.25">
      <c r="A280" s="1" t="s">
        <v>12</v>
      </c>
      <c r="B280" s="2" t="s">
        <v>784</v>
      </c>
      <c r="C280" s="2" t="s">
        <v>787</v>
      </c>
      <c r="D280" s="2" t="s">
        <v>788</v>
      </c>
      <c r="E280" s="3" t="s">
        <v>350</v>
      </c>
      <c r="F280" s="18">
        <v>1446946.5</v>
      </c>
      <c r="G280" s="4"/>
      <c r="H280" s="2">
        <v>1</v>
      </c>
      <c r="I280" s="3">
        <v>46057</v>
      </c>
      <c r="J280" s="4">
        <v>25</v>
      </c>
      <c r="K280" s="4" t="s">
        <v>38</v>
      </c>
      <c r="L280" s="3">
        <v>46082</v>
      </c>
      <c r="M280" s="23">
        <f>YEAR(Таблица1[[#This Row],[Дата отчета]])</f>
        <v>2026</v>
      </c>
      <c r="N280" s="2"/>
      <c r="O280" s="2"/>
      <c r="P280" s="2"/>
      <c r="Q280" s="5"/>
    </row>
    <row r="281" spans="1:17" x14ac:dyDescent="0.25">
      <c r="A281" s="6" t="s">
        <v>12</v>
      </c>
      <c r="B281" s="7" t="s">
        <v>784</v>
      </c>
      <c r="C281" s="7" t="s">
        <v>789</v>
      </c>
      <c r="D281" s="7" t="s">
        <v>790</v>
      </c>
      <c r="E281" s="8" t="s">
        <v>281</v>
      </c>
      <c r="F281" s="19">
        <v>895000</v>
      </c>
      <c r="G281" s="9"/>
      <c r="H281" s="7">
        <v>1</v>
      </c>
      <c r="I281" s="8">
        <v>46065</v>
      </c>
      <c r="J281" s="9">
        <v>17</v>
      </c>
      <c r="K281" s="9" t="s">
        <v>38</v>
      </c>
      <c r="L281" s="8">
        <v>46082</v>
      </c>
      <c r="M281" s="23">
        <f>YEAR(Таблица1[[#This Row],[Дата отчета]])</f>
        <v>2026</v>
      </c>
      <c r="N281" s="7"/>
      <c r="O281" s="7"/>
      <c r="P281" s="7"/>
      <c r="Q281" s="10"/>
    </row>
    <row r="282" spans="1:17" x14ac:dyDescent="0.25">
      <c r="A282" s="1" t="s">
        <v>12</v>
      </c>
      <c r="B282" s="2" t="s">
        <v>784</v>
      </c>
      <c r="C282" s="2" t="s">
        <v>791</v>
      </c>
      <c r="D282" s="2" t="s">
        <v>792</v>
      </c>
      <c r="E282" s="3" t="s">
        <v>345</v>
      </c>
      <c r="F282" s="18">
        <v>60000</v>
      </c>
      <c r="G282" s="4"/>
      <c r="H282" s="2">
        <v>1</v>
      </c>
      <c r="I282" s="3">
        <v>45919</v>
      </c>
      <c r="J282" s="4">
        <v>163</v>
      </c>
      <c r="K282" s="4" t="s">
        <v>22</v>
      </c>
      <c r="L282" s="3">
        <v>46082</v>
      </c>
      <c r="M282" s="23">
        <f>YEAR(Таблица1[[#This Row],[Дата отчета]])</f>
        <v>2026</v>
      </c>
      <c r="N282" s="2"/>
      <c r="O282" s="2"/>
      <c r="P282" s="2"/>
      <c r="Q282" s="5"/>
    </row>
    <row r="283" spans="1:17" x14ac:dyDescent="0.25">
      <c r="A283" s="6" t="s">
        <v>12</v>
      </c>
      <c r="B283" s="7" t="s">
        <v>793</v>
      </c>
      <c r="C283" s="7" t="s">
        <v>794</v>
      </c>
      <c r="D283" s="7" t="s">
        <v>795</v>
      </c>
      <c r="E283" s="8" t="s">
        <v>796</v>
      </c>
      <c r="F283" s="19">
        <v>650</v>
      </c>
      <c r="G283" s="9"/>
      <c r="H283" s="7">
        <v>1</v>
      </c>
      <c r="I283" s="8">
        <v>44889</v>
      </c>
      <c r="J283" s="9">
        <v>1193</v>
      </c>
      <c r="K283" s="9" t="s">
        <v>17</v>
      </c>
      <c r="L283" s="8">
        <v>46082</v>
      </c>
      <c r="M283" s="23">
        <f>YEAR(Таблица1[[#This Row],[Дата отчета]])</f>
        <v>2026</v>
      </c>
      <c r="N283" s="2" t="s">
        <v>807</v>
      </c>
      <c r="O283" s="7"/>
      <c r="P283" s="7"/>
      <c r="Q283" s="10"/>
    </row>
    <row r="284" spans="1:17" x14ac:dyDescent="0.25">
      <c r="A284" s="1" t="s">
        <v>12</v>
      </c>
      <c r="B284" s="2" t="s">
        <v>797</v>
      </c>
      <c r="C284" s="2" t="s">
        <v>798</v>
      </c>
      <c r="D284" s="2" t="s">
        <v>799</v>
      </c>
      <c r="E284" s="3" t="s">
        <v>800</v>
      </c>
      <c r="F284" s="18">
        <v>64916</v>
      </c>
      <c r="G284" s="4"/>
      <c r="H284" s="2">
        <v>1</v>
      </c>
      <c r="I284" s="3">
        <v>45993</v>
      </c>
      <c r="J284" s="4">
        <v>89</v>
      </c>
      <c r="K284" s="4" t="s">
        <v>27</v>
      </c>
      <c r="L284" s="3">
        <v>46082</v>
      </c>
      <c r="M284" s="23">
        <f>YEAR(Таблица1[[#This Row],[Дата отчета]])</f>
        <v>2026</v>
      </c>
      <c r="N284" s="2"/>
      <c r="O284" s="2"/>
      <c r="P284" s="2"/>
      <c r="Q284" s="5"/>
    </row>
    <row r="285" spans="1:17" x14ac:dyDescent="0.25">
      <c r="A285" s="6" t="s">
        <v>12</v>
      </c>
      <c r="B285" s="7" t="s">
        <v>801</v>
      </c>
      <c r="C285" s="7" t="s">
        <v>802</v>
      </c>
      <c r="D285" s="7" t="s">
        <v>803</v>
      </c>
      <c r="E285" s="8" t="s">
        <v>161</v>
      </c>
      <c r="F285" s="19">
        <v>1117.75</v>
      </c>
      <c r="G285" s="9"/>
      <c r="H285" s="7">
        <v>1</v>
      </c>
      <c r="I285" s="8">
        <v>45890</v>
      </c>
      <c r="J285" s="9">
        <v>192</v>
      </c>
      <c r="K285" s="9" t="s">
        <v>67</v>
      </c>
      <c r="L285" s="8">
        <v>46082</v>
      </c>
      <c r="M285" s="23">
        <f>YEAR(Таблица1[[#This Row],[Дата отчета]])</f>
        <v>2026</v>
      </c>
      <c r="N285" s="7"/>
      <c r="O285" s="7"/>
      <c r="P285" s="7"/>
      <c r="Q285" s="10"/>
    </row>
    <row r="286" spans="1:17" x14ac:dyDescent="0.25">
      <c r="A286" s="1" t="s">
        <v>12</v>
      </c>
      <c r="B286" s="2" t="s">
        <v>804</v>
      </c>
      <c r="C286" s="2" t="s">
        <v>805</v>
      </c>
      <c r="D286" s="2" t="s">
        <v>806</v>
      </c>
      <c r="E286" s="3" t="s">
        <v>276</v>
      </c>
      <c r="F286" s="18">
        <v>8840</v>
      </c>
      <c r="G286" s="4"/>
      <c r="H286" s="2">
        <v>1</v>
      </c>
      <c r="I286" s="3">
        <v>45827</v>
      </c>
      <c r="J286" s="4">
        <v>255</v>
      </c>
      <c r="K286" s="4" t="s">
        <v>67</v>
      </c>
      <c r="L286" s="3">
        <v>46082</v>
      </c>
      <c r="M286" s="23">
        <f>YEAR(Таблица1[[#This Row],[Дата отчета]])</f>
        <v>2026</v>
      </c>
      <c r="N286" s="2" t="s">
        <v>807</v>
      </c>
      <c r="O286" s="2"/>
      <c r="P286" s="2"/>
      <c r="Q286" s="5"/>
    </row>
    <row r="287" spans="1:17" x14ac:dyDescent="0.25">
      <c r="A287" s="6" t="s">
        <v>12</v>
      </c>
      <c r="B287" s="7" t="s">
        <v>804</v>
      </c>
      <c r="C287" s="7" t="s">
        <v>808</v>
      </c>
      <c r="D287" s="7" t="s">
        <v>809</v>
      </c>
      <c r="E287" s="8" t="s">
        <v>810</v>
      </c>
      <c r="F287" s="19">
        <v>192230</v>
      </c>
      <c r="G287" s="9"/>
      <c r="H287" s="7">
        <v>1</v>
      </c>
      <c r="I287" s="8">
        <v>46063</v>
      </c>
      <c r="J287" s="9">
        <v>19</v>
      </c>
      <c r="K287" s="9" t="s">
        <v>38</v>
      </c>
      <c r="L287" s="8">
        <v>46082</v>
      </c>
      <c r="M287" s="23">
        <f>YEAR(Таблица1[[#This Row],[Дата отчета]])</f>
        <v>2026</v>
      </c>
      <c r="N287" s="7"/>
      <c r="O287" s="7"/>
      <c r="P287" s="7"/>
      <c r="Q287" s="10"/>
    </row>
    <row r="288" spans="1:17" x14ac:dyDescent="0.25">
      <c r="A288" s="1" t="s">
        <v>12</v>
      </c>
      <c r="B288" s="2" t="s">
        <v>804</v>
      </c>
      <c r="C288" s="2" t="s">
        <v>811</v>
      </c>
      <c r="D288" s="2" t="s">
        <v>812</v>
      </c>
      <c r="E288" s="3" t="s">
        <v>37</v>
      </c>
      <c r="F288" s="18">
        <v>850000</v>
      </c>
      <c r="G288" s="4"/>
      <c r="H288" s="2">
        <v>1</v>
      </c>
      <c r="I288" s="3">
        <v>46066</v>
      </c>
      <c r="J288" s="4">
        <v>16</v>
      </c>
      <c r="K288" s="4" t="s">
        <v>38</v>
      </c>
      <c r="L288" s="3">
        <v>46082</v>
      </c>
      <c r="M288" s="23">
        <f>YEAR(Таблица1[[#This Row],[Дата отчета]])</f>
        <v>2026</v>
      </c>
      <c r="N288" s="2"/>
      <c r="O288" s="2"/>
      <c r="P288" s="2"/>
      <c r="Q288" s="5"/>
    </row>
    <row r="289" spans="1:17" x14ac:dyDescent="0.25">
      <c r="A289" s="6" t="s">
        <v>12</v>
      </c>
      <c r="B289" s="7" t="s">
        <v>804</v>
      </c>
      <c r="C289" s="7" t="s">
        <v>813</v>
      </c>
      <c r="D289" s="7" t="s">
        <v>814</v>
      </c>
      <c r="E289" s="8" t="s">
        <v>37</v>
      </c>
      <c r="F289" s="19">
        <v>850000</v>
      </c>
      <c r="G289" s="9"/>
      <c r="H289" s="7">
        <v>1</v>
      </c>
      <c r="I289" s="8">
        <v>46066</v>
      </c>
      <c r="J289" s="9">
        <v>16</v>
      </c>
      <c r="K289" s="9" t="s">
        <v>38</v>
      </c>
      <c r="L289" s="8">
        <v>46082</v>
      </c>
      <c r="M289" s="23">
        <f>YEAR(Таблица1[[#This Row],[Дата отчета]])</f>
        <v>2026</v>
      </c>
      <c r="N289" s="7"/>
      <c r="O289" s="7"/>
      <c r="P289" s="7"/>
      <c r="Q289" s="10"/>
    </row>
    <row r="290" spans="1:17" x14ac:dyDescent="0.25">
      <c r="A290" s="1" t="s">
        <v>12</v>
      </c>
      <c r="B290" s="2" t="s">
        <v>804</v>
      </c>
      <c r="C290" s="2" t="s">
        <v>815</v>
      </c>
      <c r="D290" s="2" t="s">
        <v>816</v>
      </c>
      <c r="E290" s="3" t="s">
        <v>259</v>
      </c>
      <c r="F290" s="18">
        <v>850000</v>
      </c>
      <c r="G290" s="4"/>
      <c r="H290" s="2">
        <v>1</v>
      </c>
      <c r="I290" s="3">
        <v>46071</v>
      </c>
      <c r="J290" s="4">
        <v>11</v>
      </c>
      <c r="K290" s="4" t="s">
        <v>38</v>
      </c>
      <c r="L290" s="3">
        <v>46082</v>
      </c>
      <c r="M290" s="23">
        <f>YEAR(Таблица1[[#This Row],[Дата отчета]])</f>
        <v>2026</v>
      </c>
      <c r="N290" s="2"/>
      <c r="O290" s="2"/>
      <c r="P290" s="2"/>
      <c r="Q290" s="5"/>
    </row>
    <row r="291" spans="1:17" x14ac:dyDescent="0.25">
      <c r="A291" s="6" t="s">
        <v>12</v>
      </c>
      <c r="B291" s="7" t="s">
        <v>804</v>
      </c>
      <c r="C291" s="7" t="s">
        <v>817</v>
      </c>
      <c r="D291" s="7" t="s">
        <v>818</v>
      </c>
      <c r="E291" s="8" t="s">
        <v>59</v>
      </c>
      <c r="F291" s="19">
        <v>850000</v>
      </c>
      <c r="G291" s="9"/>
      <c r="H291" s="7">
        <v>1</v>
      </c>
      <c r="I291" s="8">
        <v>46077</v>
      </c>
      <c r="J291" s="9">
        <v>5</v>
      </c>
      <c r="K291" s="9" t="s">
        <v>38</v>
      </c>
      <c r="L291" s="8">
        <v>46082</v>
      </c>
      <c r="M291" s="23">
        <f>YEAR(Таблица1[[#This Row],[Дата отчета]])</f>
        <v>2026</v>
      </c>
      <c r="N291" s="7"/>
      <c r="O291" s="7"/>
      <c r="P291" s="7"/>
      <c r="Q291" s="10"/>
    </row>
    <row r="292" spans="1:17" x14ac:dyDescent="0.25">
      <c r="A292" s="1" t="s">
        <v>12</v>
      </c>
      <c r="B292" s="2" t="s">
        <v>804</v>
      </c>
      <c r="C292" s="2" t="s">
        <v>819</v>
      </c>
      <c r="D292" s="2" t="s">
        <v>820</v>
      </c>
      <c r="E292" s="3" t="s">
        <v>821</v>
      </c>
      <c r="F292" s="18">
        <v>56500</v>
      </c>
      <c r="G292" s="4"/>
      <c r="H292" s="2">
        <v>1</v>
      </c>
      <c r="I292" s="3">
        <v>45924</v>
      </c>
      <c r="J292" s="4">
        <v>158</v>
      </c>
      <c r="K292" s="4" t="s">
        <v>22</v>
      </c>
      <c r="L292" s="3">
        <v>46082</v>
      </c>
      <c r="M292" s="23">
        <f>YEAR(Таблица1[[#This Row],[Дата отчета]])</f>
        <v>2026</v>
      </c>
      <c r="N292" s="2" t="s">
        <v>807</v>
      </c>
      <c r="O292" s="2"/>
      <c r="P292" s="2"/>
      <c r="Q292" s="5"/>
    </row>
    <row r="293" spans="1:17" x14ac:dyDescent="0.25">
      <c r="A293" s="6" t="s">
        <v>12</v>
      </c>
      <c r="B293" s="7" t="s">
        <v>804</v>
      </c>
      <c r="C293" s="7" t="s">
        <v>822</v>
      </c>
      <c r="D293" s="7" t="s">
        <v>823</v>
      </c>
      <c r="E293" s="8" t="s">
        <v>824</v>
      </c>
      <c r="F293" s="19">
        <v>500000</v>
      </c>
      <c r="G293" s="9"/>
      <c r="H293" s="7">
        <v>1</v>
      </c>
      <c r="I293" s="8">
        <v>45975</v>
      </c>
      <c r="J293" s="9">
        <v>107</v>
      </c>
      <c r="K293" s="9" t="s">
        <v>71</v>
      </c>
      <c r="L293" s="8">
        <v>46082</v>
      </c>
      <c r="M293" s="23">
        <f>YEAR(Таблица1[[#This Row],[Дата отчета]])</f>
        <v>2026</v>
      </c>
      <c r="N293" s="2" t="s">
        <v>807</v>
      </c>
      <c r="O293" s="7"/>
      <c r="P293" s="7"/>
      <c r="Q293" s="10"/>
    </row>
    <row r="294" spans="1:17" x14ac:dyDescent="0.25">
      <c r="A294" s="1" t="s">
        <v>12</v>
      </c>
      <c r="B294" s="2" t="s">
        <v>804</v>
      </c>
      <c r="C294" s="2" t="s">
        <v>825</v>
      </c>
      <c r="D294" s="2" t="s">
        <v>826</v>
      </c>
      <c r="E294" s="3" t="s">
        <v>827</v>
      </c>
      <c r="F294" s="18">
        <v>132000</v>
      </c>
      <c r="G294" s="4"/>
      <c r="H294" s="2">
        <v>1</v>
      </c>
      <c r="I294" s="3">
        <v>45981</v>
      </c>
      <c r="J294" s="4">
        <v>101</v>
      </c>
      <c r="K294" s="4" t="s">
        <v>71</v>
      </c>
      <c r="L294" s="3">
        <v>46082</v>
      </c>
      <c r="M294" s="23">
        <f>YEAR(Таблица1[[#This Row],[Дата отчета]])</f>
        <v>2026</v>
      </c>
      <c r="N294" s="2" t="s">
        <v>807</v>
      </c>
      <c r="O294" s="2"/>
      <c r="P294" s="2"/>
      <c r="Q294" s="5"/>
    </row>
    <row r="295" spans="1:17" x14ac:dyDescent="0.25">
      <c r="A295" s="6" t="s">
        <v>12</v>
      </c>
      <c r="B295" s="7" t="s">
        <v>804</v>
      </c>
      <c r="C295" s="7" t="s">
        <v>828</v>
      </c>
      <c r="D295" s="7" t="s">
        <v>829</v>
      </c>
      <c r="E295" s="8" t="s">
        <v>830</v>
      </c>
      <c r="F295" s="19">
        <v>36000</v>
      </c>
      <c r="G295" s="9"/>
      <c r="H295" s="7">
        <v>1</v>
      </c>
      <c r="I295" s="8">
        <v>46006</v>
      </c>
      <c r="J295" s="9">
        <v>76</v>
      </c>
      <c r="K295" s="9" t="s">
        <v>27</v>
      </c>
      <c r="L295" s="8">
        <v>46082</v>
      </c>
      <c r="M295" s="23">
        <f>YEAR(Таблица1[[#This Row],[Дата отчета]])</f>
        <v>2026</v>
      </c>
      <c r="N295" s="7"/>
      <c r="O295" s="7"/>
      <c r="P295" s="7"/>
      <c r="Q295" s="10"/>
    </row>
    <row r="296" spans="1:17" x14ac:dyDescent="0.25">
      <c r="A296" s="1" t="s">
        <v>12</v>
      </c>
      <c r="B296" s="2" t="s">
        <v>831</v>
      </c>
      <c r="C296" s="2" t="s">
        <v>832</v>
      </c>
      <c r="D296" s="2" t="s">
        <v>833</v>
      </c>
      <c r="E296" s="3" t="s">
        <v>834</v>
      </c>
      <c r="F296" s="18">
        <v>1.8</v>
      </c>
      <c r="G296" s="4"/>
      <c r="H296" s="2">
        <v>1</v>
      </c>
      <c r="I296" s="3">
        <v>45824</v>
      </c>
      <c r="J296" s="4">
        <v>258</v>
      </c>
      <c r="K296" s="4" t="s">
        <v>67</v>
      </c>
      <c r="L296" s="3">
        <v>46082</v>
      </c>
      <c r="M296" s="23">
        <f>YEAR(Таблица1[[#This Row],[Дата отчета]])</f>
        <v>2026</v>
      </c>
      <c r="N296" s="2"/>
      <c r="O296" s="2"/>
      <c r="P296" s="2"/>
      <c r="Q296" s="5"/>
    </row>
    <row r="297" spans="1:17" x14ac:dyDescent="0.25">
      <c r="A297" s="6" t="s">
        <v>12</v>
      </c>
      <c r="B297" s="7" t="s">
        <v>835</v>
      </c>
      <c r="C297" s="7" t="s">
        <v>836</v>
      </c>
      <c r="D297" s="7" t="s">
        <v>837</v>
      </c>
      <c r="E297" s="8" t="s">
        <v>360</v>
      </c>
      <c r="F297" s="19">
        <v>21362245.34</v>
      </c>
      <c r="G297" s="9"/>
      <c r="H297" s="7">
        <v>1</v>
      </c>
      <c r="I297" s="8">
        <v>46058</v>
      </c>
      <c r="J297" s="9">
        <v>24</v>
      </c>
      <c r="K297" s="9" t="s">
        <v>38</v>
      </c>
      <c r="L297" s="8">
        <v>46082</v>
      </c>
      <c r="M297" s="23">
        <f>YEAR(Таблица1[[#This Row],[Дата отчета]])</f>
        <v>2026</v>
      </c>
      <c r="N297" s="7"/>
      <c r="O297" s="7"/>
      <c r="P297" s="7"/>
      <c r="Q297" s="10"/>
    </row>
    <row r="298" spans="1:17" x14ac:dyDescent="0.25">
      <c r="A298" s="1" t="s">
        <v>12</v>
      </c>
      <c r="B298" s="2" t="s">
        <v>838</v>
      </c>
      <c r="C298" s="2" t="s">
        <v>839</v>
      </c>
      <c r="D298" s="2" t="s">
        <v>840</v>
      </c>
      <c r="E298" s="3" t="s">
        <v>841</v>
      </c>
      <c r="F298" s="18">
        <v>21420</v>
      </c>
      <c r="G298" s="4"/>
      <c r="H298" s="2">
        <v>1</v>
      </c>
      <c r="I298" s="3">
        <v>45925</v>
      </c>
      <c r="J298" s="4">
        <v>157</v>
      </c>
      <c r="K298" s="4" t="s">
        <v>22</v>
      </c>
      <c r="L298" s="3">
        <v>46082</v>
      </c>
      <c r="M298" s="23">
        <f>YEAR(Таблица1[[#This Row],[Дата отчета]])</f>
        <v>2026</v>
      </c>
      <c r="N298" s="2"/>
      <c r="O298" s="2"/>
      <c r="P298" s="2"/>
      <c r="Q298" s="5"/>
    </row>
    <row r="299" spans="1:17" x14ac:dyDescent="0.25">
      <c r="A299" s="6" t="s">
        <v>12</v>
      </c>
      <c r="B299" s="7" t="s">
        <v>838</v>
      </c>
      <c r="C299" s="7" t="s">
        <v>842</v>
      </c>
      <c r="D299" s="7" t="s">
        <v>843</v>
      </c>
      <c r="E299" s="8" t="s">
        <v>841</v>
      </c>
      <c r="F299" s="19">
        <v>26000</v>
      </c>
      <c r="G299" s="9"/>
      <c r="H299" s="7">
        <v>1</v>
      </c>
      <c r="I299" s="8">
        <v>45925</v>
      </c>
      <c r="J299" s="9">
        <v>157</v>
      </c>
      <c r="K299" s="9" t="s">
        <v>22</v>
      </c>
      <c r="L299" s="8">
        <v>46082</v>
      </c>
      <c r="M299" s="23">
        <f>YEAR(Таблица1[[#This Row],[Дата отчета]])</f>
        <v>2026</v>
      </c>
      <c r="N299" s="7"/>
      <c r="O299" s="7"/>
      <c r="P299" s="7"/>
      <c r="Q299" s="10"/>
    </row>
    <row r="300" spans="1:17" x14ac:dyDescent="0.25">
      <c r="A300" s="1" t="s">
        <v>12</v>
      </c>
      <c r="B300" s="2" t="s">
        <v>844</v>
      </c>
      <c r="C300" s="2" t="s">
        <v>845</v>
      </c>
      <c r="D300" s="2" t="s">
        <v>846</v>
      </c>
      <c r="E300" s="3" t="s">
        <v>847</v>
      </c>
      <c r="F300" s="18">
        <v>11834</v>
      </c>
      <c r="G300" s="4"/>
      <c r="H300" s="2">
        <v>1</v>
      </c>
      <c r="I300" s="3">
        <v>45200</v>
      </c>
      <c r="J300" s="4">
        <v>882</v>
      </c>
      <c r="K300" s="4" t="s">
        <v>17</v>
      </c>
      <c r="L300" s="3">
        <v>46082</v>
      </c>
      <c r="M300" s="23">
        <f>YEAR(Таблица1[[#This Row],[Дата отчета]])</f>
        <v>2026</v>
      </c>
      <c r="N300" s="2" t="s">
        <v>807</v>
      </c>
      <c r="O300" s="2"/>
      <c r="P300" s="2"/>
      <c r="Q300" s="5"/>
    </row>
    <row r="301" spans="1:17" x14ac:dyDescent="0.25">
      <c r="A301" s="6" t="s">
        <v>12</v>
      </c>
      <c r="B301" s="7" t="s">
        <v>848</v>
      </c>
      <c r="C301" s="7" t="s">
        <v>849</v>
      </c>
      <c r="D301" s="7" t="s">
        <v>850</v>
      </c>
      <c r="E301" s="8" t="s">
        <v>211</v>
      </c>
      <c r="F301" s="19">
        <v>47390</v>
      </c>
      <c r="G301" s="9"/>
      <c r="H301" s="7">
        <v>1</v>
      </c>
      <c r="I301" s="8">
        <v>46056</v>
      </c>
      <c r="J301" s="9">
        <v>26</v>
      </c>
      <c r="K301" s="9" t="s">
        <v>38</v>
      </c>
      <c r="L301" s="8">
        <v>46082</v>
      </c>
      <c r="M301" s="23">
        <f>YEAR(Таблица1[[#This Row],[Дата отчета]])</f>
        <v>2026</v>
      </c>
      <c r="N301" s="7"/>
      <c r="O301" s="7"/>
      <c r="P301" s="7"/>
      <c r="Q301" s="10"/>
    </row>
    <row r="302" spans="1:17" x14ac:dyDescent="0.25">
      <c r="A302" s="1" t="s">
        <v>12</v>
      </c>
      <c r="B302" s="2" t="s">
        <v>851</v>
      </c>
      <c r="C302" s="2" t="s">
        <v>852</v>
      </c>
      <c r="D302" s="2" t="s">
        <v>853</v>
      </c>
      <c r="E302" s="3" t="s">
        <v>169</v>
      </c>
      <c r="F302" s="18">
        <v>157500</v>
      </c>
      <c r="G302" s="4"/>
      <c r="H302" s="2">
        <v>1</v>
      </c>
      <c r="I302" s="3">
        <v>46050</v>
      </c>
      <c r="J302" s="4">
        <v>32</v>
      </c>
      <c r="K302" s="4" t="s">
        <v>27</v>
      </c>
      <c r="L302" s="3">
        <v>46082</v>
      </c>
      <c r="M302" s="23">
        <f>YEAR(Таблица1[[#This Row],[Дата отчета]])</f>
        <v>2026</v>
      </c>
      <c r="N302" s="2"/>
      <c r="O302" s="2"/>
      <c r="P302" s="2"/>
      <c r="Q302" s="5"/>
    </row>
    <row r="303" spans="1:17" x14ac:dyDescent="0.25">
      <c r="A303" s="6" t="s">
        <v>12</v>
      </c>
      <c r="B303" s="7" t="s">
        <v>854</v>
      </c>
      <c r="C303" s="7" t="s">
        <v>855</v>
      </c>
      <c r="D303" s="7" t="s">
        <v>856</v>
      </c>
      <c r="E303" s="8" t="s">
        <v>773</v>
      </c>
      <c r="F303" s="19">
        <v>3000</v>
      </c>
      <c r="G303" s="9"/>
      <c r="H303" s="7">
        <v>1</v>
      </c>
      <c r="I303" s="8">
        <v>45888</v>
      </c>
      <c r="J303" s="9">
        <v>194</v>
      </c>
      <c r="K303" s="9" t="s">
        <v>67</v>
      </c>
      <c r="L303" s="8">
        <v>46082</v>
      </c>
      <c r="M303" s="23">
        <f>YEAR(Таблица1[[#This Row],[Дата отчета]])</f>
        <v>2026</v>
      </c>
      <c r="N303" s="7"/>
      <c r="O303" s="7"/>
      <c r="P303" s="7"/>
      <c r="Q303" s="10"/>
    </row>
    <row r="304" spans="1:17" x14ac:dyDescent="0.25">
      <c r="A304" s="1" t="s">
        <v>12</v>
      </c>
      <c r="B304" s="2" t="s">
        <v>854</v>
      </c>
      <c r="C304" s="2" t="s">
        <v>857</v>
      </c>
      <c r="D304" s="2" t="s">
        <v>858</v>
      </c>
      <c r="E304" s="3" t="s">
        <v>859</v>
      </c>
      <c r="F304" s="18">
        <v>9250</v>
      </c>
      <c r="G304" s="4"/>
      <c r="H304" s="2">
        <v>1</v>
      </c>
      <c r="I304" s="3">
        <v>45110</v>
      </c>
      <c r="J304" s="4">
        <v>972</v>
      </c>
      <c r="K304" s="4" t="s">
        <v>17</v>
      </c>
      <c r="L304" s="3">
        <v>46082</v>
      </c>
      <c r="M304" s="23">
        <f>YEAR(Таблица1[[#This Row],[Дата отчета]])</f>
        <v>2026</v>
      </c>
      <c r="N304" s="2" t="s">
        <v>807</v>
      </c>
      <c r="O304" s="2"/>
      <c r="P304" s="2"/>
      <c r="Q304" s="5"/>
    </row>
    <row r="305" spans="1:17" x14ac:dyDescent="0.25">
      <c r="A305" s="6" t="s">
        <v>12</v>
      </c>
      <c r="B305" s="7" t="s">
        <v>854</v>
      </c>
      <c r="C305" s="7" t="s">
        <v>860</v>
      </c>
      <c r="D305" s="7" t="s">
        <v>861</v>
      </c>
      <c r="E305" s="8" t="s">
        <v>862</v>
      </c>
      <c r="F305" s="19">
        <v>4996</v>
      </c>
      <c r="G305" s="9"/>
      <c r="H305" s="7">
        <v>1</v>
      </c>
      <c r="I305" s="8">
        <v>45187</v>
      </c>
      <c r="J305" s="9">
        <v>895</v>
      </c>
      <c r="K305" s="9" t="s">
        <v>17</v>
      </c>
      <c r="L305" s="8">
        <v>46082</v>
      </c>
      <c r="M305" s="23">
        <f>YEAR(Таблица1[[#This Row],[Дата отчета]])</f>
        <v>2026</v>
      </c>
      <c r="N305" s="2" t="s">
        <v>807</v>
      </c>
      <c r="O305" s="7"/>
      <c r="P305" s="7"/>
      <c r="Q305" s="10"/>
    </row>
    <row r="306" spans="1:17" x14ac:dyDescent="0.25">
      <c r="A306" s="1" t="s">
        <v>12</v>
      </c>
      <c r="B306" s="2" t="s">
        <v>854</v>
      </c>
      <c r="C306" s="2" t="s">
        <v>863</v>
      </c>
      <c r="D306" s="2" t="s">
        <v>864</v>
      </c>
      <c r="E306" s="3" t="s">
        <v>865</v>
      </c>
      <c r="F306" s="18">
        <v>3100</v>
      </c>
      <c r="G306" s="4"/>
      <c r="H306" s="2">
        <v>1</v>
      </c>
      <c r="I306" s="3">
        <v>45456</v>
      </c>
      <c r="J306" s="4">
        <v>626</v>
      </c>
      <c r="K306" s="4" t="s">
        <v>17</v>
      </c>
      <c r="L306" s="3">
        <v>46082</v>
      </c>
      <c r="M306" s="23">
        <f>YEAR(Таблица1[[#This Row],[Дата отчета]])</f>
        <v>2026</v>
      </c>
      <c r="N306" s="2" t="s">
        <v>807</v>
      </c>
      <c r="O306" s="2"/>
      <c r="P306" s="2"/>
      <c r="Q306" s="5"/>
    </row>
    <row r="307" spans="1:17" x14ac:dyDescent="0.25">
      <c r="A307" s="6" t="s">
        <v>12</v>
      </c>
      <c r="B307" s="7" t="s">
        <v>854</v>
      </c>
      <c r="C307" s="7" t="s">
        <v>866</v>
      </c>
      <c r="D307" s="7" t="s">
        <v>867</v>
      </c>
      <c r="E307" s="8" t="s">
        <v>868</v>
      </c>
      <c r="F307" s="19">
        <v>2640</v>
      </c>
      <c r="G307" s="9"/>
      <c r="H307" s="7">
        <v>1</v>
      </c>
      <c r="I307" s="8">
        <v>45252</v>
      </c>
      <c r="J307" s="9">
        <v>830</v>
      </c>
      <c r="K307" s="9" t="s">
        <v>17</v>
      </c>
      <c r="L307" s="8">
        <v>46082</v>
      </c>
      <c r="M307" s="23">
        <f>YEAR(Таблица1[[#This Row],[Дата отчета]])</f>
        <v>2026</v>
      </c>
      <c r="N307" s="2" t="s">
        <v>807</v>
      </c>
      <c r="O307" s="7"/>
      <c r="P307" s="7"/>
      <c r="Q307" s="10"/>
    </row>
    <row r="308" spans="1:17" x14ac:dyDescent="0.25">
      <c r="A308" s="1" t="s">
        <v>12</v>
      </c>
      <c r="B308" s="2" t="s">
        <v>854</v>
      </c>
      <c r="C308" s="2" t="s">
        <v>869</v>
      </c>
      <c r="D308" s="2" t="s">
        <v>870</v>
      </c>
      <c r="E308" s="3" t="s">
        <v>360</v>
      </c>
      <c r="F308" s="18">
        <v>71968</v>
      </c>
      <c r="G308" s="4"/>
      <c r="H308" s="2">
        <v>1</v>
      </c>
      <c r="I308" s="3">
        <v>46058</v>
      </c>
      <c r="J308" s="4">
        <v>24</v>
      </c>
      <c r="K308" s="4" t="s">
        <v>38</v>
      </c>
      <c r="L308" s="3">
        <v>46082</v>
      </c>
      <c r="M308" s="23">
        <f>YEAR(Таблица1[[#This Row],[Дата отчета]])</f>
        <v>2026</v>
      </c>
      <c r="N308" s="2"/>
      <c r="O308" s="2"/>
      <c r="P308" s="2"/>
      <c r="Q308" s="5"/>
    </row>
    <row r="309" spans="1:17" x14ac:dyDescent="0.25">
      <c r="A309" s="6" t="s">
        <v>12</v>
      </c>
      <c r="B309" s="7" t="s">
        <v>854</v>
      </c>
      <c r="C309" s="7" t="s">
        <v>871</v>
      </c>
      <c r="D309" s="7" t="s">
        <v>872</v>
      </c>
      <c r="E309" s="8" t="s">
        <v>360</v>
      </c>
      <c r="F309" s="19">
        <v>129179</v>
      </c>
      <c r="G309" s="9"/>
      <c r="H309" s="7">
        <v>1</v>
      </c>
      <c r="I309" s="8">
        <v>46058</v>
      </c>
      <c r="J309" s="9">
        <v>24</v>
      </c>
      <c r="K309" s="9" t="s">
        <v>38</v>
      </c>
      <c r="L309" s="8">
        <v>46082</v>
      </c>
      <c r="M309" s="23">
        <f>YEAR(Таблица1[[#This Row],[Дата отчета]])</f>
        <v>2026</v>
      </c>
      <c r="N309" s="7"/>
      <c r="O309" s="7"/>
      <c r="P309" s="7"/>
      <c r="Q309" s="10"/>
    </row>
    <row r="310" spans="1:17" x14ac:dyDescent="0.25">
      <c r="A310" s="1" t="s">
        <v>12</v>
      </c>
      <c r="B310" s="2" t="s">
        <v>854</v>
      </c>
      <c r="C310" s="2" t="s">
        <v>873</v>
      </c>
      <c r="D310" s="2" t="s">
        <v>874</v>
      </c>
      <c r="E310" s="3" t="s">
        <v>360</v>
      </c>
      <c r="F310" s="18">
        <v>120800</v>
      </c>
      <c r="G310" s="4"/>
      <c r="H310" s="2">
        <v>1</v>
      </c>
      <c r="I310" s="3">
        <v>46058</v>
      </c>
      <c r="J310" s="4">
        <v>24</v>
      </c>
      <c r="K310" s="4" t="s">
        <v>38</v>
      </c>
      <c r="L310" s="3">
        <v>46082</v>
      </c>
      <c r="M310" s="23">
        <f>YEAR(Таблица1[[#This Row],[Дата отчета]])</f>
        <v>2026</v>
      </c>
      <c r="N310" s="2"/>
      <c r="O310" s="2"/>
      <c r="P310" s="2"/>
      <c r="Q310" s="5"/>
    </row>
    <row r="311" spans="1:17" x14ac:dyDescent="0.25">
      <c r="A311" s="6" t="s">
        <v>12</v>
      </c>
      <c r="B311" s="7" t="s">
        <v>854</v>
      </c>
      <c r="C311" s="7" t="s">
        <v>875</v>
      </c>
      <c r="D311" s="7" t="s">
        <v>876</v>
      </c>
      <c r="E311" s="8" t="s">
        <v>360</v>
      </c>
      <c r="F311" s="19">
        <v>13490</v>
      </c>
      <c r="G311" s="9"/>
      <c r="H311" s="7">
        <v>1</v>
      </c>
      <c r="I311" s="8">
        <v>46058</v>
      </c>
      <c r="J311" s="9">
        <v>24</v>
      </c>
      <c r="K311" s="9" t="s">
        <v>38</v>
      </c>
      <c r="L311" s="8">
        <v>46082</v>
      </c>
      <c r="M311" s="23">
        <f>YEAR(Таблица1[[#This Row],[Дата отчета]])</f>
        <v>2026</v>
      </c>
      <c r="N311" s="7"/>
      <c r="O311" s="7"/>
      <c r="P311" s="7"/>
      <c r="Q311" s="10"/>
    </row>
    <row r="312" spans="1:17" x14ac:dyDescent="0.25">
      <c r="A312" s="1" t="s">
        <v>12</v>
      </c>
      <c r="B312" s="2" t="s">
        <v>854</v>
      </c>
      <c r="C312" s="2" t="s">
        <v>877</v>
      </c>
      <c r="D312" s="2" t="s">
        <v>878</v>
      </c>
      <c r="E312" s="3" t="s">
        <v>810</v>
      </c>
      <c r="F312" s="18">
        <v>53809</v>
      </c>
      <c r="G312" s="4"/>
      <c r="H312" s="2">
        <v>1</v>
      </c>
      <c r="I312" s="3">
        <v>46063</v>
      </c>
      <c r="J312" s="4">
        <v>19</v>
      </c>
      <c r="K312" s="4" t="s">
        <v>38</v>
      </c>
      <c r="L312" s="3">
        <v>46082</v>
      </c>
      <c r="M312" s="23">
        <f>YEAR(Таблица1[[#This Row],[Дата отчета]])</f>
        <v>2026</v>
      </c>
      <c r="N312" s="2"/>
      <c r="O312" s="2"/>
      <c r="P312" s="2"/>
      <c r="Q312" s="5"/>
    </row>
    <row r="313" spans="1:17" x14ac:dyDescent="0.25">
      <c r="A313" s="6" t="s">
        <v>12</v>
      </c>
      <c r="B313" s="7" t="s">
        <v>854</v>
      </c>
      <c r="C313" s="7" t="s">
        <v>879</v>
      </c>
      <c r="D313" s="7" t="s">
        <v>880</v>
      </c>
      <c r="E313" s="8" t="s">
        <v>711</v>
      </c>
      <c r="F313" s="19">
        <v>7200</v>
      </c>
      <c r="G313" s="9"/>
      <c r="H313" s="7">
        <v>1</v>
      </c>
      <c r="I313" s="8">
        <v>46069</v>
      </c>
      <c r="J313" s="9">
        <v>13</v>
      </c>
      <c r="K313" s="9" t="s">
        <v>38</v>
      </c>
      <c r="L313" s="8">
        <v>46082</v>
      </c>
      <c r="M313" s="23">
        <f>YEAR(Таблица1[[#This Row],[Дата отчета]])</f>
        <v>2026</v>
      </c>
      <c r="N313" s="7"/>
      <c r="O313" s="7"/>
      <c r="P313" s="7"/>
      <c r="Q313" s="10"/>
    </row>
    <row r="314" spans="1:17" x14ac:dyDescent="0.25">
      <c r="A314" s="1" t="s">
        <v>12</v>
      </c>
      <c r="B314" s="2" t="s">
        <v>854</v>
      </c>
      <c r="C314" s="2" t="s">
        <v>881</v>
      </c>
      <c r="D314" s="2" t="s">
        <v>882</v>
      </c>
      <c r="E314" s="3" t="s">
        <v>48</v>
      </c>
      <c r="F314" s="18">
        <v>52079</v>
      </c>
      <c r="G314" s="4"/>
      <c r="H314" s="2">
        <v>1</v>
      </c>
      <c r="I314" s="3">
        <v>46078</v>
      </c>
      <c r="J314" s="4">
        <v>4</v>
      </c>
      <c r="K314" s="4" t="s">
        <v>38</v>
      </c>
      <c r="L314" s="3">
        <v>46082</v>
      </c>
      <c r="M314" s="23">
        <f>YEAR(Таблица1[[#This Row],[Дата отчета]])</f>
        <v>2026</v>
      </c>
      <c r="N314" s="2"/>
      <c r="O314" s="2"/>
      <c r="P314" s="2"/>
      <c r="Q314" s="5"/>
    </row>
    <row r="315" spans="1:17" x14ac:dyDescent="0.25">
      <c r="A315" s="6" t="s">
        <v>12</v>
      </c>
      <c r="B315" s="7" t="s">
        <v>854</v>
      </c>
      <c r="C315" s="7" t="s">
        <v>883</v>
      </c>
      <c r="D315" s="7" t="s">
        <v>884</v>
      </c>
      <c r="E315" s="8" t="s">
        <v>885</v>
      </c>
      <c r="F315" s="19">
        <v>22290</v>
      </c>
      <c r="G315" s="9"/>
      <c r="H315" s="7">
        <v>1</v>
      </c>
      <c r="I315" s="8">
        <v>45783</v>
      </c>
      <c r="J315" s="9">
        <v>299</v>
      </c>
      <c r="K315" s="9" t="s">
        <v>92</v>
      </c>
      <c r="L315" s="8">
        <v>46082</v>
      </c>
      <c r="M315" s="23">
        <f>YEAR(Таблица1[[#This Row],[Дата отчета]])</f>
        <v>2026</v>
      </c>
      <c r="N315" s="2" t="s">
        <v>807</v>
      </c>
      <c r="O315" s="7"/>
      <c r="P315" s="7"/>
      <c r="Q315" s="10"/>
    </row>
    <row r="316" spans="1:17" x14ac:dyDescent="0.25">
      <c r="A316" s="1" t="s">
        <v>12</v>
      </c>
      <c r="B316" s="2" t="s">
        <v>854</v>
      </c>
      <c r="C316" s="2" t="s">
        <v>883</v>
      </c>
      <c r="D316" s="2" t="s">
        <v>886</v>
      </c>
      <c r="E316" s="3" t="s">
        <v>669</v>
      </c>
      <c r="F316" s="18">
        <v>2000</v>
      </c>
      <c r="G316" s="4"/>
      <c r="H316" s="2">
        <v>1</v>
      </c>
      <c r="I316" s="3">
        <v>45930</v>
      </c>
      <c r="J316" s="4">
        <v>152</v>
      </c>
      <c r="K316" s="4" t="s">
        <v>22</v>
      </c>
      <c r="L316" s="3">
        <v>46082</v>
      </c>
      <c r="M316" s="23">
        <f>YEAR(Таблица1[[#This Row],[Дата отчета]])</f>
        <v>2026</v>
      </c>
      <c r="N316" s="2"/>
      <c r="O316" s="2"/>
      <c r="P316" s="2"/>
      <c r="Q316" s="5"/>
    </row>
    <row r="317" spans="1:17" x14ac:dyDescent="0.25">
      <c r="A317" s="6" t="s">
        <v>12</v>
      </c>
      <c r="B317" s="7" t="s">
        <v>854</v>
      </c>
      <c r="C317" s="7" t="s">
        <v>883</v>
      </c>
      <c r="D317" s="7" t="s">
        <v>887</v>
      </c>
      <c r="E317" s="8" t="s">
        <v>231</v>
      </c>
      <c r="F317" s="19">
        <v>4100</v>
      </c>
      <c r="G317" s="9"/>
      <c r="H317" s="7">
        <v>1</v>
      </c>
      <c r="I317" s="8">
        <v>45992</v>
      </c>
      <c r="J317" s="9">
        <v>90</v>
      </c>
      <c r="K317" s="9" t="s">
        <v>27</v>
      </c>
      <c r="L317" s="8">
        <v>46082</v>
      </c>
      <c r="M317" s="23">
        <f>YEAR(Таблица1[[#This Row],[Дата отчета]])</f>
        <v>2026</v>
      </c>
      <c r="N317" s="7"/>
      <c r="O317" s="7"/>
      <c r="P317" s="7"/>
      <c r="Q317" s="10"/>
    </row>
    <row r="318" spans="1:17" x14ac:dyDescent="0.25">
      <c r="A318" s="1" t="s">
        <v>12</v>
      </c>
      <c r="B318" s="2" t="s">
        <v>854</v>
      </c>
      <c r="C318" s="2" t="s">
        <v>888</v>
      </c>
      <c r="D318" s="2" t="s">
        <v>889</v>
      </c>
      <c r="E318" s="3" t="s">
        <v>890</v>
      </c>
      <c r="F318" s="18">
        <v>3000</v>
      </c>
      <c r="G318" s="4"/>
      <c r="H318" s="2">
        <v>1</v>
      </c>
      <c r="I318" s="3">
        <v>45894</v>
      </c>
      <c r="J318" s="4">
        <v>188</v>
      </c>
      <c r="K318" s="4" t="s">
        <v>67</v>
      </c>
      <c r="L318" s="3">
        <v>46082</v>
      </c>
      <c r="M318" s="23">
        <f>YEAR(Таблица1[[#This Row],[Дата отчета]])</f>
        <v>2026</v>
      </c>
      <c r="N318" s="2"/>
      <c r="O318" s="2"/>
      <c r="P318" s="2"/>
      <c r="Q318" s="5"/>
    </row>
    <row r="319" spans="1:17" x14ac:dyDescent="0.25">
      <c r="A319" s="6" t="s">
        <v>12</v>
      </c>
      <c r="B319" s="7" t="s">
        <v>854</v>
      </c>
      <c r="C319" s="7" t="s">
        <v>891</v>
      </c>
      <c r="D319" s="7" t="s">
        <v>892</v>
      </c>
      <c r="E319" s="8" t="s">
        <v>893</v>
      </c>
      <c r="F319" s="19">
        <v>29300</v>
      </c>
      <c r="G319" s="9"/>
      <c r="H319" s="7">
        <v>1</v>
      </c>
      <c r="I319" s="8">
        <v>45898</v>
      </c>
      <c r="J319" s="9">
        <v>184</v>
      </c>
      <c r="K319" s="9" t="s">
        <v>67</v>
      </c>
      <c r="L319" s="8">
        <v>46082</v>
      </c>
      <c r="M319" s="23">
        <f>YEAR(Таблица1[[#This Row],[Дата отчета]])</f>
        <v>2026</v>
      </c>
      <c r="N319" s="7"/>
      <c r="O319" s="7"/>
      <c r="P319" s="7"/>
      <c r="Q319" s="10"/>
    </row>
    <row r="320" spans="1:17" x14ac:dyDescent="0.25">
      <c r="A320" s="1" t="s">
        <v>12</v>
      </c>
      <c r="B320" s="2" t="s">
        <v>894</v>
      </c>
      <c r="C320" s="2" t="s">
        <v>895</v>
      </c>
      <c r="D320" s="2" t="s">
        <v>896</v>
      </c>
      <c r="E320" s="3" t="s">
        <v>897</v>
      </c>
      <c r="F320" s="18">
        <v>2400</v>
      </c>
      <c r="G320" s="4"/>
      <c r="H320" s="2">
        <v>1</v>
      </c>
      <c r="I320" s="3">
        <v>45022</v>
      </c>
      <c r="J320" s="4">
        <v>1060</v>
      </c>
      <c r="K320" s="4" t="s">
        <v>17</v>
      </c>
      <c r="L320" s="3">
        <v>46082</v>
      </c>
      <c r="M320" s="23">
        <f>YEAR(Таблица1[[#This Row],[Дата отчета]])</f>
        <v>2026</v>
      </c>
      <c r="N320" s="2" t="s">
        <v>807</v>
      </c>
      <c r="O320" s="2"/>
      <c r="P320" s="2"/>
      <c r="Q320" s="5"/>
    </row>
    <row r="321" spans="1:17" x14ac:dyDescent="0.25">
      <c r="A321" s="6" t="s">
        <v>12</v>
      </c>
      <c r="B321" s="7" t="s">
        <v>894</v>
      </c>
      <c r="C321" s="7" t="s">
        <v>898</v>
      </c>
      <c r="D321" s="7" t="s">
        <v>899</v>
      </c>
      <c r="E321" s="8" t="s">
        <v>900</v>
      </c>
      <c r="F321" s="19">
        <v>22029</v>
      </c>
      <c r="G321" s="9"/>
      <c r="H321" s="7">
        <v>1</v>
      </c>
      <c r="I321" s="8">
        <v>45203</v>
      </c>
      <c r="J321" s="9">
        <v>879</v>
      </c>
      <c r="K321" s="9" t="s">
        <v>17</v>
      </c>
      <c r="L321" s="8">
        <v>46082</v>
      </c>
      <c r="M321" s="23">
        <f>YEAR(Таблица1[[#This Row],[Дата отчета]])</f>
        <v>2026</v>
      </c>
      <c r="N321" s="2" t="s">
        <v>807</v>
      </c>
      <c r="O321" s="7"/>
      <c r="P321" s="7"/>
      <c r="Q321" s="10"/>
    </row>
    <row r="322" spans="1:17" x14ac:dyDescent="0.25">
      <c r="A322" s="1" t="s">
        <v>12</v>
      </c>
      <c r="B322" s="2" t="s">
        <v>901</v>
      </c>
      <c r="C322" s="2" t="s">
        <v>775</v>
      </c>
      <c r="D322" s="2" t="s">
        <v>902</v>
      </c>
      <c r="E322" s="3" t="s">
        <v>903</v>
      </c>
      <c r="F322" s="18">
        <v>270</v>
      </c>
      <c r="G322" s="4"/>
      <c r="H322" s="2">
        <v>1</v>
      </c>
      <c r="I322" s="3">
        <v>43679</v>
      </c>
      <c r="J322" s="4">
        <v>2403</v>
      </c>
      <c r="K322" s="4" t="s">
        <v>17</v>
      </c>
      <c r="L322" s="3">
        <v>46082</v>
      </c>
      <c r="M322" s="23">
        <f>YEAR(Таблица1[[#This Row],[Дата отчета]])</f>
        <v>2026</v>
      </c>
      <c r="N322" s="2" t="s">
        <v>807</v>
      </c>
      <c r="O322" s="2"/>
      <c r="P322" s="2"/>
      <c r="Q322" s="5"/>
    </row>
    <row r="323" spans="1:17" x14ac:dyDescent="0.25">
      <c r="A323" s="6" t="s">
        <v>12</v>
      </c>
      <c r="B323" s="7" t="s">
        <v>904</v>
      </c>
      <c r="C323" s="7" t="s">
        <v>905</v>
      </c>
      <c r="D323" s="7" t="s">
        <v>906</v>
      </c>
      <c r="E323" s="8" t="s">
        <v>907</v>
      </c>
      <c r="F323" s="19">
        <v>479100</v>
      </c>
      <c r="G323" s="9"/>
      <c r="H323" s="7">
        <v>1</v>
      </c>
      <c r="I323" s="8">
        <v>45909</v>
      </c>
      <c r="J323" s="9">
        <v>173</v>
      </c>
      <c r="K323" s="9" t="s">
        <v>22</v>
      </c>
      <c r="L323" s="8">
        <v>46082</v>
      </c>
      <c r="M323" s="23">
        <f>YEAR(Таблица1[[#This Row],[Дата отчета]])</f>
        <v>2026</v>
      </c>
      <c r="N323" s="7"/>
      <c r="O323" s="7"/>
      <c r="P323" s="7"/>
      <c r="Q323" s="10"/>
    </row>
    <row r="324" spans="1:17" x14ac:dyDescent="0.25">
      <c r="A324" s="1" t="s">
        <v>12</v>
      </c>
      <c r="B324" s="2" t="s">
        <v>904</v>
      </c>
      <c r="C324" s="2" t="s">
        <v>908</v>
      </c>
      <c r="D324" s="2" t="s">
        <v>909</v>
      </c>
      <c r="E324" s="3" t="s">
        <v>702</v>
      </c>
      <c r="F324" s="18">
        <v>855000</v>
      </c>
      <c r="G324" s="4"/>
      <c r="H324" s="2">
        <v>1</v>
      </c>
      <c r="I324" s="3">
        <v>45943</v>
      </c>
      <c r="J324" s="4">
        <v>139</v>
      </c>
      <c r="K324" s="4" t="s">
        <v>22</v>
      </c>
      <c r="L324" s="3">
        <v>46082</v>
      </c>
      <c r="M324" s="23">
        <f>YEAR(Таблица1[[#This Row],[Дата отчета]])</f>
        <v>2026</v>
      </c>
      <c r="N324" s="2"/>
      <c r="O324" s="2"/>
      <c r="P324" s="2"/>
      <c r="Q324" s="5"/>
    </row>
    <row r="325" spans="1:17" x14ac:dyDescent="0.25">
      <c r="A325" s="6" t="s">
        <v>12</v>
      </c>
      <c r="B325" s="7" t="s">
        <v>904</v>
      </c>
      <c r="C325" s="7" t="s">
        <v>910</v>
      </c>
      <c r="D325" s="7" t="s">
        <v>911</v>
      </c>
      <c r="E325" s="8" t="s">
        <v>169</v>
      </c>
      <c r="F325" s="19">
        <v>4479987</v>
      </c>
      <c r="G325" s="9"/>
      <c r="H325" s="7">
        <v>1</v>
      </c>
      <c r="I325" s="8">
        <v>46050</v>
      </c>
      <c r="J325" s="9">
        <v>32</v>
      </c>
      <c r="K325" s="9" t="s">
        <v>27</v>
      </c>
      <c r="L325" s="8">
        <v>46082</v>
      </c>
      <c r="M325" s="23">
        <f>YEAR(Таблица1[[#This Row],[Дата отчета]])</f>
        <v>2026</v>
      </c>
      <c r="N325" s="7"/>
      <c r="O325" s="7"/>
      <c r="P325" s="7"/>
      <c r="Q325" s="10"/>
    </row>
    <row r="326" spans="1:17" x14ac:dyDescent="0.25">
      <c r="A326" s="1" t="s">
        <v>12</v>
      </c>
      <c r="B326" s="2" t="s">
        <v>912</v>
      </c>
      <c r="C326" s="2" t="s">
        <v>913</v>
      </c>
      <c r="D326" s="2" t="s">
        <v>914</v>
      </c>
      <c r="E326" s="3" t="s">
        <v>156</v>
      </c>
      <c r="F326" s="18">
        <v>207200</v>
      </c>
      <c r="G326" s="4"/>
      <c r="H326" s="2">
        <v>1</v>
      </c>
      <c r="I326" s="3">
        <v>46051</v>
      </c>
      <c r="J326" s="4">
        <v>31</v>
      </c>
      <c r="K326" s="4" t="s">
        <v>27</v>
      </c>
      <c r="L326" s="3">
        <v>46082</v>
      </c>
      <c r="M326" s="23">
        <f>YEAR(Таблица1[[#This Row],[Дата отчета]])</f>
        <v>2026</v>
      </c>
      <c r="N326" s="2"/>
      <c r="O326" s="2"/>
      <c r="P326" s="2"/>
      <c r="Q326" s="5"/>
    </row>
    <row r="327" spans="1:17" x14ac:dyDescent="0.25">
      <c r="A327" s="6" t="s">
        <v>12</v>
      </c>
      <c r="B327" s="7" t="s">
        <v>915</v>
      </c>
      <c r="C327" s="7" t="s">
        <v>916</v>
      </c>
      <c r="D327" s="7" t="s">
        <v>917</v>
      </c>
      <c r="E327" s="8" t="s">
        <v>571</v>
      </c>
      <c r="F327" s="19">
        <v>380000</v>
      </c>
      <c r="G327" s="9"/>
      <c r="H327" s="7">
        <v>1</v>
      </c>
      <c r="I327" s="8">
        <v>45951</v>
      </c>
      <c r="J327" s="9">
        <v>131</v>
      </c>
      <c r="K327" s="9" t="s">
        <v>22</v>
      </c>
      <c r="L327" s="8">
        <v>46082</v>
      </c>
      <c r="M327" s="23">
        <f>YEAR(Таблица1[[#This Row],[Дата отчета]])</f>
        <v>2026</v>
      </c>
      <c r="N327" s="7"/>
      <c r="O327" s="7"/>
      <c r="P327" s="7"/>
      <c r="Q327" s="10"/>
    </row>
    <row r="328" spans="1:17" x14ac:dyDescent="0.25">
      <c r="A328" s="1" t="s">
        <v>12</v>
      </c>
      <c r="B328" s="2" t="s">
        <v>915</v>
      </c>
      <c r="C328" s="2" t="s">
        <v>918</v>
      </c>
      <c r="D328" s="2" t="s">
        <v>919</v>
      </c>
      <c r="E328" s="3" t="s">
        <v>920</v>
      </c>
      <c r="F328" s="18">
        <v>37500</v>
      </c>
      <c r="G328" s="4"/>
      <c r="H328" s="2">
        <v>1</v>
      </c>
      <c r="I328" s="3">
        <v>45392</v>
      </c>
      <c r="J328" s="4">
        <v>690</v>
      </c>
      <c r="K328" s="4" t="s">
        <v>17</v>
      </c>
      <c r="L328" s="3">
        <v>46082</v>
      </c>
      <c r="M328" s="23">
        <f>YEAR(Таблица1[[#This Row],[Дата отчета]])</f>
        <v>2026</v>
      </c>
      <c r="N328" s="2" t="s">
        <v>4538</v>
      </c>
      <c r="O328" s="2"/>
      <c r="P328" s="2"/>
      <c r="Q328" s="5"/>
    </row>
    <row r="329" spans="1:17" x14ac:dyDescent="0.25">
      <c r="A329" s="6" t="s">
        <v>12</v>
      </c>
      <c r="B329" s="7" t="s">
        <v>915</v>
      </c>
      <c r="C329" s="7" t="s">
        <v>921</v>
      </c>
      <c r="D329" s="7" t="s">
        <v>922</v>
      </c>
      <c r="E329" s="8" t="s">
        <v>360</v>
      </c>
      <c r="F329" s="19">
        <v>6402046.9900000002</v>
      </c>
      <c r="G329" s="9"/>
      <c r="H329" s="7">
        <v>1</v>
      </c>
      <c r="I329" s="8">
        <v>46058</v>
      </c>
      <c r="J329" s="9">
        <v>24</v>
      </c>
      <c r="K329" s="9" t="s">
        <v>38</v>
      </c>
      <c r="L329" s="8">
        <v>46082</v>
      </c>
      <c r="M329" s="23">
        <f>YEAR(Таблица1[[#This Row],[Дата отчета]])</f>
        <v>2026</v>
      </c>
      <c r="N329" s="7"/>
      <c r="O329" s="7"/>
      <c r="P329" s="7"/>
      <c r="Q329" s="10"/>
    </row>
    <row r="330" spans="1:17" x14ac:dyDescent="0.25">
      <c r="A330" s="1" t="s">
        <v>12</v>
      </c>
      <c r="B330" s="2" t="s">
        <v>915</v>
      </c>
      <c r="C330" s="2" t="s">
        <v>923</v>
      </c>
      <c r="D330" s="2" t="s">
        <v>924</v>
      </c>
      <c r="E330" s="3" t="s">
        <v>725</v>
      </c>
      <c r="F330" s="18">
        <v>10495159.01</v>
      </c>
      <c r="G330" s="4"/>
      <c r="H330" s="2">
        <v>1</v>
      </c>
      <c r="I330" s="3">
        <v>46002</v>
      </c>
      <c r="J330" s="4">
        <v>80</v>
      </c>
      <c r="K330" s="4" t="s">
        <v>27</v>
      </c>
      <c r="L330" s="3">
        <v>46082</v>
      </c>
      <c r="M330" s="23">
        <f>YEAR(Таблица1[[#This Row],[Дата отчета]])</f>
        <v>2026</v>
      </c>
      <c r="N330" s="2"/>
      <c r="O330" s="2"/>
      <c r="P330" s="2"/>
      <c r="Q330" s="5"/>
    </row>
    <row r="331" spans="1:17" x14ac:dyDescent="0.25">
      <c r="A331" s="6" t="s">
        <v>12</v>
      </c>
      <c r="B331" s="7" t="s">
        <v>925</v>
      </c>
      <c r="C331" s="7" t="s">
        <v>926</v>
      </c>
      <c r="D331" s="7" t="s">
        <v>927</v>
      </c>
      <c r="E331" s="8" t="s">
        <v>662</v>
      </c>
      <c r="F331" s="19">
        <v>700232.5</v>
      </c>
      <c r="G331" s="9"/>
      <c r="H331" s="7">
        <v>1</v>
      </c>
      <c r="I331" s="8">
        <v>45932</v>
      </c>
      <c r="J331" s="9">
        <v>150</v>
      </c>
      <c r="K331" s="9" t="s">
        <v>22</v>
      </c>
      <c r="L331" s="8">
        <v>46082</v>
      </c>
      <c r="M331" s="23">
        <f>YEAR(Таблица1[[#This Row],[Дата отчета]])</f>
        <v>2026</v>
      </c>
      <c r="N331" s="7"/>
      <c r="O331" s="7"/>
      <c r="P331" s="7"/>
      <c r="Q331" s="10"/>
    </row>
    <row r="332" spans="1:17" x14ac:dyDescent="0.25">
      <c r="A332" s="1" t="s">
        <v>12</v>
      </c>
      <c r="B332" s="2" t="s">
        <v>925</v>
      </c>
      <c r="C332" s="2" t="s">
        <v>926</v>
      </c>
      <c r="D332" s="2" t="s">
        <v>928</v>
      </c>
      <c r="E332" s="3" t="s">
        <v>929</v>
      </c>
      <c r="F332" s="18">
        <v>700232.5</v>
      </c>
      <c r="G332" s="4"/>
      <c r="H332" s="2">
        <v>1</v>
      </c>
      <c r="I332" s="3">
        <v>46007</v>
      </c>
      <c r="J332" s="4">
        <v>75</v>
      </c>
      <c r="K332" s="4" t="s">
        <v>27</v>
      </c>
      <c r="L332" s="3">
        <v>46082</v>
      </c>
      <c r="M332" s="23">
        <f>YEAR(Таблица1[[#This Row],[Дата отчета]])</f>
        <v>2026</v>
      </c>
      <c r="N332" s="2"/>
      <c r="O332" s="2"/>
      <c r="P332" s="2"/>
      <c r="Q332" s="5"/>
    </row>
    <row r="333" spans="1:17" x14ac:dyDescent="0.25">
      <c r="A333" s="6" t="s">
        <v>12</v>
      </c>
      <c r="B333" s="7" t="s">
        <v>925</v>
      </c>
      <c r="C333" s="7" t="s">
        <v>926</v>
      </c>
      <c r="D333" s="7" t="s">
        <v>930</v>
      </c>
      <c r="E333" s="8" t="s">
        <v>254</v>
      </c>
      <c r="F333" s="19">
        <v>1017148</v>
      </c>
      <c r="G333" s="9"/>
      <c r="H333" s="7">
        <v>1</v>
      </c>
      <c r="I333" s="8">
        <v>46048</v>
      </c>
      <c r="J333" s="9">
        <v>34</v>
      </c>
      <c r="K333" s="9" t="s">
        <v>27</v>
      </c>
      <c r="L333" s="8">
        <v>46082</v>
      </c>
      <c r="M333" s="23">
        <f>YEAR(Таблица1[[#This Row],[Дата отчета]])</f>
        <v>2026</v>
      </c>
      <c r="N333" s="7"/>
      <c r="O333" s="7"/>
      <c r="P333" s="7"/>
      <c r="Q333" s="10"/>
    </row>
    <row r="334" spans="1:17" x14ac:dyDescent="0.25">
      <c r="A334" s="1" t="s">
        <v>12</v>
      </c>
      <c r="B334" s="2" t="s">
        <v>931</v>
      </c>
      <c r="C334" s="2" t="s">
        <v>932</v>
      </c>
      <c r="D334" s="2" t="s">
        <v>933</v>
      </c>
      <c r="E334" s="3" t="s">
        <v>656</v>
      </c>
      <c r="F334" s="18">
        <v>585500</v>
      </c>
      <c r="G334" s="4"/>
      <c r="H334" s="2">
        <v>1</v>
      </c>
      <c r="I334" s="3">
        <v>46052</v>
      </c>
      <c r="J334" s="4">
        <v>30</v>
      </c>
      <c r="K334" s="4" t="s">
        <v>38</v>
      </c>
      <c r="L334" s="3">
        <v>46082</v>
      </c>
      <c r="M334" s="23">
        <f>YEAR(Таблица1[[#This Row],[Дата отчета]])</f>
        <v>2026</v>
      </c>
      <c r="N334" s="2"/>
      <c r="O334" s="2"/>
      <c r="P334" s="2"/>
      <c r="Q334" s="5"/>
    </row>
    <row r="335" spans="1:17" x14ac:dyDescent="0.25">
      <c r="A335" s="6" t="s">
        <v>12</v>
      </c>
      <c r="B335" s="7" t="s">
        <v>931</v>
      </c>
      <c r="C335" s="7" t="s">
        <v>932</v>
      </c>
      <c r="D335" s="7" t="s">
        <v>934</v>
      </c>
      <c r="E335" s="8" t="s">
        <v>711</v>
      </c>
      <c r="F335" s="19">
        <v>585500</v>
      </c>
      <c r="G335" s="9"/>
      <c r="H335" s="7">
        <v>1</v>
      </c>
      <c r="I335" s="8">
        <v>46069</v>
      </c>
      <c r="J335" s="9">
        <v>13</v>
      </c>
      <c r="K335" s="9" t="s">
        <v>38</v>
      </c>
      <c r="L335" s="8">
        <v>46082</v>
      </c>
      <c r="M335" s="23">
        <f>YEAR(Таблица1[[#This Row],[Дата отчета]])</f>
        <v>2026</v>
      </c>
      <c r="N335" s="7"/>
      <c r="O335" s="7"/>
      <c r="P335" s="7"/>
      <c r="Q335" s="10"/>
    </row>
    <row r="336" spans="1:17" x14ac:dyDescent="0.25">
      <c r="A336" s="1" t="s">
        <v>12</v>
      </c>
      <c r="B336" s="2" t="s">
        <v>935</v>
      </c>
      <c r="C336" s="2" t="s">
        <v>936</v>
      </c>
      <c r="D336" s="2" t="s">
        <v>937</v>
      </c>
      <c r="E336" s="3" t="s">
        <v>841</v>
      </c>
      <c r="F336" s="18">
        <v>38030</v>
      </c>
      <c r="G336" s="4"/>
      <c r="H336" s="2">
        <v>1</v>
      </c>
      <c r="I336" s="3">
        <v>45925</v>
      </c>
      <c r="J336" s="4">
        <v>157</v>
      </c>
      <c r="K336" s="4" t="s">
        <v>22</v>
      </c>
      <c r="L336" s="3">
        <v>46082</v>
      </c>
      <c r="M336" s="23">
        <f>YEAR(Таблица1[[#This Row],[Дата отчета]])</f>
        <v>2026</v>
      </c>
      <c r="N336" s="2"/>
      <c r="O336" s="2"/>
      <c r="P336" s="2"/>
      <c r="Q336" s="5"/>
    </row>
    <row r="337" spans="1:17" x14ac:dyDescent="0.25">
      <c r="A337" s="6" t="s">
        <v>12</v>
      </c>
      <c r="B337" s="7" t="s">
        <v>935</v>
      </c>
      <c r="C337" s="7" t="s">
        <v>938</v>
      </c>
      <c r="D337" s="7" t="s">
        <v>939</v>
      </c>
      <c r="E337" s="8" t="s">
        <v>131</v>
      </c>
      <c r="F337" s="19">
        <v>25650</v>
      </c>
      <c r="G337" s="9"/>
      <c r="H337" s="7">
        <v>1</v>
      </c>
      <c r="I337" s="8">
        <v>45931</v>
      </c>
      <c r="J337" s="9">
        <v>151</v>
      </c>
      <c r="K337" s="9" t="s">
        <v>22</v>
      </c>
      <c r="L337" s="8">
        <v>46082</v>
      </c>
      <c r="M337" s="23">
        <f>YEAR(Таблица1[[#This Row],[Дата отчета]])</f>
        <v>2026</v>
      </c>
      <c r="N337" s="7"/>
      <c r="O337" s="7"/>
      <c r="P337" s="7"/>
      <c r="Q337" s="10"/>
    </row>
    <row r="338" spans="1:17" x14ac:dyDescent="0.25">
      <c r="A338" s="1" t="s">
        <v>12</v>
      </c>
      <c r="B338" s="2" t="s">
        <v>935</v>
      </c>
      <c r="C338" s="2" t="s">
        <v>940</v>
      </c>
      <c r="D338" s="2" t="s">
        <v>941</v>
      </c>
      <c r="E338" s="3" t="s">
        <v>254</v>
      </c>
      <c r="F338" s="18">
        <v>91850</v>
      </c>
      <c r="G338" s="4"/>
      <c r="H338" s="2">
        <v>1</v>
      </c>
      <c r="I338" s="3">
        <v>46048</v>
      </c>
      <c r="J338" s="4">
        <v>34</v>
      </c>
      <c r="K338" s="4" t="s">
        <v>27</v>
      </c>
      <c r="L338" s="3">
        <v>46082</v>
      </c>
      <c r="M338" s="23">
        <f>YEAR(Таблица1[[#This Row],[Дата отчета]])</f>
        <v>2026</v>
      </c>
      <c r="N338" s="2"/>
      <c r="O338" s="2"/>
      <c r="P338" s="2"/>
      <c r="Q338" s="5"/>
    </row>
    <row r="339" spans="1:17" x14ac:dyDescent="0.25">
      <c r="A339" s="6" t="s">
        <v>12</v>
      </c>
      <c r="B339" s="7" t="s">
        <v>935</v>
      </c>
      <c r="C339" s="7" t="s">
        <v>942</v>
      </c>
      <c r="D339" s="7" t="s">
        <v>943</v>
      </c>
      <c r="E339" s="8" t="s">
        <v>944</v>
      </c>
      <c r="F339" s="19">
        <v>14000</v>
      </c>
      <c r="G339" s="9"/>
      <c r="H339" s="7">
        <v>1</v>
      </c>
      <c r="I339" s="8">
        <v>45749</v>
      </c>
      <c r="J339" s="9">
        <v>333</v>
      </c>
      <c r="K339" s="9" t="s">
        <v>92</v>
      </c>
      <c r="L339" s="8">
        <v>46082</v>
      </c>
      <c r="M339" s="23">
        <f>YEAR(Таблица1[[#This Row],[Дата отчета]])</f>
        <v>2026</v>
      </c>
      <c r="N339" s="7" t="s">
        <v>4538</v>
      </c>
      <c r="O339" s="7"/>
      <c r="P339" s="7"/>
      <c r="Q339" s="10"/>
    </row>
    <row r="340" spans="1:17" x14ac:dyDescent="0.25">
      <c r="A340" s="1" t="s">
        <v>12</v>
      </c>
      <c r="B340" s="2" t="s">
        <v>945</v>
      </c>
      <c r="C340" s="2" t="s">
        <v>946</v>
      </c>
      <c r="D340" s="2" t="s">
        <v>947</v>
      </c>
      <c r="E340" s="3" t="s">
        <v>79</v>
      </c>
      <c r="F340" s="18">
        <v>2000</v>
      </c>
      <c r="G340" s="4"/>
      <c r="H340" s="2">
        <v>1</v>
      </c>
      <c r="I340" s="3">
        <v>45980</v>
      </c>
      <c r="J340" s="4">
        <v>102</v>
      </c>
      <c r="K340" s="4" t="s">
        <v>71</v>
      </c>
      <c r="L340" s="3">
        <v>46082</v>
      </c>
      <c r="M340" s="23">
        <f>YEAR(Таблица1[[#This Row],[Дата отчета]])</f>
        <v>2026</v>
      </c>
      <c r="N340" s="2"/>
      <c r="O340" s="2"/>
      <c r="P340" s="2"/>
      <c r="Q340" s="5"/>
    </row>
    <row r="341" spans="1:17" x14ac:dyDescent="0.25">
      <c r="A341" s="6" t="s">
        <v>12</v>
      </c>
      <c r="B341" s="7" t="s">
        <v>948</v>
      </c>
      <c r="C341" s="7" t="s">
        <v>949</v>
      </c>
      <c r="D341" s="7" t="s">
        <v>950</v>
      </c>
      <c r="E341" s="8" t="s">
        <v>360</v>
      </c>
      <c r="F341" s="19">
        <v>37607.5</v>
      </c>
      <c r="G341" s="9"/>
      <c r="H341" s="7">
        <v>1</v>
      </c>
      <c r="I341" s="8">
        <v>46058</v>
      </c>
      <c r="J341" s="9">
        <v>24</v>
      </c>
      <c r="K341" s="9" t="s">
        <v>38</v>
      </c>
      <c r="L341" s="8">
        <v>46082</v>
      </c>
      <c r="M341" s="23">
        <f>YEAR(Таблица1[[#This Row],[Дата отчета]])</f>
        <v>2026</v>
      </c>
      <c r="N341" s="7"/>
      <c r="O341" s="7"/>
      <c r="P341" s="7"/>
      <c r="Q341" s="10"/>
    </row>
    <row r="342" spans="1:17" x14ac:dyDescent="0.25">
      <c r="A342" s="1" t="s">
        <v>12</v>
      </c>
      <c r="B342" s="2" t="s">
        <v>948</v>
      </c>
      <c r="C342" s="2" t="s">
        <v>951</v>
      </c>
      <c r="D342" s="2" t="s">
        <v>952</v>
      </c>
      <c r="E342" s="3" t="s">
        <v>360</v>
      </c>
      <c r="F342" s="18">
        <v>313445</v>
      </c>
      <c r="G342" s="4"/>
      <c r="H342" s="2">
        <v>1</v>
      </c>
      <c r="I342" s="3">
        <v>46058</v>
      </c>
      <c r="J342" s="4">
        <v>24</v>
      </c>
      <c r="K342" s="4" t="s">
        <v>38</v>
      </c>
      <c r="L342" s="3">
        <v>46082</v>
      </c>
      <c r="M342" s="23">
        <f>YEAR(Таблица1[[#This Row],[Дата отчета]])</f>
        <v>2026</v>
      </c>
      <c r="N342" s="2"/>
      <c r="O342" s="2"/>
      <c r="P342" s="2"/>
      <c r="Q342" s="5"/>
    </row>
    <row r="343" spans="1:17" x14ac:dyDescent="0.25">
      <c r="A343" s="6" t="s">
        <v>12</v>
      </c>
      <c r="B343" s="7" t="s">
        <v>953</v>
      </c>
      <c r="C343" s="7" t="s">
        <v>954</v>
      </c>
      <c r="D343" s="7" t="s">
        <v>955</v>
      </c>
      <c r="E343" s="8" t="s">
        <v>156</v>
      </c>
      <c r="F343" s="19">
        <v>3115745.29</v>
      </c>
      <c r="G343" s="9"/>
      <c r="H343" s="7">
        <v>1</v>
      </c>
      <c r="I343" s="8">
        <v>46051</v>
      </c>
      <c r="J343" s="9">
        <v>31</v>
      </c>
      <c r="K343" s="9" t="s">
        <v>27</v>
      </c>
      <c r="L343" s="8">
        <v>46082</v>
      </c>
      <c r="M343" s="23">
        <f>YEAR(Таблица1[[#This Row],[Дата отчета]])</f>
        <v>2026</v>
      </c>
      <c r="N343" s="7"/>
      <c r="O343" s="7"/>
      <c r="P343" s="7"/>
      <c r="Q343" s="10"/>
    </row>
    <row r="344" spans="1:17" x14ac:dyDescent="0.25">
      <c r="A344" s="1" t="s">
        <v>12</v>
      </c>
      <c r="B344" s="2" t="s">
        <v>956</v>
      </c>
      <c r="C344" s="2" t="s">
        <v>957</v>
      </c>
      <c r="D344" s="2" t="s">
        <v>958</v>
      </c>
      <c r="E344" s="3" t="s">
        <v>360</v>
      </c>
      <c r="F344" s="18">
        <v>6244997.5</v>
      </c>
      <c r="G344" s="4"/>
      <c r="H344" s="2">
        <v>1</v>
      </c>
      <c r="I344" s="3">
        <v>46058</v>
      </c>
      <c r="J344" s="4">
        <v>24</v>
      </c>
      <c r="K344" s="4" t="s">
        <v>38</v>
      </c>
      <c r="L344" s="3">
        <v>46082</v>
      </c>
      <c r="M344" s="23">
        <f>YEAR(Таблица1[[#This Row],[Дата отчета]])</f>
        <v>2026</v>
      </c>
      <c r="N344" s="2"/>
      <c r="O344" s="2"/>
      <c r="P344" s="2"/>
      <c r="Q344" s="5"/>
    </row>
    <row r="345" spans="1:17" x14ac:dyDescent="0.25">
      <c r="A345" s="6" t="s">
        <v>12</v>
      </c>
      <c r="B345" s="7" t="s">
        <v>959</v>
      </c>
      <c r="C345" s="7" t="s">
        <v>960</v>
      </c>
      <c r="D345" s="7" t="s">
        <v>961</v>
      </c>
      <c r="E345" s="8" t="s">
        <v>61</v>
      </c>
      <c r="F345" s="19">
        <v>53800</v>
      </c>
      <c r="G345" s="9"/>
      <c r="H345" s="7">
        <v>1</v>
      </c>
      <c r="I345" s="8">
        <v>46079</v>
      </c>
      <c r="J345" s="9">
        <v>3</v>
      </c>
      <c r="K345" s="9" t="s">
        <v>38</v>
      </c>
      <c r="L345" s="8">
        <v>46082</v>
      </c>
      <c r="M345" s="23">
        <f>YEAR(Таблица1[[#This Row],[Дата отчета]])</f>
        <v>2026</v>
      </c>
      <c r="N345" s="7"/>
      <c r="O345" s="7"/>
      <c r="P345" s="7"/>
      <c r="Q345" s="10"/>
    </row>
    <row r="346" spans="1:17" x14ac:dyDescent="0.25">
      <c r="A346" s="1" t="s">
        <v>12</v>
      </c>
      <c r="B346" s="2" t="s">
        <v>962</v>
      </c>
      <c r="C346" s="2" t="s">
        <v>963</v>
      </c>
      <c r="D346" s="2" t="s">
        <v>964</v>
      </c>
      <c r="E346" s="3" t="s">
        <v>656</v>
      </c>
      <c r="F346" s="18">
        <v>561194</v>
      </c>
      <c r="G346" s="4"/>
      <c r="H346" s="2">
        <v>1</v>
      </c>
      <c r="I346" s="3">
        <v>46052</v>
      </c>
      <c r="J346" s="4">
        <v>30</v>
      </c>
      <c r="K346" s="4" t="s">
        <v>38</v>
      </c>
      <c r="L346" s="3">
        <v>46082</v>
      </c>
      <c r="M346" s="23">
        <f>YEAR(Таблица1[[#This Row],[Дата отчета]])</f>
        <v>2026</v>
      </c>
      <c r="N346" s="2"/>
      <c r="O346" s="2"/>
      <c r="P346" s="2"/>
      <c r="Q346" s="5"/>
    </row>
    <row r="347" spans="1:17" x14ac:dyDescent="0.25">
      <c r="A347" s="6" t="s">
        <v>12</v>
      </c>
      <c r="B347" s="7" t="s">
        <v>965</v>
      </c>
      <c r="C347" s="7" t="s">
        <v>966</v>
      </c>
      <c r="D347" s="7" t="s">
        <v>967</v>
      </c>
      <c r="E347" s="8" t="s">
        <v>968</v>
      </c>
      <c r="F347" s="19">
        <v>252667.4</v>
      </c>
      <c r="G347" s="9"/>
      <c r="H347" s="7">
        <v>1</v>
      </c>
      <c r="I347" s="8">
        <v>45729</v>
      </c>
      <c r="J347" s="9">
        <v>353</v>
      </c>
      <c r="K347" s="9" t="s">
        <v>92</v>
      </c>
      <c r="L347" s="8">
        <v>46082</v>
      </c>
      <c r="M347" s="23">
        <f>YEAR(Таблица1[[#This Row],[Дата отчета]])</f>
        <v>2026</v>
      </c>
      <c r="N347" s="7" t="s">
        <v>4536</v>
      </c>
      <c r="O347" s="7"/>
      <c r="P347" s="7"/>
      <c r="Q347" s="10"/>
    </row>
    <row r="348" spans="1:17" x14ac:dyDescent="0.25">
      <c r="A348" s="1" t="s">
        <v>12</v>
      </c>
      <c r="B348" s="2" t="s">
        <v>969</v>
      </c>
      <c r="C348" s="2" t="s">
        <v>970</v>
      </c>
      <c r="D348" s="2"/>
      <c r="E348" s="3"/>
      <c r="F348" s="18">
        <v>400000</v>
      </c>
      <c r="G348" s="4"/>
      <c r="H348" s="2">
        <v>1</v>
      </c>
      <c r="I348" s="3">
        <v>0</v>
      </c>
      <c r="J348" s="4">
        <v>46082</v>
      </c>
      <c r="K348" s="4" t="s">
        <v>17</v>
      </c>
      <c r="L348" s="3">
        <v>46082</v>
      </c>
      <c r="M348" s="23">
        <f>YEAR(Таблица1[[#This Row],[Дата отчета]])</f>
        <v>2026</v>
      </c>
      <c r="N348" s="2" t="s">
        <v>4551</v>
      </c>
      <c r="O348" s="2"/>
      <c r="P348" s="2" t="s">
        <v>4546</v>
      </c>
      <c r="Q348" s="5"/>
    </row>
    <row r="349" spans="1:17" x14ac:dyDescent="0.25">
      <c r="A349" s="6" t="s">
        <v>12</v>
      </c>
      <c r="B349" s="7" t="s">
        <v>971</v>
      </c>
      <c r="C349" s="7" t="s">
        <v>972</v>
      </c>
      <c r="D349" s="7" t="s">
        <v>973</v>
      </c>
      <c r="E349" s="8" t="s">
        <v>592</v>
      </c>
      <c r="F349" s="19">
        <v>225706.72</v>
      </c>
      <c r="G349" s="9"/>
      <c r="H349" s="7">
        <v>1</v>
      </c>
      <c r="I349" s="8">
        <v>45966</v>
      </c>
      <c r="J349" s="9">
        <v>116</v>
      </c>
      <c r="K349" s="9" t="s">
        <v>71</v>
      </c>
      <c r="L349" s="8">
        <v>46082</v>
      </c>
      <c r="M349" s="23">
        <f>YEAR(Таблица1[[#This Row],[Дата отчета]])</f>
        <v>2026</v>
      </c>
      <c r="N349" s="7"/>
      <c r="O349" s="7"/>
      <c r="P349" s="7"/>
      <c r="Q349" s="10"/>
    </row>
    <row r="350" spans="1:17" x14ac:dyDescent="0.25">
      <c r="A350" s="1" t="s">
        <v>12</v>
      </c>
      <c r="B350" s="2" t="s">
        <v>971</v>
      </c>
      <c r="C350" s="2" t="s">
        <v>974</v>
      </c>
      <c r="D350" s="2" t="s">
        <v>975</v>
      </c>
      <c r="E350" s="3" t="s">
        <v>592</v>
      </c>
      <c r="F350" s="18">
        <v>154485.6</v>
      </c>
      <c r="G350" s="4"/>
      <c r="H350" s="2">
        <v>1</v>
      </c>
      <c r="I350" s="3">
        <v>45966</v>
      </c>
      <c r="J350" s="4">
        <v>116</v>
      </c>
      <c r="K350" s="4" t="s">
        <v>71</v>
      </c>
      <c r="L350" s="3">
        <v>46082</v>
      </c>
      <c r="M350" s="23">
        <f>YEAR(Таблица1[[#This Row],[Дата отчета]])</f>
        <v>2026</v>
      </c>
      <c r="N350" s="2"/>
      <c r="O350" s="2"/>
      <c r="P350" s="2"/>
      <c r="Q350" s="5"/>
    </row>
    <row r="351" spans="1:17" x14ac:dyDescent="0.25">
      <c r="A351" s="6" t="s">
        <v>12</v>
      </c>
      <c r="B351" s="7" t="s">
        <v>976</v>
      </c>
      <c r="C351" s="7" t="s">
        <v>977</v>
      </c>
      <c r="D351" s="7" t="s">
        <v>978</v>
      </c>
      <c r="E351" s="8" t="s">
        <v>979</v>
      </c>
      <c r="F351" s="19">
        <v>2403856.33</v>
      </c>
      <c r="G351" s="9"/>
      <c r="H351" s="7">
        <v>1</v>
      </c>
      <c r="I351" s="8">
        <v>46049</v>
      </c>
      <c r="J351" s="9">
        <v>33</v>
      </c>
      <c r="K351" s="9" t="s">
        <v>27</v>
      </c>
      <c r="L351" s="8">
        <v>46082</v>
      </c>
      <c r="M351" s="23">
        <f>YEAR(Таблица1[[#This Row],[Дата отчета]])</f>
        <v>2026</v>
      </c>
      <c r="N351" s="7"/>
      <c r="O351" s="7"/>
      <c r="P351" s="7"/>
      <c r="Q351" s="10"/>
    </row>
    <row r="352" spans="1:17" x14ac:dyDescent="0.25">
      <c r="A352" s="1" t="s">
        <v>12</v>
      </c>
      <c r="B352" s="2" t="s">
        <v>980</v>
      </c>
      <c r="C352" s="2" t="s">
        <v>981</v>
      </c>
      <c r="D352" s="2" t="s">
        <v>982</v>
      </c>
      <c r="E352" s="3" t="s">
        <v>983</v>
      </c>
      <c r="F352" s="18">
        <v>31000</v>
      </c>
      <c r="G352" s="4"/>
      <c r="H352" s="2">
        <v>1</v>
      </c>
      <c r="I352" s="3">
        <v>45755</v>
      </c>
      <c r="J352" s="4">
        <v>327</v>
      </c>
      <c r="K352" s="4" t="s">
        <v>92</v>
      </c>
      <c r="L352" s="3">
        <v>46082</v>
      </c>
      <c r="M352" s="23">
        <f>YEAR(Таблица1[[#This Row],[Дата отчета]])</f>
        <v>2026</v>
      </c>
      <c r="N352" s="2" t="s">
        <v>807</v>
      </c>
      <c r="O352" s="2"/>
      <c r="P352" s="2"/>
      <c r="Q352" s="5"/>
    </row>
    <row r="353" spans="1:17" x14ac:dyDescent="0.25">
      <c r="A353" s="6" t="s">
        <v>12</v>
      </c>
      <c r="B353" s="7" t="s">
        <v>984</v>
      </c>
      <c r="C353" s="7" t="s">
        <v>985</v>
      </c>
      <c r="D353" s="7" t="s">
        <v>986</v>
      </c>
      <c r="E353" s="8" t="s">
        <v>987</v>
      </c>
      <c r="F353" s="19">
        <v>32000</v>
      </c>
      <c r="G353" s="9"/>
      <c r="H353" s="7">
        <v>1</v>
      </c>
      <c r="I353" s="8">
        <v>45747</v>
      </c>
      <c r="J353" s="9">
        <v>335</v>
      </c>
      <c r="K353" s="9" t="s">
        <v>92</v>
      </c>
      <c r="L353" s="8">
        <v>46082</v>
      </c>
      <c r="M353" s="23">
        <f>YEAR(Таблица1[[#This Row],[Дата отчета]])</f>
        <v>2026</v>
      </c>
      <c r="N353" s="2" t="s">
        <v>807</v>
      </c>
      <c r="O353" s="7"/>
      <c r="P353" s="7"/>
      <c r="Q353" s="10"/>
    </row>
    <row r="354" spans="1:17" x14ac:dyDescent="0.25">
      <c r="A354" s="1" t="s">
        <v>12</v>
      </c>
      <c r="B354" s="2" t="s">
        <v>988</v>
      </c>
      <c r="C354" s="2" t="s">
        <v>989</v>
      </c>
      <c r="D354" s="2" t="s">
        <v>990</v>
      </c>
      <c r="E354" s="3" t="s">
        <v>140</v>
      </c>
      <c r="F354" s="18">
        <v>214283.5</v>
      </c>
      <c r="G354" s="4"/>
      <c r="H354" s="2">
        <v>1</v>
      </c>
      <c r="I354" s="3">
        <v>45917</v>
      </c>
      <c r="J354" s="4">
        <v>165</v>
      </c>
      <c r="K354" s="4" t="s">
        <v>22</v>
      </c>
      <c r="L354" s="3">
        <v>46082</v>
      </c>
      <c r="M354" s="23">
        <f>YEAR(Таблица1[[#This Row],[Дата отчета]])</f>
        <v>2026</v>
      </c>
      <c r="N354" s="2"/>
      <c r="O354" s="2"/>
      <c r="P354" s="2"/>
      <c r="Q354" s="5"/>
    </row>
    <row r="355" spans="1:17" x14ac:dyDescent="0.25">
      <c r="A355" s="6" t="s">
        <v>12</v>
      </c>
      <c r="B355" s="7" t="s">
        <v>991</v>
      </c>
      <c r="C355" s="7" t="s">
        <v>992</v>
      </c>
      <c r="D355" s="7" t="s">
        <v>993</v>
      </c>
      <c r="E355" s="8" t="s">
        <v>994</v>
      </c>
      <c r="F355" s="19">
        <v>20740</v>
      </c>
      <c r="G355" s="9"/>
      <c r="H355" s="7">
        <v>1</v>
      </c>
      <c r="I355" s="8">
        <v>45741</v>
      </c>
      <c r="J355" s="9">
        <v>341</v>
      </c>
      <c r="K355" s="9" t="s">
        <v>92</v>
      </c>
      <c r="L355" s="8">
        <v>46082</v>
      </c>
      <c r="M355" s="23">
        <f>YEAR(Таблица1[[#This Row],[Дата отчета]])</f>
        <v>2026</v>
      </c>
      <c r="N355" s="7" t="s">
        <v>4538</v>
      </c>
      <c r="O355" s="7"/>
      <c r="P355" s="7"/>
      <c r="Q355" s="10"/>
    </row>
    <row r="356" spans="1:17" x14ac:dyDescent="0.25">
      <c r="A356" s="1" t="s">
        <v>12</v>
      </c>
      <c r="B356" s="2" t="s">
        <v>995</v>
      </c>
      <c r="C356" s="2" t="s">
        <v>996</v>
      </c>
      <c r="D356" s="2" t="s">
        <v>997</v>
      </c>
      <c r="E356" s="3" t="s">
        <v>998</v>
      </c>
      <c r="F356" s="18">
        <v>401.24</v>
      </c>
      <c r="G356" s="4"/>
      <c r="H356" s="2">
        <v>1</v>
      </c>
      <c r="I356" s="3">
        <v>45534</v>
      </c>
      <c r="J356" s="4">
        <v>548</v>
      </c>
      <c r="K356" s="4" t="s">
        <v>17</v>
      </c>
      <c r="L356" s="3">
        <v>46082</v>
      </c>
      <c r="M356" s="23">
        <f>YEAR(Таблица1[[#This Row],[Дата отчета]])</f>
        <v>2026</v>
      </c>
      <c r="N356" s="7" t="s">
        <v>4536</v>
      </c>
      <c r="O356" s="2"/>
      <c r="P356" s="2" t="s">
        <v>4552</v>
      </c>
      <c r="Q356" s="5"/>
    </row>
    <row r="357" spans="1:17" x14ac:dyDescent="0.25">
      <c r="A357" s="6" t="s">
        <v>12</v>
      </c>
      <c r="B357" s="7" t="s">
        <v>995</v>
      </c>
      <c r="C357" s="7" t="s">
        <v>999</v>
      </c>
      <c r="D357" s="7" t="s">
        <v>1000</v>
      </c>
      <c r="E357" s="8" t="s">
        <v>1001</v>
      </c>
      <c r="F357" s="19">
        <v>4012.33</v>
      </c>
      <c r="G357" s="9"/>
      <c r="H357" s="7">
        <v>1</v>
      </c>
      <c r="I357" s="8">
        <v>45573</v>
      </c>
      <c r="J357" s="9">
        <v>509</v>
      </c>
      <c r="K357" s="9" t="s">
        <v>17</v>
      </c>
      <c r="L357" s="8">
        <v>46082</v>
      </c>
      <c r="M357" s="23">
        <f>YEAR(Таблица1[[#This Row],[Дата отчета]])</f>
        <v>2026</v>
      </c>
      <c r="N357" s="7" t="s">
        <v>4536</v>
      </c>
      <c r="O357" s="7"/>
      <c r="P357" s="2" t="s">
        <v>4552</v>
      </c>
      <c r="Q357" s="10"/>
    </row>
    <row r="358" spans="1:17" x14ac:dyDescent="0.25">
      <c r="A358" s="1" t="s">
        <v>12</v>
      </c>
      <c r="B358" s="2" t="s">
        <v>1002</v>
      </c>
      <c r="C358" s="2" t="s">
        <v>1003</v>
      </c>
      <c r="D358" s="2" t="s">
        <v>1004</v>
      </c>
      <c r="E358" s="3" t="s">
        <v>156</v>
      </c>
      <c r="F358" s="18">
        <v>298776</v>
      </c>
      <c r="G358" s="4"/>
      <c r="H358" s="2">
        <v>1</v>
      </c>
      <c r="I358" s="3">
        <v>46051</v>
      </c>
      <c r="J358" s="4">
        <v>31</v>
      </c>
      <c r="K358" s="4" t="s">
        <v>27</v>
      </c>
      <c r="L358" s="3">
        <v>46082</v>
      </c>
      <c r="M358" s="23">
        <f>YEAR(Таблица1[[#This Row],[Дата отчета]])</f>
        <v>2026</v>
      </c>
      <c r="N358" s="2"/>
      <c r="O358" s="2"/>
      <c r="P358" s="2"/>
      <c r="Q358" s="5"/>
    </row>
    <row r="359" spans="1:17" x14ac:dyDescent="0.25">
      <c r="A359" s="6" t="s">
        <v>12</v>
      </c>
      <c r="B359" s="7" t="s">
        <v>1005</v>
      </c>
      <c r="C359" s="7" t="s">
        <v>1006</v>
      </c>
      <c r="D359" s="7" t="s">
        <v>1007</v>
      </c>
      <c r="E359" s="8" t="s">
        <v>360</v>
      </c>
      <c r="F359" s="19">
        <v>215488</v>
      </c>
      <c r="G359" s="9"/>
      <c r="H359" s="7">
        <v>1</v>
      </c>
      <c r="I359" s="8">
        <v>46058</v>
      </c>
      <c r="J359" s="9">
        <v>24</v>
      </c>
      <c r="K359" s="9" t="s">
        <v>38</v>
      </c>
      <c r="L359" s="8">
        <v>46082</v>
      </c>
      <c r="M359" s="23">
        <f>YEAR(Таблица1[[#This Row],[Дата отчета]])</f>
        <v>2026</v>
      </c>
      <c r="N359" s="7"/>
      <c r="O359" s="7"/>
      <c r="P359" s="7"/>
      <c r="Q359" s="10"/>
    </row>
    <row r="360" spans="1:17" x14ac:dyDescent="0.25">
      <c r="A360" s="1" t="s">
        <v>12</v>
      </c>
      <c r="B360" s="2" t="s">
        <v>1008</v>
      </c>
      <c r="C360" s="2" t="s">
        <v>775</v>
      </c>
      <c r="D360" s="2" t="s">
        <v>1009</v>
      </c>
      <c r="E360" s="3" t="s">
        <v>1010</v>
      </c>
      <c r="F360" s="18">
        <v>0.1</v>
      </c>
      <c r="G360" s="4"/>
      <c r="H360" s="2">
        <v>1</v>
      </c>
      <c r="I360" s="3">
        <v>45519</v>
      </c>
      <c r="J360" s="4">
        <v>563</v>
      </c>
      <c r="K360" s="4" t="s">
        <v>17</v>
      </c>
      <c r="L360" s="3">
        <v>46082</v>
      </c>
      <c r="M360" s="23">
        <f>YEAR(Таблица1[[#This Row],[Дата отчета]])</f>
        <v>2026</v>
      </c>
      <c r="N360" s="2"/>
      <c r="O360" s="2"/>
      <c r="P360" s="2"/>
      <c r="Q360" s="5"/>
    </row>
    <row r="361" spans="1:17" x14ac:dyDescent="0.25">
      <c r="A361" s="6" t="s">
        <v>12</v>
      </c>
      <c r="B361" s="7" t="s">
        <v>1011</v>
      </c>
      <c r="C361" s="7" t="s">
        <v>1012</v>
      </c>
      <c r="D361" s="7" t="s">
        <v>1013</v>
      </c>
      <c r="E361" s="8" t="s">
        <v>1014</v>
      </c>
      <c r="F361" s="19">
        <v>0.01</v>
      </c>
      <c r="G361" s="9"/>
      <c r="H361" s="7">
        <v>1</v>
      </c>
      <c r="I361" s="8">
        <v>45224</v>
      </c>
      <c r="J361" s="9">
        <v>858</v>
      </c>
      <c r="K361" s="9" t="s">
        <v>17</v>
      </c>
      <c r="L361" s="8">
        <v>46082</v>
      </c>
      <c r="M361" s="23">
        <f>YEAR(Таблица1[[#This Row],[Дата отчета]])</f>
        <v>2026</v>
      </c>
      <c r="N361" s="7"/>
      <c r="O361" s="7"/>
      <c r="P361" s="7"/>
      <c r="Q361" s="10"/>
    </row>
    <row r="362" spans="1:17" x14ac:dyDescent="0.25">
      <c r="A362" s="1" t="s">
        <v>12</v>
      </c>
      <c r="B362" s="2" t="s">
        <v>1011</v>
      </c>
      <c r="C362" s="2" t="s">
        <v>1015</v>
      </c>
      <c r="D362" s="2" t="s">
        <v>1016</v>
      </c>
      <c r="E362" s="3" t="s">
        <v>123</v>
      </c>
      <c r="F362" s="18">
        <v>12461.79</v>
      </c>
      <c r="G362" s="4"/>
      <c r="H362" s="2">
        <v>1</v>
      </c>
      <c r="I362" s="3">
        <v>45782</v>
      </c>
      <c r="J362" s="4">
        <v>300</v>
      </c>
      <c r="K362" s="4" t="s">
        <v>92</v>
      </c>
      <c r="L362" s="3">
        <v>46082</v>
      </c>
      <c r="M362" s="23">
        <f>YEAR(Таблица1[[#This Row],[Дата отчета]])</f>
        <v>2026</v>
      </c>
      <c r="N362" s="7" t="s">
        <v>4536</v>
      </c>
      <c r="O362" s="2"/>
      <c r="P362" s="2" t="s">
        <v>4552</v>
      </c>
      <c r="Q362" s="5"/>
    </row>
    <row r="363" spans="1:17" x14ac:dyDescent="0.25">
      <c r="A363" s="6" t="s">
        <v>12</v>
      </c>
      <c r="B363" s="7" t="s">
        <v>1017</v>
      </c>
      <c r="C363" s="7" t="s">
        <v>1018</v>
      </c>
      <c r="D363" s="7" t="s">
        <v>1019</v>
      </c>
      <c r="E363" s="8" t="s">
        <v>455</v>
      </c>
      <c r="F363" s="19">
        <v>162000</v>
      </c>
      <c r="G363" s="9"/>
      <c r="H363" s="7">
        <v>1</v>
      </c>
      <c r="I363" s="8">
        <v>46080</v>
      </c>
      <c r="J363" s="9">
        <v>2</v>
      </c>
      <c r="K363" s="9" t="s">
        <v>38</v>
      </c>
      <c r="L363" s="8">
        <v>46082</v>
      </c>
      <c r="M363" s="23">
        <f>YEAR(Таблица1[[#This Row],[Дата отчета]])</f>
        <v>2026</v>
      </c>
      <c r="N363" s="7"/>
      <c r="O363" s="7"/>
      <c r="P363" s="7"/>
      <c r="Q363" s="10"/>
    </row>
    <row r="364" spans="1:17" x14ac:dyDescent="0.25">
      <c r="A364" s="1" t="s">
        <v>12</v>
      </c>
      <c r="B364" s="2" t="s">
        <v>1020</v>
      </c>
      <c r="C364" s="2" t="s">
        <v>1021</v>
      </c>
      <c r="D364" s="2" t="s">
        <v>1022</v>
      </c>
      <c r="E364" s="3" t="s">
        <v>1023</v>
      </c>
      <c r="F364" s="18">
        <v>47400</v>
      </c>
      <c r="G364" s="4"/>
      <c r="H364" s="2">
        <v>1</v>
      </c>
      <c r="I364" s="3">
        <v>45728</v>
      </c>
      <c r="J364" s="4">
        <v>354</v>
      </c>
      <c r="K364" s="4" t="s">
        <v>92</v>
      </c>
      <c r="L364" s="3">
        <v>46082</v>
      </c>
      <c r="M364" s="23">
        <f>YEAR(Таблица1[[#This Row],[Дата отчета]])</f>
        <v>2026</v>
      </c>
      <c r="N364" s="2" t="s">
        <v>4553</v>
      </c>
      <c r="O364" s="2"/>
      <c r="P364" s="2"/>
      <c r="Q364" s="5"/>
    </row>
    <row r="365" spans="1:17" x14ac:dyDescent="0.25">
      <c r="A365" s="6" t="s">
        <v>12</v>
      </c>
      <c r="B365" s="7" t="s">
        <v>1024</v>
      </c>
      <c r="C365" s="7" t="s">
        <v>1025</v>
      </c>
      <c r="D365" s="7" t="s">
        <v>1026</v>
      </c>
      <c r="E365" s="8" t="s">
        <v>1027</v>
      </c>
      <c r="F365" s="19">
        <v>22500</v>
      </c>
      <c r="G365" s="9"/>
      <c r="H365" s="7">
        <v>1</v>
      </c>
      <c r="I365" s="8">
        <v>45896</v>
      </c>
      <c r="J365" s="9">
        <v>186</v>
      </c>
      <c r="K365" s="9" t="s">
        <v>67</v>
      </c>
      <c r="L365" s="8">
        <v>46082</v>
      </c>
      <c r="M365" s="23">
        <f>YEAR(Таблица1[[#This Row],[Дата отчета]])</f>
        <v>2026</v>
      </c>
      <c r="N365" s="7"/>
      <c r="O365" s="7"/>
      <c r="P365" s="7"/>
      <c r="Q365" s="10"/>
    </row>
    <row r="366" spans="1:17" x14ac:dyDescent="0.25">
      <c r="A366" s="1" t="s">
        <v>12</v>
      </c>
      <c r="B366" s="2" t="s">
        <v>1028</v>
      </c>
      <c r="C366" s="2" t="s">
        <v>1029</v>
      </c>
      <c r="D366" s="2" t="s">
        <v>1030</v>
      </c>
      <c r="E366" s="3" t="s">
        <v>1031</v>
      </c>
      <c r="F366" s="18">
        <v>60000</v>
      </c>
      <c r="G366" s="4"/>
      <c r="H366" s="2">
        <v>1</v>
      </c>
      <c r="I366" s="3">
        <v>45812</v>
      </c>
      <c r="J366" s="4">
        <v>270</v>
      </c>
      <c r="K366" s="4" t="s">
        <v>67</v>
      </c>
      <c r="L366" s="3">
        <v>46082</v>
      </c>
      <c r="M366" s="23">
        <f>YEAR(Таблица1[[#This Row],[Дата отчета]])</f>
        <v>2026</v>
      </c>
      <c r="N366" s="2" t="s">
        <v>807</v>
      </c>
      <c r="O366" s="2"/>
      <c r="P366" s="2"/>
      <c r="Q366" s="5"/>
    </row>
    <row r="367" spans="1:17" x14ac:dyDescent="0.25">
      <c r="A367" s="6" t="s">
        <v>12</v>
      </c>
      <c r="B367" s="7" t="s">
        <v>1028</v>
      </c>
      <c r="C367" s="7" t="s">
        <v>1029</v>
      </c>
      <c r="D367" s="7" t="s">
        <v>1032</v>
      </c>
      <c r="E367" s="8" t="s">
        <v>528</v>
      </c>
      <c r="F367" s="19">
        <v>140000</v>
      </c>
      <c r="G367" s="9"/>
      <c r="H367" s="7">
        <v>1</v>
      </c>
      <c r="I367" s="8">
        <v>45985</v>
      </c>
      <c r="J367" s="9">
        <v>97</v>
      </c>
      <c r="K367" s="9" t="s">
        <v>71</v>
      </c>
      <c r="L367" s="8">
        <v>46082</v>
      </c>
      <c r="M367" s="23">
        <f>YEAR(Таблица1[[#This Row],[Дата отчета]])</f>
        <v>2026</v>
      </c>
      <c r="N367" s="7"/>
      <c r="O367" s="7"/>
      <c r="P367" s="7"/>
      <c r="Q367" s="10"/>
    </row>
    <row r="368" spans="1:17" x14ac:dyDescent="0.25">
      <c r="A368" s="1" t="s">
        <v>12</v>
      </c>
      <c r="B368" s="2" t="s">
        <v>1028</v>
      </c>
      <c r="C368" s="2" t="s">
        <v>1033</v>
      </c>
      <c r="D368" s="2" t="s">
        <v>1034</v>
      </c>
      <c r="E368" s="3" t="s">
        <v>1031</v>
      </c>
      <c r="F368" s="18">
        <v>40500</v>
      </c>
      <c r="G368" s="4"/>
      <c r="H368" s="2">
        <v>1</v>
      </c>
      <c r="I368" s="3">
        <v>45812</v>
      </c>
      <c r="J368" s="4">
        <v>270</v>
      </c>
      <c r="K368" s="4" t="s">
        <v>67</v>
      </c>
      <c r="L368" s="3">
        <v>46082</v>
      </c>
      <c r="M368" s="23">
        <f>YEAR(Таблица1[[#This Row],[Дата отчета]])</f>
        <v>2026</v>
      </c>
      <c r="N368" s="2" t="s">
        <v>807</v>
      </c>
      <c r="O368" s="2"/>
      <c r="P368" s="2"/>
      <c r="Q368" s="5"/>
    </row>
    <row r="369" spans="1:17" x14ac:dyDescent="0.25">
      <c r="A369" s="6" t="s">
        <v>12</v>
      </c>
      <c r="B369" s="7" t="s">
        <v>1028</v>
      </c>
      <c r="C369" s="7" t="s">
        <v>1033</v>
      </c>
      <c r="D369" s="7" t="s">
        <v>1035</v>
      </c>
      <c r="E369" s="8" t="s">
        <v>218</v>
      </c>
      <c r="F369" s="19">
        <v>74250</v>
      </c>
      <c r="G369" s="9"/>
      <c r="H369" s="7">
        <v>1</v>
      </c>
      <c r="I369" s="8">
        <v>45947</v>
      </c>
      <c r="J369" s="9">
        <v>135</v>
      </c>
      <c r="K369" s="9" t="s">
        <v>22</v>
      </c>
      <c r="L369" s="8">
        <v>46082</v>
      </c>
      <c r="M369" s="23">
        <f>YEAR(Таблица1[[#This Row],[Дата отчета]])</f>
        <v>2026</v>
      </c>
      <c r="N369" s="7"/>
      <c r="O369" s="7"/>
      <c r="P369" s="7"/>
      <c r="Q369" s="10"/>
    </row>
    <row r="370" spans="1:17" x14ac:dyDescent="0.25">
      <c r="A370" s="1" t="s">
        <v>12</v>
      </c>
      <c r="B370" s="2" t="s">
        <v>1028</v>
      </c>
      <c r="C370" s="2" t="s">
        <v>1033</v>
      </c>
      <c r="D370" s="2" t="s">
        <v>1036</v>
      </c>
      <c r="E370" s="3" t="s">
        <v>528</v>
      </c>
      <c r="F370" s="18">
        <v>20250</v>
      </c>
      <c r="G370" s="4"/>
      <c r="H370" s="2">
        <v>1</v>
      </c>
      <c r="I370" s="3">
        <v>45985</v>
      </c>
      <c r="J370" s="4">
        <v>97</v>
      </c>
      <c r="K370" s="4" t="s">
        <v>71</v>
      </c>
      <c r="L370" s="3">
        <v>46082</v>
      </c>
      <c r="M370" s="23">
        <f>YEAR(Таблица1[[#This Row],[Дата отчета]])</f>
        <v>2026</v>
      </c>
      <c r="N370" s="2"/>
      <c r="O370" s="2"/>
      <c r="P370" s="2"/>
      <c r="Q370" s="5"/>
    </row>
    <row r="371" spans="1:17" x14ac:dyDescent="0.25">
      <c r="A371" s="6" t="s">
        <v>12</v>
      </c>
      <c r="B371" s="7" t="s">
        <v>1028</v>
      </c>
      <c r="C371" s="7" t="s">
        <v>1037</v>
      </c>
      <c r="D371" s="7" t="s">
        <v>1038</v>
      </c>
      <c r="E371" s="8" t="s">
        <v>1039</v>
      </c>
      <c r="F371" s="19">
        <v>90000</v>
      </c>
      <c r="G371" s="9"/>
      <c r="H371" s="7">
        <v>1</v>
      </c>
      <c r="I371" s="8">
        <v>45831</v>
      </c>
      <c r="J371" s="9">
        <v>251</v>
      </c>
      <c r="K371" s="9" t="s">
        <v>67</v>
      </c>
      <c r="L371" s="8">
        <v>46082</v>
      </c>
      <c r="M371" s="23">
        <f>YEAR(Таблица1[[#This Row],[Дата отчета]])</f>
        <v>2026</v>
      </c>
      <c r="N371" s="2" t="s">
        <v>807</v>
      </c>
      <c r="O371" s="7"/>
      <c r="P371" s="7"/>
      <c r="Q371" s="10"/>
    </row>
    <row r="372" spans="1:17" x14ac:dyDescent="0.25">
      <c r="A372" s="1" t="s">
        <v>12</v>
      </c>
      <c r="B372" s="2" t="s">
        <v>1028</v>
      </c>
      <c r="C372" s="2" t="s">
        <v>1037</v>
      </c>
      <c r="D372" s="2" t="s">
        <v>1040</v>
      </c>
      <c r="E372" s="3" t="s">
        <v>466</v>
      </c>
      <c r="F372" s="18">
        <v>165000</v>
      </c>
      <c r="G372" s="4"/>
      <c r="H372" s="2">
        <v>1</v>
      </c>
      <c r="I372" s="3">
        <v>45986</v>
      </c>
      <c r="J372" s="4">
        <v>96</v>
      </c>
      <c r="K372" s="4" t="s">
        <v>71</v>
      </c>
      <c r="L372" s="3">
        <v>46082</v>
      </c>
      <c r="M372" s="23">
        <f>YEAR(Таблица1[[#This Row],[Дата отчета]])</f>
        <v>2026</v>
      </c>
      <c r="N372" s="2"/>
      <c r="O372" s="2"/>
      <c r="P372" s="2"/>
      <c r="Q372" s="5"/>
    </row>
    <row r="373" spans="1:17" x14ac:dyDescent="0.25">
      <c r="A373" s="6" t="s">
        <v>12</v>
      </c>
      <c r="B373" s="7" t="s">
        <v>1028</v>
      </c>
      <c r="C373" s="7" t="s">
        <v>1041</v>
      </c>
      <c r="D373" s="7" t="s">
        <v>1042</v>
      </c>
      <c r="E373" s="8" t="s">
        <v>1039</v>
      </c>
      <c r="F373" s="19">
        <v>84000</v>
      </c>
      <c r="G373" s="9"/>
      <c r="H373" s="7">
        <v>1</v>
      </c>
      <c r="I373" s="8">
        <v>45831</v>
      </c>
      <c r="J373" s="9">
        <v>251</v>
      </c>
      <c r="K373" s="9" t="s">
        <v>67</v>
      </c>
      <c r="L373" s="8">
        <v>46082</v>
      </c>
      <c r="M373" s="23">
        <f>YEAR(Таблица1[[#This Row],[Дата отчета]])</f>
        <v>2026</v>
      </c>
      <c r="N373" s="2" t="s">
        <v>807</v>
      </c>
      <c r="O373" s="7"/>
      <c r="P373" s="7"/>
      <c r="Q373" s="10"/>
    </row>
    <row r="374" spans="1:17" x14ac:dyDescent="0.25">
      <c r="A374" s="1" t="s">
        <v>12</v>
      </c>
      <c r="B374" s="2" t="s">
        <v>1043</v>
      </c>
      <c r="C374" s="2" t="s">
        <v>1044</v>
      </c>
      <c r="D374" s="2" t="s">
        <v>1045</v>
      </c>
      <c r="E374" s="3" t="s">
        <v>769</v>
      </c>
      <c r="F374" s="18">
        <v>1165</v>
      </c>
      <c r="G374" s="4"/>
      <c r="H374" s="2">
        <v>1</v>
      </c>
      <c r="I374" s="3">
        <v>45825</v>
      </c>
      <c r="J374" s="4">
        <v>257</v>
      </c>
      <c r="K374" s="4" t="s">
        <v>67</v>
      </c>
      <c r="L374" s="3">
        <v>46082</v>
      </c>
      <c r="M374" s="23">
        <f>YEAR(Таблица1[[#This Row],[Дата отчета]])</f>
        <v>2026</v>
      </c>
      <c r="N374" s="7" t="s">
        <v>4536</v>
      </c>
      <c r="O374" s="2"/>
      <c r="P374" s="2"/>
      <c r="Q374" s="5"/>
    </row>
    <row r="375" spans="1:17" x14ac:dyDescent="0.25">
      <c r="A375" s="6" t="s">
        <v>12</v>
      </c>
      <c r="B375" s="7" t="s">
        <v>1046</v>
      </c>
      <c r="C375" s="7" t="s">
        <v>1047</v>
      </c>
      <c r="D375" s="7" t="s">
        <v>1048</v>
      </c>
      <c r="E375" s="8" t="s">
        <v>1049</v>
      </c>
      <c r="F375" s="19">
        <v>9000</v>
      </c>
      <c r="G375" s="9"/>
      <c r="H375" s="7">
        <v>1</v>
      </c>
      <c r="I375" s="8">
        <v>45861</v>
      </c>
      <c r="J375" s="9">
        <v>221</v>
      </c>
      <c r="K375" s="9" t="s">
        <v>67</v>
      </c>
      <c r="L375" s="8">
        <v>46082</v>
      </c>
      <c r="M375" s="23">
        <f>YEAR(Таблица1[[#This Row],[Дата отчета]])</f>
        <v>2026</v>
      </c>
      <c r="N375" s="2" t="s">
        <v>807</v>
      </c>
      <c r="O375" s="7"/>
      <c r="P375" s="7"/>
      <c r="Q375" s="10"/>
    </row>
    <row r="376" spans="1:17" x14ac:dyDescent="0.25">
      <c r="A376" s="1" t="s">
        <v>12</v>
      </c>
      <c r="B376" s="2" t="s">
        <v>1050</v>
      </c>
      <c r="C376" s="2" t="s">
        <v>1051</v>
      </c>
      <c r="D376" s="2" t="s">
        <v>1052</v>
      </c>
      <c r="E376" s="3" t="s">
        <v>683</v>
      </c>
      <c r="F376" s="18">
        <v>86800</v>
      </c>
      <c r="G376" s="4"/>
      <c r="H376" s="2">
        <v>1</v>
      </c>
      <c r="I376" s="3">
        <v>45748</v>
      </c>
      <c r="J376" s="4">
        <v>334</v>
      </c>
      <c r="K376" s="4" t="s">
        <v>92</v>
      </c>
      <c r="L376" s="3">
        <v>46082</v>
      </c>
      <c r="M376" s="23">
        <f>YEAR(Таблица1[[#This Row],[Дата отчета]])</f>
        <v>2026</v>
      </c>
      <c r="N376" s="2" t="s">
        <v>807</v>
      </c>
      <c r="O376" s="2"/>
      <c r="P376" s="2"/>
      <c r="Q376" s="5"/>
    </row>
    <row r="377" spans="1:17" x14ac:dyDescent="0.25">
      <c r="A377" s="6" t="s">
        <v>12</v>
      </c>
      <c r="B377" s="7" t="s">
        <v>1053</v>
      </c>
      <c r="C377" s="7" t="s">
        <v>1054</v>
      </c>
      <c r="D377" s="7" t="s">
        <v>1055</v>
      </c>
      <c r="E377" s="8" t="s">
        <v>239</v>
      </c>
      <c r="F377" s="19">
        <v>10000000</v>
      </c>
      <c r="G377" s="9"/>
      <c r="H377" s="7">
        <v>1</v>
      </c>
      <c r="I377" s="8">
        <v>45996</v>
      </c>
      <c r="J377" s="9">
        <v>86</v>
      </c>
      <c r="K377" s="9" t="s">
        <v>27</v>
      </c>
      <c r="L377" s="8">
        <v>46082</v>
      </c>
      <c r="M377" s="23">
        <f>YEAR(Таблица1[[#This Row],[Дата отчета]])</f>
        <v>2026</v>
      </c>
      <c r="N377" s="7"/>
      <c r="O377" s="7"/>
      <c r="P377" s="7"/>
      <c r="Q377" s="10"/>
    </row>
    <row r="378" spans="1:17" x14ac:dyDescent="0.25">
      <c r="A378" s="1" t="s">
        <v>12</v>
      </c>
      <c r="B378" s="2" t="s">
        <v>1053</v>
      </c>
      <c r="C378" s="2" t="s">
        <v>1054</v>
      </c>
      <c r="D378" s="2" t="s">
        <v>1056</v>
      </c>
      <c r="E378" s="3" t="s">
        <v>350</v>
      </c>
      <c r="F378" s="18">
        <v>20000000</v>
      </c>
      <c r="G378" s="4"/>
      <c r="H378" s="2">
        <v>1</v>
      </c>
      <c r="I378" s="3">
        <v>46057</v>
      </c>
      <c r="J378" s="4">
        <v>25</v>
      </c>
      <c r="K378" s="4" t="s">
        <v>38</v>
      </c>
      <c r="L378" s="3">
        <v>46082</v>
      </c>
      <c r="M378" s="23">
        <f>YEAR(Таблица1[[#This Row],[Дата отчета]])</f>
        <v>2026</v>
      </c>
      <c r="N378" s="2"/>
      <c r="O378" s="2"/>
      <c r="P378" s="2"/>
      <c r="Q378" s="5"/>
    </row>
    <row r="379" spans="1:17" x14ac:dyDescent="0.25">
      <c r="A379" s="6" t="s">
        <v>12</v>
      </c>
      <c r="B379" s="7" t="s">
        <v>1057</v>
      </c>
      <c r="C379" s="7" t="s">
        <v>1058</v>
      </c>
      <c r="D379" s="7" t="s">
        <v>1059</v>
      </c>
      <c r="E379" s="8" t="s">
        <v>455</v>
      </c>
      <c r="F379" s="19">
        <v>657833.19999999995</v>
      </c>
      <c r="G379" s="9"/>
      <c r="H379" s="7">
        <v>1</v>
      </c>
      <c r="I379" s="8">
        <v>46080</v>
      </c>
      <c r="J379" s="9">
        <v>2</v>
      </c>
      <c r="K379" s="9" t="s">
        <v>38</v>
      </c>
      <c r="L379" s="8">
        <v>46082</v>
      </c>
      <c r="M379" s="23">
        <f>YEAR(Таблица1[[#This Row],[Дата отчета]])</f>
        <v>2026</v>
      </c>
      <c r="N379" s="7"/>
      <c r="O379" s="7"/>
      <c r="P379" s="7"/>
      <c r="Q379" s="10"/>
    </row>
    <row r="380" spans="1:17" x14ac:dyDescent="0.25">
      <c r="A380" s="1" t="s">
        <v>12</v>
      </c>
      <c r="B380" s="2" t="s">
        <v>1060</v>
      </c>
      <c r="C380" s="2" t="s">
        <v>1061</v>
      </c>
      <c r="D380" s="2" t="s">
        <v>1062</v>
      </c>
      <c r="E380" s="3" t="s">
        <v>127</v>
      </c>
      <c r="F380" s="18">
        <v>819000</v>
      </c>
      <c r="G380" s="4"/>
      <c r="H380" s="2">
        <v>1</v>
      </c>
      <c r="I380" s="3">
        <v>46037</v>
      </c>
      <c r="J380" s="4">
        <v>45</v>
      </c>
      <c r="K380" s="4" t="s">
        <v>27</v>
      </c>
      <c r="L380" s="3">
        <v>46082</v>
      </c>
      <c r="M380" s="23">
        <f>YEAR(Таблица1[[#This Row],[Дата отчета]])</f>
        <v>2026</v>
      </c>
      <c r="N380" s="2"/>
      <c r="O380" s="2"/>
      <c r="P380" s="2"/>
      <c r="Q380" s="5"/>
    </row>
    <row r="381" spans="1:17" x14ac:dyDescent="0.25">
      <c r="A381" s="6" t="s">
        <v>12</v>
      </c>
      <c r="B381" s="7" t="s">
        <v>1063</v>
      </c>
      <c r="C381" s="7" t="s">
        <v>1064</v>
      </c>
      <c r="D381" s="7" t="s">
        <v>1065</v>
      </c>
      <c r="E381" s="8" t="s">
        <v>51</v>
      </c>
      <c r="F381" s="19">
        <v>244320</v>
      </c>
      <c r="G381" s="9"/>
      <c r="H381" s="7">
        <v>1</v>
      </c>
      <c r="I381" s="8">
        <v>45939</v>
      </c>
      <c r="J381" s="9">
        <v>143</v>
      </c>
      <c r="K381" s="9" t="s">
        <v>22</v>
      </c>
      <c r="L381" s="8">
        <v>46082</v>
      </c>
      <c r="M381" s="23">
        <f>YEAR(Таблица1[[#This Row],[Дата отчета]])</f>
        <v>2026</v>
      </c>
      <c r="N381" s="7"/>
      <c r="O381" s="7"/>
      <c r="P381" s="7"/>
      <c r="Q381" s="10"/>
    </row>
    <row r="382" spans="1:17" x14ac:dyDescent="0.25">
      <c r="A382" s="1" t="s">
        <v>12</v>
      </c>
      <c r="B382" s="2" t="s">
        <v>1066</v>
      </c>
      <c r="C382" s="2" t="s">
        <v>269</v>
      </c>
      <c r="D382" s="2" t="s">
        <v>1067</v>
      </c>
      <c r="E382" s="3" t="s">
        <v>528</v>
      </c>
      <c r="F382" s="18">
        <v>3630</v>
      </c>
      <c r="G382" s="4"/>
      <c r="H382" s="2">
        <v>1</v>
      </c>
      <c r="I382" s="3">
        <v>45985</v>
      </c>
      <c r="J382" s="4">
        <v>97</v>
      </c>
      <c r="K382" s="4" t="s">
        <v>71</v>
      </c>
      <c r="L382" s="3">
        <v>46082</v>
      </c>
      <c r="M382" s="23">
        <f>YEAR(Таблица1[[#This Row],[Дата отчета]])</f>
        <v>2026</v>
      </c>
      <c r="N382" s="2"/>
      <c r="O382" s="2"/>
      <c r="P382" s="2"/>
      <c r="Q382" s="5"/>
    </row>
    <row r="383" spans="1:17" x14ac:dyDescent="0.25">
      <c r="A383" s="6" t="s">
        <v>12</v>
      </c>
      <c r="B383" s="7" t="s">
        <v>1068</v>
      </c>
      <c r="C383" s="7" t="s">
        <v>1069</v>
      </c>
      <c r="D383" s="7" t="s">
        <v>1070</v>
      </c>
      <c r="E383" s="8" t="s">
        <v>1071</v>
      </c>
      <c r="F383" s="19">
        <v>4</v>
      </c>
      <c r="G383" s="9"/>
      <c r="H383" s="7">
        <v>1</v>
      </c>
      <c r="I383" s="8">
        <v>44860</v>
      </c>
      <c r="J383" s="9">
        <v>1222</v>
      </c>
      <c r="K383" s="9" t="s">
        <v>17</v>
      </c>
      <c r="L383" s="8">
        <v>46082</v>
      </c>
      <c r="M383" s="23">
        <f>YEAR(Таблица1[[#This Row],[Дата отчета]])</f>
        <v>2026</v>
      </c>
      <c r="N383" s="7" t="s">
        <v>1072</v>
      </c>
      <c r="O383" s="7"/>
      <c r="P383" s="7"/>
      <c r="Q383" s="10"/>
    </row>
    <row r="384" spans="1:17" x14ac:dyDescent="0.25">
      <c r="A384" s="1" t="s">
        <v>12</v>
      </c>
      <c r="B384" s="2" t="s">
        <v>1073</v>
      </c>
      <c r="C384" s="2" t="s">
        <v>1074</v>
      </c>
      <c r="D384" s="2" t="s">
        <v>1075</v>
      </c>
      <c r="E384" s="3" t="s">
        <v>161</v>
      </c>
      <c r="F384" s="18">
        <v>11631.14</v>
      </c>
      <c r="G384" s="4"/>
      <c r="H384" s="2">
        <v>1</v>
      </c>
      <c r="I384" s="3">
        <v>45890</v>
      </c>
      <c r="J384" s="4">
        <v>192</v>
      </c>
      <c r="K384" s="4" t="s">
        <v>67</v>
      </c>
      <c r="L384" s="3">
        <v>46082</v>
      </c>
      <c r="M384" s="23">
        <f>YEAR(Таблица1[[#This Row],[Дата отчета]])</f>
        <v>2026</v>
      </c>
      <c r="N384" s="2"/>
      <c r="O384" s="2"/>
      <c r="P384" s="2"/>
      <c r="Q384" s="5"/>
    </row>
    <row r="385" spans="1:17" x14ac:dyDescent="0.25">
      <c r="A385" s="6" t="s">
        <v>12</v>
      </c>
      <c r="B385" s="7" t="s">
        <v>1076</v>
      </c>
      <c r="C385" s="7" t="s">
        <v>1077</v>
      </c>
      <c r="D385" s="7" t="s">
        <v>1078</v>
      </c>
      <c r="E385" s="8" t="s">
        <v>841</v>
      </c>
      <c r="F385" s="19">
        <v>52780.5</v>
      </c>
      <c r="G385" s="9"/>
      <c r="H385" s="7">
        <v>1</v>
      </c>
      <c r="I385" s="8">
        <v>45925</v>
      </c>
      <c r="J385" s="9">
        <v>157</v>
      </c>
      <c r="K385" s="9" t="s">
        <v>22</v>
      </c>
      <c r="L385" s="8">
        <v>46082</v>
      </c>
      <c r="M385" s="23">
        <f>YEAR(Таблица1[[#This Row],[Дата отчета]])</f>
        <v>2026</v>
      </c>
      <c r="N385" s="7"/>
      <c r="O385" s="7"/>
      <c r="P385" s="7"/>
      <c r="Q385" s="10"/>
    </row>
    <row r="386" spans="1:17" x14ac:dyDescent="0.25">
      <c r="A386" s="1" t="s">
        <v>12</v>
      </c>
      <c r="B386" s="2" t="s">
        <v>1079</v>
      </c>
      <c r="C386" s="2" t="s">
        <v>1080</v>
      </c>
      <c r="D386" s="2" t="s">
        <v>1081</v>
      </c>
      <c r="E386" s="3" t="s">
        <v>96</v>
      </c>
      <c r="F386" s="18">
        <v>96000</v>
      </c>
      <c r="G386" s="4"/>
      <c r="H386" s="2">
        <v>1</v>
      </c>
      <c r="I386" s="3">
        <v>45876</v>
      </c>
      <c r="J386" s="4">
        <v>206</v>
      </c>
      <c r="K386" s="4" t="s">
        <v>67</v>
      </c>
      <c r="L386" s="3">
        <v>46082</v>
      </c>
      <c r="M386" s="23">
        <f>YEAR(Таблица1[[#This Row],[Дата отчета]])</f>
        <v>2026</v>
      </c>
      <c r="N386" s="2"/>
      <c r="O386" s="2"/>
      <c r="P386" s="2"/>
      <c r="Q386" s="5"/>
    </row>
    <row r="387" spans="1:17" x14ac:dyDescent="0.25">
      <c r="A387" s="6" t="s">
        <v>1082</v>
      </c>
      <c r="B387" s="7" t="s">
        <v>1083</v>
      </c>
      <c r="C387" s="7" t="s">
        <v>1084</v>
      </c>
      <c r="D387" s="7" t="s">
        <v>1085</v>
      </c>
      <c r="E387" s="8" t="s">
        <v>1086</v>
      </c>
      <c r="F387" s="19">
        <v>126099.22</v>
      </c>
      <c r="G387" s="9"/>
      <c r="H387" s="7">
        <v>1</v>
      </c>
      <c r="I387" s="8">
        <v>45847</v>
      </c>
      <c r="J387" s="9">
        <v>235</v>
      </c>
      <c r="K387" s="9" t="s">
        <v>67</v>
      </c>
      <c r="L387" s="8">
        <v>46082</v>
      </c>
      <c r="M387" s="23">
        <f>YEAR(Таблица1[[#This Row],[Дата отчета]])</f>
        <v>2026</v>
      </c>
      <c r="N387" s="7"/>
      <c r="O387" s="7"/>
      <c r="P387" s="7"/>
      <c r="Q387" s="10"/>
    </row>
    <row r="388" spans="1:17" x14ac:dyDescent="0.25">
      <c r="A388" s="1" t="s">
        <v>1082</v>
      </c>
      <c r="B388" s="2" t="s">
        <v>1087</v>
      </c>
      <c r="C388" s="2" t="s">
        <v>1088</v>
      </c>
      <c r="D388" s="2" t="s">
        <v>1089</v>
      </c>
      <c r="E388" s="3" t="s">
        <v>35</v>
      </c>
      <c r="F388" s="18">
        <v>2819920.72</v>
      </c>
      <c r="G388" s="4"/>
      <c r="H388" s="2">
        <v>1</v>
      </c>
      <c r="I388" s="3">
        <v>46036</v>
      </c>
      <c r="J388" s="4">
        <v>46</v>
      </c>
      <c r="K388" s="4" t="s">
        <v>27</v>
      </c>
      <c r="L388" s="3">
        <v>46082</v>
      </c>
      <c r="M388" s="23">
        <f>YEAR(Таблица1[[#This Row],[Дата отчета]])</f>
        <v>2026</v>
      </c>
      <c r="N388" s="2"/>
      <c r="O388" s="2"/>
      <c r="P388" s="2"/>
      <c r="Q388" s="5"/>
    </row>
    <row r="389" spans="1:17" x14ac:dyDescent="0.25">
      <c r="A389" s="6" t="s">
        <v>1082</v>
      </c>
      <c r="B389" s="7" t="s">
        <v>1087</v>
      </c>
      <c r="C389" s="7" t="s">
        <v>1090</v>
      </c>
      <c r="D389" s="7" t="s">
        <v>1091</v>
      </c>
      <c r="E389" s="8" t="s">
        <v>1092</v>
      </c>
      <c r="F389" s="19">
        <v>35421.75</v>
      </c>
      <c r="G389" s="9"/>
      <c r="H389" s="7">
        <v>1</v>
      </c>
      <c r="I389" s="8">
        <v>45554</v>
      </c>
      <c r="J389" s="9">
        <v>528</v>
      </c>
      <c r="K389" s="9" t="s">
        <v>17</v>
      </c>
      <c r="L389" s="8">
        <v>46082</v>
      </c>
      <c r="M389" s="23">
        <f>YEAR(Таблица1[[#This Row],[Дата отчета]])</f>
        <v>2026</v>
      </c>
      <c r="N389" s="7" t="s">
        <v>4535</v>
      </c>
      <c r="O389" s="7"/>
      <c r="P389" s="7"/>
      <c r="Q389" s="10"/>
    </row>
    <row r="390" spans="1:17" x14ac:dyDescent="0.25">
      <c r="A390" s="1" t="s">
        <v>1082</v>
      </c>
      <c r="B390" s="2" t="s">
        <v>271</v>
      </c>
      <c r="C390" s="2" t="s">
        <v>1093</v>
      </c>
      <c r="D390" s="2" t="s">
        <v>1094</v>
      </c>
      <c r="E390" s="3" t="s">
        <v>841</v>
      </c>
      <c r="F390" s="18">
        <v>4103412.84</v>
      </c>
      <c r="G390" s="4"/>
      <c r="H390" s="2">
        <v>1</v>
      </c>
      <c r="I390" s="3">
        <v>45925</v>
      </c>
      <c r="J390" s="4">
        <v>157</v>
      </c>
      <c r="K390" s="4" t="s">
        <v>22</v>
      </c>
      <c r="L390" s="3">
        <v>46082</v>
      </c>
      <c r="M390" s="23">
        <f>YEAR(Таблица1[[#This Row],[Дата отчета]])</f>
        <v>2026</v>
      </c>
      <c r="N390" s="2"/>
      <c r="O390" s="2"/>
      <c r="P390" s="2"/>
      <c r="Q390" s="5"/>
    </row>
    <row r="391" spans="1:17" x14ac:dyDescent="0.25">
      <c r="A391" s="6" t="s">
        <v>1082</v>
      </c>
      <c r="B391" s="7" t="s">
        <v>271</v>
      </c>
      <c r="C391" s="7" t="s">
        <v>1095</v>
      </c>
      <c r="D391" s="7" t="s">
        <v>1096</v>
      </c>
      <c r="E391" s="8" t="s">
        <v>571</v>
      </c>
      <c r="F391" s="19">
        <v>81774.75</v>
      </c>
      <c r="G391" s="9"/>
      <c r="H391" s="7">
        <v>1</v>
      </c>
      <c r="I391" s="8">
        <v>45951</v>
      </c>
      <c r="J391" s="9">
        <v>131</v>
      </c>
      <c r="K391" s="9" t="s">
        <v>22</v>
      </c>
      <c r="L391" s="8">
        <v>46082</v>
      </c>
      <c r="M391" s="23">
        <f>YEAR(Таблица1[[#This Row],[Дата отчета]])</f>
        <v>2026</v>
      </c>
      <c r="N391" s="7"/>
      <c r="O391" s="7"/>
      <c r="P391" s="7"/>
      <c r="Q391" s="10"/>
    </row>
    <row r="392" spans="1:17" x14ac:dyDescent="0.25">
      <c r="A392" s="1" t="s">
        <v>1082</v>
      </c>
      <c r="B392" s="2" t="s">
        <v>271</v>
      </c>
      <c r="C392" s="2" t="s">
        <v>1095</v>
      </c>
      <c r="D392" s="2" t="s">
        <v>1097</v>
      </c>
      <c r="E392" s="3" t="s">
        <v>571</v>
      </c>
      <c r="F392" s="18">
        <v>381299.85</v>
      </c>
      <c r="G392" s="4"/>
      <c r="H392" s="2">
        <v>1</v>
      </c>
      <c r="I392" s="3">
        <v>45951</v>
      </c>
      <c r="J392" s="4">
        <v>131</v>
      </c>
      <c r="K392" s="4" t="s">
        <v>22</v>
      </c>
      <c r="L392" s="3">
        <v>46082</v>
      </c>
      <c r="M392" s="23">
        <f>YEAR(Таблица1[[#This Row],[Дата отчета]])</f>
        <v>2026</v>
      </c>
      <c r="N392" s="2"/>
      <c r="O392" s="2"/>
      <c r="P392" s="2"/>
      <c r="Q392" s="5"/>
    </row>
    <row r="393" spans="1:17" x14ac:dyDescent="0.25">
      <c r="A393" s="6" t="s">
        <v>1082</v>
      </c>
      <c r="B393" s="7" t="s">
        <v>271</v>
      </c>
      <c r="C393" s="7" t="s">
        <v>1095</v>
      </c>
      <c r="D393" s="7" t="s">
        <v>1098</v>
      </c>
      <c r="E393" s="8" t="s">
        <v>827</v>
      </c>
      <c r="F393" s="19">
        <v>242292.07</v>
      </c>
      <c r="G393" s="9"/>
      <c r="H393" s="7">
        <v>1</v>
      </c>
      <c r="I393" s="8">
        <v>45981</v>
      </c>
      <c r="J393" s="9">
        <v>101</v>
      </c>
      <c r="K393" s="9" t="s">
        <v>71</v>
      </c>
      <c r="L393" s="8">
        <v>46082</v>
      </c>
      <c r="M393" s="23">
        <f>YEAR(Таблица1[[#This Row],[Дата отчета]])</f>
        <v>2026</v>
      </c>
      <c r="N393" s="7"/>
      <c r="O393" s="7"/>
      <c r="P393" s="7"/>
      <c r="Q393" s="10"/>
    </row>
    <row r="394" spans="1:17" x14ac:dyDescent="0.25">
      <c r="A394" s="1" t="s">
        <v>1082</v>
      </c>
      <c r="B394" s="2" t="s">
        <v>271</v>
      </c>
      <c r="C394" s="2" t="s">
        <v>1095</v>
      </c>
      <c r="D394" s="2" t="s">
        <v>1099</v>
      </c>
      <c r="E394" s="3" t="s">
        <v>692</v>
      </c>
      <c r="F394" s="18">
        <v>9195.39</v>
      </c>
      <c r="G394" s="4"/>
      <c r="H394" s="2">
        <v>1</v>
      </c>
      <c r="I394" s="3">
        <v>45982</v>
      </c>
      <c r="J394" s="4">
        <v>100</v>
      </c>
      <c r="K394" s="4" t="s">
        <v>71</v>
      </c>
      <c r="L394" s="3">
        <v>46082</v>
      </c>
      <c r="M394" s="23">
        <f>YEAR(Таблица1[[#This Row],[Дата отчета]])</f>
        <v>2026</v>
      </c>
      <c r="N394" s="2"/>
      <c r="O394" s="2"/>
      <c r="P394" s="2"/>
      <c r="Q394" s="5"/>
    </row>
    <row r="395" spans="1:17" x14ac:dyDescent="0.25">
      <c r="A395" s="6" t="s">
        <v>1082</v>
      </c>
      <c r="B395" s="7" t="s">
        <v>271</v>
      </c>
      <c r="C395" s="7" t="s">
        <v>1095</v>
      </c>
      <c r="D395" s="7" t="s">
        <v>1100</v>
      </c>
      <c r="E395" s="8" t="s">
        <v>692</v>
      </c>
      <c r="F395" s="19">
        <v>96959.25</v>
      </c>
      <c r="G395" s="9"/>
      <c r="H395" s="7">
        <v>1</v>
      </c>
      <c r="I395" s="8">
        <v>45982</v>
      </c>
      <c r="J395" s="9">
        <v>100</v>
      </c>
      <c r="K395" s="9" t="s">
        <v>71</v>
      </c>
      <c r="L395" s="8">
        <v>46082</v>
      </c>
      <c r="M395" s="23">
        <f>YEAR(Таблица1[[#This Row],[Дата отчета]])</f>
        <v>2026</v>
      </c>
      <c r="N395" s="7"/>
      <c r="O395" s="7"/>
      <c r="P395" s="7"/>
      <c r="Q395" s="10"/>
    </row>
    <row r="396" spans="1:17" x14ac:dyDescent="0.25">
      <c r="A396" s="1" t="s">
        <v>1082</v>
      </c>
      <c r="B396" s="2" t="s">
        <v>271</v>
      </c>
      <c r="C396" s="2" t="s">
        <v>1101</v>
      </c>
      <c r="D396" s="2" t="s">
        <v>1102</v>
      </c>
      <c r="E396" s="3" t="s">
        <v>281</v>
      </c>
      <c r="F396" s="18">
        <v>1472469.51</v>
      </c>
      <c r="G396" s="4"/>
      <c r="H396" s="2">
        <v>1</v>
      </c>
      <c r="I396" s="3">
        <v>46065</v>
      </c>
      <c r="J396" s="4">
        <v>17</v>
      </c>
      <c r="K396" s="4" t="s">
        <v>38</v>
      </c>
      <c r="L396" s="3">
        <v>46082</v>
      </c>
      <c r="M396" s="23">
        <f>YEAR(Таблица1[[#This Row],[Дата отчета]])</f>
        <v>2026</v>
      </c>
      <c r="N396" s="2"/>
      <c r="O396" s="2"/>
      <c r="P396" s="2"/>
      <c r="Q396" s="5"/>
    </row>
    <row r="397" spans="1:17" x14ac:dyDescent="0.25">
      <c r="A397" s="6" t="s">
        <v>1082</v>
      </c>
      <c r="B397" s="7" t="s">
        <v>271</v>
      </c>
      <c r="C397" s="7" t="s">
        <v>1103</v>
      </c>
      <c r="D397" s="7" t="s">
        <v>1104</v>
      </c>
      <c r="E397" s="8" t="s">
        <v>51</v>
      </c>
      <c r="F397" s="19">
        <v>17940.52</v>
      </c>
      <c r="G397" s="9"/>
      <c r="H397" s="7">
        <v>1</v>
      </c>
      <c r="I397" s="8">
        <v>45939</v>
      </c>
      <c r="J397" s="9">
        <v>143</v>
      </c>
      <c r="K397" s="9" t="s">
        <v>22</v>
      </c>
      <c r="L397" s="8">
        <v>46082</v>
      </c>
      <c r="M397" s="23">
        <f>YEAR(Таблица1[[#This Row],[Дата отчета]])</f>
        <v>2026</v>
      </c>
      <c r="N397" s="7"/>
      <c r="O397" s="7"/>
      <c r="P397" s="7"/>
      <c r="Q397" s="10"/>
    </row>
    <row r="398" spans="1:17" x14ac:dyDescent="0.25">
      <c r="A398" s="1" t="s">
        <v>1082</v>
      </c>
      <c r="B398" s="2" t="s">
        <v>271</v>
      </c>
      <c r="C398" s="2" t="s">
        <v>1105</v>
      </c>
      <c r="D398" s="2" t="s">
        <v>1106</v>
      </c>
      <c r="E398" s="3" t="s">
        <v>75</v>
      </c>
      <c r="F398" s="18">
        <v>42558293.729999997</v>
      </c>
      <c r="G398" s="4"/>
      <c r="H398" s="2">
        <v>1</v>
      </c>
      <c r="I398" s="3">
        <v>46016</v>
      </c>
      <c r="J398" s="4">
        <v>66</v>
      </c>
      <c r="K398" s="4" t="s">
        <v>27</v>
      </c>
      <c r="L398" s="3">
        <v>46082</v>
      </c>
      <c r="M398" s="23">
        <f>YEAR(Таблица1[[#This Row],[Дата отчета]])</f>
        <v>2026</v>
      </c>
      <c r="N398" s="2"/>
      <c r="O398" s="2"/>
      <c r="P398" s="2"/>
      <c r="Q398" s="5"/>
    </row>
    <row r="399" spans="1:17" x14ac:dyDescent="0.25">
      <c r="A399" s="6" t="s">
        <v>1082</v>
      </c>
      <c r="B399" s="7" t="s">
        <v>561</v>
      </c>
      <c r="C399" s="7" t="s">
        <v>1107</v>
      </c>
      <c r="D399" s="7" t="s">
        <v>1108</v>
      </c>
      <c r="E399" s="8" t="s">
        <v>231</v>
      </c>
      <c r="F399" s="19">
        <v>100541017.20999999</v>
      </c>
      <c r="G399" s="9"/>
      <c r="H399" s="7">
        <v>1</v>
      </c>
      <c r="I399" s="8">
        <v>45992</v>
      </c>
      <c r="J399" s="9">
        <v>90</v>
      </c>
      <c r="K399" s="9" t="s">
        <v>27</v>
      </c>
      <c r="L399" s="8">
        <v>46082</v>
      </c>
      <c r="M399" s="23">
        <f>YEAR(Таблица1[[#This Row],[Дата отчета]])</f>
        <v>2026</v>
      </c>
      <c r="N399" s="7"/>
      <c r="O399" s="7"/>
      <c r="P399" s="7"/>
      <c r="Q399" s="10"/>
    </row>
    <row r="400" spans="1:17" x14ac:dyDescent="0.25">
      <c r="A400" s="1" t="s">
        <v>1082</v>
      </c>
      <c r="B400" s="2" t="s">
        <v>561</v>
      </c>
      <c r="C400" s="2" t="s">
        <v>1109</v>
      </c>
      <c r="D400" s="2" t="s">
        <v>1110</v>
      </c>
      <c r="E400" s="3" t="s">
        <v>455</v>
      </c>
      <c r="F400" s="18">
        <v>10023164.039999999</v>
      </c>
      <c r="G400" s="4"/>
      <c r="H400" s="2">
        <v>1</v>
      </c>
      <c r="I400" s="3">
        <v>46080</v>
      </c>
      <c r="J400" s="4">
        <v>2</v>
      </c>
      <c r="K400" s="4" t="s">
        <v>38</v>
      </c>
      <c r="L400" s="3">
        <v>46082</v>
      </c>
      <c r="M400" s="23">
        <f>YEAR(Таблица1[[#This Row],[Дата отчета]])</f>
        <v>2026</v>
      </c>
      <c r="N400" s="2"/>
      <c r="O400" s="2"/>
      <c r="P400" s="2"/>
      <c r="Q400" s="5"/>
    </row>
    <row r="401" spans="1:17" x14ac:dyDescent="0.25">
      <c r="A401" s="6" t="s">
        <v>1082</v>
      </c>
      <c r="B401" s="7" t="s">
        <v>561</v>
      </c>
      <c r="C401" s="7" t="s">
        <v>1111</v>
      </c>
      <c r="D401" s="7" t="s">
        <v>1112</v>
      </c>
      <c r="E401" s="8" t="s">
        <v>1113</v>
      </c>
      <c r="F401" s="19">
        <v>4.22</v>
      </c>
      <c r="G401" s="9"/>
      <c r="H401" s="7">
        <v>1</v>
      </c>
      <c r="I401" s="8">
        <v>45737</v>
      </c>
      <c r="J401" s="9">
        <v>345</v>
      </c>
      <c r="K401" s="9" t="s">
        <v>92</v>
      </c>
      <c r="L401" s="8">
        <v>46082</v>
      </c>
      <c r="M401" s="23">
        <f>YEAR(Таблица1[[#This Row],[Дата отчета]])</f>
        <v>2026</v>
      </c>
      <c r="N401" s="7"/>
      <c r="O401" s="7"/>
      <c r="P401" s="7"/>
      <c r="Q401" s="10"/>
    </row>
    <row r="402" spans="1:17" x14ac:dyDescent="0.25">
      <c r="A402" s="1" t="s">
        <v>1082</v>
      </c>
      <c r="B402" s="2" t="s">
        <v>561</v>
      </c>
      <c r="C402" s="2" t="s">
        <v>1114</v>
      </c>
      <c r="D402" s="2" t="s">
        <v>1115</v>
      </c>
      <c r="E402" s="3" t="s">
        <v>824</v>
      </c>
      <c r="F402" s="18">
        <v>19041986.25</v>
      </c>
      <c r="G402" s="4"/>
      <c r="H402" s="2">
        <v>1</v>
      </c>
      <c r="I402" s="3">
        <v>45975</v>
      </c>
      <c r="J402" s="4">
        <v>107</v>
      </c>
      <c r="K402" s="4" t="s">
        <v>71</v>
      </c>
      <c r="L402" s="3">
        <v>46082</v>
      </c>
      <c r="M402" s="23">
        <f>YEAR(Таблица1[[#This Row],[Дата отчета]])</f>
        <v>2026</v>
      </c>
      <c r="N402" s="2"/>
      <c r="O402" s="2"/>
      <c r="P402" s="2"/>
      <c r="Q402" s="5"/>
    </row>
    <row r="403" spans="1:17" x14ac:dyDescent="0.25">
      <c r="A403" s="6" t="s">
        <v>1082</v>
      </c>
      <c r="B403" s="7" t="s">
        <v>561</v>
      </c>
      <c r="C403" s="7" t="s">
        <v>1116</v>
      </c>
      <c r="D403" s="7" t="s">
        <v>1117</v>
      </c>
      <c r="E403" s="8" t="s">
        <v>332</v>
      </c>
      <c r="F403" s="19">
        <v>832127.38</v>
      </c>
      <c r="G403" s="9"/>
      <c r="H403" s="7">
        <v>1</v>
      </c>
      <c r="I403" s="8">
        <v>45936</v>
      </c>
      <c r="J403" s="9">
        <v>146</v>
      </c>
      <c r="K403" s="9" t="s">
        <v>22</v>
      </c>
      <c r="L403" s="8">
        <v>46082</v>
      </c>
      <c r="M403" s="23">
        <f>YEAR(Таблица1[[#This Row],[Дата отчета]])</f>
        <v>2026</v>
      </c>
      <c r="N403" s="7"/>
      <c r="O403" s="7"/>
      <c r="P403" s="7"/>
      <c r="Q403" s="10"/>
    </row>
    <row r="404" spans="1:17" x14ac:dyDescent="0.25">
      <c r="A404" s="1" t="s">
        <v>1082</v>
      </c>
      <c r="B404" s="2" t="s">
        <v>561</v>
      </c>
      <c r="C404" s="2" t="s">
        <v>1118</v>
      </c>
      <c r="D404" s="2" t="s">
        <v>1119</v>
      </c>
      <c r="E404" s="3" t="s">
        <v>1120</v>
      </c>
      <c r="F404" s="18">
        <v>19608750</v>
      </c>
      <c r="G404" s="4"/>
      <c r="H404" s="2">
        <v>1</v>
      </c>
      <c r="I404" s="3">
        <v>45937</v>
      </c>
      <c r="J404" s="4">
        <v>145</v>
      </c>
      <c r="K404" s="4" t="s">
        <v>22</v>
      </c>
      <c r="L404" s="3">
        <v>46082</v>
      </c>
      <c r="M404" s="23">
        <f>YEAR(Таблица1[[#This Row],[Дата отчета]])</f>
        <v>2026</v>
      </c>
      <c r="N404" s="2"/>
      <c r="O404" s="2"/>
      <c r="P404" s="2"/>
      <c r="Q404" s="5"/>
    </row>
    <row r="405" spans="1:17" x14ac:dyDescent="0.25">
      <c r="A405" s="6" t="s">
        <v>1082</v>
      </c>
      <c r="B405" s="7" t="s">
        <v>561</v>
      </c>
      <c r="C405" s="7" t="s">
        <v>1121</v>
      </c>
      <c r="D405" s="7" t="s">
        <v>1122</v>
      </c>
      <c r="E405" s="8" t="s">
        <v>1123</v>
      </c>
      <c r="F405" s="19">
        <v>8521724.8000000007</v>
      </c>
      <c r="G405" s="9"/>
      <c r="H405" s="7">
        <v>1</v>
      </c>
      <c r="I405" s="8">
        <v>45944</v>
      </c>
      <c r="J405" s="9">
        <v>138</v>
      </c>
      <c r="K405" s="9" t="s">
        <v>22</v>
      </c>
      <c r="L405" s="8">
        <v>46082</v>
      </c>
      <c r="M405" s="23">
        <f>YEAR(Таблица1[[#This Row],[Дата отчета]])</f>
        <v>2026</v>
      </c>
      <c r="N405" s="7"/>
      <c r="O405" s="7"/>
      <c r="P405" s="7"/>
      <c r="Q405" s="10"/>
    </row>
    <row r="406" spans="1:17" x14ac:dyDescent="0.25">
      <c r="A406" s="1" t="s">
        <v>1082</v>
      </c>
      <c r="B406" s="2" t="s">
        <v>561</v>
      </c>
      <c r="C406" s="2" t="s">
        <v>1124</v>
      </c>
      <c r="D406" s="2" t="s">
        <v>1125</v>
      </c>
      <c r="E406" s="3" t="s">
        <v>1123</v>
      </c>
      <c r="F406" s="18">
        <v>565552.64000000001</v>
      </c>
      <c r="G406" s="4"/>
      <c r="H406" s="2">
        <v>1</v>
      </c>
      <c r="I406" s="3">
        <v>45944</v>
      </c>
      <c r="J406" s="4">
        <v>138</v>
      </c>
      <c r="K406" s="4" t="s">
        <v>22</v>
      </c>
      <c r="L406" s="3">
        <v>46082</v>
      </c>
      <c r="M406" s="23">
        <f>YEAR(Таблица1[[#This Row],[Дата отчета]])</f>
        <v>2026</v>
      </c>
      <c r="N406" s="2"/>
      <c r="O406" s="2"/>
      <c r="P406" s="2"/>
      <c r="Q406" s="5"/>
    </row>
    <row r="407" spans="1:17" x14ac:dyDescent="0.25">
      <c r="A407" s="6" t="s">
        <v>1082</v>
      </c>
      <c r="B407" s="7" t="s">
        <v>1126</v>
      </c>
      <c r="C407" s="7" t="s">
        <v>1127</v>
      </c>
      <c r="D407" s="7" t="s">
        <v>1128</v>
      </c>
      <c r="E407" s="8" t="s">
        <v>31</v>
      </c>
      <c r="F407" s="19">
        <v>595854</v>
      </c>
      <c r="G407" s="9"/>
      <c r="H407" s="7">
        <v>1</v>
      </c>
      <c r="I407" s="8">
        <v>46015</v>
      </c>
      <c r="J407" s="9">
        <v>67</v>
      </c>
      <c r="K407" s="9" t="s">
        <v>27</v>
      </c>
      <c r="L407" s="8">
        <v>46082</v>
      </c>
      <c r="M407" s="23">
        <f>YEAR(Таблица1[[#This Row],[Дата отчета]])</f>
        <v>2026</v>
      </c>
      <c r="N407" s="7"/>
      <c r="O407" s="7"/>
      <c r="P407" s="7"/>
      <c r="Q407" s="10"/>
    </row>
    <row r="408" spans="1:17" x14ac:dyDescent="0.25">
      <c r="A408" s="1" t="s">
        <v>1082</v>
      </c>
      <c r="B408" s="2" t="s">
        <v>1126</v>
      </c>
      <c r="C408" s="2" t="s">
        <v>1127</v>
      </c>
      <c r="D408" s="2" t="s">
        <v>1129</v>
      </c>
      <c r="E408" s="3" t="s">
        <v>75</v>
      </c>
      <c r="F408" s="18">
        <v>3400245.12</v>
      </c>
      <c r="G408" s="4"/>
      <c r="H408" s="2">
        <v>1</v>
      </c>
      <c r="I408" s="3">
        <v>46016</v>
      </c>
      <c r="J408" s="4">
        <v>66</v>
      </c>
      <c r="K408" s="4" t="s">
        <v>27</v>
      </c>
      <c r="L408" s="3">
        <v>46082</v>
      </c>
      <c r="M408" s="23">
        <f>YEAR(Таблица1[[#This Row],[Дата отчета]])</f>
        <v>2026</v>
      </c>
      <c r="N408" s="2"/>
      <c r="O408" s="2"/>
      <c r="P408" s="2"/>
      <c r="Q408" s="5"/>
    </row>
    <row r="409" spans="1:17" x14ac:dyDescent="0.25">
      <c r="A409" s="6" t="s">
        <v>1082</v>
      </c>
      <c r="B409" s="7" t="s">
        <v>1130</v>
      </c>
      <c r="C409" s="7" t="s">
        <v>1131</v>
      </c>
      <c r="D409" s="7" t="s">
        <v>1132</v>
      </c>
      <c r="E409" s="8" t="s">
        <v>303</v>
      </c>
      <c r="F409" s="19">
        <v>100427453.63</v>
      </c>
      <c r="G409" s="9"/>
      <c r="H409" s="7">
        <v>1</v>
      </c>
      <c r="I409" s="8">
        <v>46059</v>
      </c>
      <c r="J409" s="9">
        <v>23</v>
      </c>
      <c r="K409" s="9" t="s">
        <v>38</v>
      </c>
      <c r="L409" s="8">
        <v>46082</v>
      </c>
      <c r="M409" s="23">
        <f>YEAR(Таблица1[[#This Row],[Дата отчета]])</f>
        <v>2026</v>
      </c>
      <c r="N409" s="7"/>
      <c r="O409" s="7"/>
      <c r="P409" s="7"/>
      <c r="Q409" s="10"/>
    </row>
    <row r="410" spans="1:17" x14ac:dyDescent="0.25">
      <c r="A410" s="1" t="s">
        <v>1082</v>
      </c>
      <c r="B410" s="2" t="s">
        <v>766</v>
      </c>
      <c r="C410" s="2" t="s">
        <v>1133</v>
      </c>
      <c r="D410" s="2" t="s">
        <v>1134</v>
      </c>
      <c r="E410" s="3" t="s">
        <v>979</v>
      </c>
      <c r="F410" s="18">
        <v>5895177.5800000001</v>
      </c>
      <c r="G410" s="4"/>
      <c r="H410" s="2">
        <v>1</v>
      </c>
      <c r="I410" s="3">
        <v>46049</v>
      </c>
      <c r="J410" s="4">
        <v>33</v>
      </c>
      <c r="K410" s="4" t="s">
        <v>27</v>
      </c>
      <c r="L410" s="3">
        <v>46082</v>
      </c>
      <c r="M410" s="23">
        <f>YEAR(Таблица1[[#This Row],[Дата отчета]])</f>
        <v>2026</v>
      </c>
      <c r="N410" s="2"/>
      <c r="O410" s="2"/>
      <c r="P410" s="2"/>
      <c r="Q410" s="5"/>
    </row>
    <row r="411" spans="1:17" x14ac:dyDescent="0.25">
      <c r="A411" s="6" t="s">
        <v>1082</v>
      </c>
      <c r="B411" s="7" t="s">
        <v>766</v>
      </c>
      <c r="C411" s="7" t="s">
        <v>1133</v>
      </c>
      <c r="D411" s="7" t="s">
        <v>1135</v>
      </c>
      <c r="E411" s="8" t="s">
        <v>48</v>
      </c>
      <c r="F411" s="19">
        <v>6661076.0499999998</v>
      </c>
      <c r="G411" s="9"/>
      <c r="H411" s="7">
        <v>1</v>
      </c>
      <c r="I411" s="8">
        <v>46078</v>
      </c>
      <c r="J411" s="9">
        <v>4</v>
      </c>
      <c r="K411" s="9" t="s">
        <v>38</v>
      </c>
      <c r="L411" s="8">
        <v>46082</v>
      </c>
      <c r="M411" s="23">
        <f>YEAR(Таблица1[[#This Row],[Дата отчета]])</f>
        <v>2026</v>
      </c>
      <c r="N411" s="7"/>
      <c r="O411" s="7"/>
      <c r="P411" s="7"/>
      <c r="Q411" s="10"/>
    </row>
    <row r="412" spans="1:17" x14ac:dyDescent="0.25">
      <c r="A412" s="1" t="s">
        <v>1082</v>
      </c>
      <c r="B412" s="2" t="s">
        <v>1136</v>
      </c>
      <c r="C412" s="2" t="s">
        <v>1137</v>
      </c>
      <c r="D412" s="2" t="s">
        <v>1138</v>
      </c>
      <c r="E412" s="3" t="s">
        <v>251</v>
      </c>
      <c r="F412" s="18">
        <v>2080992</v>
      </c>
      <c r="G412" s="4"/>
      <c r="H412" s="2">
        <v>1</v>
      </c>
      <c r="I412" s="3">
        <v>46038</v>
      </c>
      <c r="J412" s="4">
        <v>44</v>
      </c>
      <c r="K412" s="4" t="s">
        <v>27</v>
      </c>
      <c r="L412" s="3">
        <v>46082</v>
      </c>
      <c r="M412" s="23">
        <f>YEAR(Таблица1[[#This Row],[Дата отчета]])</f>
        <v>2026</v>
      </c>
      <c r="N412" s="2"/>
      <c r="O412" s="2"/>
      <c r="P412" s="2"/>
      <c r="Q412" s="5"/>
    </row>
    <row r="413" spans="1:17" x14ac:dyDescent="0.25">
      <c r="A413" s="6" t="s">
        <v>1082</v>
      </c>
      <c r="B413" s="7" t="s">
        <v>1136</v>
      </c>
      <c r="C413" s="7" t="s">
        <v>1139</v>
      </c>
      <c r="D413" s="7" t="s">
        <v>1140</v>
      </c>
      <c r="E413" s="8" t="s">
        <v>251</v>
      </c>
      <c r="F413" s="19">
        <v>2080992</v>
      </c>
      <c r="G413" s="9"/>
      <c r="H413" s="7">
        <v>1</v>
      </c>
      <c r="I413" s="8">
        <v>46038</v>
      </c>
      <c r="J413" s="9">
        <v>44</v>
      </c>
      <c r="K413" s="9" t="s">
        <v>27</v>
      </c>
      <c r="L413" s="8">
        <v>46082</v>
      </c>
      <c r="M413" s="23">
        <f>YEAR(Таблица1[[#This Row],[Дата отчета]])</f>
        <v>2026</v>
      </c>
      <c r="N413" s="7"/>
      <c r="O413" s="7"/>
      <c r="P413" s="7"/>
      <c r="Q413" s="10"/>
    </row>
    <row r="414" spans="1:17" x14ac:dyDescent="0.25">
      <c r="A414" s="1" t="s">
        <v>1082</v>
      </c>
      <c r="B414" s="2" t="s">
        <v>1136</v>
      </c>
      <c r="C414" s="2" t="s">
        <v>1141</v>
      </c>
      <c r="D414" s="2" t="s">
        <v>1142</v>
      </c>
      <c r="E414" s="3" t="s">
        <v>251</v>
      </c>
      <c r="F414" s="18">
        <v>1978905.6000000001</v>
      </c>
      <c r="G414" s="4"/>
      <c r="H414" s="2">
        <v>1</v>
      </c>
      <c r="I414" s="3">
        <v>46038</v>
      </c>
      <c r="J414" s="4">
        <v>44</v>
      </c>
      <c r="K414" s="4" t="s">
        <v>27</v>
      </c>
      <c r="L414" s="3">
        <v>46082</v>
      </c>
      <c r="M414" s="23">
        <f>YEAR(Таблица1[[#This Row],[Дата отчета]])</f>
        <v>2026</v>
      </c>
      <c r="N414" s="2"/>
      <c r="O414" s="2"/>
      <c r="P414" s="2"/>
      <c r="Q414" s="5"/>
    </row>
    <row r="415" spans="1:17" x14ac:dyDescent="0.25">
      <c r="A415" s="6" t="s">
        <v>1082</v>
      </c>
      <c r="B415" s="7" t="s">
        <v>915</v>
      </c>
      <c r="C415" s="7" t="s">
        <v>1143</v>
      </c>
      <c r="D415" s="7" t="s">
        <v>1144</v>
      </c>
      <c r="E415" s="8" t="s">
        <v>1145</v>
      </c>
      <c r="F415" s="19">
        <v>948672.83</v>
      </c>
      <c r="G415" s="9"/>
      <c r="H415" s="7">
        <v>1</v>
      </c>
      <c r="I415" s="8">
        <v>46021</v>
      </c>
      <c r="J415" s="9">
        <v>61</v>
      </c>
      <c r="K415" s="9" t="s">
        <v>27</v>
      </c>
      <c r="L415" s="8">
        <v>46082</v>
      </c>
      <c r="M415" s="23">
        <f>YEAR(Таблица1[[#This Row],[Дата отчета]])</f>
        <v>2026</v>
      </c>
      <c r="N415" s="7"/>
      <c r="O415" s="7"/>
      <c r="P415" s="7"/>
      <c r="Q415" s="10"/>
    </row>
    <row r="416" spans="1:17" x14ac:dyDescent="0.25">
      <c r="A416" s="1" t="s">
        <v>12</v>
      </c>
      <c r="B416" s="2" t="s">
        <v>18</v>
      </c>
      <c r="C416" s="2" t="s">
        <v>19</v>
      </c>
      <c r="D416" s="2" t="s">
        <v>20</v>
      </c>
      <c r="E416" s="3" t="s">
        <v>21</v>
      </c>
      <c r="F416" s="18">
        <v>17000</v>
      </c>
      <c r="G416" s="4"/>
      <c r="H416" s="2">
        <v>1</v>
      </c>
      <c r="I416" s="3">
        <v>45953</v>
      </c>
      <c r="J416" s="4">
        <v>129</v>
      </c>
      <c r="K416" s="4" t="s">
        <v>22</v>
      </c>
      <c r="L416" s="3">
        <v>46083</v>
      </c>
      <c r="M416" s="23">
        <f>YEAR(Таблица1[[#This Row],[Дата отчета]])</f>
        <v>2026</v>
      </c>
      <c r="N416" s="2"/>
      <c r="O416" s="2"/>
      <c r="P416" s="2"/>
      <c r="Q416" s="5"/>
    </row>
    <row r="417" spans="1:17" x14ac:dyDescent="0.25">
      <c r="A417" s="6" t="s">
        <v>12</v>
      </c>
      <c r="B417" s="7" t="s">
        <v>23</v>
      </c>
      <c r="C417" s="7" t="s">
        <v>24</v>
      </c>
      <c r="D417" s="7" t="s">
        <v>25</v>
      </c>
      <c r="E417" s="8" t="s">
        <v>26</v>
      </c>
      <c r="F417" s="19">
        <v>21271</v>
      </c>
      <c r="G417" s="9"/>
      <c r="H417" s="7">
        <v>1</v>
      </c>
      <c r="I417" s="8">
        <v>46044</v>
      </c>
      <c r="J417" s="9">
        <v>38</v>
      </c>
      <c r="K417" s="9" t="s">
        <v>27</v>
      </c>
      <c r="L417" s="3">
        <v>46083</v>
      </c>
      <c r="M417" s="23">
        <f>YEAR(Таблица1[[#This Row],[Дата отчета]])</f>
        <v>2026</v>
      </c>
      <c r="N417" s="7"/>
      <c r="O417" s="7"/>
      <c r="P417" s="7"/>
      <c r="Q417" s="10"/>
    </row>
    <row r="418" spans="1:17" x14ac:dyDescent="0.25">
      <c r="A418" s="1" t="s">
        <v>12</v>
      </c>
      <c r="B418" s="2" t="s">
        <v>28</v>
      </c>
      <c r="C418" s="2" t="s">
        <v>29</v>
      </c>
      <c r="D418" s="2" t="s">
        <v>30</v>
      </c>
      <c r="E418" s="3" t="s">
        <v>31</v>
      </c>
      <c r="F418" s="18">
        <v>11000000</v>
      </c>
      <c r="G418" s="4"/>
      <c r="H418" s="2">
        <v>1</v>
      </c>
      <c r="I418" s="3">
        <v>46015</v>
      </c>
      <c r="J418" s="4">
        <v>67</v>
      </c>
      <c r="K418" s="4" t="s">
        <v>27</v>
      </c>
      <c r="L418" s="3">
        <v>46083</v>
      </c>
      <c r="M418" s="23">
        <f>YEAR(Таблица1[[#This Row],[Дата отчета]])</f>
        <v>2026</v>
      </c>
      <c r="N418" s="2"/>
      <c r="O418" s="2"/>
      <c r="P418" s="2"/>
      <c r="Q418" s="5"/>
    </row>
    <row r="419" spans="1:17" x14ac:dyDescent="0.25">
      <c r="A419" s="6" t="s">
        <v>12</v>
      </c>
      <c r="B419" s="7" t="s">
        <v>32</v>
      </c>
      <c r="C419" s="7" t="s">
        <v>33</v>
      </c>
      <c r="D419" s="7" t="s">
        <v>34</v>
      </c>
      <c r="E419" s="8" t="s">
        <v>35</v>
      </c>
      <c r="F419" s="19">
        <v>10657877.73</v>
      </c>
      <c r="G419" s="9"/>
      <c r="H419" s="7">
        <v>1</v>
      </c>
      <c r="I419" s="8">
        <v>46036</v>
      </c>
      <c r="J419" s="9">
        <v>46</v>
      </c>
      <c r="K419" s="9" t="s">
        <v>27</v>
      </c>
      <c r="L419" s="3">
        <v>46083</v>
      </c>
      <c r="M419" s="23">
        <f>YEAR(Таблица1[[#This Row],[Дата отчета]])</f>
        <v>2026</v>
      </c>
      <c r="N419" s="7"/>
      <c r="O419" s="7"/>
      <c r="P419" s="7"/>
      <c r="Q419" s="10"/>
    </row>
    <row r="420" spans="1:17" x14ac:dyDescent="0.25">
      <c r="A420" s="1" t="s">
        <v>12</v>
      </c>
      <c r="B420" s="2" t="s">
        <v>32</v>
      </c>
      <c r="C420" s="2" t="s">
        <v>33</v>
      </c>
      <c r="D420" s="2" t="s">
        <v>36</v>
      </c>
      <c r="E420" s="3" t="s">
        <v>37</v>
      </c>
      <c r="F420" s="18">
        <v>4517905.22</v>
      </c>
      <c r="G420" s="4"/>
      <c r="H420" s="2">
        <v>1</v>
      </c>
      <c r="I420" s="3">
        <v>46066</v>
      </c>
      <c r="J420" s="4">
        <v>16</v>
      </c>
      <c r="K420" s="4" t="s">
        <v>38</v>
      </c>
      <c r="L420" s="3">
        <v>46083</v>
      </c>
      <c r="M420" s="23">
        <f>YEAR(Таблица1[[#This Row],[Дата отчета]])</f>
        <v>2026</v>
      </c>
      <c r="N420" s="2"/>
      <c r="O420" s="2"/>
      <c r="P420" s="2"/>
      <c r="Q420" s="5"/>
    </row>
    <row r="421" spans="1:17" x14ac:dyDescent="0.25">
      <c r="A421" s="6" t="s">
        <v>12</v>
      </c>
      <c r="B421" s="7" t="s">
        <v>32</v>
      </c>
      <c r="C421" s="7" t="s">
        <v>39</v>
      </c>
      <c r="D421" s="7" t="s">
        <v>40</v>
      </c>
      <c r="E421" s="8" t="s">
        <v>35</v>
      </c>
      <c r="F421" s="19">
        <v>5963831.3700000001</v>
      </c>
      <c r="G421" s="9"/>
      <c r="H421" s="7">
        <v>1</v>
      </c>
      <c r="I421" s="8">
        <v>46036</v>
      </c>
      <c r="J421" s="9">
        <v>46</v>
      </c>
      <c r="K421" s="9" t="s">
        <v>27</v>
      </c>
      <c r="L421" s="3">
        <v>46083</v>
      </c>
      <c r="M421" s="23">
        <f>YEAR(Таблица1[[#This Row],[Дата отчета]])</f>
        <v>2026</v>
      </c>
      <c r="N421" s="7"/>
      <c r="O421" s="7"/>
      <c r="P421" s="7"/>
      <c r="Q421" s="10"/>
    </row>
    <row r="422" spans="1:17" x14ac:dyDescent="0.25">
      <c r="A422" s="1" t="s">
        <v>12</v>
      </c>
      <c r="B422" s="2" t="s">
        <v>32</v>
      </c>
      <c r="C422" s="2" t="s">
        <v>39</v>
      </c>
      <c r="D422" s="2" t="s">
        <v>41</v>
      </c>
      <c r="E422" s="3" t="s">
        <v>37</v>
      </c>
      <c r="F422" s="18">
        <v>2528085.33</v>
      </c>
      <c r="G422" s="4"/>
      <c r="H422" s="2">
        <v>1</v>
      </c>
      <c r="I422" s="3">
        <v>46066</v>
      </c>
      <c r="J422" s="4">
        <v>16</v>
      </c>
      <c r="K422" s="4" t="s">
        <v>38</v>
      </c>
      <c r="L422" s="3">
        <v>46083</v>
      </c>
      <c r="M422" s="23">
        <f>YEAR(Таблица1[[#This Row],[Дата отчета]])</f>
        <v>2026</v>
      </c>
      <c r="N422" s="2"/>
      <c r="O422" s="2"/>
      <c r="P422" s="2"/>
      <c r="Q422" s="5"/>
    </row>
    <row r="423" spans="1:17" x14ac:dyDescent="0.25">
      <c r="A423" s="6" t="s">
        <v>12</v>
      </c>
      <c r="B423" s="7" t="s">
        <v>42</v>
      </c>
      <c r="C423" s="7" t="s">
        <v>43</v>
      </c>
      <c r="D423" s="7" t="s">
        <v>44</v>
      </c>
      <c r="E423" s="8" t="s">
        <v>45</v>
      </c>
      <c r="F423" s="19">
        <v>30900000</v>
      </c>
      <c r="G423" s="9"/>
      <c r="H423" s="7">
        <v>1</v>
      </c>
      <c r="I423" s="8">
        <v>45938</v>
      </c>
      <c r="J423" s="9">
        <v>144</v>
      </c>
      <c r="K423" s="9" t="s">
        <v>22</v>
      </c>
      <c r="L423" s="3">
        <v>46083</v>
      </c>
      <c r="M423" s="23">
        <f>YEAR(Таблица1[[#This Row],[Дата отчета]])</f>
        <v>2026</v>
      </c>
      <c r="N423" s="7"/>
      <c r="O423" s="7"/>
      <c r="P423" s="7"/>
      <c r="Q423" s="10"/>
    </row>
    <row r="424" spans="1:17" x14ac:dyDescent="0.25">
      <c r="A424" s="1" t="s">
        <v>12</v>
      </c>
      <c r="B424" s="2" t="s">
        <v>42</v>
      </c>
      <c r="C424" s="2" t="s">
        <v>46</v>
      </c>
      <c r="D424" s="2" t="s">
        <v>47</v>
      </c>
      <c r="E424" s="3" t="s">
        <v>48</v>
      </c>
      <c r="F424" s="18">
        <v>70000</v>
      </c>
      <c r="G424" s="4"/>
      <c r="H424" s="2">
        <v>1</v>
      </c>
      <c r="I424" s="3">
        <v>46078</v>
      </c>
      <c r="J424" s="4">
        <v>4</v>
      </c>
      <c r="K424" s="4" t="s">
        <v>38</v>
      </c>
      <c r="L424" s="3">
        <v>46083</v>
      </c>
      <c r="M424" s="23">
        <f>YEAR(Таблица1[[#This Row],[Дата отчета]])</f>
        <v>2026</v>
      </c>
      <c r="N424" s="2"/>
      <c r="O424" s="2"/>
      <c r="P424" s="2"/>
      <c r="Q424" s="5"/>
    </row>
    <row r="425" spans="1:17" x14ac:dyDescent="0.25">
      <c r="A425" s="6" t="s">
        <v>12</v>
      </c>
      <c r="B425" s="7" t="s">
        <v>42</v>
      </c>
      <c r="C425" s="7" t="s">
        <v>49</v>
      </c>
      <c r="D425" s="7" t="s">
        <v>50</v>
      </c>
      <c r="E425" s="8" t="s">
        <v>51</v>
      </c>
      <c r="F425" s="19">
        <v>603882</v>
      </c>
      <c r="G425" s="9"/>
      <c r="H425" s="7">
        <v>1</v>
      </c>
      <c r="I425" s="8">
        <v>45939</v>
      </c>
      <c r="J425" s="9">
        <v>143</v>
      </c>
      <c r="K425" s="9" t="s">
        <v>22</v>
      </c>
      <c r="L425" s="3">
        <v>46083</v>
      </c>
      <c r="M425" s="23">
        <f>YEAR(Таблица1[[#This Row],[Дата отчета]])</f>
        <v>2026</v>
      </c>
      <c r="N425" s="7"/>
      <c r="O425" s="7"/>
      <c r="P425" s="7"/>
      <c r="Q425" s="10"/>
    </row>
    <row r="426" spans="1:17" x14ac:dyDescent="0.25">
      <c r="A426" s="1" t="s">
        <v>12</v>
      </c>
      <c r="B426" s="2" t="s">
        <v>52</v>
      </c>
      <c r="C426" s="2" t="s">
        <v>53</v>
      </c>
      <c r="D426" s="2" t="s">
        <v>54</v>
      </c>
      <c r="E426" s="3" t="s">
        <v>48</v>
      </c>
      <c r="F426" s="18">
        <v>3698422</v>
      </c>
      <c r="G426" s="4"/>
      <c r="H426" s="2">
        <v>1</v>
      </c>
      <c r="I426" s="3">
        <v>46078</v>
      </c>
      <c r="J426" s="4">
        <v>4</v>
      </c>
      <c r="K426" s="4" t="s">
        <v>38</v>
      </c>
      <c r="L426" s="3">
        <v>46083</v>
      </c>
      <c r="M426" s="23">
        <f>YEAR(Таблица1[[#This Row],[Дата отчета]])</f>
        <v>2026</v>
      </c>
      <c r="N426" s="2"/>
      <c r="O426" s="2"/>
      <c r="P426" s="2"/>
      <c r="Q426" s="5"/>
    </row>
    <row r="427" spans="1:17" x14ac:dyDescent="0.25">
      <c r="A427" s="6" t="s">
        <v>12</v>
      </c>
      <c r="B427" s="7" t="s">
        <v>52</v>
      </c>
      <c r="C427" s="7" t="s">
        <v>55</v>
      </c>
      <c r="D427" s="7" t="s">
        <v>56</v>
      </c>
      <c r="E427" s="8" t="s">
        <v>57</v>
      </c>
      <c r="F427" s="19">
        <v>352400</v>
      </c>
      <c r="G427" s="9"/>
      <c r="H427" s="7">
        <v>1</v>
      </c>
      <c r="I427" s="8">
        <v>46043</v>
      </c>
      <c r="J427" s="9">
        <v>39</v>
      </c>
      <c r="K427" s="9" t="s">
        <v>27</v>
      </c>
      <c r="L427" s="3">
        <v>46083</v>
      </c>
      <c r="M427" s="23">
        <f>YEAR(Таблица1[[#This Row],[Дата отчета]])</f>
        <v>2026</v>
      </c>
      <c r="N427" s="7"/>
      <c r="O427" s="7"/>
      <c r="P427" s="7"/>
      <c r="Q427" s="10"/>
    </row>
    <row r="428" spans="1:17" x14ac:dyDescent="0.25">
      <c r="A428" s="1" t="s">
        <v>12</v>
      </c>
      <c r="B428" s="2" t="s">
        <v>52</v>
      </c>
      <c r="C428" s="2" t="s">
        <v>55</v>
      </c>
      <c r="D428" s="2" t="s">
        <v>58</v>
      </c>
      <c r="E428" s="3" t="s">
        <v>59</v>
      </c>
      <c r="F428" s="18">
        <v>40800</v>
      </c>
      <c r="G428" s="4"/>
      <c r="H428" s="2">
        <v>1</v>
      </c>
      <c r="I428" s="3">
        <v>46077</v>
      </c>
      <c r="J428" s="4">
        <v>5</v>
      </c>
      <c r="K428" s="4" t="s">
        <v>38</v>
      </c>
      <c r="L428" s="3">
        <v>46083</v>
      </c>
      <c r="M428" s="23">
        <f>YEAR(Таблица1[[#This Row],[Дата отчета]])</f>
        <v>2026</v>
      </c>
      <c r="N428" s="2"/>
      <c r="O428" s="2"/>
      <c r="P428" s="2"/>
      <c r="Q428" s="5"/>
    </row>
    <row r="429" spans="1:17" x14ac:dyDescent="0.25">
      <c r="A429" s="6" t="s">
        <v>12</v>
      </c>
      <c r="B429" s="7" t="s">
        <v>52</v>
      </c>
      <c r="C429" s="7" t="s">
        <v>55</v>
      </c>
      <c r="D429" s="7" t="s">
        <v>60</v>
      </c>
      <c r="E429" s="8" t="s">
        <v>61</v>
      </c>
      <c r="F429" s="19">
        <v>114575</v>
      </c>
      <c r="G429" s="9"/>
      <c r="H429" s="7">
        <v>1</v>
      </c>
      <c r="I429" s="8">
        <v>46079</v>
      </c>
      <c r="J429" s="9">
        <v>3</v>
      </c>
      <c r="K429" s="9" t="s">
        <v>38</v>
      </c>
      <c r="L429" s="3">
        <v>46083</v>
      </c>
      <c r="M429" s="23">
        <f>YEAR(Таблица1[[#This Row],[Дата отчета]])</f>
        <v>2026</v>
      </c>
      <c r="N429" s="7"/>
      <c r="O429" s="7"/>
      <c r="P429" s="7"/>
      <c r="Q429" s="10"/>
    </row>
    <row r="430" spans="1:17" x14ac:dyDescent="0.25">
      <c r="A430" s="1" t="s">
        <v>12</v>
      </c>
      <c r="B430" s="2" t="s">
        <v>52</v>
      </c>
      <c r="C430" s="2" t="s">
        <v>62</v>
      </c>
      <c r="D430" s="2" t="s">
        <v>63</v>
      </c>
      <c r="E430" s="3" t="s">
        <v>37</v>
      </c>
      <c r="F430" s="18">
        <v>429500</v>
      </c>
      <c r="G430" s="4"/>
      <c r="H430" s="2">
        <v>1</v>
      </c>
      <c r="I430" s="3">
        <v>46066</v>
      </c>
      <c r="J430" s="4">
        <v>16</v>
      </c>
      <c r="K430" s="4" t="s">
        <v>38</v>
      </c>
      <c r="L430" s="3">
        <v>46083</v>
      </c>
      <c r="M430" s="23">
        <f>YEAR(Таблица1[[#This Row],[Дата отчета]])</f>
        <v>2026</v>
      </c>
      <c r="N430" s="2"/>
      <c r="O430" s="2"/>
      <c r="P430" s="2"/>
      <c r="Q430" s="5"/>
    </row>
    <row r="431" spans="1:17" x14ac:dyDescent="0.25">
      <c r="A431" s="6" t="s">
        <v>12</v>
      </c>
      <c r="B431" s="7" t="s">
        <v>52</v>
      </c>
      <c r="C431" s="7" t="s">
        <v>64</v>
      </c>
      <c r="D431" s="7" t="s">
        <v>65</v>
      </c>
      <c r="E431" s="8" t="s">
        <v>66</v>
      </c>
      <c r="F431" s="19">
        <v>30100</v>
      </c>
      <c r="G431" s="9"/>
      <c r="H431" s="7">
        <v>1</v>
      </c>
      <c r="I431" s="8">
        <v>45895</v>
      </c>
      <c r="J431" s="9">
        <v>187</v>
      </c>
      <c r="K431" s="9" t="s">
        <v>67</v>
      </c>
      <c r="L431" s="3">
        <v>46083</v>
      </c>
      <c r="M431" s="23">
        <f>YEAR(Таблица1[[#This Row],[Дата отчета]])</f>
        <v>2026</v>
      </c>
      <c r="N431" s="7"/>
      <c r="O431" s="7"/>
      <c r="P431" s="7"/>
      <c r="Q431" s="10"/>
    </row>
    <row r="432" spans="1:17" x14ac:dyDescent="0.25">
      <c r="A432" s="1" t="s">
        <v>12</v>
      </c>
      <c r="B432" s="2" t="s">
        <v>52</v>
      </c>
      <c r="C432" s="2" t="s">
        <v>68</v>
      </c>
      <c r="D432" s="2" t="s">
        <v>69</v>
      </c>
      <c r="E432" s="3" t="s">
        <v>70</v>
      </c>
      <c r="F432" s="18">
        <v>661131</v>
      </c>
      <c r="G432" s="4"/>
      <c r="H432" s="2">
        <v>1</v>
      </c>
      <c r="I432" s="3">
        <v>45979</v>
      </c>
      <c r="J432" s="4">
        <v>103</v>
      </c>
      <c r="K432" s="4" t="s">
        <v>71</v>
      </c>
      <c r="L432" s="3">
        <v>46083</v>
      </c>
      <c r="M432" s="23">
        <f>YEAR(Таблица1[[#This Row],[Дата отчета]])</f>
        <v>2026</v>
      </c>
      <c r="N432" s="2"/>
      <c r="O432" s="2"/>
      <c r="P432" s="2"/>
      <c r="Q432" s="5"/>
    </row>
    <row r="433" spans="1:17" x14ac:dyDescent="0.25">
      <c r="A433" s="6" t="s">
        <v>12</v>
      </c>
      <c r="B433" s="7" t="s">
        <v>13</v>
      </c>
      <c r="C433" s="7" t="s">
        <v>14</v>
      </c>
      <c r="D433" s="7" t="s">
        <v>15</v>
      </c>
      <c r="E433" s="8" t="s">
        <v>16</v>
      </c>
      <c r="F433" s="19">
        <v>0.01</v>
      </c>
      <c r="G433" s="9"/>
      <c r="H433" s="7">
        <v>1</v>
      </c>
      <c r="I433" s="8">
        <v>45051</v>
      </c>
      <c r="J433" s="9">
        <v>1031</v>
      </c>
      <c r="K433" s="9" t="s">
        <v>17</v>
      </c>
      <c r="L433" s="3">
        <v>46083</v>
      </c>
      <c r="M433" s="23">
        <f>YEAR(Таблица1[[#This Row],[Дата отчета]])</f>
        <v>2026</v>
      </c>
      <c r="N433" s="7"/>
      <c r="O433" s="7"/>
      <c r="P433" s="7"/>
      <c r="Q433" s="10"/>
    </row>
    <row r="434" spans="1:17" x14ac:dyDescent="0.25">
      <c r="A434" s="1" t="s">
        <v>12</v>
      </c>
      <c r="B434" s="2" t="s">
        <v>72</v>
      </c>
      <c r="C434" s="2" t="s">
        <v>73</v>
      </c>
      <c r="D434" s="2" t="s">
        <v>74</v>
      </c>
      <c r="E434" s="3" t="s">
        <v>75</v>
      </c>
      <c r="F434" s="18">
        <v>28800000</v>
      </c>
      <c r="G434" s="4"/>
      <c r="H434" s="2">
        <v>1</v>
      </c>
      <c r="I434" s="3">
        <v>46016</v>
      </c>
      <c r="J434" s="4">
        <v>66</v>
      </c>
      <c r="K434" s="4" t="s">
        <v>27</v>
      </c>
      <c r="L434" s="3">
        <v>46083</v>
      </c>
      <c r="M434" s="23">
        <f>YEAR(Таблица1[[#This Row],[Дата отчета]])</f>
        <v>2026</v>
      </c>
      <c r="N434" s="2"/>
      <c r="O434" s="2"/>
      <c r="P434" s="2"/>
      <c r="Q434" s="5"/>
    </row>
    <row r="435" spans="1:17" x14ac:dyDescent="0.25">
      <c r="A435" s="6" t="s">
        <v>12</v>
      </c>
      <c r="B435" s="7" t="s">
        <v>76</v>
      </c>
      <c r="C435" s="7" t="s">
        <v>77</v>
      </c>
      <c r="D435" s="7" t="s">
        <v>78</v>
      </c>
      <c r="E435" s="8" t="s">
        <v>79</v>
      </c>
      <c r="F435" s="19">
        <v>1984080</v>
      </c>
      <c r="G435" s="9"/>
      <c r="H435" s="7">
        <v>1</v>
      </c>
      <c r="I435" s="8">
        <v>45980</v>
      </c>
      <c r="J435" s="9">
        <v>102</v>
      </c>
      <c r="K435" s="9" t="s">
        <v>71</v>
      </c>
      <c r="L435" s="3">
        <v>46083</v>
      </c>
      <c r="M435" s="23">
        <f>YEAR(Таблица1[[#This Row],[Дата отчета]])</f>
        <v>2026</v>
      </c>
      <c r="N435" s="7"/>
      <c r="O435" s="7"/>
      <c r="P435" s="7"/>
      <c r="Q435" s="10"/>
    </row>
    <row r="436" spans="1:17" x14ac:dyDescent="0.25">
      <c r="A436" s="1" t="s">
        <v>12</v>
      </c>
      <c r="B436" s="2" t="s">
        <v>80</v>
      </c>
      <c r="C436" s="2" t="s">
        <v>81</v>
      </c>
      <c r="D436" s="2" t="s">
        <v>82</v>
      </c>
      <c r="E436" s="3" t="s">
        <v>83</v>
      </c>
      <c r="F436" s="18">
        <v>4985</v>
      </c>
      <c r="G436" s="4"/>
      <c r="H436" s="2">
        <v>1</v>
      </c>
      <c r="I436" s="3">
        <v>45852</v>
      </c>
      <c r="J436" s="4">
        <v>230</v>
      </c>
      <c r="K436" s="4" t="s">
        <v>67</v>
      </c>
      <c r="L436" s="3">
        <v>46083</v>
      </c>
      <c r="M436" s="23">
        <f>YEAR(Таблица1[[#This Row],[Дата отчета]])</f>
        <v>2026</v>
      </c>
      <c r="N436" s="2"/>
      <c r="O436" s="2"/>
      <c r="P436" s="2"/>
      <c r="Q436" s="5"/>
    </row>
    <row r="437" spans="1:17" x14ac:dyDescent="0.25">
      <c r="A437" s="6" t="s">
        <v>12</v>
      </c>
      <c r="B437" s="7" t="s">
        <v>84</v>
      </c>
      <c r="C437" s="7" t="s">
        <v>85</v>
      </c>
      <c r="D437" s="7" t="s">
        <v>86</v>
      </c>
      <c r="E437" s="8" t="s">
        <v>87</v>
      </c>
      <c r="F437" s="19">
        <v>124374672.66</v>
      </c>
      <c r="G437" s="9"/>
      <c r="H437" s="7">
        <v>1</v>
      </c>
      <c r="I437" s="8">
        <v>46020</v>
      </c>
      <c r="J437" s="9">
        <v>62</v>
      </c>
      <c r="K437" s="9" t="s">
        <v>27</v>
      </c>
      <c r="L437" s="3">
        <v>46083</v>
      </c>
      <c r="M437" s="23">
        <f>YEAR(Таблица1[[#This Row],[Дата отчета]])</f>
        <v>2026</v>
      </c>
      <c r="N437" s="7"/>
      <c r="O437" s="7"/>
      <c r="P437" s="7"/>
      <c r="Q437" s="10"/>
    </row>
    <row r="438" spans="1:17" x14ac:dyDescent="0.25">
      <c r="A438" s="1" t="s">
        <v>12</v>
      </c>
      <c r="B438" s="2" t="s">
        <v>88</v>
      </c>
      <c r="C438" s="2" t="s">
        <v>89</v>
      </c>
      <c r="D438" s="2" t="s">
        <v>90</v>
      </c>
      <c r="E438" s="3" t="s">
        <v>91</v>
      </c>
      <c r="F438" s="18">
        <v>198000</v>
      </c>
      <c r="G438" s="4"/>
      <c r="H438" s="2">
        <v>1</v>
      </c>
      <c r="I438" s="3">
        <v>45723</v>
      </c>
      <c r="J438" s="4">
        <v>359</v>
      </c>
      <c r="K438" s="4" t="s">
        <v>92</v>
      </c>
      <c r="L438" s="3">
        <v>46083</v>
      </c>
      <c r="M438" s="23">
        <f>YEAR(Таблица1[[#This Row],[Дата отчета]])</f>
        <v>2026</v>
      </c>
      <c r="N438" s="30" t="s">
        <v>4537</v>
      </c>
      <c r="O438" s="30"/>
      <c r="P438" s="2"/>
      <c r="Q438" s="5"/>
    </row>
    <row r="439" spans="1:17" x14ac:dyDescent="0.25">
      <c r="A439" s="6" t="s">
        <v>12</v>
      </c>
      <c r="B439" s="7" t="s">
        <v>93</v>
      </c>
      <c r="C439" s="7" t="s">
        <v>94</v>
      </c>
      <c r="D439" s="7" t="s">
        <v>95</v>
      </c>
      <c r="E439" s="8" t="s">
        <v>96</v>
      </c>
      <c r="F439" s="19">
        <v>17955.38</v>
      </c>
      <c r="G439" s="9"/>
      <c r="H439" s="7">
        <v>1</v>
      </c>
      <c r="I439" s="8">
        <v>45876</v>
      </c>
      <c r="J439" s="9">
        <v>206</v>
      </c>
      <c r="K439" s="9" t="s">
        <v>67</v>
      </c>
      <c r="L439" s="3">
        <v>46083</v>
      </c>
      <c r="M439" s="23">
        <f>YEAR(Таблица1[[#This Row],[Дата отчета]])</f>
        <v>2026</v>
      </c>
      <c r="N439" s="7" t="s">
        <v>4538</v>
      </c>
      <c r="O439" s="7"/>
      <c r="P439" s="7"/>
      <c r="Q439" s="10"/>
    </row>
    <row r="440" spans="1:17" x14ac:dyDescent="0.25">
      <c r="A440" s="1" t="s">
        <v>12</v>
      </c>
      <c r="B440" s="2" t="s">
        <v>93</v>
      </c>
      <c r="C440" s="2" t="s">
        <v>97</v>
      </c>
      <c r="D440" s="2" t="s">
        <v>98</v>
      </c>
      <c r="E440" s="3" t="s">
        <v>96</v>
      </c>
      <c r="F440" s="18">
        <v>67008.2</v>
      </c>
      <c r="G440" s="4"/>
      <c r="H440" s="2">
        <v>1</v>
      </c>
      <c r="I440" s="3">
        <v>45876</v>
      </c>
      <c r="J440" s="4">
        <v>206</v>
      </c>
      <c r="K440" s="4" t="s">
        <v>67</v>
      </c>
      <c r="L440" s="3">
        <v>46083</v>
      </c>
      <c r="M440" s="23">
        <f>YEAR(Таблица1[[#This Row],[Дата отчета]])</f>
        <v>2026</v>
      </c>
      <c r="N440" s="2" t="s">
        <v>4538</v>
      </c>
      <c r="O440" s="2"/>
      <c r="P440" s="2"/>
      <c r="Q440" s="5"/>
    </row>
    <row r="441" spans="1:17" x14ac:dyDescent="0.25">
      <c r="A441" s="6" t="s">
        <v>12</v>
      </c>
      <c r="B441" s="7" t="s">
        <v>93</v>
      </c>
      <c r="C441" s="7" t="s">
        <v>97</v>
      </c>
      <c r="D441" s="7" t="s">
        <v>99</v>
      </c>
      <c r="E441" s="8" t="s">
        <v>100</v>
      </c>
      <c r="F441" s="19">
        <v>8599.8700000000008</v>
      </c>
      <c r="G441" s="9"/>
      <c r="H441" s="7">
        <v>1</v>
      </c>
      <c r="I441" s="8">
        <v>45905</v>
      </c>
      <c r="J441" s="9">
        <v>177</v>
      </c>
      <c r="K441" s="9" t="s">
        <v>22</v>
      </c>
      <c r="L441" s="3">
        <v>46083</v>
      </c>
      <c r="M441" s="23">
        <f>YEAR(Таблица1[[#This Row],[Дата отчета]])</f>
        <v>2026</v>
      </c>
      <c r="N441" s="2" t="s">
        <v>4538</v>
      </c>
      <c r="O441" s="2"/>
      <c r="P441" s="7"/>
      <c r="Q441" s="10"/>
    </row>
    <row r="442" spans="1:17" x14ac:dyDescent="0.25">
      <c r="A442" s="1" t="s">
        <v>12</v>
      </c>
      <c r="B442" s="2" t="s">
        <v>101</v>
      </c>
      <c r="C442" s="2" t="s">
        <v>102</v>
      </c>
      <c r="D442" s="2" t="s">
        <v>103</v>
      </c>
      <c r="E442" s="3" t="s">
        <v>57</v>
      </c>
      <c r="F442" s="18">
        <v>10508130</v>
      </c>
      <c r="G442" s="4"/>
      <c r="H442" s="2">
        <v>1</v>
      </c>
      <c r="I442" s="3">
        <v>46043</v>
      </c>
      <c r="J442" s="4">
        <v>39</v>
      </c>
      <c r="K442" s="4" t="s">
        <v>27</v>
      </c>
      <c r="L442" s="3">
        <v>46083</v>
      </c>
      <c r="M442" s="23">
        <f>YEAR(Таблица1[[#This Row],[Дата отчета]])</f>
        <v>2026</v>
      </c>
      <c r="P442" s="2"/>
      <c r="Q442" s="5"/>
    </row>
    <row r="443" spans="1:17" x14ac:dyDescent="0.25">
      <c r="A443" s="6" t="s">
        <v>12</v>
      </c>
      <c r="B443" s="7" t="s">
        <v>101</v>
      </c>
      <c r="C443" s="7" t="s">
        <v>104</v>
      </c>
      <c r="D443" s="7" t="s">
        <v>105</v>
      </c>
      <c r="E443" s="8" t="s">
        <v>106</v>
      </c>
      <c r="F443" s="19">
        <v>1833304</v>
      </c>
      <c r="G443" s="9"/>
      <c r="H443" s="7">
        <v>1</v>
      </c>
      <c r="I443" s="8">
        <v>46017</v>
      </c>
      <c r="J443" s="9">
        <v>65</v>
      </c>
      <c r="K443" s="9" t="s">
        <v>27</v>
      </c>
      <c r="L443" s="3">
        <v>46083</v>
      </c>
      <c r="M443" s="23">
        <f>YEAR(Таблица1[[#This Row],[Дата отчета]])</f>
        <v>2026</v>
      </c>
      <c r="N443" s="7" t="s">
        <v>4539</v>
      </c>
      <c r="O443" s="7"/>
      <c r="P443" s="7"/>
      <c r="Q443" s="10"/>
    </row>
    <row r="444" spans="1:17" x14ac:dyDescent="0.25">
      <c r="A444" s="1" t="s">
        <v>12</v>
      </c>
      <c r="B444" s="2" t="s">
        <v>107</v>
      </c>
      <c r="C444" s="2" t="s">
        <v>108</v>
      </c>
      <c r="D444" s="2" t="s">
        <v>109</v>
      </c>
      <c r="E444" s="3" t="s">
        <v>61</v>
      </c>
      <c r="F444" s="18">
        <v>2287728</v>
      </c>
      <c r="G444" s="4"/>
      <c r="H444" s="2">
        <v>1</v>
      </c>
      <c r="I444" s="3">
        <v>46079</v>
      </c>
      <c r="J444" s="4">
        <v>3</v>
      </c>
      <c r="K444" s="4" t="s">
        <v>38</v>
      </c>
      <c r="L444" s="3">
        <v>46083</v>
      </c>
      <c r="M444" s="23">
        <f>YEAR(Таблица1[[#This Row],[Дата отчета]])</f>
        <v>2026</v>
      </c>
      <c r="N444" s="2"/>
      <c r="O444" s="2"/>
      <c r="P444" s="2"/>
      <c r="Q444" s="5"/>
    </row>
    <row r="445" spans="1:17" x14ac:dyDescent="0.25">
      <c r="A445" s="6" t="s">
        <v>12</v>
      </c>
      <c r="B445" s="7" t="s">
        <v>110</v>
      </c>
      <c r="C445" s="7" t="s">
        <v>111</v>
      </c>
      <c r="D445" s="7" t="s">
        <v>112</v>
      </c>
      <c r="E445" s="8" t="s">
        <v>113</v>
      </c>
      <c r="F445" s="19">
        <v>613440</v>
      </c>
      <c r="G445" s="9"/>
      <c r="H445" s="7">
        <v>1</v>
      </c>
      <c r="I445" s="8">
        <v>46009</v>
      </c>
      <c r="J445" s="9">
        <v>73</v>
      </c>
      <c r="K445" s="9" t="s">
        <v>27</v>
      </c>
      <c r="L445" s="3">
        <v>46083</v>
      </c>
      <c r="M445" s="23">
        <f>YEAR(Таблица1[[#This Row],[Дата отчета]])</f>
        <v>2026</v>
      </c>
      <c r="N445" s="7"/>
      <c r="O445" s="7"/>
      <c r="P445" s="7"/>
      <c r="Q445" s="10"/>
    </row>
    <row r="446" spans="1:17" x14ac:dyDescent="0.25">
      <c r="A446" s="1" t="s">
        <v>12</v>
      </c>
      <c r="B446" s="2" t="s">
        <v>114</v>
      </c>
      <c r="C446" s="2" t="s">
        <v>115</v>
      </c>
      <c r="D446" s="2" t="s">
        <v>116</v>
      </c>
      <c r="E446" s="3" t="s">
        <v>61</v>
      </c>
      <c r="F446" s="18">
        <v>1644686.04</v>
      </c>
      <c r="G446" s="4"/>
      <c r="H446" s="2">
        <v>1</v>
      </c>
      <c r="I446" s="3">
        <v>46079</v>
      </c>
      <c r="J446" s="4">
        <v>3</v>
      </c>
      <c r="K446" s="4" t="s">
        <v>38</v>
      </c>
      <c r="L446" s="3">
        <v>46083</v>
      </c>
      <c r="M446" s="23">
        <f>YEAR(Таблица1[[#This Row],[Дата отчета]])</f>
        <v>2026</v>
      </c>
      <c r="N446" s="2"/>
      <c r="O446" s="2"/>
      <c r="P446" s="2"/>
      <c r="Q446" s="5"/>
    </row>
    <row r="447" spans="1:17" x14ac:dyDescent="0.25">
      <c r="A447" s="6" t="s">
        <v>12</v>
      </c>
      <c r="B447" s="7" t="s">
        <v>117</v>
      </c>
      <c r="C447" s="7" t="s">
        <v>118</v>
      </c>
      <c r="D447" s="7" t="s">
        <v>119</v>
      </c>
      <c r="E447" s="8" t="s">
        <v>70</v>
      </c>
      <c r="F447" s="19">
        <v>350000</v>
      </c>
      <c r="G447" s="9"/>
      <c r="H447" s="7">
        <v>1</v>
      </c>
      <c r="I447" s="8">
        <v>45979</v>
      </c>
      <c r="J447" s="9">
        <v>103</v>
      </c>
      <c r="K447" s="9" t="s">
        <v>71</v>
      </c>
      <c r="L447" s="3">
        <v>46083</v>
      </c>
      <c r="M447" s="23">
        <f>YEAR(Таблица1[[#This Row],[Дата отчета]])</f>
        <v>2026</v>
      </c>
      <c r="N447" s="7"/>
      <c r="O447" s="7"/>
      <c r="P447" s="7"/>
      <c r="Q447" s="10"/>
    </row>
    <row r="448" spans="1:17" x14ac:dyDescent="0.25">
      <c r="A448" s="1" t="s">
        <v>12</v>
      </c>
      <c r="B448" s="2" t="s">
        <v>120</v>
      </c>
      <c r="C448" s="2" t="s">
        <v>121</v>
      </c>
      <c r="D448" s="2" t="s">
        <v>122</v>
      </c>
      <c r="E448" s="3" t="s">
        <v>123</v>
      </c>
      <c r="F448" s="18">
        <v>691600</v>
      </c>
      <c r="G448" s="4"/>
      <c r="H448" s="2">
        <v>1</v>
      </c>
      <c r="I448" s="3">
        <v>45782</v>
      </c>
      <c r="J448" s="4">
        <v>300</v>
      </c>
      <c r="K448" s="4" t="s">
        <v>92</v>
      </c>
      <c r="L448" s="3">
        <v>46083</v>
      </c>
      <c r="M448" s="23">
        <f>YEAR(Таблица1[[#This Row],[Дата отчета]])</f>
        <v>2026</v>
      </c>
      <c r="N448" s="2" t="s">
        <v>4541</v>
      </c>
      <c r="O448" s="2"/>
      <c r="P448" s="2"/>
      <c r="Q448" s="5"/>
    </row>
    <row r="449" spans="1:17" x14ac:dyDescent="0.25">
      <c r="A449" s="6" t="s">
        <v>12</v>
      </c>
      <c r="B449" s="7" t="s">
        <v>124</v>
      </c>
      <c r="C449" s="7" t="s">
        <v>125</v>
      </c>
      <c r="D449" s="7" t="s">
        <v>126</v>
      </c>
      <c r="E449" s="8" t="s">
        <v>127</v>
      </c>
      <c r="F449" s="19">
        <v>66000</v>
      </c>
      <c r="G449" s="9"/>
      <c r="H449" s="7">
        <v>1</v>
      </c>
      <c r="I449" s="8">
        <v>46037</v>
      </c>
      <c r="J449" s="9">
        <v>45</v>
      </c>
      <c r="K449" s="9" t="s">
        <v>27</v>
      </c>
      <c r="L449" s="3">
        <v>46083</v>
      </c>
      <c r="M449" s="23">
        <f>YEAR(Таблица1[[#This Row],[Дата отчета]])</f>
        <v>2026</v>
      </c>
      <c r="N449" s="7"/>
      <c r="O449" s="7"/>
      <c r="P449" s="7"/>
      <c r="Q449" s="10"/>
    </row>
    <row r="450" spans="1:17" x14ac:dyDescent="0.25">
      <c r="A450" s="1" t="s">
        <v>12</v>
      </c>
      <c r="B450" s="2" t="s">
        <v>128</v>
      </c>
      <c r="C450" s="2" t="s">
        <v>129</v>
      </c>
      <c r="D450" s="2" t="s">
        <v>130</v>
      </c>
      <c r="E450" s="3" t="s">
        <v>131</v>
      </c>
      <c r="F450" s="18">
        <v>400000</v>
      </c>
      <c r="G450" s="4"/>
      <c r="H450" s="2">
        <v>1</v>
      </c>
      <c r="I450" s="3">
        <v>45931</v>
      </c>
      <c r="J450" s="4">
        <v>151</v>
      </c>
      <c r="K450" s="4" t="s">
        <v>22</v>
      </c>
      <c r="L450" s="3">
        <v>46083</v>
      </c>
      <c r="M450" s="23">
        <f>YEAR(Таблица1[[#This Row],[Дата отчета]])</f>
        <v>2026</v>
      </c>
      <c r="N450" s="2" t="s">
        <v>4544</v>
      </c>
      <c r="O450" s="8">
        <v>45981</v>
      </c>
      <c r="P450" s="2" t="s">
        <v>4546</v>
      </c>
      <c r="Q450" s="5"/>
    </row>
    <row r="451" spans="1:17" x14ac:dyDescent="0.25">
      <c r="A451" s="6" t="s">
        <v>12</v>
      </c>
      <c r="B451" s="7" t="s">
        <v>128</v>
      </c>
      <c r="C451" s="7" t="s">
        <v>132</v>
      </c>
      <c r="D451" s="7" t="s">
        <v>133</v>
      </c>
      <c r="E451" s="8" t="s">
        <v>134</v>
      </c>
      <c r="F451" s="19">
        <v>1600000</v>
      </c>
      <c r="G451" s="9"/>
      <c r="H451" s="7">
        <v>1</v>
      </c>
      <c r="I451" s="8">
        <v>45856</v>
      </c>
      <c r="J451" s="9">
        <v>226</v>
      </c>
      <c r="K451" s="9" t="s">
        <v>67</v>
      </c>
      <c r="L451" s="3">
        <v>46083</v>
      </c>
      <c r="M451" s="23">
        <f>YEAR(Таблица1[[#This Row],[Дата отчета]])</f>
        <v>2026</v>
      </c>
      <c r="N451" s="2" t="s">
        <v>4543</v>
      </c>
      <c r="O451" s="8">
        <v>46068</v>
      </c>
      <c r="P451" s="2" t="s">
        <v>4546</v>
      </c>
      <c r="Q451" s="10"/>
    </row>
    <row r="452" spans="1:17" x14ac:dyDescent="0.25">
      <c r="A452" s="1" t="s">
        <v>12</v>
      </c>
      <c r="B452" s="2" t="s">
        <v>128</v>
      </c>
      <c r="C452" s="2" t="s">
        <v>132</v>
      </c>
      <c r="D452" s="2" t="s">
        <v>135</v>
      </c>
      <c r="E452" s="3" t="s">
        <v>106</v>
      </c>
      <c r="F452" s="18">
        <v>1200000</v>
      </c>
      <c r="G452" s="4"/>
      <c r="H452" s="2">
        <v>1</v>
      </c>
      <c r="I452" s="3">
        <v>46017</v>
      </c>
      <c r="J452" s="4">
        <v>65</v>
      </c>
      <c r="K452" s="4" t="s">
        <v>27</v>
      </c>
      <c r="L452" s="3">
        <v>46083</v>
      </c>
      <c r="M452" s="23">
        <f>YEAR(Таблица1[[#This Row],[Дата отчета]])</f>
        <v>2026</v>
      </c>
      <c r="N452" s="2" t="s">
        <v>4543</v>
      </c>
      <c r="O452" s="8">
        <v>46068</v>
      </c>
      <c r="P452" s="2" t="s">
        <v>4546</v>
      </c>
      <c r="Q452" s="5"/>
    </row>
    <row r="453" spans="1:17" x14ac:dyDescent="0.25">
      <c r="A453" s="6" t="s">
        <v>12</v>
      </c>
      <c r="B453" s="7" t="s">
        <v>128</v>
      </c>
      <c r="C453" s="7" t="s">
        <v>136</v>
      </c>
      <c r="D453" s="7" t="s">
        <v>137</v>
      </c>
      <c r="E453" s="8" t="s">
        <v>131</v>
      </c>
      <c r="F453" s="19">
        <v>400000</v>
      </c>
      <c r="G453" s="9"/>
      <c r="H453" s="7">
        <v>1</v>
      </c>
      <c r="I453" s="8">
        <v>45931</v>
      </c>
      <c r="J453" s="9">
        <v>151</v>
      </c>
      <c r="K453" s="9" t="s">
        <v>22</v>
      </c>
      <c r="L453" s="3">
        <v>46083</v>
      </c>
      <c r="M453" s="23">
        <f>YEAR(Таблица1[[#This Row],[Дата отчета]])</f>
        <v>2026</v>
      </c>
      <c r="N453" s="2" t="s">
        <v>4544</v>
      </c>
      <c r="O453" s="8">
        <v>45981</v>
      </c>
      <c r="P453" s="2" t="s">
        <v>4546</v>
      </c>
      <c r="Q453" s="10"/>
    </row>
    <row r="454" spans="1:17" x14ac:dyDescent="0.25">
      <c r="A454" s="1" t="s">
        <v>12</v>
      </c>
      <c r="B454" s="2" t="s">
        <v>128</v>
      </c>
      <c r="C454" s="2" t="s">
        <v>138</v>
      </c>
      <c r="D454" s="2" t="s">
        <v>139</v>
      </c>
      <c r="E454" s="3" t="s">
        <v>140</v>
      </c>
      <c r="F454" s="18">
        <v>250000</v>
      </c>
      <c r="G454" s="4"/>
      <c r="H454" s="2">
        <v>1</v>
      </c>
      <c r="I454" s="3">
        <v>45917</v>
      </c>
      <c r="J454" s="4">
        <v>165</v>
      </c>
      <c r="K454" s="4" t="s">
        <v>22</v>
      </c>
      <c r="L454" s="3">
        <v>46083</v>
      </c>
      <c r="M454" s="23">
        <f>YEAR(Таблица1[[#This Row],[Дата отчета]])</f>
        <v>2026</v>
      </c>
      <c r="N454" s="2" t="s">
        <v>4544</v>
      </c>
      <c r="O454" s="3">
        <v>45986</v>
      </c>
      <c r="P454" s="2" t="s">
        <v>4546</v>
      </c>
      <c r="Q454" s="5"/>
    </row>
    <row r="455" spans="1:17" x14ac:dyDescent="0.25">
      <c r="A455" s="6" t="s">
        <v>12</v>
      </c>
      <c r="B455" s="7" t="s">
        <v>128</v>
      </c>
      <c r="C455" s="7" t="s">
        <v>141</v>
      </c>
      <c r="D455" s="7" t="s">
        <v>142</v>
      </c>
      <c r="E455" s="8" t="s">
        <v>140</v>
      </c>
      <c r="F455" s="19">
        <v>250000</v>
      </c>
      <c r="G455" s="9"/>
      <c r="H455" s="7">
        <v>1</v>
      </c>
      <c r="I455" s="8">
        <v>45917</v>
      </c>
      <c r="J455" s="9">
        <v>165</v>
      </c>
      <c r="K455" s="9" t="s">
        <v>22</v>
      </c>
      <c r="L455" s="3">
        <v>46083</v>
      </c>
      <c r="M455" s="23">
        <f>YEAR(Таблица1[[#This Row],[Дата отчета]])</f>
        <v>2026</v>
      </c>
      <c r="N455" s="2" t="s">
        <v>4544</v>
      </c>
      <c r="O455" s="8">
        <v>45986</v>
      </c>
      <c r="P455" s="2" t="s">
        <v>4546</v>
      </c>
      <c r="Q455" s="10"/>
    </row>
    <row r="456" spans="1:17" x14ac:dyDescent="0.25">
      <c r="A456" s="1" t="s">
        <v>12</v>
      </c>
      <c r="B456" s="2" t="s">
        <v>143</v>
      </c>
      <c r="C456" s="2" t="s">
        <v>144</v>
      </c>
      <c r="D456" s="2" t="s">
        <v>145</v>
      </c>
      <c r="E456" s="3" t="s">
        <v>146</v>
      </c>
      <c r="F456" s="18">
        <v>7000</v>
      </c>
      <c r="G456" s="4"/>
      <c r="H456" s="2">
        <v>1</v>
      </c>
      <c r="I456" s="3">
        <v>45838</v>
      </c>
      <c r="J456" s="4">
        <v>244</v>
      </c>
      <c r="K456" s="4" t="s">
        <v>67</v>
      </c>
      <c r="L456" s="3">
        <v>46083</v>
      </c>
      <c r="M456" s="23">
        <f>YEAR(Таблица1[[#This Row],[Дата отчета]])</f>
        <v>2026</v>
      </c>
      <c r="N456" s="2" t="s">
        <v>807</v>
      </c>
      <c r="O456" s="2"/>
      <c r="P456" s="2"/>
      <c r="Q456" s="5"/>
    </row>
    <row r="457" spans="1:17" x14ac:dyDescent="0.25">
      <c r="A457" s="6" t="s">
        <v>12</v>
      </c>
      <c r="B457" s="7" t="s">
        <v>147</v>
      </c>
      <c r="C457" s="7" t="s">
        <v>148</v>
      </c>
      <c r="D457" s="7" t="s">
        <v>149</v>
      </c>
      <c r="E457" s="8" t="s">
        <v>37</v>
      </c>
      <c r="F457" s="19">
        <v>25000</v>
      </c>
      <c r="G457" s="9"/>
      <c r="H457" s="7">
        <v>1</v>
      </c>
      <c r="I457" s="8">
        <v>46066</v>
      </c>
      <c r="J457" s="9">
        <v>16</v>
      </c>
      <c r="K457" s="9" t="s">
        <v>38</v>
      </c>
      <c r="L457" s="3">
        <v>46083</v>
      </c>
      <c r="M457" s="23">
        <f>YEAR(Таблица1[[#This Row],[Дата отчета]])</f>
        <v>2026</v>
      </c>
      <c r="N457" s="7"/>
      <c r="O457" s="7"/>
      <c r="P457" s="7"/>
      <c r="Q457" s="10"/>
    </row>
    <row r="458" spans="1:17" x14ac:dyDescent="0.25">
      <c r="A458" s="1" t="s">
        <v>12</v>
      </c>
      <c r="B458" s="2" t="s">
        <v>150</v>
      </c>
      <c r="C458" s="2" t="s">
        <v>151</v>
      </c>
      <c r="D458" s="2" t="s">
        <v>152</v>
      </c>
      <c r="E458" s="3" t="s">
        <v>153</v>
      </c>
      <c r="F458" s="18">
        <v>1200041.6399999999</v>
      </c>
      <c r="G458" s="4"/>
      <c r="H458" s="2">
        <v>1</v>
      </c>
      <c r="I458" s="3">
        <v>46072</v>
      </c>
      <c r="J458" s="4">
        <v>10</v>
      </c>
      <c r="K458" s="4" t="s">
        <v>38</v>
      </c>
      <c r="L458" s="3">
        <v>46083</v>
      </c>
      <c r="M458" s="23">
        <f>YEAR(Таблица1[[#This Row],[Дата отчета]])</f>
        <v>2026</v>
      </c>
      <c r="N458" s="2"/>
      <c r="O458" s="2"/>
      <c r="P458" s="2"/>
      <c r="Q458" s="5"/>
    </row>
    <row r="459" spans="1:17" x14ac:dyDescent="0.25">
      <c r="A459" s="6" t="s">
        <v>12</v>
      </c>
      <c r="B459" s="7" t="s">
        <v>150</v>
      </c>
      <c r="C459" s="7" t="s">
        <v>154</v>
      </c>
      <c r="D459" s="7" t="s">
        <v>155</v>
      </c>
      <c r="E459" s="8" t="s">
        <v>156</v>
      </c>
      <c r="F459" s="19">
        <v>0.01</v>
      </c>
      <c r="G459" s="9"/>
      <c r="H459" s="7">
        <v>1</v>
      </c>
      <c r="I459" s="8">
        <v>46051</v>
      </c>
      <c r="J459" s="9">
        <v>31</v>
      </c>
      <c r="K459" s="9" t="s">
        <v>27</v>
      </c>
      <c r="L459" s="3">
        <v>46083</v>
      </c>
      <c r="M459" s="23">
        <f>YEAR(Таблица1[[#This Row],[Дата отчета]])</f>
        <v>2026</v>
      </c>
      <c r="N459" s="7"/>
      <c r="O459" s="7"/>
      <c r="P459" s="7"/>
      <c r="Q459" s="10"/>
    </row>
    <row r="460" spans="1:17" x14ac:dyDescent="0.25">
      <c r="A460" s="1" t="s">
        <v>12</v>
      </c>
      <c r="B460" s="2" t="s">
        <v>150</v>
      </c>
      <c r="C460" s="2" t="s">
        <v>154</v>
      </c>
      <c r="D460" s="2" t="s">
        <v>157</v>
      </c>
      <c r="E460" s="3" t="s">
        <v>37</v>
      </c>
      <c r="F460" s="18">
        <v>305626.94</v>
      </c>
      <c r="G460" s="4"/>
      <c r="H460" s="2">
        <v>1</v>
      </c>
      <c r="I460" s="3">
        <v>46066</v>
      </c>
      <c r="J460" s="4">
        <v>16</v>
      </c>
      <c r="K460" s="4" t="s">
        <v>38</v>
      </c>
      <c r="L460" s="3">
        <v>46083</v>
      </c>
      <c r="M460" s="23">
        <f>YEAR(Таблица1[[#This Row],[Дата отчета]])</f>
        <v>2026</v>
      </c>
      <c r="N460" s="2"/>
      <c r="O460" s="2"/>
      <c r="P460" s="2"/>
      <c r="Q460" s="5"/>
    </row>
    <row r="461" spans="1:17" x14ac:dyDescent="0.25">
      <c r="A461" s="6" t="s">
        <v>12</v>
      </c>
      <c r="B461" s="7" t="s">
        <v>158</v>
      </c>
      <c r="C461" s="7" t="s">
        <v>159</v>
      </c>
      <c r="D461" s="7" t="s">
        <v>160</v>
      </c>
      <c r="E461" s="8" t="s">
        <v>161</v>
      </c>
      <c r="F461" s="19">
        <v>52154.400000000001</v>
      </c>
      <c r="G461" s="9"/>
      <c r="H461" s="7">
        <v>1</v>
      </c>
      <c r="I461" s="8">
        <v>45890</v>
      </c>
      <c r="J461" s="9">
        <v>192</v>
      </c>
      <c r="K461" s="9" t="s">
        <v>67</v>
      </c>
      <c r="L461" s="3">
        <v>46083</v>
      </c>
      <c r="M461" s="23">
        <f>YEAR(Таблица1[[#This Row],[Дата отчета]])</f>
        <v>2026</v>
      </c>
      <c r="N461" s="7"/>
      <c r="O461" s="7"/>
      <c r="P461" s="7"/>
      <c r="Q461" s="10"/>
    </row>
    <row r="462" spans="1:17" x14ac:dyDescent="0.25">
      <c r="A462" s="1" t="s">
        <v>12</v>
      </c>
      <c r="B462" s="2" t="s">
        <v>162</v>
      </c>
      <c r="C462" s="2" t="s">
        <v>163</v>
      </c>
      <c r="D462" s="2" t="s">
        <v>164</v>
      </c>
      <c r="E462" s="3" t="s">
        <v>165</v>
      </c>
      <c r="F462" s="18">
        <v>12000</v>
      </c>
      <c r="G462" s="4"/>
      <c r="H462" s="2">
        <v>1</v>
      </c>
      <c r="I462" s="3">
        <v>46073</v>
      </c>
      <c r="J462" s="4">
        <v>9</v>
      </c>
      <c r="K462" s="4" t="s">
        <v>38</v>
      </c>
      <c r="L462" s="3">
        <v>46083</v>
      </c>
      <c r="M462" s="23">
        <f>YEAR(Таблица1[[#This Row],[Дата отчета]])</f>
        <v>2026</v>
      </c>
      <c r="N462" s="2"/>
      <c r="O462" s="2"/>
      <c r="P462" s="2"/>
      <c r="Q462" s="5"/>
    </row>
    <row r="463" spans="1:17" x14ac:dyDescent="0.25">
      <c r="A463" s="6" t="s">
        <v>12</v>
      </c>
      <c r="B463" s="7" t="s">
        <v>166</v>
      </c>
      <c r="C463" s="7" t="s">
        <v>167</v>
      </c>
      <c r="D463" s="7" t="s">
        <v>168</v>
      </c>
      <c r="E463" s="8" t="s">
        <v>169</v>
      </c>
      <c r="F463" s="19">
        <v>2405000</v>
      </c>
      <c r="G463" s="9"/>
      <c r="H463" s="7">
        <v>1</v>
      </c>
      <c r="I463" s="8">
        <v>46050</v>
      </c>
      <c r="J463" s="9">
        <v>32</v>
      </c>
      <c r="K463" s="9" t="s">
        <v>27</v>
      </c>
      <c r="L463" s="3">
        <v>46083</v>
      </c>
      <c r="M463" s="23">
        <f>YEAR(Таблица1[[#This Row],[Дата отчета]])</f>
        <v>2026</v>
      </c>
      <c r="N463" s="7"/>
      <c r="O463" s="7"/>
      <c r="P463" s="7"/>
      <c r="Q463" s="10"/>
    </row>
    <row r="464" spans="1:17" x14ac:dyDescent="0.25">
      <c r="A464" s="1" t="s">
        <v>12</v>
      </c>
      <c r="B464" s="2" t="s">
        <v>166</v>
      </c>
      <c r="C464" s="2" t="s">
        <v>170</v>
      </c>
      <c r="D464" s="2" t="s">
        <v>171</v>
      </c>
      <c r="E464" s="3" t="s">
        <v>169</v>
      </c>
      <c r="F464" s="18">
        <v>1150000</v>
      </c>
      <c r="G464" s="4"/>
      <c r="H464" s="2">
        <v>1</v>
      </c>
      <c r="I464" s="3">
        <v>46050</v>
      </c>
      <c r="J464" s="4">
        <v>32</v>
      </c>
      <c r="K464" s="4" t="s">
        <v>27</v>
      </c>
      <c r="L464" s="3">
        <v>46083</v>
      </c>
      <c r="M464" s="23">
        <f>YEAR(Таблица1[[#This Row],[Дата отчета]])</f>
        <v>2026</v>
      </c>
      <c r="N464" s="2"/>
      <c r="O464" s="2"/>
      <c r="P464" s="2"/>
      <c r="Q464" s="5"/>
    </row>
    <row r="465" spans="1:17" x14ac:dyDescent="0.25">
      <c r="A465" s="6" t="s">
        <v>12</v>
      </c>
      <c r="B465" s="7" t="s">
        <v>172</v>
      </c>
      <c r="C465" s="7" t="s">
        <v>173</v>
      </c>
      <c r="D465" s="7" t="s">
        <v>174</v>
      </c>
      <c r="E465" s="8" t="s">
        <v>175</v>
      </c>
      <c r="F465" s="19">
        <v>12630</v>
      </c>
      <c r="G465" s="9"/>
      <c r="H465" s="7">
        <v>1</v>
      </c>
      <c r="I465" s="8">
        <v>45399</v>
      </c>
      <c r="J465" s="9">
        <v>683</v>
      </c>
      <c r="K465" s="9" t="s">
        <v>17</v>
      </c>
      <c r="L465" s="3">
        <v>46083</v>
      </c>
      <c r="M465" s="23">
        <f>YEAR(Таблица1[[#This Row],[Дата отчета]])</f>
        <v>2026</v>
      </c>
      <c r="N465" s="7" t="s">
        <v>4547</v>
      </c>
      <c r="O465" s="7"/>
      <c r="P465" s="7"/>
      <c r="Q465" s="10"/>
    </row>
    <row r="466" spans="1:17" x14ac:dyDescent="0.25">
      <c r="A466" s="1" t="s">
        <v>12</v>
      </c>
      <c r="B466" s="2" t="s">
        <v>176</v>
      </c>
      <c r="C466" s="2" t="s">
        <v>177</v>
      </c>
      <c r="D466" s="2" t="s">
        <v>178</v>
      </c>
      <c r="E466" s="3" t="s">
        <v>179</v>
      </c>
      <c r="F466" s="18">
        <v>92350</v>
      </c>
      <c r="G466" s="4"/>
      <c r="H466" s="2">
        <v>1</v>
      </c>
      <c r="I466" s="3">
        <v>45987</v>
      </c>
      <c r="J466" s="4">
        <v>95</v>
      </c>
      <c r="K466" s="4" t="s">
        <v>71</v>
      </c>
      <c r="L466" s="3">
        <v>46083</v>
      </c>
      <c r="M466" s="23">
        <f>YEAR(Таблица1[[#This Row],[Дата отчета]])</f>
        <v>2026</v>
      </c>
      <c r="N466" s="2"/>
      <c r="O466" s="2"/>
      <c r="P466" s="2"/>
      <c r="Q466" s="5"/>
    </row>
    <row r="467" spans="1:17" x14ac:dyDescent="0.25">
      <c r="A467" s="6" t="s">
        <v>12</v>
      </c>
      <c r="B467" s="7" t="s">
        <v>180</v>
      </c>
      <c r="C467" s="7" t="s">
        <v>181</v>
      </c>
      <c r="D467" s="7" t="s">
        <v>182</v>
      </c>
      <c r="E467" s="8" t="s">
        <v>183</v>
      </c>
      <c r="F467" s="19">
        <v>14178</v>
      </c>
      <c r="G467" s="9"/>
      <c r="H467" s="7">
        <v>1</v>
      </c>
      <c r="I467" s="8">
        <v>45817</v>
      </c>
      <c r="J467" s="9">
        <v>265</v>
      </c>
      <c r="K467" s="9" t="s">
        <v>67</v>
      </c>
      <c r="L467" s="3">
        <v>46083</v>
      </c>
      <c r="M467" s="23">
        <f>YEAR(Таблица1[[#This Row],[Дата отчета]])</f>
        <v>2026</v>
      </c>
      <c r="N467" s="7" t="s">
        <v>4538</v>
      </c>
      <c r="O467" s="7"/>
      <c r="P467" s="7"/>
      <c r="Q467" s="10"/>
    </row>
    <row r="468" spans="1:17" x14ac:dyDescent="0.25">
      <c r="A468" s="1" t="s">
        <v>12</v>
      </c>
      <c r="B468" s="2" t="s">
        <v>180</v>
      </c>
      <c r="C468" s="2" t="s">
        <v>184</v>
      </c>
      <c r="D468" s="2" t="s">
        <v>185</v>
      </c>
      <c r="E468" s="3" t="s">
        <v>48</v>
      </c>
      <c r="F468" s="18">
        <v>405463</v>
      </c>
      <c r="G468" s="4"/>
      <c r="H468" s="2">
        <v>1</v>
      </c>
      <c r="I468" s="3">
        <v>46078</v>
      </c>
      <c r="J468" s="4">
        <v>4</v>
      </c>
      <c r="K468" s="4" t="s">
        <v>38</v>
      </c>
      <c r="L468" s="3">
        <v>46083</v>
      </c>
      <c r="M468" s="23">
        <f>YEAR(Таблица1[[#This Row],[Дата отчета]])</f>
        <v>2026</v>
      </c>
      <c r="N468" s="2"/>
      <c r="O468" s="2"/>
      <c r="P468" s="2"/>
      <c r="Q468" s="5"/>
    </row>
    <row r="469" spans="1:17" x14ac:dyDescent="0.25">
      <c r="A469" s="6" t="s">
        <v>12</v>
      </c>
      <c r="B469" s="7" t="s">
        <v>186</v>
      </c>
      <c r="C469" s="7" t="s">
        <v>187</v>
      </c>
      <c r="D469" s="7" t="s">
        <v>188</v>
      </c>
      <c r="E469" s="8" t="s">
        <v>189</v>
      </c>
      <c r="F469" s="19">
        <v>6600</v>
      </c>
      <c r="G469" s="9"/>
      <c r="H469" s="7">
        <v>1</v>
      </c>
      <c r="I469" s="8">
        <v>45471</v>
      </c>
      <c r="J469" s="9">
        <v>611</v>
      </c>
      <c r="K469" s="9" t="s">
        <v>17</v>
      </c>
      <c r="L469" s="3">
        <v>46083</v>
      </c>
      <c r="M469" s="23">
        <f>YEAR(Таблица1[[#This Row],[Дата отчета]])</f>
        <v>2026</v>
      </c>
      <c r="N469" s="7"/>
      <c r="O469" s="7"/>
      <c r="P469" s="7"/>
      <c r="Q469" s="10"/>
    </row>
    <row r="470" spans="1:17" x14ac:dyDescent="0.25">
      <c r="A470" s="1" t="s">
        <v>12</v>
      </c>
      <c r="B470" s="2" t="s">
        <v>186</v>
      </c>
      <c r="C470" s="2" t="s">
        <v>190</v>
      </c>
      <c r="D470" s="2" t="s">
        <v>191</v>
      </c>
      <c r="E470" s="3" t="s">
        <v>192</v>
      </c>
      <c r="F470" s="18">
        <v>6600</v>
      </c>
      <c r="G470" s="4"/>
      <c r="H470" s="2">
        <v>1</v>
      </c>
      <c r="I470" s="3">
        <v>45467</v>
      </c>
      <c r="J470" s="4">
        <v>615</v>
      </c>
      <c r="K470" s="4" t="s">
        <v>17</v>
      </c>
      <c r="L470" s="3">
        <v>46083</v>
      </c>
      <c r="M470" s="23">
        <f>YEAR(Таблица1[[#This Row],[Дата отчета]])</f>
        <v>2026</v>
      </c>
      <c r="N470" s="2"/>
      <c r="O470" s="2"/>
      <c r="P470" s="2"/>
      <c r="Q470" s="5"/>
    </row>
    <row r="471" spans="1:17" x14ac:dyDescent="0.25">
      <c r="A471" s="6" t="s">
        <v>12</v>
      </c>
      <c r="B471" s="7" t="s">
        <v>186</v>
      </c>
      <c r="C471" s="7" t="s">
        <v>193</v>
      </c>
      <c r="D471" s="7" t="s">
        <v>194</v>
      </c>
      <c r="E471" s="8" t="s">
        <v>195</v>
      </c>
      <c r="F471" s="19">
        <v>25000</v>
      </c>
      <c r="G471" s="9"/>
      <c r="H471" s="7">
        <v>1</v>
      </c>
      <c r="I471" s="8">
        <v>45916</v>
      </c>
      <c r="J471" s="9">
        <v>166</v>
      </c>
      <c r="K471" s="9" t="s">
        <v>22</v>
      </c>
      <c r="L471" s="3">
        <v>46083</v>
      </c>
      <c r="M471" s="23">
        <f>YEAR(Таблица1[[#This Row],[Дата отчета]])</f>
        <v>2026</v>
      </c>
      <c r="N471" s="7"/>
      <c r="O471" s="7"/>
      <c r="P471" s="7"/>
      <c r="Q471" s="10"/>
    </row>
    <row r="472" spans="1:17" x14ac:dyDescent="0.25">
      <c r="A472" s="1" t="s">
        <v>12</v>
      </c>
      <c r="B472" s="2" t="s">
        <v>186</v>
      </c>
      <c r="C472" s="2" t="s">
        <v>196</v>
      </c>
      <c r="D472" s="2" t="s">
        <v>197</v>
      </c>
      <c r="E472" s="3" t="s">
        <v>198</v>
      </c>
      <c r="F472" s="18">
        <v>6600</v>
      </c>
      <c r="G472" s="4"/>
      <c r="H472" s="2">
        <v>1</v>
      </c>
      <c r="I472" s="3">
        <v>45439</v>
      </c>
      <c r="J472" s="4">
        <v>643</v>
      </c>
      <c r="K472" s="4" t="s">
        <v>17</v>
      </c>
      <c r="L472" s="3">
        <v>46083</v>
      </c>
      <c r="M472" s="23">
        <f>YEAR(Таблица1[[#This Row],[Дата отчета]])</f>
        <v>2026</v>
      </c>
      <c r="N472" s="2"/>
      <c r="O472" s="2"/>
      <c r="P472" s="2"/>
      <c r="Q472" s="5"/>
    </row>
    <row r="473" spans="1:17" x14ac:dyDescent="0.25">
      <c r="A473" s="6" t="s">
        <v>12</v>
      </c>
      <c r="B473" s="7" t="s">
        <v>186</v>
      </c>
      <c r="C473" s="7" t="s">
        <v>199</v>
      </c>
      <c r="D473" s="7" t="s">
        <v>200</v>
      </c>
      <c r="E473" s="8" t="s">
        <v>201</v>
      </c>
      <c r="F473" s="19">
        <v>6600</v>
      </c>
      <c r="G473" s="9"/>
      <c r="H473" s="7">
        <v>1</v>
      </c>
      <c r="I473" s="8">
        <v>45800</v>
      </c>
      <c r="J473" s="9">
        <v>282</v>
      </c>
      <c r="K473" s="9" t="s">
        <v>92</v>
      </c>
      <c r="L473" s="3">
        <v>46083</v>
      </c>
      <c r="M473" s="23">
        <f>YEAR(Таблица1[[#This Row],[Дата отчета]])</f>
        <v>2026</v>
      </c>
      <c r="N473" s="7"/>
      <c r="O473" s="7"/>
      <c r="P473" s="7"/>
      <c r="Q473" s="10"/>
    </row>
    <row r="474" spans="1:17" x14ac:dyDescent="0.25">
      <c r="A474" s="1" t="s">
        <v>12</v>
      </c>
      <c r="B474" s="2" t="s">
        <v>186</v>
      </c>
      <c r="C474" s="2" t="s">
        <v>202</v>
      </c>
      <c r="D474" s="2" t="s">
        <v>203</v>
      </c>
      <c r="E474" s="3" t="s">
        <v>204</v>
      </c>
      <c r="F474" s="18">
        <v>25000</v>
      </c>
      <c r="G474" s="4"/>
      <c r="H474" s="2">
        <v>1</v>
      </c>
      <c r="I474" s="3">
        <v>45481</v>
      </c>
      <c r="J474" s="4">
        <v>601</v>
      </c>
      <c r="K474" s="4" t="s">
        <v>17</v>
      </c>
      <c r="L474" s="3">
        <v>46083</v>
      </c>
      <c r="M474" s="23">
        <f>YEAR(Таблица1[[#This Row],[Дата отчета]])</f>
        <v>2026</v>
      </c>
      <c r="N474" s="2"/>
      <c r="O474" s="2"/>
      <c r="P474" s="2"/>
      <c r="Q474" s="5"/>
    </row>
    <row r="475" spans="1:17" x14ac:dyDescent="0.25">
      <c r="A475" s="6" t="s">
        <v>12</v>
      </c>
      <c r="B475" s="7" t="s">
        <v>186</v>
      </c>
      <c r="C475" s="7" t="s">
        <v>205</v>
      </c>
      <c r="D475" s="7" t="s">
        <v>206</v>
      </c>
      <c r="E475" s="8" t="s">
        <v>207</v>
      </c>
      <c r="F475" s="19">
        <v>25000</v>
      </c>
      <c r="G475" s="9"/>
      <c r="H475" s="7">
        <v>1</v>
      </c>
      <c r="I475" s="8">
        <v>45901</v>
      </c>
      <c r="J475" s="9">
        <v>181</v>
      </c>
      <c r="K475" s="9" t="s">
        <v>67</v>
      </c>
      <c r="L475" s="3">
        <v>46083</v>
      </c>
      <c r="M475" s="23">
        <f>YEAR(Таблица1[[#This Row],[Дата отчета]])</f>
        <v>2026</v>
      </c>
      <c r="N475" s="7"/>
      <c r="O475" s="7"/>
      <c r="P475" s="7"/>
      <c r="Q475" s="10"/>
    </row>
    <row r="476" spans="1:17" x14ac:dyDescent="0.25">
      <c r="A476" s="1" t="s">
        <v>12</v>
      </c>
      <c r="B476" s="2" t="s">
        <v>208</v>
      </c>
      <c r="C476" s="2" t="s">
        <v>209</v>
      </c>
      <c r="D476" s="2" t="s">
        <v>210</v>
      </c>
      <c r="E476" s="3" t="s">
        <v>211</v>
      </c>
      <c r="F476" s="18">
        <v>179328</v>
      </c>
      <c r="G476" s="4"/>
      <c r="H476" s="2">
        <v>1</v>
      </c>
      <c r="I476" s="3">
        <v>46056</v>
      </c>
      <c r="J476" s="4">
        <v>26</v>
      </c>
      <c r="K476" s="4" t="s">
        <v>38</v>
      </c>
      <c r="L476" s="3">
        <v>46083</v>
      </c>
      <c r="M476" s="23">
        <f>YEAR(Таблица1[[#This Row],[Дата отчета]])</f>
        <v>2026</v>
      </c>
      <c r="N476" s="2"/>
      <c r="O476" s="2"/>
      <c r="P476" s="2"/>
      <c r="Q476" s="5"/>
    </row>
    <row r="477" spans="1:17" x14ac:dyDescent="0.25">
      <c r="A477" s="6" t="s">
        <v>12</v>
      </c>
      <c r="B477" s="7" t="s">
        <v>212</v>
      </c>
      <c r="C477" s="7" t="s">
        <v>213</v>
      </c>
      <c r="D477" s="7" t="s">
        <v>214</v>
      </c>
      <c r="E477" s="8" t="s">
        <v>215</v>
      </c>
      <c r="F477" s="19">
        <v>1750000</v>
      </c>
      <c r="G477" s="9"/>
      <c r="H477" s="7">
        <v>1</v>
      </c>
      <c r="I477" s="8">
        <v>45929</v>
      </c>
      <c r="J477" s="9">
        <v>153</v>
      </c>
      <c r="K477" s="9" t="s">
        <v>22</v>
      </c>
      <c r="L477" s="3">
        <v>46083</v>
      </c>
      <c r="M477" s="23">
        <f>YEAR(Таблица1[[#This Row],[Дата отчета]])</f>
        <v>2026</v>
      </c>
      <c r="N477" s="7"/>
      <c r="O477" s="7"/>
      <c r="P477" s="7"/>
      <c r="Q477" s="10"/>
    </row>
    <row r="478" spans="1:17" x14ac:dyDescent="0.25">
      <c r="A478" s="1" t="s">
        <v>12</v>
      </c>
      <c r="B478" s="2" t="s">
        <v>212</v>
      </c>
      <c r="C478" s="2" t="s">
        <v>216</v>
      </c>
      <c r="D478" s="2" t="s">
        <v>217</v>
      </c>
      <c r="E478" s="3" t="s">
        <v>218</v>
      </c>
      <c r="F478" s="18">
        <v>1750000</v>
      </c>
      <c r="G478" s="4"/>
      <c r="H478" s="2">
        <v>1</v>
      </c>
      <c r="I478" s="3">
        <v>45947</v>
      </c>
      <c r="J478" s="4">
        <v>135</v>
      </c>
      <c r="K478" s="4" t="s">
        <v>22</v>
      </c>
      <c r="L478" s="3">
        <v>46083</v>
      </c>
      <c r="M478" s="23">
        <f>YEAR(Таблица1[[#This Row],[Дата отчета]])</f>
        <v>2026</v>
      </c>
      <c r="N478" s="2"/>
      <c r="O478" s="2"/>
      <c r="P478" s="2"/>
      <c r="Q478" s="5"/>
    </row>
    <row r="479" spans="1:17" x14ac:dyDescent="0.25">
      <c r="A479" s="6" t="s">
        <v>12</v>
      </c>
      <c r="B479" s="7" t="s">
        <v>212</v>
      </c>
      <c r="C479" s="7" t="s">
        <v>219</v>
      </c>
      <c r="D479" s="7" t="s">
        <v>220</v>
      </c>
      <c r="E479" s="8" t="s">
        <v>215</v>
      </c>
      <c r="F479" s="19">
        <v>1750000</v>
      </c>
      <c r="G479" s="9"/>
      <c r="H479" s="7">
        <v>1</v>
      </c>
      <c r="I479" s="8">
        <v>45929</v>
      </c>
      <c r="J479" s="9">
        <v>153</v>
      </c>
      <c r="K479" s="9" t="s">
        <v>22</v>
      </c>
      <c r="L479" s="3">
        <v>46083</v>
      </c>
      <c r="M479" s="23">
        <f>YEAR(Таблица1[[#This Row],[Дата отчета]])</f>
        <v>2026</v>
      </c>
      <c r="N479" s="7"/>
      <c r="O479" s="7"/>
      <c r="P479" s="7"/>
      <c r="Q479" s="10"/>
    </row>
    <row r="480" spans="1:17" x14ac:dyDescent="0.25">
      <c r="A480" s="1" t="s">
        <v>12</v>
      </c>
      <c r="B480" s="2" t="s">
        <v>212</v>
      </c>
      <c r="C480" s="2" t="s">
        <v>221</v>
      </c>
      <c r="D480" s="2" t="s">
        <v>222</v>
      </c>
      <c r="E480" s="3" t="s">
        <v>218</v>
      </c>
      <c r="F480" s="18">
        <v>1750000</v>
      </c>
      <c r="G480" s="4"/>
      <c r="H480" s="2">
        <v>1</v>
      </c>
      <c r="I480" s="3">
        <v>45947</v>
      </c>
      <c r="J480" s="4">
        <v>135</v>
      </c>
      <c r="K480" s="4" t="s">
        <v>22</v>
      </c>
      <c r="L480" s="3">
        <v>46083</v>
      </c>
      <c r="M480" s="23">
        <f>YEAR(Таблица1[[#This Row],[Дата отчета]])</f>
        <v>2026</v>
      </c>
      <c r="N480" s="2"/>
      <c r="O480" s="2"/>
      <c r="P480" s="2"/>
      <c r="Q480" s="5"/>
    </row>
    <row r="481" spans="1:17" x14ac:dyDescent="0.25">
      <c r="A481" s="6" t="s">
        <v>12</v>
      </c>
      <c r="B481" s="7" t="s">
        <v>212</v>
      </c>
      <c r="C481" s="7" t="s">
        <v>223</v>
      </c>
      <c r="D481" s="7" t="s">
        <v>224</v>
      </c>
      <c r="E481" s="8" t="s">
        <v>215</v>
      </c>
      <c r="F481" s="19">
        <v>1750000</v>
      </c>
      <c r="G481" s="9"/>
      <c r="H481" s="7">
        <v>1</v>
      </c>
      <c r="I481" s="8">
        <v>45929</v>
      </c>
      <c r="J481" s="9">
        <v>153</v>
      </c>
      <c r="K481" s="9" t="s">
        <v>22</v>
      </c>
      <c r="L481" s="3">
        <v>46083</v>
      </c>
      <c r="M481" s="23">
        <f>YEAR(Таблица1[[#This Row],[Дата отчета]])</f>
        <v>2026</v>
      </c>
      <c r="N481" s="7"/>
      <c r="O481" s="7"/>
      <c r="P481" s="7"/>
      <c r="Q481" s="10"/>
    </row>
    <row r="482" spans="1:17" x14ac:dyDescent="0.25">
      <c r="A482" s="1" t="s">
        <v>12</v>
      </c>
      <c r="B482" s="2" t="s">
        <v>225</v>
      </c>
      <c r="C482" s="2" t="s">
        <v>226</v>
      </c>
      <c r="D482" s="2" t="s">
        <v>227</v>
      </c>
      <c r="E482" s="3" t="s">
        <v>37</v>
      </c>
      <c r="F482" s="18">
        <v>17831.84</v>
      </c>
      <c r="G482" s="4"/>
      <c r="H482" s="2">
        <v>1</v>
      </c>
      <c r="I482" s="3">
        <v>46066</v>
      </c>
      <c r="J482" s="4">
        <v>16</v>
      </c>
      <c r="K482" s="4" t="s">
        <v>38</v>
      </c>
      <c r="L482" s="3">
        <v>46083</v>
      </c>
      <c r="M482" s="23">
        <f>YEAR(Таблица1[[#This Row],[Дата отчета]])</f>
        <v>2026</v>
      </c>
      <c r="N482" s="2"/>
      <c r="O482" s="2"/>
      <c r="P482" s="2"/>
      <c r="Q482" s="5"/>
    </row>
    <row r="483" spans="1:17" x14ac:dyDescent="0.25">
      <c r="A483" s="6" t="s">
        <v>12</v>
      </c>
      <c r="B483" s="7" t="s">
        <v>228</v>
      </c>
      <c r="C483" s="7" t="s">
        <v>229</v>
      </c>
      <c r="D483" s="7" t="s">
        <v>230</v>
      </c>
      <c r="E483" s="8" t="s">
        <v>231</v>
      </c>
      <c r="F483" s="19">
        <v>2053117.29</v>
      </c>
      <c r="G483" s="9"/>
      <c r="H483" s="7">
        <v>1</v>
      </c>
      <c r="I483" s="8">
        <v>45992</v>
      </c>
      <c r="J483" s="9">
        <v>90</v>
      </c>
      <c r="K483" s="9" t="s">
        <v>27</v>
      </c>
      <c r="L483" s="3">
        <v>46083</v>
      </c>
      <c r="M483" s="23">
        <f>YEAR(Таблица1[[#This Row],[Дата отчета]])</f>
        <v>2026</v>
      </c>
      <c r="N483" s="7"/>
      <c r="O483" s="7"/>
      <c r="P483" s="7"/>
      <c r="Q483" s="10"/>
    </row>
    <row r="484" spans="1:17" x14ac:dyDescent="0.25">
      <c r="A484" s="1" t="s">
        <v>12</v>
      </c>
      <c r="B484" s="2" t="s">
        <v>228</v>
      </c>
      <c r="C484" s="2" t="s">
        <v>229</v>
      </c>
      <c r="D484" s="2" t="s">
        <v>232</v>
      </c>
      <c r="E484" s="3" t="s">
        <v>61</v>
      </c>
      <c r="F484" s="18">
        <v>1460604.1</v>
      </c>
      <c r="G484" s="4"/>
      <c r="H484" s="2">
        <v>1</v>
      </c>
      <c r="I484" s="3">
        <v>46079</v>
      </c>
      <c r="J484" s="4">
        <v>3</v>
      </c>
      <c r="K484" s="4" t="s">
        <v>38</v>
      </c>
      <c r="L484" s="3">
        <v>46083</v>
      </c>
      <c r="M484" s="23">
        <f>YEAR(Таблица1[[#This Row],[Дата отчета]])</f>
        <v>2026</v>
      </c>
      <c r="N484" s="7" t="s">
        <v>4545</v>
      </c>
      <c r="O484" s="7" t="s">
        <v>4549</v>
      </c>
      <c r="P484" s="2"/>
      <c r="Q484" s="5"/>
    </row>
    <row r="485" spans="1:17" x14ac:dyDescent="0.25">
      <c r="A485" s="6" t="s">
        <v>12</v>
      </c>
      <c r="B485" s="7" t="s">
        <v>228</v>
      </c>
      <c r="C485" s="7" t="s">
        <v>233</v>
      </c>
      <c r="D485" s="7" t="s">
        <v>234</v>
      </c>
      <c r="E485" s="8" t="s">
        <v>231</v>
      </c>
      <c r="F485" s="19">
        <v>1211264.99</v>
      </c>
      <c r="G485" s="9"/>
      <c r="H485" s="7">
        <v>1</v>
      </c>
      <c r="I485" s="8">
        <v>45992</v>
      </c>
      <c r="J485" s="9">
        <v>90</v>
      </c>
      <c r="K485" s="9" t="s">
        <v>27</v>
      </c>
      <c r="L485" s="3">
        <v>46083</v>
      </c>
      <c r="M485" s="23">
        <f>YEAR(Таблица1[[#This Row],[Дата отчета]])</f>
        <v>2026</v>
      </c>
      <c r="N485" s="7"/>
      <c r="O485" s="7"/>
      <c r="P485" s="7"/>
      <c r="Q485" s="10"/>
    </row>
    <row r="486" spans="1:17" x14ac:dyDescent="0.25">
      <c r="A486" s="1" t="s">
        <v>12</v>
      </c>
      <c r="B486" s="2" t="s">
        <v>228</v>
      </c>
      <c r="C486" s="2" t="s">
        <v>233</v>
      </c>
      <c r="D486" s="2" t="s">
        <v>235</v>
      </c>
      <c r="E486" s="3" t="s">
        <v>61</v>
      </c>
      <c r="F486" s="18">
        <v>1251640.57</v>
      </c>
      <c r="G486" s="4"/>
      <c r="H486" s="2">
        <v>1</v>
      </c>
      <c r="I486" s="3">
        <v>46079</v>
      </c>
      <c r="J486" s="4">
        <v>3</v>
      </c>
      <c r="K486" s="4" t="s">
        <v>38</v>
      </c>
      <c r="L486" s="3">
        <v>46083</v>
      </c>
      <c r="M486" s="23">
        <f>YEAR(Таблица1[[#This Row],[Дата отчета]])</f>
        <v>2026</v>
      </c>
      <c r="N486" s="2"/>
      <c r="O486" s="2"/>
      <c r="P486" s="2"/>
      <c r="Q486" s="5"/>
    </row>
    <row r="487" spans="1:17" x14ac:dyDescent="0.25">
      <c r="A487" s="6" t="s">
        <v>12</v>
      </c>
      <c r="B487" s="7" t="s">
        <v>228</v>
      </c>
      <c r="C487" s="7" t="s">
        <v>236</v>
      </c>
      <c r="D487" s="7" t="s">
        <v>237</v>
      </c>
      <c r="E487" s="8" t="s">
        <v>231</v>
      </c>
      <c r="F487" s="19">
        <v>512327.6</v>
      </c>
      <c r="G487" s="9"/>
      <c r="H487" s="7">
        <v>1</v>
      </c>
      <c r="I487" s="8">
        <v>45992</v>
      </c>
      <c r="J487" s="9">
        <v>90</v>
      </c>
      <c r="K487" s="9" t="s">
        <v>27</v>
      </c>
      <c r="L487" s="3">
        <v>46083</v>
      </c>
      <c r="M487" s="23">
        <f>YEAR(Таблица1[[#This Row],[Дата отчета]])</f>
        <v>2026</v>
      </c>
      <c r="N487" s="7"/>
      <c r="O487" s="7"/>
      <c r="P487" s="7"/>
      <c r="Q487" s="10"/>
    </row>
    <row r="488" spans="1:17" x14ac:dyDescent="0.25">
      <c r="A488" s="1" t="s">
        <v>12</v>
      </c>
      <c r="B488" s="2" t="s">
        <v>228</v>
      </c>
      <c r="C488" s="2" t="s">
        <v>236</v>
      </c>
      <c r="D488" s="2" t="s">
        <v>238</v>
      </c>
      <c r="E488" s="3" t="s">
        <v>239</v>
      </c>
      <c r="F488" s="18">
        <v>12000</v>
      </c>
      <c r="G488" s="4"/>
      <c r="H488" s="2">
        <v>1</v>
      </c>
      <c r="I488" s="3">
        <v>45996</v>
      </c>
      <c r="J488" s="4">
        <v>86</v>
      </c>
      <c r="K488" s="4" t="s">
        <v>27</v>
      </c>
      <c r="L488" s="3">
        <v>46083</v>
      </c>
      <c r="M488" s="23">
        <f>YEAR(Таблица1[[#This Row],[Дата отчета]])</f>
        <v>2026</v>
      </c>
      <c r="N488" s="2"/>
      <c r="O488" s="2"/>
      <c r="P488" s="2"/>
      <c r="Q488" s="5"/>
    </row>
    <row r="489" spans="1:17" x14ac:dyDescent="0.25">
      <c r="A489" s="6" t="s">
        <v>12</v>
      </c>
      <c r="B489" s="7" t="s">
        <v>228</v>
      </c>
      <c r="C489" s="7" t="s">
        <v>236</v>
      </c>
      <c r="D489" s="7" t="s">
        <v>240</v>
      </c>
      <c r="E489" s="8" t="s">
        <v>48</v>
      </c>
      <c r="F489" s="19">
        <v>541805.18000000005</v>
      </c>
      <c r="G489" s="9"/>
      <c r="H489" s="7">
        <v>1</v>
      </c>
      <c r="I489" s="8">
        <v>46078</v>
      </c>
      <c r="J489" s="9">
        <v>4</v>
      </c>
      <c r="K489" s="9" t="s">
        <v>38</v>
      </c>
      <c r="L489" s="3">
        <v>46083</v>
      </c>
      <c r="M489" s="23">
        <f>YEAR(Таблица1[[#This Row],[Дата отчета]])</f>
        <v>2026</v>
      </c>
      <c r="N489" s="7"/>
      <c r="O489" s="7"/>
      <c r="P489" s="7"/>
      <c r="Q489" s="10"/>
    </row>
    <row r="490" spans="1:17" x14ac:dyDescent="0.25">
      <c r="A490" s="1" t="s">
        <v>12</v>
      </c>
      <c r="B490" s="2" t="s">
        <v>228</v>
      </c>
      <c r="C490" s="2" t="s">
        <v>241</v>
      </c>
      <c r="D490" s="2" t="s">
        <v>242</v>
      </c>
      <c r="E490" s="3" t="s">
        <v>231</v>
      </c>
      <c r="F490" s="18">
        <v>438338.63</v>
      </c>
      <c r="G490" s="4"/>
      <c r="H490" s="2">
        <v>1</v>
      </c>
      <c r="I490" s="3">
        <v>45992</v>
      </c>
      <c r="J490" s="4">
        <v>90</v>
      </c>
      <c r="K490" s="4" t="s">
        <v>27</v>
      </c>
      <c r="L490" s="3">
        <v>46083</v>
      </c>
      <c r="M490" s="23">
        <f>YEAR(Таблица1[[#This Row],[Дата отчета]])</f>
        <v>2026</v>
      </c>
      <c r="N490" s="2"/>
      <c r="O490" s="2"/>
      <c r="P490" s="2"/>
      <c r="Q490" s="5"/>
    </row>
    <row r="491" spans="1:17" x14ac:dyDescent="0.25">
      <c r="A491" s="6" t="s">
        <v>12</v>
      </c>
      <c r="B491" s="7" t="s">
        <v>228</v>
      </c>
      <c r="C491" s="7" t="s">
        <v>241</v>
      </c>
      <c r="D491" s="7" t="s">
        <v>243</v>
      </c>
      <c r="E491" s="8" t="s">
        <v>61</v>
      </c>
      <c r="F491" s="19">
        <v>452949.89</v>
      </c>
      <c r="G491" s="9"/>
      <c r="H491" s="7">
        <v>1</v>
      </c>
      <c r="I491" s="8">
        <v>46079</v>
      </c>
      <c r="J491" s="9">
        <v>3</v>
      </c>
      <c r="K491" s="9" t="s">
        <v>38</v>
      </c>
      <c r="L491" s="3">
        <v>46083</v>
      </c>
      <c r="M491" s="23">
        <f>YEAR(Таблица1[[#This Row],[Дата отчета]])</f>
        <v>2026</v>
      </c>
      <c r="N491" s="7"/>
      <c r="O491" s="7"/>
      <c r="P491" s="7"/>
      <c r="Q491" s="10"/>
    </row>
    <row r="492" spans="1:17" x14ac:dyDescent="0.25">
      <c r="A492" s="1" t="s">
        <v>12</v>
      </c>
      <c r="B492" s="2" t="s">
        <v>244</v>
      </c>
      <c r="C492" s="2" t="s">
        <v>245</v>
      </c>
      <c r="D492" s="2" t="s">
        <v>246</v>
      </c>
      <c r="E492" s="3" t="s">
        <v>247</v>
      </c>
      <c r="F492" s="18">
        <v>275272</v>
      </c>
      <c r="G492" s="4"/>
      <c r="H492" s="2">
        <v>1</v>
      </c>
      <c r="I492" s="3">
        <v>45798</v>
      </c>
      <c r="J492" s="4">
        <v>284</v>
      </c>
      <c r="K492" s="4" t="s">
        <v>92</v>
      </c>
      <c r="L492" s="3">
        <v>46083</v>
      </c>
      <c r="M492" s="23">
        <f>YEAR(Таблица1[[#This Row],[Дата отчета]])</f>
        <v>2026</v>
      </c>
      <c r="N492" s="2" t="s">
        <v>4548</v>
      </c>
      <c r="O492" s="2"/>
      <c r="P492" s="2"/>
      <c r="Q492" s="5"/>
    </row>
    <row r="493" spans="1:17" x14ac:dyDescent="0.25">
      <c r="A493" s="6" t="s">
        <v>12</v>
      </c>
      <c r="B493" s="7" t="s">
        <v>248</v>
      </c>
      <c r="C493" s="7" t="s">
        <v>249</v>
      </c>
      <c r="D493" s="7" t="s">
        <v>250</v>
      </c>
      <c r="E493" s="8" t="s">
        <v>251</v>
      </c>
      <c r="F493" s="19">
        <v>15696807.25</v>
      </c>
      <c r="G493" s="9"/>
      <c r="H493" s="7">
        <v>1</v>
      </c>
      <c r="I493" s="8">
        <v>46038</v>
      </c>
      <c r="J493" s="9">
        <v>44</v>
      </c>
      <c r="K493" s="9" t="s">
        <v>27</v>
      </c>
      <c r="L493" s="3">
        <v>46083</v>
      </c>
      <c r="M493" s="23">
        <f>YEAR(Таблица1[[#This Row],[Дата отчета]])</f>
        <v>2026</v>
      </c>
      <c r="N493" s="7"/>
      <c r="O493" s="7"/>
      <c r="P493" s="7"/>
      <c r="Q493" s="10"/>
    </row>
    <row r="494" spans="1:17" x14ac:dyDescent="0.25">
      <c r="A494" s="1" t="s">
        <v>12</v>
      </c>
      <c r="B494" s="2" t="s">
        <v>248</v>
      </c>
      <c r="C494" s="2" t="s">
        <v>252</v>
      </c>
      <c r="D494" s="2" t="s">
        <v>253</v>
      </c>
      <c r="E494" s="3" t="s">
        <v>254</v>
      </c>
      <c r="F494" s="18">
        <v>23963645.800000001</v>
      </c>
      <c r="G494" s="4"/>
      <c r="H494" s="2">
        <v>1</v>
      </c>
      <c r="I494" s="3">
        <v>46048</v>
      </c>
      <c r="J494" s="4">
        <v>34</v>
      </c>
      <c r="K494" s="4" t="s">
        <v>27</v>
      </c>
      <c r="L494" s="3">
        <v>46083</v>
      </c>
      <c r="M494" s="23">
        <f>YEAR(Таблица1[[#This Row],[Дата отчета]])</f>
        <v>2026</v>
      </c>
      <c r="N494" s="2"/>
      <c r="O494" s="2"/>
      <c r="P494" s="2"/>
      <c r="Q494" s="5"/>
    </row>
    <row r="495" spans="1:17" x14ac:dyDescent="0.25">
      <c r="A495" s="6" t="s">
        <v>12</v>
      </c>
      <c r="B495" s="7" t="s">
        <v>248</v>
      </c>
      <c r="C495" s="7" t="s">
        <v>255</v>
      </c>
      <c r="D495" s="7" t="s">
        <v>256</v>
      </c>
      <c r="E495" s="8" t="s">
        <v>59</v>
      </c>
      <c r="F495" s="19">
        <v>321265</v>
      </c>
      <c r="G495" s="9"/>
      <c r="H495" s="7">
        <v>1</v>
      </c>
      <c r="I495" s="8">
        <v>46077</v>
      </c>
      <c r="J495" s="9">
        <v>5</v>
      </c>
      <c r="K495" s="9" t="s">
        <v>38</v>
      </c>
      <c r="L495" s="3">
        <v>46083</v>
      </c>
      <c r="M495" s="23">
        <f>YEAR(Таблица1[[#This Row],[Дата отчета]])</f>
        <v>2026</v>
      </c>
      <c r="N495" s="7"/>
      <c r="O495" s="7"/>
      <c r="P495" s="7"/>
      <c r="Q495" s="10"/>
    </row>
    <row r="496" spans="1:17" x14ac:dyDescent="0.25">
      <c r="A496" s="1" t="s">
        <v>12</v>
      </c>
      <c r="B496" s="2" t="s">
        <v>248</v>
      </c>
      <c r="C496" s="2" t="s">
        <v>257</v>
      </c>
      <c r="D496" s="2" t="s">
        <v>258</v>
      </c>
      <c r="E496" s="3" t="s">
        <v>259</v>
      </c>
      <c r="F496" s="18">
        <v>2644691.5</v>
      </c>
      <c r="G496" s="4"/>
      <c r="H496" s="2">
        <v>1</v>
      </c>
      <c r="I496" s="3">
        <v>46071</v>
      </c>
      <c r="J496" s="4">
        <v>11</v>
      </c>
      <c r="K496" s="4" t="s">
        <v>38</v>
      </c>
      <c r="L496" s="3">
        <v>46083</v>
      </c>
      <c r="M496" s="23">
        <f>YEAR(Таблица1[[#This Row],[Дата отчета]])</f>
        <v>2026</v>
      </c>
      <c r="N496" s="2"/>
      <c r="O496" s="2"/>
      <c r="P496" s="2"/>
      <c r="Q496" s="5"/>
    </row>
    <row r="497" spans="1:17" x14ac:dyDescent="0.25">
      <c r="A497" s="6" t="s">
        <v>12</v>
      </c>
      <c r="B497" s="7" t="s">
        <v>248</v>
      </c>
      <c r="C497" s="7" t="s">
        <v>260</v>
      </c>
      <c r="D497" s="7" t="s">
        <v>261</v>
      </c>
      <c r="E497" s="8" t="s">
        <v>211</v>
      </c>
      <c r="F497" s="19">
        <v>367360</v>
      </c>
      <c r="G497" s="9"/>
      <c r="H497" s="7">
        <v>1</v>
      </c>
      <c r="I497" s="8">
        <v>46056</v>
      </c>
      <c r="J497" s="9">
        <v>26</v>
      </c>
      <c r="K497" s="9" t="s">
        <v>38</v>
      </c>
      <c r="L497" s="3">
        <v>46083</v>
      </c>
      <c r="M497" s="23">
        <f>YEAR(Таблица1[[#This Row],[Дата отчета]])</f>
        <v>2026</v>
      </c>
      <c r="N497" s="7"/>
      <c r="O497" s="7"/>
      <c r="P497" s="7"/>
      <c r="Q497" s="10"/>
    </row>
    <row r="498" spans="1:17" x14ac:dyDescent="0.25">
      <c r="A498" s="1" t="s">
        <v>12</v>
      </c>
      <c r="B498" s="2" t="s">
        <v>248</v>
      </c>
      <c r="C498" s="2" t="s">
        <v>262</v>
      </c>
      <c r="D498" s="2" t="s">
        <v>263</v>
      </c>
      <c r="E498" s="3" t="s">
        <v>211</v>
      </c>
      <c r="F498" s="18">
        <v>1550000</v>
      </c>
      <c r="G498" s="4"/>
      <c r="H498" s="2">
        <v>1</v>
      </c>
      <c r="I498" s="3">
        <v>46056</v>
      </c>
      <c r="J498" s="4">
        <v>26</v>
      </c>
      <c r="K498" s="4" t="s">
        <v>38</v>
      </c>
      <c r="L498" s="3">
        <v>46083</v>
      </c>
      <c r="M498" s="23">
        <f>YEAR(Таблица1[[#This Row],[Дата отчета]])</f>
        <v>2026</v>
      </c>
      <c r="N498" s="2"/>
      <c r="O498" s="2"/>
      <c r="P498" s="2"/>
      <c r="Q498" s="5"/>
    </row>
    <row r="499" spans="1:17" x14ac:dyDescent="0.25">
      <c r="A499" s="6" t="s">
        <v>12</v>
      </c>
      <c r="B499" s="7" t="s">
        <v>248</v>
      </c>
      <c r="C499" s="7" t="s">
        <v>264</v>
      </c>
      <c r="D499" s="7" t="s">
        <v>265</v>
      </c>
      <c r="E499" s="8" t="s">
        <v>259</v>
      </c>
      <c r="F499" s="19">
        <v>6099500</v>
      </c>
      <c r="G499" s="9"/>
      <c r="H499" s="7">
        <v>1</v>
      </c>
      <c r="I499" s="8">
        <v>46071</v>
      </c>
      <c r="J499" s="9">
        <v>11</v>
      </c>
      <c r="K499" s="9" t="s">
        <v>38</v>
      </c>
      <c r="L499" s="3">
        <v>46083</v>
      </c>
      <c r="M499" s="23">
        <f>YEAR(Таблица1[[#This Row],[Дата отчета]])</f>
        <v>2026</v>
      </c>
      <c r="N499" s="7"/>
      <c r="O499" s="7"/>
      <c r="P499" s="7"/>
      <c r="Q499" s="10"/>
    </row>
    <row r="500" spans="1:17" x14ac:dyDescent="0.25">
      <c r="A500" s="1" t="s">
        <v>12</v>
      </c>
      <c r="B500" s="2" t="s">
        <v>248</v>
      </c>
      <c r="C500" s="2" t="s">
        <v>266</v>
      </c>
      <c r="D500" s="2" t="s">
        <v>267</v>
      </c>
      <c r="E500" s="3" t="s">
        <v>259</v>
      </c>
      <c r="F500" s="18">
        <v>3431200</v>
      </c>
      <c r="G500" s="4"/>
      <c r="H500" s="2">
        <v>1</v>
      </c>
      <c r="I500" s="3">
        <v>46071</v>
      </c>
      <c r="J500" s="4">
        <v>11</v>
      </c>
      <c r="K500" s="4" t="s">
        <v>38</v>
      </c>
      <c r="L500" s="3">
        <v>46083</v>
      </c>
      <c r="M500" s="23">
        <f>YEAR(Таблица1[[#This Row],[Дата отчета]])</f>
        <v>2026</v>
      </c>
      <c r="N500" s="2"/>
      <c r="O500" s="2"/>
      <c r="P500" s="2"/>
      <c r="Q500" s="5"/>
    </row>
    <row r="501" spans="1:17" x14ac:dyDescent="0.25">
      <c r="A501" s="6" t="s">
        <v>12</v>
      </c>
      <c r="B501" s="7" t="s">
        <v>268</v>
      </c>
      <c r="C501" s="7" t="s">
        <v>269</v>
      </c>
      <c r="D501" s="7" t="s">
        <v>270</v>
      </c>
      <c r="E501" s="8" t="s">
        <v>127</v>
      </c>
      <c r="F501" s="19">
        <v>130500</v>
      </c>
      <c r="G501" s="9"/>
      <c r="H501" s="7">
        <v>1</v>
      </c>
      <c r="I501" s="8">
        <v>46037</v>
      </c>
      <c r="J501" s="9">
        <v>45</v>
      </c>
      <c r="K501" s="9" t="s">
        <v>27</v>
      </c>
      <c r="L501" s="3">
        <v>46083</v>
      </c>
      <c r="M501" s="23">
        <f>YEAR(Таблица1[[#This Row],[Дата отчета]])</f>
        <v>2026</v>
      </c>
      <c r="N501" s="7"/>
      <c r="O501" s="7"/>
      <c r="P501" s="7"/>
      <c r="Q501" s="10"/>
    </row>
    <row r="502" spans="1:17" x14ac:dyDescent="0.25">
      <c r="A502" s="1" t="s">
        <v>12</v>
      </c>
      <c r="B502" s="2" t="s">
        <v>271</v>
      </c>
      <c r="C502" s="2" t="s">
        <v>272</v>
      </c>
      <c r="D502" s="2" t="s">
        <v>273</v>
      </c>
      <c r="E502" s="3" t="s">
        <v>37</v>
      </c>
      <c r="F502" s="18">
        <v>382630.8</v>
      </c>
      <c r="G502" s="4"/>
      <c r="H502" s="2">
        <v>1</v>
      </c>
      <c r="I502" s="3">
        <v>46066</v>
      </c>
      <c r="J502" s="4">
        <v>16</v>
      </c>
      <c r="K502" s="4" t="s">
        <v>38</v>
      </c>
      <c r="L502" s="3">
        <v>46083</v>
      </c>
      <c r="M502" s="23">
        <f>YEAR(Таблица1[[#This Row],[Дата отчета]])</f>
        <v>2026</v>
      </c>
      <c r="N502" s="2"/>
      <c r="O502" s="2"/>
      <c r="P502" s="2"/>
      <c r="Q502" s="5"/>
    </row>
    <row r="503" spans="1:17" x14ac:dyDescent="0.25">
      <c r="A503" s="6" t="s">
        <v>12</v>
      </c>
      <c r="B503" s="7" t="s">
        <v>271</v>
      </c>
      <c r="C503" s="7" t="s">
        <v>274</v>
      </c>
      <c r="D503" s="7" t="s">
        <v>275</v>
      </c>
      <c r="E503" s="8" t="s">
        <v>276</v>
      </c>
      <c r="F503" s="19">
        <v>682568</v>
      </c>
      <c r="G503" s="9"/>
      <c r="H503" s="7">
        <v>1</v>
      </c>
      <c r="I503" s="8">
        <v>45827</v>
      </c>
      <c r="J503" s="9">
        <v>255</v>
      </c>
      <c r="K503" s="9" t="s">
        <v>67</v>
      </c>
      <c r="L503" s="3">
        <v>46083</v>
      </c>
      <c r="M503" s="23">
        <f>YEAR(Таблица1[[#This Row],[Дата отчета]])</f>
        <v>2026</v>
      </c>
      <c r="N503" s="7"/>
      <c r="O503" s="7"/>
      <c r="P503" s="7"/>
      <c r="Q503" s="10"/>
    </row>
    <row r="504" spans="1:17" x14ac:dyDescent="0.25">
      <c r="A504" s="1" t="s">
        <v>12</v>
      </c>
      <c r="B504" s="2" t="s">
        <v>271</v>
      </c>
      <c r="C504" s="2" t="s">
        <v>277</v>
      </c>
      <c r="D504" s="2" t="s">
        <v>278</v>
      </c>
      <c r="E504" s="3" t="s">
        <v>37</v>
      </c>
      <c r="F504" s="18">
        <v>1926789.3</v>
      </c>
      <c r="G504" s="4"/>
      <c r="H504" s="2">
        <v>1</v>
      </c>
      <c r="I504" s="3">
        <v>46066</v>
      </c>
      <c r="J504" s="4">
        <v>16</v>
      </c>
      <c r="K504" s="4" t="s">
        <v>38</v>
      </c>
      <c r="L504" s="3">
        <v>46083</v>
      </c>
      <c r="M504" s="23">
        <f>YEAR(Таблица1[[#This Row],[Дата отчета]])</f>
        <v>2026</v>
      </c>
      <c r="N504" s="2"/>
      <c r="O504" s="2"/>
      <c r="P504" s="2"/>
      <c r="Q504" s="5"/>
    </row>
    <row r="505" spans="1:17" x14ac:dyDescent="0.25">
      <c r="A505" s="6" t="s">
        <v>12</v>
      </c>
      <c r="B505" s="7" t="s">
        <v>271</v>
      </c>
      <c r="C505" s="7" t="s">
        <v>279</v>
      </c>
      <c r="D505" s="7" t="s">
        <v>280</v>
      </c>
      <c r="E505" s="8" t="s">
        <v>281</v>
      </c>
      <c r="F505" s="19">
        <v>275291.09999999998</v>
      </c>
      <c r="G505" s="9"/>
      <c r="H505" s="7">
        <v>1</v>
      </c>
      <c r="I505" s="8">
        <v>46065</v>
      </c>
      <c r="J505" s="9">
        <v>17</v>
      </c>
      <c r="K505" s="9" t="s">
        <v>38</v>
      </c>
      <c r="L505" s="3">
        <v>46083</v>
      </c>
      <c r="M505" s="23">
        <f>YEAR(Таблица1[[#This Row],[Дата отчета]])</f>
        <v>2026</v>
      </c>
      <c r="N505" s="7"/>
      <c r="O505" s="7"/>
      <c r="P505" s="7"/>
      <c r="Q505" s="10"/>
    </row>
    <row r="506" spans="1:17" x14ac:dyDescent="0.25">
      <c r="A506" s="1" t="s">
        <v>12</v>
      </c>
      <c r="B506" s="2" t="s">
        <v>271</v>
      </c>
      <c r="C506" s="2" t="s">
        <v>282</v>
      </c>
      <c r="D506" s="2" t="s">
        <v>283</v>
      </c>
      <c r="E506" s="3" t="s">
        <v>284</v>
      </c>
      <c r="F506" s="18">
        <v>600</v>
      </c>
      <c r="G506" s="4"/>
      <c r="H506" s="2">
        <v>1</v>
      </c>
      <c r="I506" s="3">
        <v>45398</v>
      </c>
      <c r="J506" s="4">
        <v>684</v>
      </c>
      <c r="K506" s="4" t="s">
        <v>17</v>
      </c>
      <c r="L506" s="3">
        <v>46083</v>
      </c>
      <c r="M506" s="23">
        <f>YEAR(Таблица1[[#This Row],[Дата отчета]])</f>
        <v>2026</v>
      </c>
      <c r="N506" s="2"/>
      <c r="O506" s="2"/>
      <c r="P506" s="2"/>
      <c r="Q506" s="5"/>
    </row>
    <row r="507" spans="1:17" x14ac:dyDescent="0.25">
      <c r="A507" s="6" t="s">
        <v>12</v>
      </c>
      <c r="B507" s="7" t="s">
        <v>271</v>
      </c>
      <c r="C507" s="7" t="s">
        <v>285</v>
      </c>
      <c r="D507" s="7" t="s">
        <v>286</v>
      </c>
      <c r="E507" s="8" t="s">
        <v>57</v>
      </c>
      <c r="F507" s="19">
        <v>2253340.15</v>
      </c>
      <c r="G507" s="9"/>
      <c r="H507" s="7">
        <v>1</v>
      </c>
      <c r="I507" s="8">
        <v>46043</v>
      </c>
      <c r="J507" s="9">
        <v>39</v>
      </c>
      <c r="K507" s="9" t="s">
        <v>27</v>
      </c>
      <c r="L507" s="3">
        <v>46083</v>
      </c>
      <c r="M507" s="23">
        <f>YEAR(Таблица1[[#This Row],[Дата отчета]])</f>
        <v>2026</v>
      </c>
      <c r="N507" s="7"/>
      <c r="O507" s="7"/>
      <c r="P507" s="7"/>
      <c r="Q507" s="10"/>
    </row>
    <row r="508" spans="1:17" x14ac:dyDescent="0.25">
      <c r="A508" s="1" t="s">
        <v>12</v>
      </c>
      <c r="B508" s="2" t="s">
        <v>271</v>
      </c>
      <c r="C508" s="2" t="s">
        <v>287</v>
      </c>
      <c r="D508" s="2" t="s">
        <v>288</v>
      </c>
      <c r="E508" s="3" t="s">
        <v>289</v>
      </c>
      <c r="F508" s="18">
        <v>29963</v>
      </c>
      <c r="G508" s="4"/>
      <c r="H508" s="2">
        <v>1</v>
      </c>
      <c r="I508" s="3">
        <v>45716</v>
      </c>
      <c r="J508" s="4">
        <v>366</v>
      </c>
      <c r="K508" s="4" t="s">
        <v>17</v>
      </c>
      <c r="L508" s="3">
        <v>46083</v>
      </c>
      <c r="M508" s="23">
        <f>YEAR(Таблица1[[#This Row],[Дата отчета]])</f>
        <v>2026</v>
      </c>
      <c r="N508" s="2" t="s">
        <v>4538</v>
      </c>
      <c r="O508" s="2"/>
      <c r="P508" s="2"/>
      <c r="Q508" s="5"/>
    </row>
    <row r="509" spans="1:17" x14ac:dyDescent="0.25">
      <c r="A509" s="6" t="s">
        <v>12</v>
      </c>
      <c r="B509" s="7" t="s">
        <v>271</v>
      </c>
      <c r="C509" s="7" t="s">
        <v>290</v>
      </c>
      <c r="D509" s="7" t="s">
        <v>291</v>
      </c>
      <c r="E509" s="8" t="s">
        <v>292</v>
      </c>
      <c r="F509" s="19">
        <v>19600</v>
      </c>
      <c r="G509" s="9"/>
      <c r="H509" s="7">
        <v>1</v>
      </c>
      <c r="I509" s="8">
        <v>45933</v>
      </c>
      <c r="J509" s="9">
        <v>149</v>
      </c>
      <c r="K509" s="9" t="s">
        <v>22</v>
      </c>
      <c r="L509" s="3">
        <v>46083</v>
      </c>
      <c r="M509" s="23">
        <f>YEAR(Таблица1[[#This Row],[Дата отчета]])</f>
        <v>2026</v>
      </c>
      <c r="N509" s="7"/>
      <c r="O509" s="7"/>
      <c r="P509" s="7"/>
      <c r="Q509" s="10"/>
    </row>
    <row r="510" spans="1:17" x14ac:dyDescent="0.25">
      <c r="A510" s="1" t="s">
        <v>12</v>
      </c>
      <c r="B510" s="2" t="s">
        <v>293</v>
      </c>
      <c r="C510" s="2" t="s">
        <v>294</v>
      </c>
      <c r="D510" s="2" t="s">
        <v>295</v>
      </c>
      <c r="E510" s="3" t="s">
        <v>296</v>
      </c>
      <c r="F510" s="18">
        <v>132000</v>
      </c>
      <c r="G510" s="4"/>
      <c r="H510" s="2">
        <v>1</v>
      </c>
      <c r="I510" s="3">
        <v>45988</v>
      </c>
      <c r="J510" s="4">
        <v>94</v>
      </c>
      <c r="K510" s="4" t="s">
        <v>71</v>
      </c>
      <c r="L510" s="3">
        <v>46083</v>
      </c>
      <c r="M510" s="23">
        <f>YEAR(Таблица1[[#This Row],[Дата отчета]])</f>
        <v>2026</v>
      </c>
      <c r="N510" s="2"/>
      <c r="O510" s="2"/>
      <c r="P510" s="2"/>
      <c r="Q510" s="5"/>
    </row>
    <row r="511" spans="1:17" x14ac:dyDescent="0.25">
      <c r="A511" s="6" t="s">
        <v>12</v>
      </c>
      <c r="B511" s="7" t="s">
        <v>297</v>
      </c>
      <c r="C511" s="7" t="s">
        <v>298</v>
      </c>
      <c r="D511" s="7" t="s">
        <v>299</v>
      </c>
      <c r="E511" s="8" t="s">
        <v>300</v>
      </c>
      <c r="F511" s="19">
        <v>3959</v>
      </c>
      <c r="G511" s="9"/>
      <c r="H511" s="7">
        <v>1</v>
      </c>
      <c r="I511" s="8">
        <v>45449</v>
      </c>
      <c r="J511" s="9">
        <v>633</v>
      </c>
      <c r="K511" s="9" t="s">
        <v>17</v>
      </c>
      <c r="L511" s="3">
        <v>46083</v>
      </c>
      <c r="M511" s="23">
        <f>YEAR(Таблица1[[#This Row],[Дата отчета]])</f>
        <v>2026</v>
      </c>
      <c r="N511" s="7" t="s">
        <v>4547</v>
      </c>
      <c r="O511" s="7"/>
      <c r="P511" s="7"/>
      <c r="Q511" s="10"/>
    </row>
    <row r="512" spans="1:17" x14ac:dyDescent="0.25">
      <c r="A512" s="1" t="s">
        <v>12</v>
      </c>
      <c r="B512" s="2" t="s">
        <v>297</v>
      </c>
      <c r="C512" s="2" t="s">
        <v>301</v>
      </c>
      <c r="D512" s="2" t="s">
        <v>302</v>
      </c>
      <c r="E512" s="3" t="s">
        <v>303</v>
      </c>
      <c r="F512" s="18">
        <v>54211</v>
      </c>
      <c r="G512" s="4"/>
      <c r="H512" s="2">
        <v>1</v>
      </c>
      <c r="I512" s="3">
        <v>46059</v>
      </c>
      <c r="J512" s="4">
        <v>23</v>
      </c>
      <c r="K512" s="4" t="s">
        <v>38</v>
      </c>
      <c r="L512" s="3">
        <v>46083</v>
      </c>
      <c r="M512" s="23">
        <f>YEAR(Таблица1[[#This Row],[Дата отчета]])</f>
        <v>2026</v>
      </c>
      <c r="N512" s="2"/>
      <c r="O512" s="2"/>
      <c r="P512" s="2"/>
      <c r="Q512" s="5"/>
    </row>
    <row r="513" spans="1:17" x14ac:dyDescent="0.25">
      <c r="A513" s="6" t="s">
        <v>12</v>
      </c>
      <c r="B513" s="7" t="s">
        <v>297</v>
      </c>
      <c r="C513" s="7" t="s">
        <v>304</v>
      </c>
      <c r="D513" s="7" t="s">
        <v>305</v>
      </c>
      <c r="E513" s="8" t="s">
        <v>87</v>
      </c>
      <c r="F513" s="19">
        <v>53477</v>
      </c>
      <c r="G513" s="9"/>
      <c r="H513" s="7">
        <v>1</v>
      </c>
      <c r="I513" s="8">
        <v>46020</v>
      </c>
      <c r="J513" s="9">
        <v>62</v>
      </c>
      <c r="K513" s="9" t="s">
        <v>27</v>
      </c>
      <c r="L513" s="3">
        <v>46083</v>
      </c>
      <c r="M513" s="23">
        <f>YEAR(Таблица1[[#This Row],[Дата отчета]])</f>
        <v>2026</v>
      </c>
      <c r="N513" s="7"/>
      <c r="O513" s="7"/>
      <c r="P513" s="7"/>
      <c r="Q513" s="10"/>
    </row>
    <row r="514" spans="1:17" x14ac:dyDescent="0.25">
      <c r="A514" s="1" t="s">
        <v>12</v>
      </c>
      <c r="B514" s="2" t="s">
        <v>297</v>
      </c>
      <c r="C514" s="2" t="s">
        <v>306</v>
      </c>
      <c r="D514" s="2" t="s">
        <v>307</v>
      </c>
      <c r="E514" s="3" t="s">
        <v>79</v>
      </c>
      <c r="F514" s="18">
        <v>1875</v>
      </c>
      <c r="G514" s="4"/>
      <c r="H514" s="2">
        <v>1</v>
      </c>
      <c r="I514" s="3">
        <v>45980</v>
      </c>
      <c r="J514" s="4">
        <v>102</v>
      </c>
      <c r="K514" s="4" t="s">
        <v>71</v>
      </c>
      <c r="L514" s="3">
        <v>46083</v>
      </c>
      <c r="M514" s="23">
        <f>YEAR(Таблица1[[#This Row],[Дата отчета]])</f>
        <v>2026</v>
      </c>
      <c r="N514" s="2"/>
      <c r="O514" s="2"/>
      <c r="P514" s="2"/>
      <c r="Q514" s="5"/>
    </row>
    <row r="515" spans="1:17" x14ac:dyDescent="0.25">
      <c r="A515" s="6" t="s">
        <v>12</v>
      </c>
      <c r="B515" s="7" t="s">
        <v>297</v>
      </c>
      <c r="C515" s="7" t="s">
        <v>308</v>
      </c>
      <c r="D515" s="7" t="s">
        <v>309</v>
      </c>
      <c r="E515" s="8" t="s">
        <v>296</v>
      </c>
      <c r="F515" s="19">
        <v>13926</v>
      </c>
      <c r="G515" s="9"/>
      <c r="H515" s="7">
        <v>1</v>
      </c>
      <c r="I515" s="8">
        <v>45988</v>
      </c>
      <c r="J515" s="9">
        <v>94</v>
      </c>
      <c r="K515" s="9" t="s">
        <v>71</v>
      </c>
      <c r="L515" s="3">
        <v>46083</v>
      </c>
      <c r="M515" s="23">
        <f>YEAR(Таблица1[[#This Row],[Дата отчета]])</f>
        <v>2026</v>
      </c>
      <c r="N515" s="7"/>
      <c r="O515" s="7"/>
      <c r="P515" s="7"/>
      <c r="Q515" s="10"/>
    </row>
    <row r="516" spans="1:17" x14ac:dyDescent="0.25">
      <c r="A516" s="1" t="s">
        <v>12</v>
      </c>
      <c r="B516" s="2" t="s">
        <v>297</v>
      </c>
      <c r="C516" s="2" t="s">
        <v>310</v>
      </c>
      <c r="D516" s="2" t="s">
        <v>311</v>
      </c>
      <c r="E516" s="3" t="s">
        <v>312</v>
      </c>
      <c r="F516" s="18">
        <v>98480</v>
      </c>
      <c r="G516" s="4"/>
      <c r="H516" s="2">
        <v>1</v>
      </c>
      <c r="I516" s="3">
        <v>45960</v>
      </c>
      <c r="J516" s="4">
        <v>122</v>
      </c>
      <c r="K516" s="4" t="s">
        <v>22</v>
      </c>
      <c r="L516" s="3">
        <v>46083</v>
      </c>
      <c r="M516" s="23">
        <f>YEAR(Таблица1[[#This Row],[Дата отчета]])</f>
        <v>2026</v>
      </c>
      <c r="N516" s="2"/>
      <c r="O516" s="2"/>
      <c r="P516" s="2"/>
      <c r="Q516" s="5"/>
    </row>
    <row r="517" spans="1:17" x14ac:dyDescent="0.25">
      <c r="A517" s="6" t="s">
        <v>12</v>
      </c>
      <c r="B517" s="7" t="s">
        <v>297</v>
      </c>
      <c r="C517" s="7" t="s">
        <v>313</v>
      </c>
      <c r="D517" s="7" t="s">
        <v>314</v>
      </c>
      <c r="E517" s="8" t="s">
        <v>315</v>
      </c>
      <c r="F517" s="19">
        <v>39046</v>
      </c>
      <c r="G517" s="9"/>
      <c r="H517" s="7">
        <v>1</v>
      </c>
      <c r="I517" s="8">
        <v>45891</v>
      </c>
      <c r="J517" s="9">
        <v>191</v>
      </c>
      <c r="K517" s="9" t="s">
        <v>67</v>
      </c>
      <c r="L517" s="3">
        <v>46083</v>
      </c>
      <c r="M517" s="23">
        <f>YEAR(Таблица1[[#This Row],[Дата отчета]])</f>
        <v>2026</v>
      </c>
      <c r="N517" s="7"/>
      <c r="O517" s="7"/>
      <c r="P517" s="7"/>
      <c r="Q517" s="10"/>
    </row>
    <row r="518" spans="1:17" x14ac:dyDescent="0.25">
      <c r="A518" s="1" t="s">
        <v>12</v>
      </c>
      <c r="B518" s="2" t="s">
        <v>297</v>
      </c>
      <c r="C518" s="2" t="s">
        <v>316</v>
      </c>
      <c r="D518" s="2" t="s">
        <v>317</v>
      </c>
      <c r="E518" s="3" t="s">
        <v>318</v>
      </c>
      <c r="F518" s="18">
        <v>780</v>
      </c>
      <c r="G518" s="4"/>
      <c r="H518" s="2">
        <v>1</v>
      </c>
      <c r="I518" s="3">
        <v>45845</v>
      </c>
      <c r="J518" s="4">
        <v>237</v>
      </c>
      <c r="K518" s="4" t="s">
        <v>67</v>
      </c>
      <c r="L518" s="3">
        <v>46083</v>
      </c>
      <c r="M518" s="23">
        <f>YEAR(Таблица1[[#This Row],[Дата отчета]])</f>
        <v>2026</v>
      </c>
      <c r="N518" s="2"/>
      <c r="O518" s="2"/>
      <c r="P518" s="2"/>
      <c r="Q518" s="5"/>
    </row>
    <row r="519" spans="1:17" x14ac:dyDescent="0.25">
      <c r="A519" s="6" t="s">
        <v>12</v>
      </c>
      <c r="B519" s="7" t="s">
        <v>297</v>
      </c>
      <c r="C519" s="7" t="s">
        <v>319</v>
      </c>
      <c r="D519" s="7" t="s">
        <v>320</v>
      </c>
      <c r="E519" s="8" t="s">
        <v>321</v>
      </c>
      <c r="F519" s="19">
        <v>2154</v>
      </c>
      <c r="G519" s="9"/>
      <c r="H519" s="7">
        <v>1</v>
      </c>
      <c r="I519" s="8">
        <v>45880</v>
      </c>
      <c r="J519" s="9">
        <v>202</v>
      </c>
      <c r="K519" s="9" t="s">
        <v>67</v>
      </c>
      <c r="L519" s="3">
        <v>46083</v>
      </c>
      <c r="M519" s="23">
        <f>YEAR(Таблица1[[#This Row],[Дата отчета]])</f>
        <v>2026</v>
      </c>
      <c r="N519" s="7"/>
      <c r="O519" s="7"/>
      <c r="P519" s="7"/>
      <c r="Q519" s="10"/>
    </row>
    <row r="520" spans="1:17" x14ac:dyDescent="0.25">
      <c r="A520" s="1" t="s">
        <v>12</v>
      </c>
      <c r="B520" s="2" t="s">
        <v>297</v>
      </c>
      <c r="C520" s="2" t="s">
        <v>322</v>
      </c>
      <c r="D520" s="2" t="s">
        <v>323</v>
      </c>
      <c r="E520" s="3" t="s">
        <v>79</v>
      </c>
      <c r="F520" s="18">
        <v>1948</v>
      </c>
      <c r="G520" s="4"/>
      <c r="H520" s="2">
        <v>1</v>
      </c>
      <c r="I520" s="3">
        <v>45980</v>
      </c>
      <c r="J520" s="4">
        <v>102</v>
      </c>
      <c r="K520" s="4" t="s">
        <v>71</v>
      </c>
      <c r="L520" s="3">
        <v>46083</v>
      </c>
      <c r="M520" s="23">
        <f>YEAR(Таблица1[[#This Row],[Дата отчета]])</f>
        <v>2026</v>
      </c>
      <c r="N520" s="2"/>
      <c r="O520" s="2"/>
      <c r="P520" s="2"/>
      <c r="Q520" s="5"/>
    </row>
    <row r="521" spans="1:17" x14ac:dyDescent="0.25">
      <c r="A521" s="6" t="s">
        <v>12</v>
      </c>
      <c r="B521" s="7" t="s">
        <v>297</v>
      </c>
      <c r="C521" s="7" t="s">
        <v>324</v>
      </c>
      <c r="D521" s="7" t="s">
        <v>325</v>
      </c>
      <c r="E521" s="8" t="s">
        <v>51</v>
      </c>
      <c r="F521" s="19">
        <v>3247</v>
      </c>
      <c r="G521" s="9"/>
      <c r="H521" s="7">
        <v>1</v>
      </c>
      <c r="I521" s="8">
        <v>45939</v>
      </c>
      <c r="J521" s="9">
        <v>143</v>
      </c>
      <c r="K521" s="9" t="s">
        <v>22</v>
      </c>
      <c r="L521" s="3">
        <v>46083</v>
      </c>
      <c r="M521" s="23">
        <f>YEAR(Таблица1[[#This Row],[Дата отчета]])</f>
        <v>2026</v>
      </c>
      <c r="N521" s="7"/>
      <c r="O521" s="7"/>
      <c r="P521" s="7"/>
      <c r="Q521" s="10"/>
    </row>
    <row r="522" spans="1:17" x14ac:dyDescent="0.25">
      <c r="A522" s="1" t="s">
        <v>12</v>
      </c>
      <c r="B522" s="2" t="s">
        <v>297</v>
      </c>
      <c r="C522" s="2" t="s">
        <v>326</v>
      </c>
      <c r="D522" s="2" t="s">
        <v>327</v>
      </c>
      <c r="E522" s="3" t="s">
        <v>51</v>
      </c>
      <c r="F522" s="18">
        <v>12093</v>
      </c>
      <c r="G522" s="4"/>
      <c r="H522" s="2">
        <v>1</v>
      </c>
      <c r="I522" s="3">
        <v>45939</v>
      </c>
      <c r="J522" s="4">
        <v>143</v>
      </c>
      <c r="K522" s="4" t="s">
        <v>22</v>
      </c>
      <c r="L522" s="3">
        <v>46083</v>
      </c>
      <c r="M522" s="23">
        <f>YEAR(Таблица1[[#This Row],[Дата отчета]])</f>
        <v>2026</v>
      </c>
      <c r="N522" s="2"/>
      <c r="O522" s="2"/>
      <c r="P522" s="2"/>
      <c r="Q522" s="5"/>
    </row>
    <row r="523" spans="1:17" x14ac:dyDescent="0.25">
      <c r="A523" s="6" t="s">
        <v>12</v>
      </c>
      <c r="B523" s="7" t="s">
        <v>297</v>
      </c>
      <c r="C523" s="7" t="s">
        <v>328</v>
      </c>
      <c r="D523" s="7" t="s">
        <v>329</v>
      </c>
      <c r="E523" s="8" t="s">
        <v>292</v>
      </c>
      <c r="F523" s="19">
        <v>113416</v>
      </c>
      <c r="G523" s="9"/>
      <c r="H523" s="7">
        <v>1</v>
      </c>
      <c r="I523" s="8">
        <v>45933</v>
      </c>
      <c r="J523" s="9">
        <v>149</v>
      </c>
      <c r="K523" s="9" t="s">
        <v>22</v>
      </c>
      <c r="L523" s="3">
        <v>46083</v>
      </c>
      <c r="M523" s="23">
        <f>YEAR(Таблица1[[#This Row],[Дата отчета]])</f>
        <v>2026</v>
      </c>
      <c r="N523" s="7"/>
      <c r="O523" s="7"/>
      <c r="P523" s="7"/>
      <c r="Q523" s="10"/>
    </row>
    <row r="524" spans="1:17" x14ac:dyDescent="0.25">
      <c r="A524" s="1" t="s">
        <v>12</v>
      </c>
      <c r="B524" s="2" t="s">
        <v>297</v>
      </c>
      <c r="C524" s="2" t="s">
        <v>330</v>
      </c>
      <c r="D524" s="2" t="s">
        <v>331</v>
      </c>
      <c r="E524" s="3" t="s">
        <v>332</v>
      </c>
      <c r="F524" s="18">
        <v>279</v>
      </c>
      <c r="G524" s="4"/>
      <c r="H524" s="2">
        <v>1</v>
      </c>
      <c r="I524" s="3">
        <v>45936</v>
      </c>
      <c r="J524" s="4">
        <v>146</v>
      </c>
      <c r="K524" s="4" t="s">
        <v>22</v>
      </c>
      <c r="L524" s="3">
        <v>46083</v>
      </c>
      <c r="M524" s="23">
        <f>YEAR(Таблица1[[#This Row],[Дата отчета]])</f>
        <v>2026</v>
      </c>
      <c r="N524" s="2"/>
      <c r="O524" s="2"/>
      <c r="P524" s="2"/>
      <c r="Q524" s="5"/>
    </row>
    <row r="525" spans="1:17" x14ac:dyDescent="0.25">
      <c r="A525" s="6" t="s">
        <v>12</v>
      </c>
      <c r="B525" s="7" t="s">
        <v>297</v>
      </c>
      <c r="C525" s="7" t="s">
        <v>333</v>
      </c>
      <c r="D525" s="7" t="s">
        <v>334</v>
      </c>
      <c r="E525" s="8" t="s">
        <v>31</v>
      </c>
      <c r="F525" s="19">
        <v>930</v>
      </c>
      <c r="G525" s="9"/>
      <c r="H525" s="7">
        <v>1</v>
      </c>
      <c r="I525" s="8">
        <v>46015</v>
      </c>
      <c r="J525" s="9">
        <v>67</v>
      </c>
      <c r="K525" s="9" t="s">
        <v>27</v>
      </c>
      <c r="L525" s="3">
        <v>46083</v>
      </c>
      <c r="M525" s="23">
        <f>YEAR(Таблица1[[#This Row],[Дата отчета]])</f>
        <v>2026</v>
      </c>
      <c r="N525" s="7"/>
      <c r="O525" s="7"/>
      <c r="P525" s="7"/>
      <c r="Q525" s="10"/>
    </row>
    <row r="526" spans="1:17" x14ac:dyDescent="0.25">
      <c r="A526" s="1" t="s">
        <v>12</v>
      </c>
      <c r="B526" s="2" t="s">
        <v>297</v>
      </c>
      <c r="C526" s="2" t="s">
        <v>335</v>
      </c>
      <c r="D526" s="2" t="s">
        <v>336</v>
      </c>
      <c r="E526" s="3" t="s">
        <v>31</v>
      </c>
      <c r="F526" s="18">
        <v>930</v>
      </c>
      <c r="G526" s="4"/>
      <c r="H526" s="2">
        <v>1</v>
      </c>
      <c r="I526" s="3">
        <v>46015</v>
      </c>
      <c r="J526" s="4">
        <v>67</v>
      </c>
      <c r="K526" s="4" t="s">
        <v>27</v>
      </c>
      <c r="L526" s="3">
        <v>46083</v>
      </c>
      <c r="M526" s="23">
        <f>YEAR(Таблица1[[#This Row],[Дата отчета]])</f>
        <v>2026</v>
      </c>
      <c r="N526" s="2"/>
      <c r="O526" s="2"/>
      <c r="P526" s="2"/>
      <c r="Q526" s="5"/>
    </row>
    <row r="527" spans="1:17" x14ac:dyDescent="0.25">
      <c r="A527" s="6" t="s">
        <v>12</v>
      </c>
      <c r="B527" s="7" t="s">
        <v>297</v>
      </c>
      <c r="C527" s="7" t="s">
        <v>337</v>
      </c>
      <c r="D527" s="7" t="s">
        <v>338</v>
      </c>
      <c r="E527" s="8" t="s">
        <v>339</v>
      </c>
      <c r="F527" s="19">
        <v>1140</v>
      </c>
      <c r="G527" s="9"/>
      <c r="H527" s="7">
        <v>1</v>
      </c>
      <c r="I527" s="8">
        <v>45867</v>
      </c>
      <c r="J527" s="9">
        <v>215</v>
      </c>
      <c r="K527" s="9" t="s">
        <v>67</v>
      </c>
      <c r="L527" s="3">
        <v>46083</v>
      </c>
      <c r="M527" s="23">
        <f>YEAR(Таблица1[[#This Row],[Дата отчета]])</f>
        <v>2026</v>
      </c>
      <c r="N527" s="7"/>
      <c r="O527" s="7"/>
      <c r="P527" s="7"/>
      <c r="Q527" s="10"/>
    </row>
    <row r="528" spans="1:17" x14ac:dyDescent="0.25">
      <c r="A528" s="1" t="s">
        <v>12</v>
      </c>
      <c r="B528" s="2" t="s">
        <v>297</v>
      </c>
      <c r="C528" s="2" t="s">
        <v>340</v>
      </c>
      <c r="D528" s="2" t="s">
        <v>341</v>
      </c>
      <c r="E528" s="3" t="s">
        <v>342</v>
      </c>
      <c r="F528" s="18">
        <v>14870</v>
      </c>
      <c r="G528" s="4"/>
      <c r="H528" s="2">
        <v>1</v>
      </c>
      <c r="I528" s="3">
        <v>45959</v>
      </c>
      <c r="J528" s="4">
        <v>123</v>
      </c>
      <c r="K528" s="4" t="s">
        <v>22</v>
      </c>
      <c r="L528" s="3">
        <v>46083</v>
      </c>
      <c r="M528" s="23">
        <f>YEAR(Таблица1[[#This Row],[Дата отчета]])</f>
        <v>2026</v>
      </c>
      <c r="N528" s="2"/>
      <c r="O528" s="2"/>
      <c r="P528" s="2"/>
      <c r="Q528" s="5"/>
    </row>
    <row r="529" spans="1:17" x14ac:dyDescent="0.25">
      <c r="A529" s="6" t="s">
        <v>12</v>
      </c>
      <c r="B529" s="7" t="s">
        <v>297</v>
      </c>
      <c r="C529" s="7" t="s">
        <v>343</v>
      </c>
      <c r="D529" s="7" t="s">
        <v>344</v>
      </c>
      <c r="E529" s="8" t="s">
        <v>345</v>
      </c>
      <c r="F529" s="19">
        <v>1310</v>
      </c>
      <c r="G529" s="9"/>
      <c r="H529" s="7">
        <v>1</v>
      </c>
      <c r="I529" s="8">
        <v>45919</v>
      </c>
      <c r="J529" s="9">
        <v>163</v>
      </c>
      <c r="K529" s="9" t="s">
        <v>22</v>
      </c>
      <c r="L529" s="3">
        <v>46083</v>
      </c>
      <c r="M529" s="23">
        <f>YEAR(Таблица1[[#This Row],[Дата отчета]])</f>
        <v>2026</v>
      </c>
      <c r="N529" s="7"/>
      <c r="O529" s="7"/>
      <c r="P529" s="7"/>
      <c r="Q529" s="10"/>
    </row>
    <row r="530" spans="1:17" x14ac:dyDescent="0.25">
      <c r="A530" s="1" t="s">
        <v>12</v>
      </c>
      <c r="B530" s="2" t="s">
        <v>297</v>
      </c>
      <c r="C530" s="2" t="s">
        <v>346</v>
      </c>
      <c r="D530" s="2" t="s">
        <v>347</v>
      </c>
      <c r="E530" s="3" t="s">
        <v>51</v>
      </c>
      <c r="F530" s="18">
        <v>21872</v>
      </c>
      <c r="G530" s="4"/>
      <c r="H530" s="2">
        <v>1</v>
      </c>
      <c r="I530" s="3">
        <v>45939</v>
      </c>
      <c r="J530" s="4">
        <v>143</v>
      </c>
      <c r="K530" s="4" t="s">
        <v>22</v>
      </c>
      <c r="L530" s="3">
        <v>46083</v>
      </c>
      <c r="M530" s="23">
        <f>YEAR(Таблица1[[#This Row],[Дата отчета]])</f>
        <v>2026</v>
      </c>
      <c r="N530" s="2"/>
      <c r="O530" s="2"/>
      <c r="P530" s="2"/>
      <c r="Q530" s="5"/>
    </row>
    <row r="531" spans="1:17" x14ac:dyDescent="0.25">
      <c r="A531" s="6" t="s">
        <v>12</v>
      </c>
      <c r="B531" s="7" t="s">
        <v>297</v>
      </c>
      <c r="C531" s="7" t="s">
        <v>348</v>
      </c>
      <c r="D531" s="7" t="s">
        <v>349</v>
      </c>
      <c r="E531" s="8" t="s">
        <v>350</v>
      </c>
      <c r="F531" s="19">
        <v>4221</v>
      </c>
      <c r="G531" s="9"/>
      <c r="H531" s="7">
        <v>1</v>
      </c>
      <c r="I531" s="8">
        <v>46057</v>
      </c>
      <c r="J531" s="9">
        <v>25</v>
      </c>
      <c r="K531" s="9" t="s">
        <v>38</v>
      </c>
      <c r="L531" s="3">
        <v>46083</v>
      </c>
      <c r="M531" s="23">
        <f>YEAR(Таблица1[[#This Row],[Дата отчета]])</f>
        <v>2026</v>
      </c>
      <c r="N531" s="7"/>
      <c r="O531" s="7"/>
      <c r="P531" s="7"/>
      <c r="Q531" s="10"/>
    </row>
    <row r="532" spans="1:17" x14ac:dyDescent="0.25">
      <c r="A532" s="1" t="s">
        <v>12</v>
      </c>
      <c r="B532" s="2" t="s">
        <v>297</v>
      </c>
      <c r="C532" s="2" t="s">
        <v>351</v>
      </c>
      <c r="D532" s="2" t="s">
        <v>352</v>
      </c>
      <c r="E532" s="3" t="s">
        <v>353</v>
      </c>
      <c r="F532" s="18">
        <v>2373</v>
      </c>
      <c r="G532" s="4"/>
      <c r="H532" s="2">
        <v>1</v>
      </c>
      <c r="I532" s="3">
        <v>45957</v>
      </c>
      <c r="J532" s="4">
        <v>125</v>
      </c>
      <c r="K532" s="4" t="s">
        <v>22</v>
      </c>
      <c r="L532" s="3">
        <v>46083</v>
      </c>
      <c r="M532" s="23">
        <f>YEAR(Таблица1[[#This Row],[Дата отчета]])</f>
        <v>2026</v>
      </c>
      <c r="N532" s="2"/>
      <c r="O532" s="2"/>
      <c r="P532" s="2"/>
      <c r="Q532" s="5"/>
    </row>
    <row r="533" spans="1:17" x14ac:dyDescent="0.25">
      <c r="A533" s="6" t="s">
        <v>12</v>
      </c>
      <c r="B533" s="7" t="s">
        <v>297</v>
      </c>
      <c r="C533" s="7" t="s">
        <v>354</v>
      </c>
      <c r="D533" s="7" t="s">
        <v>355</v>
      </c>
      <c r="E533" s="8" t="s">
        <v>31</v>
      </c>
      <c r="F533" s="19">
        <v>943</v>
      </c>
      <c r="G533" s="9"/>
      <c r="H533" s="7">
        <v>1</v>
      </c>
      <c r="I533" s="8">
        <v>46015</v>
      </c>
      <c r="J533" s="9">
        <v>67</v>
      </c>
      <c r="K533" s="9" t="s">
        <v>27</v>
      </c>
      <c r="L533" s="3">
        <v>46083</v>
      </c>
      <c r="M533" s="23">
        <f>YEAR(Таблица1[[#This Row],[Дата отчета]])</f>
        <v>2026</v>
      </c>
      <c r="N533" s="7"/>
      <c r="O533" s="7"/>
      <c r="P533" s="7"/>
      <c r="Q533" s="10"/>
    </row>
    <row r="534" spans="1:17" x14ac:dyDescent="0.25">
      <c r="A534" s="1" t="s">
        <v>12</v>
      </c>
      <c r="B534" s="2" t="s">
        <v>297</v>
      </c>
      <c r="C534" s="2" t="s">
        <v>356</v>
      </c>
      <c r="D534" s="2" t="s">
        <v>357</v>
      </c>
      <c r="E534" s="3" t="s">
        <v>51</v>
      </c>
      <c r="F534" s="18">
        <v>279</v>
      </c>
      <c r="G534" s="4"/>
      <c r="H534" s="2">
        <v>1</v>
      </c>
      <c r="I534" s="3">
        <v>45939</v>
      </c>
      <c r="J534" s="4">
        <v>143</v>
      </c>
      <c r="K534" s="4" t="s">
        <v>22</v>
      </c>
      <c r="L534" s="3">
        <v>46083</v>
      </c>
      <c r="M534" s="23">
        <f>YEAR(Таблица1[[#This Row],[Дата отчета]])</f>
        <v>2026</v>
      </c>
      <c r="N534" s="2"/>
      <c r="O534" s="2"/>
      <c r="P534" s="2"/>
      <c r="Q534" s="5"/>
    </row>
    <row r="535" spans="1:17" x14ac:dyDescent="0.25">
      <c r="A535" s="6" t="s">
        <v>12</v>
      </c>
      <c r="B535" s="7" t="s">
        <v>297</v>
      </c>
      <c r="C535" s="7" t="s">
        <v>358</v>
      </c>
      <c r="D535" s="7" t="s">
        <v>359</v>
      </c>
      <c r="E535" s="8" t="s">
        <v>360</v>
      </c>
      <c r="F535" s="19">
        <v>13750</v>
      </c>
      <c r="G535" s="9"/>
      <c r="H535" s="7">
        <v>1</v>
      </c>
      <c r="I535" s="8">
        <v>46058</v>
      </c>
      <c r="J535" s="9">
        <v>24</v>
      </c>
      <c r="K535" s="9" t="s">
        <v>38</v>
      </c>
      <c r="L535" s="3">
        <v>46083</v>
      </c>
      <c r="M535" s="23">
        <f>YEAR(Таблица1[[#This Row],[Дата отчета]])</f>
        <v>2026</v>
      </c>
      <c r="N535" s="7"/>
      <c r="O535" s="7"/>
      <c r="P535" s="7"/>
      <c r="Q535" s="10"/>
    </row>
    <row r="536" spans="1:17" x14ac:dyDescent="0.25">
      <c r="A536" s="1" t="s">
        <v>12</v>
      </c>
      <c r="B536" s="2" t="s">
        <v>297</v>
      </c>
      <c r="C536" s="2" t="s">
        <v>361</v>
      </c>
      <c r="D536" s="2" t="s">
        <v>362</v>
      </c>
      <c r="E536" s="3" t="s">
        <v>165</v>
      </c>
      <c r="F536" s="18">
        <v>107310</v>
      </c>
      <c r="G536" s="4"/>
      <c r="H536" s="2">
        <v>1</v>
      </c>
      <c r="I536" s="3">
        <v>46073</v>
      </c>
      <c r="J536" s="4">
        <v>9</v>
      </c>
      <c r="K536" s="4" t="s">
        <v>38</v>
      </c>
      <c r="L536" s="3">
        <v>46083</v>
      </c>
      <c r="M536" s="23">
        <f>YEAR(Таблица1[[#This Row],[Дата отчета]])</f>
        <v>2026</v>
      </c>
      <c r="N536" s="2"/>
      <c r="O536" s="2"/>
      <c r="P536" s="2"/>
      <c r="Q536" s="5"/>
    </row>
    <row r="537" spans="1:17" x14ac:dyDescent="0.25">
      <c r="A537" s="6" t="s">
        <v>12</v>
      </c>
      <c r="B537" s="7" t="s">
        <v>297</v>
      </c>
      <c r="C537" s="7" t="s">
        <v>363</v>
      </c>
      <c r="D537" s="7" t="s">
        <v>364</v>
      </c>
      <c r="E537" s="8" t="s">
        <v>365</v>
      </c>
      <c r="F537" s="19">
        <v>11763</v>
      </c>
      <c r="G537" s="9"/>
      <c r="H537" s="7">
        <v>1</v>
      </c>
      <c r="I537" s="8">
        <v>46062</v>
      </c>
      <c r="J537" s="9">
        <v>20</v>
      </c>
      <c r="K537" s="9" t="s">
        <v>38</v>
      </c>
      <c r="L537" s="3">
        <v>46083</v>
      </c>
      <c r="M537" s="23">
        <f>YEAR(Таблица1[[#This Row],[Дата отчета]])</f>
        <v>2026</v>
      </c>
      <c r="N537" s="7"/>
      <c r="O537" s="7"/>
      <c r="P537" s="7"/>
      <c r="Q537" s="10"/>
    </row>
    <row r="538" spans="1:17" x14ac:dyDescent="0.25">
      <c r="A538" s="1" t="s">
        <v>12</v>
      </c>
      <c r="B538" s="2" t="s">
        <v>297</v>
      </c>
      <c r="C538" s="2" t="s">
        <v>366</v>
      </c>
      <c r="D538" s="2" t="s">
        <v>367</v>
      </c>
      <c r="E538" s="3" t="s">
        <v>48</v>
      </c>
      <c r="F538" s="18">
        <v>14331</v>
      </c>
      <c r="G538" s="4"/>
      <c r="H538" s="2">
        <v>1</v>
      </c>
      <c r="I538" s="3">
        <v>46078</v>
      </c>
      <c r="J538" s="4">
        <v>4</v>
      </c>
      <c r="K538" s="4" t="s">
        <v>38</v>
      </c>
      <c r="L538" s="3">
        <v>46083</v>
      </c>
      <c r="M538" s="23">
        <f>YEAR(Таблица1[[#This Row],[Дата отчета]])</f>
        <v>2026</v>
      </c>
      <c r="N538" s="2"/>
      <c r="O538" s="2"/>
      <c r="P538" s="2"/>
      <c r="Q538" s="5"/>
    </row>
    <row r="539" spans="1:17" x14ac:dyDescent="0.25">
      <c r="A539" s="6" t="s">
        <v>12</v>
      </c>
      <c r="B539" s="7" t="s">
        <v>297</v>
      </c>
      <c r="C539" s="7" t="s">
        <v>368</v>
      </c>
      <c r="D539" s="7" t="s">
        <v>369</v>
      </c>
      <c r="E539" s="8" t="s">
        <v>37</v>
      </c>
      <c r="F539" s="19">
        <v>47892</v>
      </c>
      <c r="G539" s="9"/>
      <c r="H539" s="7">
        <v>1</v>
      </c>
      <c r="I539" s="8">
        <v>46066</v>
      </c>
      <c r="J539" s="9">
        <v>16</v>
      </c>
      <c r="K539" s="9" t="s">
        <v>38</v>
      </c>
      <c r="L539" s="3">
        <v>46083</v>
      </c>
      <c r="M539" s="23">
        <f>YEAR(Таблица1[[#This Row],[Дата отчета]])</f>
        <v>2026</v>
      </c>
      <c r="N539" s="7"/>
      <c r="O539" s="7"/>
      <c r="P539" s="7"/>
      <c r="Q539" s="10"/>
    </row>
    <row r="540" spans="1:17" x14ac:dyDescent="0.25">
      <c r="A540" s="1" t="s">
        <v>12</v>
      </c>
      <c r="B540" s="2" t="s">
        <v>297</v>
      </c>
      <c r="C540" s="2" t="s">
        <v>370</v>
      </c>
      <c r="D540" s="2" t="s">
        <v>371</v>
      </c>
      <c r="E540" s="3" t="s">
        <v>169</v>
      </c>
      <c r="F540" s="18">
        <v>105441</v>
      </c>
      <c r="G540" s="4"/>
      <c r="H540" s="2">
        <v>1</v>
      </c>
      <c r="I540" s="3">
        <v>46050</v>
      </c>
      <c r="J540" s="4">
        <v>32</v>
      </c>
      <c r="K540" s="4" t="s">
        <v>27</v>
      </c>
      <c r="L540" s="3">
        <v>46083</v>
      </c>
      <c r="M540" s="23">
        <f>YEAR(Таблица1[[#This Row],[Дата отчета]])</f>
        <v>2026</v>
      </c>
      <c r="N540" s="2"/>
      <c r="O540" s="2"/>
      <c r="P540" s="2"/>
      <c r="Q540" s="5"/>
    </row>
    <row r="541" spans="1:17" x14ac:dyDescent="0.25">
      <c r="A541" s="6" t="s">
        <v>12</v>
      </c>
      <c r="B541" s="7" t="s">
        <v>297</v>
      </c>
      <c r="C541" s="7" t="s">
        <v>372</v>
      </c>
      <c r="D541" s="7" t="s">
        <v>373</v>
      </c>
      <c r="E541" s="8" t="s">
        <v>350</v>
      </c>
      <c r="F541" s="19">
        <v>86425</v>
      </c>
      <c r="G541" s="9"/>
      <c r="H541" s="7">
        <v>1</v>
      </c>
      <c r="I541" s="8">
        <v>46057</v>
      </c>
      <c r="J541" s="9">
        <v>25</v>
      </c>
      <c r="K541" s="9" t="s">
        <v>38</v>
      </c>
      <c r="L541" s="3">
        <v>46083</v>
      </c>
      <c r="M541" s="23">
        <f>YEAR(Таблица1[[#This Row],[Дата отчета]])</f>
        <v>2026</v>
      </c>
      <c r="N541" s="7"/>
      <c r="O541" s="7"/>
      <c r="P541" s="7"/>
      <c r="Q541" s="10"/>
    </row>
    <row r="542" spans="1:17" x14ac:dyDescent="0.25">
      <c r="A542" s="1" t="s">
        <v>12</v>
      </c>
      <c r="B542" s="2" t="s">
        <v>297</v>
      </c>
      <c r="C542" s="2" t="s">
        <v>374</v>
      </c>
      <c r="D542" s="2" t="s">
        <v>375</v>
      </c>
      <c r="E542" s="3" t="s">
        <v>35</v>
      </c>
      <c r="F542" s="18">
        <v>33606</v>
      </c>
      <c r="G542" s="4"/>
      <c r="H542" s="2">
        <v>1</v>
      </c>
      <c r="I542" s="3">
        <v>46036</v>
      </c>
      <c r="J542" s="4">
        <v>46</v>
      </c>
      <c r="K542" s="4" t="s">
        <v>27</v>
      </c>
      <c r="L542" s="3">
        <v>46083</v>
      </c>
      <c r="M542" s="23">
        <f>YEAR(Таблица1[[#This Row],[Дата отчета]])</f>
        <v>2026</v>
      </c>
      <c r="N542" s="2"/>
      <c r="O542" s="2"/>
      <c r="P542" s="2"/>
      <c r="Q542" s="5"/>
    </row>
    <row r="543" spans="1:17" x14ac:dyDescent="0.25">
      <c r="A543" s="6" t="s">
        <v>12</v>
      </c>
      <c r="B543" s="7" t="s">
        <v>297</v>
      </c>
      <c r="C543" s="7" t="s">
        <v>376</v>
      </c>
      <c r="D543" s="7" t="s">
        <v>377</v>
      </c>
      <c r="E543" s="8" t="s">
        <v>127</v>
      </c>
      <c r="F543" s="19">
        <v>1331</v>
      </c>
      <c r="G543" s="9"/>
      <c r="H543" s="7">
        <v>1</v>
      </c>
      <c r="I543" s="8">
        <v>46037</v>
      </c>
      <c r="J543" s="9">
        <v>45</v>
      </c>
      <c r="K543" s="9" t="s">
        <v>27</v>
      </c>
      <c r="L543" s="3">
        <v>46083</v>
      </c>
      <c r="M543" s="23">
        <f>YEAR(Таблица1[[#This Row],[Дата отчета]])</f>
        <v>2026</v>
      </c>
      <c r="N543" s="7"/>
      <c r="O543" s="7"/>
      <c r="P543" s="7"/>
      <c r="Q543" s="10"/>
    </row>
    <row r="544" spans="1:17" x14ac:dyDescent="0.25">
      <c r="A544" s="1" t="s">
        <v>12</v>
      </c>
      <c r="B544" s="2" t="s">
        <v>378</v>
      </c>
      <c r="C544" s="2" t="s">
        <v>379</v>
      </c>
      <c r="D544" s="2" t="s">
        <v>380</v>
      </c>
      <c r="E544" s="3" t="s">
        <v>75</v>
      </c>
      <c r="F544" s="18">
        <v>141389</v>
      </c>
      <c r="G544" s="4"/>
      <c r="H544" s="2">
        <v>1</v>
      </c>
      <c r="I544" s="3">
        <v>46016</v>
      </c>
      <c r="J544" s="4">
        <v>66</v>
      </c>
      <c r="K544" s="4" t="s">
        <v>27</v>
      </c>
      <c r="L544" s="3">
        <v>46083</v>
      </c>
      <c r="M544" s="23">
        <f>YEAR(Таблица1[[#This Row],[Дата отчета]])</f>
        <v>2026</v>
      </c>
      <c r="N544" s="2"/>
      <c r="O544" s="2"/>
      <c r="P544" s="2"/>
      <c r="Q544" s="5"/>
    </row>
    <row r="545" spans="1:17" x14ac:dyDescent="0.25">
      <c r="A545" s="6" t="s">
        <v>12</v>
      </c>
      <c r="B545" s="7" t="s">
        <v>378</v>
      </c>
      <c r="C545" s="7" t="s">
        <v>379</v>
      </c>
      <c r="D545" s="7" t="s">
        <v>381</v>
      </c>
      <c r="E545" s="8" t="s">
        <v>59</v>
      </c>
      <c r="F545" s="19">
        <v>248561</v>
      </c>
      <c r="G545" s="9"/>
      <c r="H545" s="7">
        <v>1</v>
      </c>
      <c r="I545" s="8">
        <v>46077</v>
      </c>
      <c r="J545" s="9">
        <v>5</v>
      </c>
      <c r="K545" s="9" t="s">
        <v>38</v>
      </c>
      <c r="L545" s="3">
        <v>46083</v>
      </c>
      <c r="M545" s="23">
        <f>YEAR(Таблица1[[#This Row],[Дата отчета]])</f>
        <v>2026</v>
      </c>
      <c r="N545" s="7"/>
      <c r="O545" s="7"/>
      <c r="P545" s="7"/>
      <c r="Q545" s="10"/>
    </row>
    <row r="546" spans="1:17" x14ac:dyDescent="0.25">
      <c r="A546" s="1" t="s">
        <v>12</v>
      </c>
      <c r="B546" s="2" t="s">
        <v>378</v>
      </c>
      <c r="C546" s="2" t="s">
        <v>379</v>
      </c>
      <c r="D546" s="2" t="s">
        <v>382</v>
      </c>
      <c r="E546" s="3" t="s">
        <v>61</v>
      </c>
      <c r="F546" s="18">
        <v>45150</v>
      </c>
      <c r="G546" s="4"/>
      <c r="H546" s="2">
        <v>1</v>
      </c>
      <c r="I546" s="3">
        <v>46079</v>
      </c>
      <c r="J546" s="4">
        <v>3</v>
      </c>
      <c r="K546" s="4" t="s">
        <v>38</v>
      </c>
      <c r="L546" s="3">
        <v>46083</v>
      </c>
      <c r="M546" s="23">
        <f>YEAR(Таблица1[[#This Row],[Дата отчета]])</f>
        <v>2026</v>
      </c>
      <c r="N546" s="2"/>
      <c r="O546" s="2"/>
      <c r="P546" s="2"/>
      <c r="Q546" s="5"/>
    </row>
    <row r="547" spans="1:17" x14ac:dyDescent="0.25">
      <c r="A547" s="6" t="s">
        <v>12</v>
      </c>
      <c r="B547" s="7" t="s">
        <v>383</v>
      </c>
      <c r="C547" s="7" t="s">
        <v>384</v>
      </c>
      <c r="D547" s="7" t="s">
        <v>385</v>
      </c>
      <c r="E547" s="8" t="s">
        <v>48</v>
      </c>
      <c r="F547" s="19">
        <v>29997</v>
      </c>
      <c r="G547" s="9"/>
      <c r="H547" s="7">
        <v>1</v>
      </c>
      <c r="I547" s="8">
        <v>46078</v>
      </c>
      <c r="J547" s="9">
        <v>4</v>
      </c>
      <c r="K547" s="9" t="s">
        <v>38</v>
      </c>
      <c r="L547" s="3">
        <v>46083</v>
      </c>
      <c r="M547" s="23">
        <f>YEAR(Таблица1[[#This Row],[Дата отчета]])</f>
        <v>2026</v>
      </c>
      <c r="N547" s="7"/>
      <c r="O547" s="7"/>
      <c r="P547" s="7"/>
      <c r="Q547" s="10"/>
    </row>
    <row r="548" spans="1:17" x14ac:dyDescent="0.25">
      <c r="A548" s="1" t="s">
        <v>12</v>
      </c>
      <c r="B548" s="2" t="s">
        <v>386</v>
      </c>
      <c r="C548" s="2" t="s">
        <v>387</v>
      </c>
      <c r="D548" s="2" t="s">
        <v>388</v>
      </c>
      <c r="E548" s="3" t="s">
        <v>259</v>
      </c>
      <c r="F548" s="18">
        <v>827640</v>
      </c>
      <c r="G548" s="4"/>
      <c r="H548" s="2">
        <v>1</v>
      </c>
      <c r="I548" s="3">
        <v>46071</v>
      </c>
      <c r="J548" s="4">
        <v>11</v>
      </c>
      <c r="K548" s="4" t="s">
        <v>38</v>
      </c>
      <c r="L548" s="3">
        <v>46083</v>
      </c>
      <c r="M548" s="23">
        <f>YEAR(Таблица1[[#This Row],[Дата отчета]])</f>
        <v>2026</v>
      </c>
      <c r="N548" s="2"/>
      <c r="O548" s="2"/>
      <c r="P548" s="2"/>
      <c r="Q548" s="5"/>
    </row>
    <row r="549" spans="1:17" x14ac:dyDescent="0.25">
      <c r="A549" s="6" t="s">
        <v>12</v>
      </c>
      <c r="B549" s="7" t="s">
        <v>389</v>
      </c>
      <c r="C549" s="7" t="s">
        <v>390</v>
      </c>
      <c r="D549" s="7" t="s">
        <v>391</v>
      </c>
      <c r="E549" s="8" t="s">
        <v>392</v>
      </c>
      <c r="F549" s="19">
        <v>97121</v>
      </c>
      <c r="G549" s="9"/>
      <c r="H549" s="7">
        <v>1</v>
      </c>
      <c r="I549" s="8">
        <v>45952</v>
      </c>
      <c r="J549" s="9">
        <v>130</v>
      </c>
      <c r="K549" s="9" t="s">
        <v>22</v>
      </c>
      <c r="L549" s="3">
        <v>46083</v>
      </c>
      <c r="M549" s="23">
        <f>YEAR(Таблица1[[#This Row],[Дата отчета]])</f>
        <v>2026</v>
      </c>
      <c r="N549" s="7"/>
      <c r="O549" s="7"/>
      <c r="P549" s="7"/>
      <c r="Q549" s="10"/>
    </row>
    <row r="550" spans="1:17" x14ac:dyDescent="0.25">
      <c r="A550" s="1" t="s">
        <v>12</v>
      </c>
      <c r="B550" s="2" t="s">
        <v>393</v>
      </c>
      <c r="C550" s="2" t="s">
        <v>394</v>
      </c>
      <c r="D550" s="2" t="s">
        <v>395</v>
      </c>
      <c r="E550" s="3" t="s">
        <v>37</v>
      </c>
      <c r="F550" s="18">
        <v>1220000</v>
      </c>
      <c r="G550" s="4"/>
      <c r="H550" s="2">
        <v>1</v>
      </c>
      <c r="I550" s="3">
        <v>46066</v>
      </c>
      <c r="J550" s="4">
        <v>16</v>
      </c>
      <c r="K550" s="4" t="s">
        <v>38</v>
      </c>
      <c r="L550" s="3">
        <v>46083</v>
      </c>
      <c r="M550" s="23">
        <f>YEAR(Таблица1[[#This Row],[Дата отчета]])</f>
        <v>2026</v>
      </c>
      <c r="N550" s="2"/>
      <c r="O550" s="2"/>
      <c r="P550" s="2"/>
      <c r="Q550" s="5"/>
    </row>
    <row r="551" spans="1:17" x14ac:dyDescent="0.25">
      <c r="A551" s="6" t="s">
        <v>12</v>
      </c>
      <c r="B551" s="7" t="s">
        <v>396</v>
      </c>
      <c r="C551" s="7" t="s">
        <v>397</v>
      </c>
      <c r="D551" s="7" t="s">
        <v>398</v>
      </c>
      <c r="E551" s="8" t="s">
        <v>165</v>
      </c>
      <c r="F551" s="19">
        <v>1974844.5</v>
      </c>
      <c r="G551" s="9"/>
      <c r="H551" s="7">
        <v>1</v>
      </c>
      <c r="I551" s="8">
        <v>46073</v>
      </c>
      <c r="J551" s="9">
        <v>9</v>
      </c>
      <c r="K551" s="9" t="s">
        <v>38</v>
      </c>
      <c r="L551" s="3">
        <v>46083</v>
      </c>
      <c r="M551" s="23">
        <f>YEAR(Таблица1[[#This Row],[Дата отчета]])</f>
        <v>2026</v>
      </c>
      <c r="N551" s="7"/>
      <c r="O551" s="7"/>
      <c r="P551" s="7"/>
      <c r="Q551" s="10"/>
    </row>
    <row r="552" spans="1:17" x14ac:dyDescent="0.25">
      <c r="A552" s="1" t="s">
        <v>12</v>
      </c>
      <c r="B552" s="2" t="s">
        <v>399</v>
      </c>
      <c r="C552" s="2" t="s">
        <v>400</v>
      </c>
      <c r="D552" s="2" t="s">
        <v>401</v>
      </c>
      <c r="E552" s="3" t="s">
        <v>61</v>
      </c>
      <c r="F552" s="18">
        <v>555424</v>
      </c>
      <c r="G552" s="4"/>
      <c r="H552" s="2">
        <v>1</v>
      </c>
      <c r="I552" s="3">
        <v>46079</v>
      </c>
      <c r="J552" s="4">
        <v>3</v>
      </c>
      <c r="K552" s="4" t="s">
        <v>38</v>
      </c>
      <c r="L552" s="3">
        <v>46083</v>
      </c>
      <c r="M552" s="23">
        <f>YEAR(Таблица1[[#This Row],[Дата отчета]])</f>
        <v>2026</v>
      </c>
      <c r="N552" s="2"/>
      <c r="O552" s="2"/>
      <c r="P552" s="2"/>
      <c r="Q552" s="5"/>
    </row>
    <row r="553" spans="1:17" x14ac:dyDescent="0.25">
      <c r="A553" s="6" t="s">
        <v>12</v>
      </c>
      <c r="B553" s="7" t="s">
        <v>402</v>
      </c>
      <c r="C553" s="7" t="s">
        <v>403</v>
      </c>
      <c r="D553" s="7" t="s">
        <v>404</v>
      </c>
      <c r="E553" s="8" t="s">
        <v>405</v>
      </c>
      <c r="F553" s="19">
        <v>6881.46</v>
      </c>
      <c r="G553" s="9"/>
      <c r="H553" s="7">
        <v>1</v>
      </c>
      <c r="I553" s="8">
        <v>44773</v>
      </c>
      <c r="J553" s="9">
        <v>1309</v>
      </c>
      <c r="K553" s="9" t="s">
        <v>17</v>
      </c>
      <c r="L553" s="3">
        <v>46083</v>
      </c>
      <c r="M553" s="23">
        <f>YEAR(Таблица1[[#This Row],[Дата отчета]])</f>
        <v>2026</v>
      </c>
      <c r="N553" s="7" t="s">
        <v>4538</v>
      </c>
      <c r="O553" s="7"/>
      <c r="P553" s="7"/>
      <c r="Q553" s="10"/>
    </row>
    <row r="554" spans="1:17" x14ac:dyDescent="0.25">
      <c r="A554" s="1" t="s">
        <v>12</v>
      </c>
      <c r="B554" s="2" t="s">
        <v>402</v>
      </c>
      <c r="C554" s="2" t="s">
        <v>406</v>
      </c>
      <c r="D554" s="2" t="s">
        <v>407</v>
      </c>
      <c r="E554" s="3" t="s">
        <v>408</v>
      </c>
      <c r="F554" s="18">
        <v>6883200</v>
      </c>
      <c r="G554" s="4"/>
      <c r="H554" s="2">
        <v>1</v>
      </c>
      <c r="I554" s="3">
        <v>46010</v>
      </c>
      <c r="J554" s="4">
        <v>72</v>
      </c>
      <c r="K554" s="4" t="s">
        <v>27</v>
      </c>
      <c r="L554" s="3">
        <v>46083</v>
      </c>
      <c r="M554" s="23">
        <f>YEAR(Таблица1[[#This Row],[Дата отчета]])</f>
        <v>2026</v>
      </c>
      <c r="N554" s="2"/>
      <c r="O554" s="2"/>
      <c r="P554" s="2"/>
      <c r="Q554" s="5"/>
    </row>
    <row r="555" spans="1:17" x14ac:dyDescent="0.25">
      <c r="A555" s="6" t="s">
        <v>12</v>
      </c>
      <c r="B555" s="7" t="s">
        <v>409</v>
      </c>
      <c r="C555" s="7" t="s">
        <v>410</v>
      </c>
      <c r="D555" s="7" t="s">
        <v>411</v>
      </c>
      <c r="E555" s="8" t="s">
        <v>48</v>
      </c>
      <c r="F555" s="19">
        <v>153376</v>
      </c>
      <c r="G555" s="9"/>
      <c r="H555" s="7">
        <v>1</v>
      </c>
      <c r="I555" s="8">
        <v>46078</v>
      </c>
      <c r="J555" s="9">
        <v>4</v>
      </c>
      <c r="K555" s="9" t="s">
        <v>38</v>
      </c>
      <c r="L555" s="3">
        <v>46083</v>
      </c>
      <c r="M555" s="23">
        <f>YEAR(Таблица1[[#This Row],[Дата отчета]])</f>
        <v>2026</v>
      </c>
      <c r="N555" s="7"/>
      <c r="O555" s="7"/>
      <c r="P555" s="7"/>
      <c r="Q555" s="10"/>
    </row>
    <row r="556" spans="1:17" x14ac:dyDescent="0.25">
      <c r="A556" s="1" t="s">
        <v>12</v>
      </c>
      <c r="B556" s="2" t="s">
        <v>412</v>
      </c>
      <c r="C556" s="2" t="s">
        <v>413</v>
      </c>
      <c r="D556" s="2" t="s">
        <v>414</v>
      </c>
      <c r="E556" s="3" t="s">
        <v>415</v>
      </c>
      <c r="F556" s="18">
        <v>0.04</v>
      </c>
      <c r="G556" s="4"/>
      <c r="H556" s="2">
        <v>1</v>
      </c>
      <c r="I556" s="3">
        <v>45833</v>
      </c>
      <c r="J556" s="4">
        <v>249</v>
      </c>
      <c r="K556" s="4" t="s">
        <v>67</v>
      </c>
      <c r="L556" s="3">
        <v>46083</v>
      </c>
      <c r="M556" s="23">
        <f>YEAR(Таблица1[[#This Row],[Дата отчета]])</f>
        <v>2026</v>
      </c>
      <c r="N556" s="2"/>
      <c r="O556" s="2"/>
      <c r="P556" s="2"/>
      <c r="Q556" s="5"/>
    </row>
    <row r="557" spans="1:17" x14ac:dyDescent="0.25">
      <c r="A557" s="6" t="s">
        <v>12</v>
      </c>
      <c r="B557" s="7" t="s">
        <v>416</v>
      </c>
      <c r="C557" s="7" t="s">
        <v>417</v>
      </c>
      <c r="D557" s="7" t="s">
        <v>418</v>
      </c>
      <c r="E557" s="8" t="s">
        <v>419</v>
      </c>
      <c r="F557" s="19">
        <v>5478</v>
      </c>
      <c r="G557" s="9"/>
      <c r="H557" s="7">
        <v>1</v>
      </c>
      <c r="I557" s="8">
        <v>45883</v>
      </c>
      <c r="J557" s="9">
        <v>199</v>
      </c>
      <c r="K557" s="9" t="s">
        <v>67</v>
      </c>
      <c r="L557" s="3">
        <v>46083</v>
      </c>
      <c r="M557" s="23">
        <f>YEAR(Таблица1[[#This Row],[Дата отчета]])</f>
        <v>2026</v>
      </c>
      <c r="N557" s="7"/>
      <c r="O557" s="7"/>
      <c r="P557" s="7"/>
      <c r="Q557" s="10"/>
    </row>
    <row r="558" spans="1:17" x14ac:dyDescent="0.25">
      <c r="A558" s="1" t="s">
        <v>12</v>
      </c>
      <c r="B558" s="2" t="s">
        <v>416</v>
      </c>
      <c r="C558" s="2" t="s">
        <v>420</v>
      </c>
      <c r="D558" s="2" t="s">
        <v>421</v>
      </c>
      <c r="E558" s="3" t="s">
        <v>422</v>
      </c>
      <c r="F558" s="18">
        <v>11518</v>
      </c>
      <c r="G558" s="4"/>
      <c r="H558" s="2">
        <v>1</v>
      </c>
      <c r="I558" s="3">
        <v>45972</v>
      </c>
      <c r="J558" s="4">
        <v>110</v>
      </c>
      <c r="K558" s="4" t="s">
        <v>71</v>
      </c>
      <c r="L558" s="3">
        <v>46083</v>
      </c>
      <c r="M558" s="23">
        <f>YEAR(Таблица1[[#This Row],[Дата отчета]])</f>
        <v>2026</v>
      </c>
      <c r="N558" s="2"/>
      <c r="O558" s="2"/>
      <c r="P558" s="2"/>
      <c r="Q558" s="5"/>
    </row>
    <row r="559" spans="1:17" x14ac:dyDescent="0.25">
      <c r="A559" s="6" t="s">
        <v>12</v>
      </c>
      <c r="B559" s="7" t="s">
        <v>416</v>
      </c>
      <c r="C559" s="7" t="s">
        <v>423</v>
      </c>
      <c r="D559" s="7" t="s">
        <v>424</v>
      </c>
      <c r="E559" s="8" t="s">
        <v>422</v>
      </c>
      <c r="F559" s="19">
        <v>65989</v>
      </c>
      <c r="G559" s="9"/>
      <c r="H559" s="7">
        <v>1</v>
      </c>
      <c r="I559" s="8">
        <v>45972</v>
      </c>
      <c r="J559" s="9">
        <v>110</v>
      </c>
      <c r="K559" s="9" t="s">
        <v>71</v>
      </c>
      <c r="L559" s="3">
        <v>46083</v>
      </c>
      <c r="M559" s="23">
        <f>YEAR(Таблица1[[#This Row],[Дата отчета]])</f>
        <v>2026</v>
      </c>
      <c r="N559" s="7"/>
      <c r="O559" s="7"/>
      <c r="P559" s="7"/>
      <c r="Q559" s="10"/>
    </row>
    <row r="560" spans="1:17" x14ac:dyDescent="0.25">
      <c r="A560" s="1" t="s">
        <v>12</v>
      </c>
      <c r="B560" s="2" t="s">
        <v>425</v>
      </c>
      <c r="C560" s="2" t="s">
        <v>426</v>
      </c>
      <c r="D560" s="2" t="s">
        <v>427</v>
      </c>
      <c r="E560" s="3" t="s">
        <v>415</v>
      </c>
      <c r="F560" s="18">
        <v>52500</v>
      </c>
      <c r="G560" s="4"/>
      <c r="H560" s="2">
        <v>1</v>
      </c>
      <c r="I560" s="3">
        <v>45833</v>
      </c>
      <c r="J560" s="4">
        <v>249</v>
      </c>
      <c r="K560" s="4" t="s">
        <v>67</v>
      </c>
      <c r="L560" s="3">
        <v>46083</v>
      </c>
      <c r="M560" s="23">
        <f>YEAR(Таблица1[[#This Row],[Дата отчета]])</f>
        <v>2026</v>
      </c>
      <c r="N560" s="2"/>
      <c r="O560" s="2"/>
      <c r="P560" s="2"/>
      <c r="Q560" s="5"/>
    </row>
    <row r="561" spans="1:17" x14ac:dyDescent="0.25">
      <c r="A561" s="6" t="s">
        <v>12</v>
      </c>
      <c r="B561" s="7" t="s">
        <v>425</v>
      </c>
      <c r="C561" s="7" t="s">
        <v>426</v>
      </c>
      <c r="D561" s="7" t="s">
        <v>428</v>
      </c>
      <c r="E561" s="8" t="s">
        <v>429</v>
      </c>
      <c r="F561" s="19">
        <v>297500</v>
      </c>
      <c r="G561" s="9"/>
      <c r="H561" s="7">
        <v>1</v>
      </c>
      <c r="I561" s="8">
        <v>45897</v>
      </c>
      <c r="J561" s="9">
        <v>185</v>
      </c>
      <c r="K561" s="9" t="s">
        <v>67</v>
      </c>
      <c r="L561" s="3">
        <v>46083</v>
      </c>
      <c r="M561" s="23">
        <f>YEAR(Таблица1[[#This Row],[Дата отчета]])</f>
        <v>2026</v>
      </c>
      <c r="N561" s="7"/>
      <c r="O561" s="7"/>
      <c r="P561" s="7"/>
      <c r="Q561" s="10"/>
    </row>
    <row r="562" spans="1:17" x14ac:dyDescent="0.25">
      <c r="A562" s="1" t="s">
        <v>12</v>
      </c>
      <c r="B562" s="2" t="s">
        <v>425</v>
      </c>
      <c r="C562" s="2" t="s">
        <v>430</v>
      </c>
      <c r="D562" s="2" t="s">
        <v>431</v>
      </c>
      <c r="E562" s="3" t="s">
        <v>61</v>
      </c>
      <c r="F562" s="18">
        <v>55050</v>
      </c>
      <c r="G562" s="4"/>
      <c r="H562" s="2">
        <v>1</v>
      </c>
      <c r="I562" s="3">
        <v>46079</v>
      </c>
      <c r="J562" s="4">
        <v>3</v>
      </c>
      <c r="K562" s="4" t="s">
        <v>38</v>
      </c>
      <c r="L562" s="3">
        <v>46083</v>
      </c>
      <c r="M562" s="23">
        <f>YEAR(Таблица1[[#This Row],[Дата отчета]])</f>
        <v>2026</v>
      </c>
      <c r="N562" s="2"/>
      <c r="O562" s="2"/>
      <c r="P562" s="2"/>
      <c r="Q562" s="5"/>
    </row>
    <row r="563" spans="1:17" x14ac:dyDescent="0.25">
      <c r="A563" s="6" t="s">
        <v>12</v>
      </c>
      <c r="B563" s="7" t="s">
        <v>425</v>
      </c>
      <c r="C563" s="7" t="s">
        <v>432</v>
      </c>
      <c r="D563" s="7" t="s">
        <v>433</v>
      </c>
      <c r="E563" s="8" t="s">
        <v>61</v>
      </c>
      <c r="F563" s="19">
        <v>22050</v>
      </c>
      <c r="G563" s="9"/>
      <c r="H563" s="7">
        <v>1</v>
      </c>
      <c r="I563" s="8">
        <v>46079</v>
      </c>
      <c r="J563" s="9">
        <v>3</v>
      </c>
      <c r="K563" s="9" t="s">
        <v>38</v>
      </c>
      <c r="L563" s="3">
        <v>46083</v>
      </c>
      <c r="M563" s="23">
        <f>YEAR(Таблица1[[#This Row],[Дата отчета]])</f>
        <v>2026</v>
      </c>
      <c r="N563" s="7"/>
      <c r="O563" s="7"/>
      <c r="P563" s="7"/>
      <c r="Q563" s="10"/>
    </row>
    <row r="564" spans="1:17" x14ac:dyDescent="0.25">
      <c r="A564" s="1" t="s">
        <v>12</v>
      </c>
      <c r="B564" s="2" t="s">
        <v>434</v>
      </c>
      <c r="C564" s="2" t="s">
        <v>435</v>
      </c>
      <c r="D564" s="2" t="s">
        <v>436</v>
      </c>
      <c r="E564" s="3" t="s">
        <v>37</v>
      </c>
      <c r="F564" s="18">
        <v>3156390</v>
      </c>
      <c r="G564" s="4"/>
      <c r="H564" s="2">
        <v>1</v>
      </c>
      <c r="I564" s="3">
        <v>46066</v>
      </c>
      <c r="J564" s="4">
        <v>16</v>
      </c>
      <c r="K564" s="4" t="s">
        <v>38</v>
      </c>
      <c r="L564" s="3">
        <v>46083</v>
      </c>
      <c r="M564" s="23">
        <f>YEAR(Таблица1[[#This Row],[Дата отчета]])</f>
        <v>2026</v>
      </c>
      <c r="N564" s="2"/>
      <c r="O564" s="2"/>
      <c r="P564" s="2"/>
      <c r="Q564" s="5"/>
    </row>
    <row r="565" spans="1:17" x14ac:dyDescent="0.25">
      <c r="A565" s="6" t="s">
        <v>12</v>
      </c>
      <c r="B565" s="7" t="s">
        <v>434</v>
      </c>
      <c r="C565" s="7" t="s">
        <v>437</v>
      </c>
      <c r="D565" s="7" t="s">
        <v>438</v>
      </c>
      <c r="E565" s="8" t="s">
        <v>422</v>
      </c>
      <c r="F565" s="19">
        <v>40216000</v>
      </c>
      <c r="G565" s="9"/>
      <c r="H565" s="7">
        <v>1</v>
      </c>
      <c r="I565" s="8">
        <v>45972</v>
      </c>
      <c r="J565" s="9">
        <v>110</v>
      </c>
      <c r="K565" s="9" t="s">
        <v>71</v>
      </c>
      <c r="L565" s="3">
        <v>46083</v>
      </c>
      <c r="M565" s="23">
        <f>YEAR(Таблица1[[#This Row],[Дата отчета]])</f>
        <v>2026</v>
      </c>
      <c r="N565" s="7"/>
      <c r="O565" s="7"/>
      <c r="P565" s="7"/>
      <c r="Q565" s="10"/>
    </row>
    <row r="566" spans="1:17" x14ac:dyDescent="0.25">
      <c r="A566" s="1" t="s">
        <v>12</v>
      </c>
      <c r="B566" s="2" t="s">
        <v>434</v>
      </c>
      <c r="C566" s="2" t="s">
        <v>437</v>
      </c>
      <c r="D566" s="2" t="s">
        <v>439</v>
      </c>
      <c r="E566" s="3" t="s">
        <v>440</v>
      </c>
      <c r="F566" s="18">
        <v>40216000</v>
      </c>
      <c r="G566" s="4"/>
      <c r="H566" s="2">
        <v>1</v>
      </c>
      <c r="I566" s="3">
        <v>46055</v>
      </c>
      <c r="J566" s="4">
        <v>27</v>
      </c>
      <c r="K566" s="4" t="s">
        <v>38</v>
      </c>
      <c r="L566" s="3">
        <v>46083</v>
      </c>
      <c r="M566" s="23">
        <f>YEAR(Таблица1[[#This Row],[Дата отчета]])</f>
        <v>2026</v>
      </c>
      <c r="N566" s="2"/>
      <c r="O566" s="2"/>
      <c r="P566" s="2"/>
      <c r="Q566" s="5"/>
    </row>
    <row r="567" spans="1:17" x14ac:dyDescent="0.25">
      <c r="A567" s="6" t="s">
        <v>12</v>
      </c>
      <c r="B567" s="7" t="s">
        <v>441</v>
      </c>
      <c r="C567" s="7" t="s">
        <v>442</v>
      </c>
      <c r="D567" s="7" t="s">
        <v>443</v>
      </c>
      <c r="E567" s="8" t="s">
        <v>75</v>
      </c>
      <c r="F567" s="19">
        <v>10077837.699999999</v>
      </c>
      <c r="G567" s="9"/>
      <c r="H567" s="7">
        <v>1</v>
      </c>
      <c r="I567" s="8">
        <v>46016</v>
      </c>
      <c r="J567" s="9">
        <v>66</v>
      </c>
      <c r="K567" s="9" t="s">
        <v>27</v>
      </c>
      <c r="L567" s="3">
        <v>46083</v>
      </c>
      <c r="M567" s="23">
        <f>YEAR(Таблица1[[#This Row],[Дата отчета]])</f>
        <v>2026</v>
      </c>
      <c r="N567" s="7"/>
      <c r="O567" s="7"/>
      <c r="P567" s="7"/>
      <c r="Q567" s="10"/>
    </row>
    <row r="568" spans="1:17" x14ac:dyDescent="0.25">
      <c r="A568" s="1" t="s">
        <v>12</v>
      </c>
      <c r="B568" s="2" t="s">
        <v>441</v>
      </c>
      <c r="C568" s="2" t="s">
        <v>442</v>
      </c>
      <c r="D568" s="2" t="s">
        <v>444</v>
      </c>
      <c r="E568" s="3" t="s">
        <v>59</v>
      </c>
      <c r="F568" s="18">
        <v>1897551.4</v>
      </c>
      <c r="G568" s="4"/>
      <c r="H568" s="2">
        <v>1</v>
      </c>
      <c r="I568" s="3">
        <v>46077</v>
      </c>
      <c r="J568" s="4">
        <v>5</v>
      </c>
      <c r="K568" s="4" t="s">
        <v>38</v>
      </c>
      <c r="L568" s="3">
        <v>46083</v>
      </c>
      <c r="M568" s="23">
        <f>YEAR(Таблица1[[#This Row],[Дата отчета]])</f>
        <v>2026</v>
      </c>
      <c r="N568" s="2"/>
      <c r="O568" s="2"/>
      <c r="P568" s="2"/>
      <c r="Q568" s="5"/>
    </row>
    <row r="569" spans="1:17" x14ac:dyDescent="0.25">
      <c r="A569" s="6" t="s">
        <v>12</v>
      </c>
      <c r="B569" s="7" t="s">
        <v>445</v>
      </c>
      <c r="C569" s="7" t="s">
        <v>446</v>
      </c>
      <c r="D569" s="7" t="s">
        <v>447</v>
      </c>
      <c r="E569" s="8" t="s">
        <v>45</v>
      </c>
      <c r="F569" s="19">
        <v>168000</v>
      </c>
      <c r="G569" s="9"/>
      <c r="H569" s="7">
        <v>1</v>
      </c>
      <c r="I569" s="8">
        <v>45938</v>
      </c>
      <c r="J569" s="9">
        <v>144</v>
      </c>
      <c r="K569" s="9" t="s">
        <v>22</v>
      </c>
      <c r="L569" s="3">
        <v>46083</v>
      </c>
      <c r="M569" s="23">
        <f>YEAR(Таблица1[[#This Row],[Дата отчета]])</f>
        <v>2026</v>
      </c>
      <c r="N569" s="7"/>
      <c r="O569" s="7"/>
      <c r="P569" s="7"/>
      <c r="Q569" s="10"/>
    </row>
    <row r="570" spans="1:17" x14ac:dyDescent="0.25">
      <c r="A570" s="1" t="s">
        <v>12</v>
      </c>
      <c r="B570" s="2" t="s">
        <v>448</v>
      </c>
      <c r="C570" s="2" t="s">
        <v>449</v>
      </c>
      <c r="D570" s="2" t="s">
        <v>450</v>
      </c>
      <c r="E570" s="3" t="s">
        <v>451</v>
      </c>
      <c r="F570" s="18">
        <v>7941</v>
      </c>
      <c r="G570" s="4"/>
      <c r="H570" s="2">
        <v>1</v>
      </c>
      <c r="I570" s="3">
        <v>45884</v>
      </c>
      <c r="J570" s="4">
        <v>198</v>
      </c>
      <c r="K570" s="4" t="s">
        <v>67</v>
      </c>
      <c r="L570" s="3">
        <v>46083</v>
      </c>
      <c r="M570" s="23">
        <f>YEAR(Таблица1[[#This Row],[Дата отчета]])</f>
        <v>2026</v>
      </c>
      <c r="N570" s="2"/>
      <c r="O570" s="2"/>
      <c r="P570" s="2"/>
      <c r="Q570" s="5"/>
    </row>
    <row r="571" spans="1:17" x14ac:dyDescent="0.25">
      <c r="A571" s="6" t="s">
        <v>12</v>
      </c>
      <c r="B571" s="7" t="s">
        <v>452</v>
      </c>
      <c r="C571" s="7" t="s">
        <v>453</v>
      </c>
      <c r="D571" s="7" t="s">
        <v>454</v>
      </c>
      <c r="E571" s="8" t="s">
        <v>455</v>
      </c>
      <c r="F571" s="19">
        <v>57500</v>
      </c>
      <c r="G571" s="9"/>
      <c r="H571" s="7">
        <v>1</v>
      </c>
      <c r="I571" s="8">
        <v>46080</v>
      </c>
      <c r="J571" s="9">
        <v>2</v>
      </c>
      <c r="K571" s="9" t="s">
        <v>38</v>
      </c>
      <c r="L571" s="3">
        <v>46083</v>
      </c>
      <c r="M571" s="23">
        <f>YEAR(Таблица1[[#This Row],[Дата отчета]])</f>
        <v>2026</v>
      </c>
      <c r="N571" s="7"/>
      <c r="O571" s="7"/>
      <c r="P571" s="7"/>
      <c r="Q571" s="10"/>
    </row>
    <row r="572" spans="1:17" x14ac:dyDescent="0.25">
      <c r="A572" s="1" t="s">
        <v>12</v>
      </c>
      <c r="B572" s="2" t="s">
        <v>456</v>
      </c>
      <c r="C572" s="2" t="s">
        <v>457</v>
      </c>
      <c r="D572" s="2" t="s">
        <v>458</v>
      </c>
      <c r="E572" s="3" t="s">
        <v>459</v>
      </c>
      <c r="F572" s="18">
        <v>5500</v>
      </c>
      <c r="G572" s="4"/>
      <c r="H572" s="2">
        <v>1</v>
      </c>
      <c r="I572" s="3">
        <v>45195</v>
      </c>
      <c r="J572" s="4">
        <v>887</v>
      </c>
      <c r="K572" s="4" t="s">
        <v>17</v>
      </c>
      <c r="L572" s="3">
        <v>46083</v>
      </c>
      <c r="M572" s="23">
        <f>YEAR(Таблица1[[#This Row],[Дата отчета]])</f>
        <v>2026</v>
      </c>
      <c r="N572" s="2"/>
      <c r="O572" s="2"/>
      <c r="P572" s="2"/>
      <c r="Q572" s="5"/>
    </row>
    <row r="573" spans="1:17" x14ac:dyDescent="0.25">
      <c r="A573" s="6" t="s">
        <v>12</v>
      </c>
      <c r="B573" s="7" t="s">
        <v>456</v>
      </c>
      <c r="C573" s="7" t="s">
        <v>460</v>
      </c>
      <c r="D573" s="7" t="s">
        <v>461</v>
      </c>
      <c r="E573" s="8" t="s">
        <v>462</v>
      </c>
      <c r="F573" s="19">
        <v>102545</v>
      </c>
      <c r="G573" s="9"/>
      <c r="H573" s="7">
        <v>1</v>
      </c>
      <c r="I573" s="8">
        <v>45945</v>
      </c>
      <c r="J573" s="9">
        <v>137</v>
      </c>
      <c r="K573" s="9" t="s">
        <v>22</v>
      </c>
      <c r="L573" s="3">
        <v>46083</v>
      </c>
      <c r="M573" s="23">
        <f>YEAR(Таблица1[[#This Row],[Дата отчета]])</f>
        <v>2026</v>
      </c>
      <c r="N573" s="7"/>
      <c r="O573" s="7"/>
      <c r="P573" s="7"/>
      <c r="Q573" s="10"/>
    </row>
    <row r="574" spans="1:17" x14ac:dyDescent="0.25">
      <c r="A574" s="1" t="s">
        <v>12</v>
      </c>
      <c r="B574" s="2" t="s">
        <v>463</v>
      </c>
      <c r="C574" s="2" t="s">
        <v>464</v>
      </c>
      <c r="D574" s="2" t="s">
        <v>465</v>
      </c>
      <c r="E574" s="3" t="s">
        <v>466</v>
      </c>
      <c r="F574" s="18">
        <v>2760000</v>
      </c>
      <c r="G574" s="4"/>
      <c r="H574" s="2">
        <v>1</v>
      </c>
      <c r="I574" s="3">
        <v>45986</v>
      </c>
      <c r="J574" s="4">
        <v>96</v>
      </c>
      <c r="K574" s="4" t="s">
        <v>71</v>
      </c>
      <c r="L574" s="3">
        <v>46083</v>
      </c>
      <c r="M574" s="23">
        <f>YEAR(Таблица1[[#This Row],[Дата отчета]])</f>
        <v>2026</v>
      </c>
      <c r="N574" s="2"/>
      <c r="O574" s="2"/>
      <c r="P574" s="2"/>
      <c r="Q574" s="5"/>
    </row>
    <row r="575" spans="1:17" x14ac:dyDescent="0.25">
      <c r="A575" s="6" t="s">
        <v>12</v>
      </c>
      <c r="B575" s="7" t="s">
        <v>467</v>
      </c>
      <c r="C575" s="7" t="s">
        <v>468</v>
      </c>
      <c r="D575" s="7" t="s">
        <v>469</v>
      </c>
      <c r="E575" s="8" t="s">
        <v>470</v>
      </c>
      <c r="F575" s="19">
        <v>2000</v>
      </c>
      <c r="G575" s="9"/>
      <c r="H575" s="7">
        <v>1</v>
      </c>
      <c r="I575" s="8">
        <v>44551</v>
      </c>
      <c r="J575" s="9">
        <v>1531</v>
      </c>
      <c r="K575" s="9" t="s">
        <v>17</v>
      </c>
      <c r="L575" s="3">
        <v>46083</v>
      </c>
      <c r="M575" s="23">
        <f>YEAR(Таблица1[[#This Row],[Дата отчета]])</f>
        <v>2026</v>
      </c>
      <c r="N575" s="7"/>
      <c r="O575" s="7"/>
      <c r="P575" s="7"/>
      <c r="Q575" s="10"/>
    </row>
    <row r="576" spans="1:17" x14ac:dyDescent="0.25">
      <c r="A576" s="1" t="s">
        <v>12</v>
      </c>
      <c r="B576" s="2" t="s">
        <v>471</v>
      </c>
      <c r="C576" s="2" t="s">
        <v>472</v>
      </c>
      <c r="D576" s="2" t="s">
        <v>473</v>
      </c>
      <c r="E576" s="3" t="s">
        <v>429</v>
      </c>
      <c r="F576" s="18">
        <v>25866</v>
      </c>
      <c r="G576" s="4"/>
      <c r="H576" s="2">
        <v>1</v>
      </c>
      <c r="I576" s="3">
        <v>45897</v>
      </c>
      <c r="J576" s="4">
        <v>185</v>
      </c>
      <c r="K576" s="4" t="s">
        <v>67</v>
      </c>
      <c r="L576" s="3">
        <v>46083</v>
      </c>
      <c r="M576" s="23">
        <f>YEAR(Таблица1[[#This Row],[Дата отчета]])</f>
        <v>2026</v>
      </c>
      <c r="N576" s="2"/>
      <c r="O576" s="2"/>
      <c r="P576" s="2"/>
      <c r="Q576" s="5"/>
    </row>
    <row r="577" spans="1:17" x14ac:dyDescent="0.25">
      <c r="A577" s="6" t="s">
        <v>12</v>
      </c>
      <c r="B577" s="7" t="s">
        <v>474</v>
      </c>
      <c r="C577" s="7" t="s">
        <v>475</v>
      </c>
      <c r="D577" s="7" t="s">
        <v>476</v>
      </c>
      <c r="E577" s="8" t="s">
        <v>477</v>
      </c>
      <c r="F577" s="19">
        <v>300</v>
      </c>
      <c r="G577" s="9"/>
      <c r="H577" s="7">
        <v>1</v>
      </c>
      <c r="I577" s="8">
        <v>45401</v>
      </c>
      <c r="J577" s="9">
        <v>681</v>
      </c>
      <c r="K577" s="9" t="s">
        <v>17</v>
      </c>
      <c r="L577" s="3">
        <v>46083</v>
      </c>
      <c r="M577" s="23">
        <f>YEAR(Таблица1[[#This Row],[Дата отчета]])</f>
        <v>2026</v>
      </c>
      <c r="N577" s="7"/>
      <c r="O577" s="7"/>
      <c r="P577" s="7"/>
      <c r="Q577" s="10"/>
    </row>
    <row r="578" spans="1:17" x14ac:dyDescent="0.25">
      <c r="A578" s="1" t="s">
        <v>12</v>
      </c>
      <c r="B578" s="2" t="s">
        <v>478</v>
      </c>
      <c r="C578" s="2" t="s">
        <v>479</v>
      </c>
      <c r="D578" s="2" t="s">
        <v>480</v>
      </c>
      <c r="E578" s="3" t="s">
        <v>75</v>
      </c>
      <c r="F578" s="18">
        <v>4790000</v>
      </c>
      <c r="G578" s="4"/>
      <c r="H578" s="2">
        <v>1</v>
      </c>
      <c r="I578" s="3">
        <v>46016</v>
      </c>
      <c r="J578" s="4">
        <v>66</v>
      </c>
      <c r="K578" s="4" t="s">
        <v>27</v>
      </c>
      <c r="L578" s="3">
        <v>46083</v>
      </c>
      <c r="M578" s="23">
        <f>YEAR(Таблица1[[#This Row],[Дата отчета]])</f>
        <v>2026</v>
      </c>
      <c r="N578" s="2"/>
      <c r="O578" s="2"/>
      <c r="P578" s="2"/>
      <c r="Q578" s="5"/>
    </row>
    <row r="579" spans="1:17" x14ac:dyDescent="0.25">
      <c r="A579" s="6" t="s">
        <v>12</v>
      </c>
      <c r="B579" s="7" t="s">
        <v>481</v>
      </c>
      <c r="C579" s="7" t="s">
        <v>482</v>
      </c>
      <c r="D579" s="7" t="s">
        <v>483</v>
      </c>
      <c r="E579" s="8" t="s">
        <v>70</v>
      </c>
      <c r="F579" s="19">
        <v>0.02</v>
      </c>
      <c r="G579" s="9"/>
      <c r="H579" s="7">
        <v>1</v>
      </c>
      <c r="I579" s="8">
        <v>45979</v>
      </c>
      <c r="J579" s="9">
        <v>103</v>
      </c>
      <c r="K579" s="9" t="s">
        <v>71</v>
      </c>
      <c r="L579" s="3">
        <v>46083</v>
      </c>
      <c r="M579" s="23">
        <f>YEAR(Таблица1[[#This Row],[Дата отчета]])</f>
        <v>2026</v>
      </c>
      <c r="N579" s="7"/>
      <c r="O579" s="7"/>
      <c r="P579" s="7"/>
      <c r="Q579" s="10"/>
    </row>
    <row r="580" spans="1:17" x14ac:dyDescent="0.25">
      <c r="A580" s="1" t="s">
        <v>12</v>
      </c>
      <c r="B580" s="2" t="s">
        <v>481</v>
      </c>
      <c r="C580" s="2" t="s">
        <v>484</v>
      </c>
      <c r="D580" s="2" t="s">
        <v>485</v>
      </c>
      <c r="E580" s="3" t="s">
        <v>486</v>
      </c>
      <c r="F580" s="18">
        <v>0.01</v>
      </c>
      <c r="G580" s="4"/>
      <c r="H580" s="2">
        <v>1</v>
      </c>
      <c r="I580" s="3">
        <v>45848</v>
      </c>
      <c r="J580" s="4">
        <v>234</v>
      </c>
      <c r="K580" s="4" t="s">
        <v>67</v>
      </c>
      <c r="L580" s="3">
        <v>46083</v>
      </c>
      <c r="M580" s="23">
        <f>YEAR(Таблица1[[#This Row],[Дата отчета]])</f>
        <v>2026</v>
      </c>
      <c r="N580" s="2"/>
      <c r="O580" s="2"/>
      <c r="P580" s="2"/>
      <c r="Q580" s="5"/>
    </row>
    <row r="581" spans="1:17" x14ac:dyDescent="0.25">
      <c r="A581" s="6" t="s">
        <v>12</v>
      </c>
      <c r="B581" s="7" t="s">
        <v>487</v>
      </c>
      <c r="C581" s="7" t="s">
        <v>488</v>
      </c>
      <c r="D581" s="7" t="s">
        <v>489</v>
      </c>
      <c r="E581" s="8" t="s">
        <v>490</v>
      </c>
      <c r="F581" s="19">
        <v>299500</v>
      </c>
      <c r="G581" s="9"/>
      <c r="H581" s="7">
        <v>1</v>
      </c>
      <c r="I581" s="8">
        <v>45631</v>
      </c>
      <c r="J581" s="9">
        <v>451</v>
      </c>
      <c r="K581" s="9" t="s">
        <v>17</v>
      </c>
      <c r="L581" s="3">
        <v>46083</v>
      </c>
      <c r="M581" s="23">
        <f>YEAR(Таблица1[[#This Row],[Дата отчета]])</f>
        <v>2026</v>
      </c>
      <c r="N581" s="7" t="s">
        <v>4554</v>
      </c>
      <c r="O581" s="7"/>
      <c r="P581" s="7"/>
      <c r="Q581" s="10"/>
    </row>
    <row r="582" spans="1:17" x14ac:dyDescent="0.25">
      <c r="A582" s="1" t="s">
        <v>12</v>
      </c>
      <c r="B582" s="2" t="s">
        <v>491</v>
      </c>
      <c r="C582" s="2" t="s">
        <v>492</v>
      </c>
      <c r="D582" s="2" t="s">
        <v>493</v>
      </c>
      <c r="E582" s="3" t="s">
        <v>165</v>
      </c>
      <c r="F582" s="18">
        <v>23700000</v>
      </c>
      <c r="G582" s="4"/>
      <c r="H582" s="2">
        <v>1</v>
      </c>
      <c r="I582" s="3">
        <v>46073</v>
      </c>
      <c r="J582" s="4">
        <v>9</v>
      </c>
      <c r="K582" s="4" t="s">
        <v>38</v>
      </c>
      <c r="L582" s="3">
        <v>46083</v>
      </c>
      <c r="M582" s="23">
        <f>YEAR(Таблица1[[#This Row],[Дата отчета]])</f>
        <v>2026</v>
      </c>
      <c r="N582" s="2"/>
      <c r="O582" s="2"/>
      <c r="P582" s="2"/>
      <c r="Q582" s="5"/>
    </row>
    <row r="583" spans="1:17" x14ac:dyDescent="0.25">
      <c r="A583" s="6" t="s">
        <v>12</v>
      </c>
      <c r="B583" s="7" t="s">
        <v>494</v>
      </c>
      <c r="C583" s="7" t="s">
        <v>495</v>
      </c>
      <c r="D583" s="7" t="s">
        <v>496</v>
      </c>
      <c r="E583" s="8" t="s">
        <v>497</v>
      </c>
      <c r="F583" s="19">
        <v>23544</v>
      </c>
      <c r="G583" s="9"/>
      <c r="H583" s="7">
        <v>1</v>
      </c>
      <c r="I583" s="8">
        <v>45875</v>
      </c>
      <c r="J583" s="9">
        <v>207</v>
      </c>
      <c r="K583" s="9" t="s">
        <v>67</v>
      </c>
      <c r="L583" s="3">
        <v>46083</v>
      </c>
      <c r="M583" s="23">
        <f>YEAR(Таблица1[[#This Row],[Дата отчета]])</f>
        <v>2026</v>
      </c>
      <c r="N583" s="7"/>
      <c r="O583" s="7"/>
      <c r="P583" s="7"/>
      <c r="Q583" s="10"/>
    </row>
    <row r="584" spans="1:17" x14ac:dyDescent="0.25">
      <c r="A584" s="1" t="s">
        <v>12</v>
      </c>
      <c r="B584" s="2" t="s">
        <v>498</v>
      </c>
      <c r="C584" s="2" t="s">
        <v>499</v>
      </c>
      <c r="D584" s="2" t="s">
        <v>500</v>
      </c>
      <c r="E584" s="3" t="s">
        <v>501</v>
      </c>
      <c r="F584" s="18">
        <v>28000</v>
      </c>
      <c r="G584" s="4"/>
      <c r="H584" s="2">
        <v>1</v>
      </c>
      <c r="I584" s="3">
        <v>45940</v>
      </c>
      <c r="J584" s="4">
        <v>142</v>
      </c>
      <c r="K584" s="4" t="s">
        <v>22</v>
      </c>
      <c r="L584" s="3">
        <v>46083</v>
      </c>
      <c r="M584" s="23">
        <f>YEAR(Таблица1[[#This Row],[Дата отчета]])</f>
        <v>2026</v>
      </c>
      <c r="N584" s="2"/>
      <c r="O584" s="2"/>
      <c r="P584" s="2"/>
      <c r="Q584" s="5"/>
    </row>
    <row r="585" spans="1:17" x14ac:dyDescent="0.25">
      <c r="A585" s="6" t="s">
        <v>12</v>
      </c>
      <c r="B585" s="7" t="s">
        <v>502</v>
      </c>
      <c r="C585" s="7" t="s">
        <v>503</v>
      </c>
      <c r="D585" s="7" t="s">
        <v>504</v>
      </c>
      <c r="E585" s="8" t="s">
        <v>505</v>
      </c>
      <c r="F585" s="19">
        <v>1334.4</v>
      </c>
      <c r="G585" s="9"/>
      <c r="H585" s="7">
        <v>1</v>
      </c>
      <c r="I585" s="8">
        <v>45587</v>
      </c>
      <c r="J585" s="9">
        <v>495</v>
      </c>
      <c r="K585" s="9" t="s">
        <v>17</v>
      </c>
      <c r="L585" s="3">
        <v>46083</v>
      </c>
      <c r="M585" s="23">
        <f>YEAR(Таблица1[[#This Row],[Дата отчета]])</f>
        <v>2026</v>
      </c>
      <c r="N585" s="7" t="s">
        <v>4538</v>
      </c>
      <c r="O585" s="7"/>
      <c r="P585" s="7"/>
      <c r="Q585" s="10"/>
    </row>
    <row r="586" spans="1:17" x14ac:dyDescent="0.25">
      <c r="A586" s="1" t="s">
        <v>12</v>
      </c>
      <c r="B586" s="2" t="s">
        <v>502</v>
      </c>
      <c r="C586" s="2" t="s">
        <v>506</v>
      </c>
      <c r="D586" s="2" t="s">
        <v>507</v>
      </c>
      <c r="E586" s="3" t="s">
        <v>508</v>
      </c>
      <c r="F586" s="18">
        <v>6990</v>
      </c>
      <c r="G586" s="4"/>
      <c r="H586" s="2">
        <v>1</v>
      </c>
      <c r="I586" s="3">
        <v>45593</v>
      </c>
      <c r="J586" s="4">
        <v>489</v>
      </c>
      <c r="K586" s="4" t="s">
        <v>17</v>
      </c>
      <c r="L586" s="3">
        <v>46083</v>
      </c>
      <c r="M586" s="23">
        <f>YEAR(Таблица1[[#This Row],[Дата отчета]])</f>
        <v>2026</v>
      </c>
      <c r="N586" s="7" t="s">
        <v>4538</v>
      </c>
      <c r="O586" s="2"/>
      <c r="P586" s="2"/>
      <c r="Q586" s="5"/>
    </row>
    <row r="587" spans="1:17" x14ac:dyDescent="0.25">
      <c r="A587" s="6" t="s">
        <v>12</v>
      </c>
      <c r="B587" s="7" t="s">
        <v>509</v>
      </c>
      <c r="C587" s="7" t="s">
        <v>510</v>
      </c>
      <c r="D587" s="7" t="s">
        <v>511</v>
      </c>
      <c r="E587" s="8" t="s">
        <v>70</v>
      </c>
      <c r="F587" s="19">
        <v>300000</v>
      </c>
      <c r="G587" s="9"/>
      <c r="H587" s="7">
        <v>1</v>
      </c>
      <c r="I587" s="8">
        <v>45979</v>
      </c>
      <c r="J587" s="9">
        <v>103</v>
      </c>
      <c r="K587" s="9" t="s">
        <v>71</v>
      </c>
      <c r="L587" s="3">
        <v>46083</v>
      </c>
      <c r="M587" s="23">
        <f>YEAR(Таблица1[[#This Row],[Дата отчета]])</f>
        <v>2026</v>
      </c>
      <c r="N587" s="7"/>
      <c r="O587" s="7"/>
      <c r="P587" s="7"/>
      <c r="Q587" s="10"/>
    </row>
    <row r="588" spans="1:17" x14ac:dyDescent="0.25">
      <c r="A588" s="1" t="s">
        <v>12</v>
      </c>
      <c r="B588" s="2" t="s">
        <v>512</v>
      </c>
      <c r="C588" s="2" t="s">
        <v>513</v>
      </c>
      <c r="D588" s="2" t="s">
        <v>514</v>
      </c>
      <c r="E588" s="3" t="s">
        <v>183</v>
      </c>
      <c r="F588" s="18">
        <v>24500</v>
      </c>
      <c r="G588" s="4"/>
      <c r="H588" s="2">
        <v>1</v>
      </c>
      <c r="I588" s="3">
        <v>45817</v>
      </c>
      <c r="J588" s="4">
        <v>265</v>
      </c>
      <c r="K588" s="4" t="s">
        <v>67</v>
      </c>
      <c r="L588" s="3">
        <v>46083</v>
      </c>
      <c r="M588" s="23">
        <f>YEAR(Таблица1[[#This Row],[Дата отчета]])</f>
        <v>2026</v>
      </c>
      <c r="N588" s="2"/>
      <c r="O588" s="2"/>
      <c r="P588" s="2"/>
      <c r="Q588" s="5"/>
    </row>
    <row r="589" spans="1:17" x14ac:dyDescent="0.25">
      <c r="A589" s="6" t="s">
        <v>12</v>
      </c>
      <c r="B589" s="7" t="s">
        <v>512</v>
      </c>
      <c r="C589" s="7" t="s">
        <v>515</v>
      </c>
      <c r="D589" s="7" t="s">
        <v>516</v>
      </c>
      <c r="E589" s="8" t="s">
        <v>517</v>
      </c>
      <c r="F589" s="19">
        <v>58485</v>
      </c>
      <c r="G589" s="9"/>
      <c r="H589" s="7">
        <v>1</v>
      </c>
      <c r="I589" s="8">
        <v>45797</v>
      </c>
      <c r="J589" s="9">
        <v>285</v>
      </c>
      <c r="K589" s="9" t="s">
        <v>92</v>
      </c>
      <c r="L589" s="3">
        <v>46083</v>
      </c>
      <c r="M589" s="23">
        <f>YEAR(Таблица1[[#This Row],[Дата отчета]])</f>
        <v>2026</v>
      </c>
      <c r="N589" s="7"/>
      <c r="O589" s="7"/>
      <c r="P589" s="7"/>
      <c r="Q589" s="10"/>
    </row>
    <row r="590" spans="1:17" x14ac:dyDescent="0.25">
      <c r="A590" s="1" t="s">
        <v>12</v>
      </c>
      <c r="B590" s="2" t="s">
        <v>512</v>
      </c>
      <c r="C590" s="2" t="s">
        <v>518</v>
      </c>
      <c r="D590" s="2" t="s">
        <v>519</v>
      </c>
      <c r="E590" s="3" t="s">
        <v>520</v>
      </c>
      <c r="F590" s="18">
        <v>2690</v>
      </c>
      <c r="G590" s="4"/>
      <c r="H590" s="2">
        <v>1</v>
      </c>
      <c r="I590" s="3">
        <v>45811</v>
      </c>
      <c r="J590" s="4">
        <v>271</v>
      </c>
      <c r="K590" s="4" t="s">
        <v>92</v>
      </c>
      <c r="L590" s="3">
        <v>46083</v>
      </c>
      <c r="M590" s="23">
        <f>YEAR(Таблица1[[#This Row],[Дата отчета]])</f>
        <v>2026</v>
      </c>
      <c r="N590" s="2"/>
      <c r="O590" s="2"/>
      <c r="P590" s="2"/>
      <c r="Q590" s="5"/>
    </row>
    <row r="591" spans="1:17" x14ac:dyDescent="0.25">
      <c r="A591" s="6" t="s">
        <v>12</v>
      </c>
      <c r="B591" s="7" t="s">
        <v>512</v>
      </c>
      <c r="C591" s="7" t="s">
        <v>521</v>
      </c>
      <c r="D591" s="7" t="s">
        <v>522</v>
      </c>
      <c r="E591" s="8" t="s">
        <v>83</v>
      </c>
      <c r="F591" s="19">
        <v>16020</v>
      </c>
      <c r="G591" s="9"/>
      <c r="H591" s="7">
        <v>1</v>
      </c>
      <c r="I591" s="8">
        <v>45852</v>
      </c>
      <c r="J591" s="9">
        <v>230</v>
      </c>
      <c r="K591" s="9" t="s">
        <v>67</v>
      </c>
      <c r="L591" s="3">
        <v>46083</v>
      </c>
      <c r="M591" s="23">
        <f>YEAR(Таблица1[[#This Row],[Дата отчета]])</f>
        <v>2026</v>
      </c>
      <c r="N591" s="7"/>
      <c r="O591" s="7"/>
      <c r="P591" s="7"/>
      <c r="Q591" s="10"/>
    </row>
    <row r="592" spans="1:17" x14ac:dyDescent="0.25">
      <c r="A592" s="1" t="s">
        <v>12</v>
      </c>
      <c r="B592" s="2" t="s">
        <v>512</v>
      </c>
      <c r="C592" s="2" t="s">
        <v>523</v>
      </c>
      <c r="D592" s="2" t="s">
        <v>524</v>
      </c>
      <c r="E592" s="3" t="s">
        <v>525</v>
      </c>
      <c r="F592" s="18">
        <v>29748</v>
      </c>
      <c r="G592" s="4"/>
      <c r="H592" s="2">
        <v>1</v>
      </c>
      <c r="I592" s="3">
        <v>45954</v>
      </c>
      <c r="J592" s="4">
        <v>128</v>
      </c>
      <c r="K592" s="4" t="s">
        <v>22</v>
      </c>
      <c r="L592" s="3">
        <v>46083</v>
      </c>
      <c r="M592" s="23">
        <f>YEAR(Таблица1[[#This Row],[Дата отчета]])</f>
        <v>2026</v>
      </c>
      <c r="N592" s="2"/>
      <c r="O592" s="2"/>
      <c r="P592" s="2"/>
      <c r="Q592" s="5"/>
    </row>
    <row r="593" spans="1:17" x14ac:dyDescent="0.25">
      <c r="A593" s="6" t="s">
        <v>12</v>
      </c>
      <c r="B593" s="7" t="s">
        <v>526</v>
      </c>
      <c r="C593" s="7" t="s">
        <v>269</v>
      </c>
      <c r="D593" s="7" t="s">
        <v>527</v>
      </c>
      <c r="E593" s="8" t="s">
        <v>528</v>
      </c>
      <c r="F593" s="19">
        <v>3135726.34</v>
      </c>
      <c r="G593" s="9"/>
      <c r="H593" s="7">
        <v>1</v>
      </c>
      <c r="I593" s="8">
        <v>45985</v>
      </c>
      <c r="J593" s="9">
        <v>97</v>
      </c>
      <c r="K593" s="9" t="s">
        <v>71</v>
      </c>
      <c r="L593" s="3">
        <v>46083</v>
      </c>
      <c r="M593" s="23">
        <f>YEAR(Таблица1[[#This Row],[Дата отчета]])</f>
        <v>2026</v>
      </c>
      <c r="N593" s="7"/>
      <c r="O593" s="7"/>
      <c r="P593" s="7"/>
      <c r="Q593" s="10"/>
    </row>
    <row r="594" spans="1:17" x14ac:dyDescent="0.25">
      <c r="A594" s="1" t="s">
        <v>12</v>
      </c>
      <c r="B594" s="2" t="s">
        <v>529</v>
      </c>
      <c r="C594" s="2" t="s">
        <v>530</v>
      </c>
      <c r="D594" s="2" t="s">
        <v>531</v>
      </c>
      <c r="E594" s="3" t="s">
        <v>532</v>
      </c>
      <c r="F594" s="18">
        <v>5900</v>
      </c>
      <c r="G594" s="4"/>
      <c r="H594" s="2">
        <v>1</v>
      </c>
      <c r="I594" s="3">
        <v>45813</v>
      </c>
      <c r="J594" s="4">
        <v>269</v>
      </c>
      <c r="K594" s="4" t="s">
        <v>67</v>
      </c>
      <c r="L594" s="3">
        <v>46083</v>
      </c>
      <c r="M594" s="23">
        <f>YEAR(Таблица1[[#This Row],[Дата отчета]])</f>
        <v>2026</v>
      </c>
      <c r="N594" s="2"/>
      <c r="O594" s="2"/>
      <c r="P594" s="2"/>
      <c r="Q594" s="5"/>
    </row>
    <row r="595" spans="1:17" x14ac:dyDescent="0.25">
      <c r="A595" s="6" t="s">
        <v>12</v>
      </c>
      <c r="B595" s="7" t="s">
        <v>529</v>
      </c>
      <c r="C595" s="7" t="s">
        <v>533</v>
      </c>
      <c r="D595" s="7" t="s">
        <v>534</v>
      </c>
      <c r="E595" s="8" t="s">
        <v>535</v>
      </c>
      <c r="F595" s="19">
        <v>76000</v>
      </c>
      <c r="G595" s="9"/>
      <c r="H595" s="7">
        <v>1</v>
      </c>
      <c r="I595" s="8">
        <v>45796</v>
      </c>
      <c r="J595" s="9">
        <v>286</v>
      </c>
      <c r="K595" s="9" t="s">
        <v>92</v>
      </c>
      <c r="L595" s="3">
        <v>46083</v>
      </c>
      <c r="M595" s="23">
        <f>YEAR(Таблица1[[#This Row],[Дата отчета]])</f>
        <v>2026</v>
      </c>
      <c r="N595" s="7"/>
      <c r="O595" s="7"/>
      <c r="P595" s="7"/>
      <c r="Q595" s="10"/>
    </row>
    <row r="596" spans="1:17" x14ac:dyDescent="0.25">
      <c r="A596" s="1" t="s">
        <v>12</v>
      </c>
      <c r="B596" s="2" t="s">
        <v>536</v>
      </c>
      <c r="C596" s="2" t="s">
        <v>537</v>
      </c>
      <c r="D596" s="2" t="s">
        <v>538</v>
      </c>
      <c r="E596" s="3" t="s">
        <v>91</v>
      </c>
      <c r="F596" s="18">
        <v>9000</v>
      </c>
      <c r="G596" s="4"/>
      <c r="H596" s="2">
        <v>1</v>
      </c>
      <c r="I596" s="3">
        <v>45723</v>
      </c>
      <c r="J596" s="4">
        <v>359</v>
      </c>
      <c r="K596" s="4" t="s">
        <v>92</v>
      </c>
      <c r="L596" s="3">
        <v>46083</v>
      </c>
      <c r="M596" s="23">
        <f>YEAR(Таблица1[[#This Row],[Дата отчета]])</f>
        <v>2026</v>
      </c>
      <c r="N596" s="2" t="s">
        <v>807</v>
      </c>
      <c r="O596" s="2"/>
      <c r="P596" s="2"/>
      <c r="Q596" s="5"/>
    </row>
    <row r="597" spans="1:17" x14ac:dyDescent="0.25">
      <c r="A597" s="6" t="s">
        <v>12</v>
      </c>
      <c r="B597" s="7" t="s">
        <v>539</v>
      </c>
      <c r="C597" s="7" t="s">
        <v>540</v>
      </c>
      <c r="D597" s="7" t="s">
        <v>541</v>
      </c>
      <c r="E597" s="8" t="s">
        <v>87</v>
      </c>
      <c r="F597" s="19">
        <v>23320</v>
      </c>
      <c r="G597" s="9"/>
      <c r="H597" s="7">
        <v>1</v>
      </c>
      <c r="I597" s="8">
        <v>46020</v>
      </c>
      <c r="J597" s="9">
        <v>62</v>
      </c>
      <c r="K597" s="9" t="s">
        <v>27</v>
      </c>
      <c r="L597" s="3">
        <v>46083</v>
      </c>
      <c r="M597" s="23">
        <f>YEAR(Таблица1[[#This Row],[Дата отчета]])</f>
        <v>2026</v>
      </c>
      <c r="N597" s="7"/>
      <c r="O597" s="7"/>
      <c r="P597" s="7"/>
      <c r="Q597" s="10"/>
    </row>
    <row r="598" spans="1:17" x14ac:dyDescent="0.25">
      <c r="A598" s="1" t="s">
        <v>12</v>
      </c>
      <c r="B598" s="2" t="s">
        <v>539</v>
      </c>
      <c r="C598" s="2" t="s">
        <v>542</v>
      </c>
      <c r="D598" s="2" t="s">
        <v>543</v>
      </c>
      <c r="E598" s="3" t="s">
        <v>392</v>
      </c>
      <c r="F598" s="18">
        <v>427500</v>
      </c>
      <c r="G598" s="4"/>
      <c r="H598" s="2">
        <v>1</v>
      </c>
      <c r="I598" s="3">
        <v>45952</v>
      </c>
      <c r="J598" s="4">
        <v>130</v>
      </c>
      <c r="K598" s="4" t="s">
        <v>22</v>
      </c>
      <c r="L598" s="3">
        <v>46083</v>
      </c>
      <c r="M598" s="23">
        <f>YEAR(Таблица1[[#This Row],[Дата отчета]])</f>
        <v>2026</v>
      </c>
      <c r="N598" s="2"/>
      <c r="O598" s="2"/>
      <c r="P598" s="2"/>
      <c r="Q598" s="5"/>
    </row>
    <row r="599" spans="1:17" x14ac:dyDescent="0.25">
      <c r="A599" s="6" t="s">
        <v>12</v>
      </c>
      <c r="B599" s="7" t="s">
        <v>544</v>
      </c>
      <c r="C599" s="7" t="s">
        <v>545</v>
      </c>
      <c r="D599" s="7" t="s">
        <v>546</v>
      </c>
      <c r="E599" s="8" t="s">
        <v>528</v>
      </c>
      <c r="F599" s="19">
        <v>5088000</v>
      </c>
      <c r="G599" s="9"/>
      <c r="H599" s="7">
        <v>1</v>
      </c>
      <c r="I599" s="8">
        <v>45985</v>
      </c>
      <c r="J599" s="9">
        <v>97</v>
      </c>
      <c r="K599" s="9" t="s">
        <v>71</v>
      </c>
      <c r="L599" s="3">
        <v>46083</v>
      </c>
      <c r="M599" s="23">
        <f>YEAR(Таблица1[[#This Row],[Дата отчета]])</f>
        <v>2026</v>
      </c>
      <c r="N599" s="7"/>
      <c r="O599" s="7"/>
      <c r="P599" s="7"/>
      <c r="Q599" s="10"/>
    </row>
    <row r="600" spans="1:17" x14ac:dyDescent="0.25">
      <c r="A600" s="1" t="s">
        <v>12</v>
      </c>
      <c r="B600" s="2" t="s">
        <v>544</v>
      </c>
      <c r="C600" s="2" t="s">
        <v>547</v>
      </c>
      <c r="D600" s="2" t="s">
        <v>548</v>
      </c>
      <c r="E600" s="3" t="s">
        <v>528</v>
      </c>
      <c r="F600" s="18">
        <v>4563000</v>
      </c>
      <c r="G600" s="4"/>
      <c r="H600" s="2">
        <v>1</v>
      </c>
      <c r="I600" s="3">
        <v>45985</v>
      </c>
      <c r="J600" s="4">
        <v>97</v>
      </c>
      <c r="K600" s="4" t="s">
        <v>71</v>
      </c>
      <c r="L600" s="3">
        <v>46083</v>
      </c>
      <c r="M600" s="23">
        <f>YEAR(Таблица1[[#This Row],[Дата отчета]])</f>
        <v>2026</v>
      </c>
      <c r="N600" s="2"/>
      <c r="O600" s="2"/>
      <c r="P600" s="2"/>
      <c r="Q600" s="5"/>
    </row>
    <row r="601" spans="1:17" x14ac:dyDescent="0.25">
      <c r="A601" s="6" t="s">
        <v>12</v>
      </c>
      <c r="B601" s="7" t="s">
        <v>544</v>
      </c>
      <c r="C601" s="7" t="s">
        <v>549</v>
      </c>
      <c r="D601" s="7" t="s">
        <v>550</v>
      </c>
      <c r="E601" s="8" t="s">
        <v>528</v>
      </c>
      <c r="F601" s="19">
        <v>492000</v>
      </c>
      <c r="G601" s="9"/>
      <c r="H601" s="7">
        <v>1</v>
      </c>
      <c r="I601" s="8">
        <v>45985</v>
      </c>
      <c r="J601" s="9">
        <v>97</v>
      </c>
      <c r="K601" s="9" t="s">
        <v>71</v>
      </c>
      <c r="L601" s="3">
        <v>46083</v>
      </c>
      <c r="M601" s="23">
        <f>YEAR(Таблица1[[#This Row],[Дата отчета]])</f>
        <v>2026</v>
      </c>
      <c r="N601" s="7"/>
      <c r="O601" s="7"/>
      <c r="P601" s="7"/>
      <c r="Q601" s="10"/>
    </row>
    <row r="602" spans="1:17" x14ac:dyDescent="0.25">
      <c r="A602" s="1" t="s">
        <v>12</v>
      </c>
      <c r="B602" s="2" t="s">
        <v>544</v>
      </c>
      <c r="C602" s="2" t="s">
        <v>551</v>
      </c>
      <c r="D602" s="2" t="s">
        <v>552</v>
      </c>
      <c r="E602" s="3" t="s">
        <v>528</v>
      </c>
      <c r="F602" s="18">
        <v>8808000</v>
      </c>
      <c r="G602" s="4"/>
      <c r="H602" s="2">
        <v>1</v>
      </c>
      <c r="I602" s="3">
        <v>45985</v>
      </c>
      <c r="J602" s="4">
        <v>97</v>
      </c>
      <c r="K602" s="4" t="s">
        <v>71</v>
      </c>
      <c r="L602" s="3">
        <v>46083</v>
      </c>
      <c r="M602" s="23">
        <f>YEAR(Таблица1[[#This Row],[Дата отчета]])</f>
        <v>2026</v>
      </c>
      <c r="N602" s="2"/>
      <c r="O602" s="2"/>
      <c r="P602" s="2"/>
      <c r="Q602" s="5"/>
    </row>
    <row r="603" spans="1:17" x14ac:dyDescent="0.25">
      <c r="A603" s="6" t="s">
        <v>12</v>
      </c>
      <c r="B603" s="7" t="s">
        <v>544</v>
      </c>
      <c r="C603" s="7" t="s">
        <v>553</v>
      </c>
      <c r="D603" s="7" t="s">
        <v>554</v>
      </c>
      <c r="E603" s="8" t="s">
        <v>303</v>
      </c>
      <c r="F603" s="19">
        <v>2857301</v>
      </c>
      <c r="G603" s="9"/>
      <c r="H603" s="7">
        <v>1</v>
      </c>
      <c r="I603" s="8">
        <v>46059</v>
      </c>
      <c r="J603" s="9">
        <v>23</v>
      </c>
      <c r="K603" s="9" t="s">
        <v>38</v>
      </c>
      <c r="L603" s="3">
        <v>46083</v>
      </c>
      <c r="M603" s="23">
        <f>YEAR(Таблица1[[#This Row],[Дата отчета]])</f>
        <v>2026</v>
      </c>
      <c r="N603" s="7"/>
      <c r="O603" s="7"/>
      <c r="P603" s="7"/>
      <c r="Q603" s="10"/>
    </row>
    <row r="604" spans="1:17" x14ac:dyDescent="0.25">
      <c r="A604" s="1" t="s">
        <v>12</v>
      </c>
      <c r="B604" s="2" t="s">
        <v>544</v>
      </c>
      <c r="C604" s="2" t="s">
        <v>555</v>
      </c>
      <c r="D604" s="2" t="s">
        <v>556</v>
      </c>
      <c r="E604" s="3" t="s">
        <v>303</v>
      </c>
      <c r="F604" s="18">
        <v>7210200</v>
      </c>
      <c r="G604" s="4"/>
      <c r="H604" s="2">
        <v>1</v>
      </c>
      <c r="I604" s="3">
        <v>46059</v>
      </c>
      <c r="J604" s="4">
        <v>23</v>
      </c>
      <c r="K604" s="4" t="s">
        <v>38</v>
      </c>
      <c r="L604" s="3">
        <v>46083</v>
      </c>
      <c r="M604" s="23">
        <f>YEAR(Таблица1[[#This Row],[Дата отчета]])</f>
        <v>2026</v>
      </c>
      <c r="N604" s="2"/>
      <c r="O604" s="2"/>
      <c r="P604" s="2"/>
      <c r="Q604" s="5"/>
    </row>
    <row r="605" spans="1:17" x14ac:dyDescent="0.25">
      <c r="A605" s="6" t="s">
        <v>12</v>
      </c>
      <c r="B605" s="7" t="s">
        <v>557</v>
      </c>
      <c r="C605" s="7" t="s">
        <v>558</v>
      </c>
      <c r="D605" s="7" t="s">
        <v>559</v>
      </c>
      <c r="E605" s="8" t="s">
        <v>560</v>
      </c>
      <c r="F605" s="19">
        <v>39502.11</v>
      </c>
      <c r="G605" s="9"/>
      <c r="H605" s="7">
        <v>1</v>
      </c>
      <c r="I605" s="8">
        <v>45805</v>
      </c>
      <c r="J605" s="9">
        <v>277</v>
      </c>
      <c r="K605" s="9" t="s">
        <v>92</v>
      </c>
      <c r="L605" s="3">
        <v>46083</v>
      </c>
      <c r="M605" s="23">
        <f>YEAR(Таблица1[[#This Row],[Дата отчета]])</f>
        <v>2026</v>
      </c>
      <c r="N605" s="7"/>
      <c r="O605" s="7"/>
      <c r="P605" s="7"/>
      <c r="Q605" s="10"/>
    </row>
    <row r="606" spans="1:17" x14ac:dyDescent="0.25">
      <c r="A606" s="1" t="s">
        <v>12</v>
      </c>
      <c r="B606" s="2" t="s">
        <v>561</v>
      </c>
      <c r="C606" s="2" t="s">
        <v>562</v>
      </c>
      <c r="D606" s="2" t="s">
        <v>563</v>
      </c>
      <c r="E606" s="3" t="s">
        <v>31</v>
      </c>
      <c r="F606" s="18">
        <v>59150000</v>
      </c>
      <c r="G606" s="4"/>
      <c r="H606" s="2">
        <v>1</v>
      </c>
      <c r="I606" s="3">
        <v>46015</v>
      </c>
      <c r="J606" s="4">
        <v>67</v>
      </c>
      <c r="K606" s="4" t="s">
        <v>27</v>
      </c>
      <c r="L606" s="3">
        <v>46083</v>
      </c>
      <c r="M606" s="23">
        <f>YEAR(Таблица1[[#This Row],[Дата отчета]])</f>
        <v>2026</v>
      </c>
      <c r="N606" s="2"/>
      <c r="O606" s="2"/>
      <c r="P606" s="2"/>
      <c r="Q606" s="5"/>
    </row>
    <row r="607" spans="1:17" x14ac:dyDescent="0.25">
      <c r="A607" s="6" t="s">
        <v>12</v>
      </c>
      <c r="B607" s="7" t="s">
        <v>561</v>
      </c>
      <c r="C607" s="7" t="s">
        <v>564</v>
      </c>
      <c r="D607" s="7" t="s">
        <v>565</v>
      </c>
      <c r="E607" s="8" t="s">
        <v>204</v>
      </c>
      <c r="F607" s="19">
        <v>31.2</v>
      </c>
      <c r="G607" s="9"/>
      <c r="H607" s="7">
        <v>1</v>
      </c>
      <c r="I607" s="8">
        <v>45481</v>
      </c>
      <c r="J607" s="9">
        <v>601</v>
      </c>
      <c r="K607" s="9" t="s">
        <v>17</v>
      </c>
      <c r="L607" s="3">
        <v>46083</v>
      </c>
      <c r="M607" s="23">
        <f>YEAR(Таблица1[[#This Row],[Дата отчета]])</f>
        <v>2026</v>
      </c>
      <c r="N607" s="7"/>
      <c r="O607" s="7"/>
      <c r="P607" s="7"/>
      <c r="Q607" s="10"/>
    </row>
    <row r="608" spans="1:17" x14ac:dyDescent="0.25">
      <c r="A608" s="1" t="s">
        <v>12</v>
      </c>
      <c r="B608" s="2" t="s">
        <v>561</v>
      </c>
      <c r="C608" s="2" t="s">
        <v>564</v>
      </c>
      <c r="D608" s="2" t="s">
        <v>566</v>
      </c>
      <c r="E608" s="3" t="s">
        <v>204</v>
      </c>
      <c r="F608" s="18">
        <v>995281.85</v>
      </c>
      <c r="G608" s="4"/>
      <c r="H608" s="2">
        <v>1</v>
      </c>
      <c r="I608" s="3">
        <v>45481</v>
      </c>
      <c r="J608" s="4">
        <v>601</v>
      </c>
      <c r="K608" s="4" t="s">
        <v>17</v>
      </c>
      <c r="L608" s="3">
        <v>46083</v>
      </c>
      <c r="M608" s="23">
        <f>YEAR(Таблица1[[#This Row],[Дата отчета]])</f>
        <v>2026</v>
      </c>
      <c r="N608" s="2"/>
      <c r="O608" s="2"/>
      <c r="P608" s="2"/>
      <c r="Q608" s="5"/>
    </row>
    <row r="609" spans="1:17" x14ac:dyDescent="0.25">
      <c r="A609" s="6" t="s">
        <v>12</v>
      </c>
      <c r="B609" s="7" t="s">
        <v>561</v>
      </c>
      <c r="C609" s="7" t="s">
        <v>564</v>
      </c>
      <c r="D609" s="7" t="s">
        <v>567</v>
      </c>
      <c r="E609" s="8" t="s">
        <v>568</v>
      </c>
      <c r="F609" s="19">
        <v>395493.5</v>
      </c>
      <c r="G609" s="9"/>
      <c r="H609" s="7">
        <v>1</v>
      </c>
      <c r="I609" s="8">
        <v>45527</v>
      </c>
      <c r="J609" s="9">
        <v>555</v>
      </c>
      <c r="K609" s="9" t="s">
        <v>17</v>
      </c>
      <c r="L609" s="3">
        <v>46083</v>
      </c>
      <c r="M609" s="23">
        <f>YEAR(Таблица1[[#This Row],[Дата отчета]])</f>
        <v>2026</v>
      </c>
      <c r="N609" s="7"/>
      <c r="O609" s="7"/>
      <c r="P609" s="7"/>
      <c r="Q609" s="10"/>
    </row>
    <row r="610" spans="1:17" x14ac:dyDescent="0.25">
      <c r="A610" s="1" t="s">
        <v>12</v>
      </c>
      <c r="B610" s="2" t="s">
        <v>561</v>
      </c>
      <c r="C610" s="2" t="s">
        <v>569</v>
      </c>
      <c r="D610" s="2" t="s">
        <v>570</v>
      </c>
      <c r="E610" s="3" t="s">
        <v>571</v>
      </c>
      <c r="F610" s="18">
        <v>969720.57</v>
      </c>
      <c r="G610" s="4"/>
      <c r="H610" s="2">
        <v>1</v>
      </c>
      <c r="I610" s="3">
        <v>45951</v>
      </c>
      <c r="J610" s="4">
        <v>131</v>
      </c>
      <c r="K610" s="4" t="s">
        <v>22</v>
      </c>
      <c r="L610" s="3">
        <v>46083</v>
      </c>
      <c r="M610" s="23">
        <f>YEAR(Таблица1[[#This Row],[Дата отчета]])</f>
        <v>2026</v>
      </c>
      <c r="N610" s="2"/>
      <c r="O610" s="2"/>
      <c r="P610" s="2"/>
      <c r="Q610" s="5"/>
    </row>
    <row r="611" spans="1:17" x14ac:dyDescent="0.25">
      <c r="A611" s="6" t="s">
        <v>12</v>
      </c>
      <c r="B611" s="7" t="s">
        <v>561</v>
      </c>
      <c r="C611" s="7" t="s">
        <v>569</v>
      </c>
      <c r="D611" s="7" t="s">
        <v>572</v>
      </c>
      <c r="E611" s="8" t="s">
        <v>525</v>
      </c>
      <c r="F611" s="19">
        <v>389696.13</v>
      </c>
      <c r="G611" s="9"/>
      <c r="H611" s="7">
        <v>1</v>
      </c>
      <c r="I611" s="8">
        <v>45954</v>
      </c>
      <c r="J611" s="9">
        <v>128</v>
      </c>
      <c r="K611" s="9" t="s">
        <v>22</v>
      </c>
      <c r="L611" s="3">
        <v>46083</v>
      </c>
      <c r="M611" s="23">
        <f>YEAR(Таблица1[[#This Row],[Дата отчета]])</f>
        <v>2026</v>
      </c>
      <c r="N611" s="7"/>
      <c r="O611" s="7"/>
      <c r="P611" s="7"/>
      <c r="Q611" s="10"/>
    </row>
    <row r="612" spans="1:17" x14ac:dyDescent="0.25">
      <c r="A612" s="1" t="s">
        <v>12</v>
      </c>
      <c r="B612" s="2" t="s">
        <v>561</v>
      </c>
      <c r="C612" s="2" t="s">
        <v>569</v>
      </c>
      <c r="D612" s="2" t="s">
        <v>573</v>
      </c>
      <c r="E612" s="3" t="s">
        <v>525</v>
      </c>
      <c r="F612" s="18">
        <v>1002946.15</v>
      </c>
      <c r="G612" s="4"/>
      <c r="H612" s="2">
        <v>1</v>
      </c>
      <c r="I612" s="3">
        <v>45954</v>
      </c>
      <c r="J612" s="4">
        <v>128</v>
      </c>
      <c r="K612" s="4" t="s">
        <v>22</v>
      </c>
      <c r="L612" s="3">
        <v>46083</v>
      </c>
      <c r="M612" s="23">
        <f>YEAR(Таблица1[[#This Row],[Дата отчета]])</f>
        <v>2026</v>
      </c>
      <c r="N612" s="2"/>
      <c r="O612" s="2"/>
      <c r="P612" s="2"/>
      <c r="Q612" s="5"/>
    </row>
    <row r="613" spans="1:17" x14ac:dyDescent="0.25">
      <c r="A613" s="6" t="s">
        <v>12</v>
      </c>
      <c r="B613" s="7" t="s">
        <v>561</v>
      </c>
      <c r="C613" s="7" t="s">
        <v>574</v>
      </c>
      <c r="D613" s="7" t="s">
        <v>575</v>
      </c>
      <c r="E613" s="8" t="s">
        <v>576</v>
      </c>
      <c r="F613" s="19">
        <v>9675994.3599999994</v>
      </c>
      <c r="G613" s="9"/>
      <c r="H613" s="7">
        <v>1</v>
      </c>
      <c r="I613" s="8">
        <v>46064</v>
      </c>
      <c r="J613" s="9">
        <v>18</v>
      </c>
      <c r="K613" s="9" t="s">
        <v>38</v>
      </c>
      <c r="L613" s="3">
        <v>46083</v>
      </c>
      <c r="M613" s="23">
        <f>YEAR(Таблица1[[#This Row],[Дата отчета]])</f>
        <v>2026</v>
      </c>
      <c r="N613" s="7"/>
      <c r="O613" s="7"/>
      <c r="P613" s="7"/>
      <c r="Q613" s="10"/>
    </row>
    <row r="614" spans="1:17" x14ac:dyDescent="0.25">
      <c r="A614" s="1" t="s">
        <v>12</v>
      </c>
      <c r="B614" s="2" t="s">
        <v>561</v>
      </c>
      <c r="C614" s="2" t="s">
        <v>577</v>
      </c>
      <c r="D614" s="2" t="s">
        <v>578</v>
      </c>
      <c r="E614" s="3" t="s">
        <v>48</v>
      </c>
      <c r="F614" s="18">
        <v>27479576.449999999</v>
      </c>
      <c r="G614" s="4"/>
      <c r="H614" s="2">
        <v>1</v>
      </c>
      <c r="I614" s="3">
        <v>46078</v>
      </c>
      <c r="J614" s="4">
        <v>4</v>
      </c>
      <c r="K614" s="4" t="s">
        <v>38</v>
      </c>
      <c r="L614" s="3">
        <v>46083</v>
      </c>
      <c r="M614" s="23">
        <f>YEAR(Таблица1[[#This Row],[Дата отчета]])</f>
        <v>2026</v>
      </c>
      <c r="N614" s="2"/>
      <c r="O614" s="2"/>
      <c r="P614" s="2"/>
      <c r="Q614" s="5"/>
    </row>
    <row r="615" spans="1:17" x14ac:dyDescent="0.25">
      <c r="A615" s="6" t="s">
        <v>12</v>
      </c>
      <c r="B615" s="7" t="s">
        <v>561</v>
      </c>
      <c r="C615" s="7" t="s">
        <v>579</v>
      </c>
      <c r="D615" s="7" t="s">
        <v>580</v>
      </c>
      <c r="E615" s="8" t="s">
        <v>576</v>
      </c>
      <c r="F615" s="19">
        <v>710983.33</v>
      </c>
      <c r="G615" s="9"/>
      <c r="H615" s="7">
        <v>1</v>
      </c>
      <c r="I615" s="8">
        <v>46064</v>
      </c>
      <c r="J615" s="9">
        <v>18</v>
      </c>
      <c r="K615" s="9" t="s">
        <v>38</v>
      </c>
      <c r="L615" s="3">
        <v>46083</v>
      </c>
      <c r="M615" s="23">
        <f>YEAR(Таблица1[[#This Row],[Дата отчета]])</f>
        <v>2026</v>
      </c>
      <c r="N615" s="7"/>
      <c r="O615" s="7"/>
      <c r="P615" s="7"/>
      <c r="Q615" s="10"/>
    </row>
    <row r="616" spans="1:17" x14ac:dyDescent="0.25">
      <c r="A616" s="1" t="s">
        <v>12</v>
      </c>
      <c r="B616" s="2" t="s">
        <v>561</v>
      </c>
      <c r="C616" s="2" t="s">
        <v>581</v>
      </c>
      <c r="D616" s="2" t="s">
        <v>582</v>
      </c>
      <c r="E616" s="3" t="s">
        <v>576</v>
      </c>
      <c r="F616" s="18">
        <v>949199.4</v>
      </c>
      <c r="G616" s="4"/>
      <c r="H616" s="2">
        <v>1</v>
      </c>
      <c r="I616" s="3">
        <v>46064</v>
      </c>
      <c r="J616" s="4">
        <v>18</v>
      </c>
      <c r="K616" s="4" t="s">
        <v>38</v>
      </c>
      <c r="L616" s="3">
        <v>46083</v>
      </c>
      <c r="M616" s="23">
        <f>YEAR(Таблица1[[#This Row],[Дата отчета]])</f>
        <v>2026</v>
      </c>
      <c r="N616" s="2"/>
      <c r="O616" s="2"/>
      <c r="P616" s="2"/>
      <c r="Q616" s="5"/>
    </row>
    <row r="617" spans="1:17" x14ac:dyDescent="0.25">
      <c r="A617" s="6" t="s">
        <v>12</v>
      </c>
      <c r="B617" s="7" t="s">
        <v>561</v>
      </c>
      <c r="C617" s="7" t="s">
        <v>583</v>
      </c>
      <c r="D617" s="7" t="s">
        <v>584</v>
      </c>
      <c r="E617" s="8" t="s">
        <v>106</v>
      </c>
      <c r="F617" s="19">
        <v>3536597.4</v>
      </c>
      <c r="G617" s="9"/>
      <c r="H617" s="7">
        <v>1</v>
      </c>
      <c r="I617" s="8">
        <v>46017</v>
      </c>
      <c r="J617" s="9">
        <v>65</v>
      </c>
      <c r="K617" s="9" t="s">
        <v>27</v>
      </c>
      <c r="L617" s="3">
        <v>46083</v>
      </c>
      <c r="M617" s="23">
        <f>YEAR(Таблица1[[#This Row],[Дата отчета]])</f>
        <v>2026</v>
      </c>
      <c r="N617" s="7"/>
      <c r="O617" s="7"/>
      <c r="P617" s="7"/>
      <c r="Q617" s="10"/>
    </row>
    <row r="618" spans="1:17" x14ac:dyDescent="0.25">
      <c r="A618" s="1" t="s">
        <v>12</v>
      </c>
      <c r="B618" s="2" t="s">
        <v>561</v>
      </c>
      <c r="C618" s="2" t="s">
        <v>585</v>
      </c>
      <c r="D618" s="2" t="s">
        <v>586</v>
      </c>
      <c r="E618" s="3" t="s">
        <v>106</v>
      </c>
      <c r="F618" s="18">
        <v>1857916.08</v>
      </c>
      <c r="G618" s="4"/>
      <c r="H618" s="2">
        <v>1</v>
      </c>
      <c r="I618" s="3">
        <v>46017</v>
      </c>
      <c r="J618" s="4">
        <v>65</v>
      </c>
      <c r="K618" s="4" t="s">
        <v>27</v>
      </c>
      <c r="L618" s="3">
        <v>46083</v>
      </c>
      <c r="M618" s="23">
        <f>YEAR(Таблица1[[#This Row],[Дата отчета]])</f>
        <v>2026</v>
      </c>
      <c r="N618" s="2"/>
      <c r="O618" s="2"/>
      <c r="P618" s="2"/>
      <c r="Q618" s="5"/>
    </row>
    <row r="619" spans="1:17" x14ac:dyDescent="0.25">
      <c r="A619" s="6" t="s">
        <v>12</v>
      </c>
      <c r="B619" s="7" t="s">
        <v>561</v>
      </c>
      <c r="C619" s="7" t="s">
        <v>587</v>
      </c>
      <c r="D619" s="7" t="s">
        <v>588</v>
      </c>
      <c r="E619" s="8" t="s">
        <v>408</v>
      </c>
      <c r="F619" s="19">
        <v>4806964.25</v>
      </c>
      <c r="G619" s="9"/>
      <c r="H619" s="7">
        <v>1</v>
      </c>
      <c r="I619" s="8">
        <v>46010</v>
      </c>
      <c r="J619" s="9">
        <v>72</v>
      </c>
      <c r="K619" s="9" t="s">
        <v>27</v>
      </c>
      <c r="L619" s="3">
        <v>46083</v>
      </c>
      <c r="M619" s="23">
        <f>YEAR(Таблица1[[#This Row],[Дата отчета]])</f>
        <v>2026</v>
      </c>
      <c r="N619" s="7"/>
      <c r="O619" s="7"/>
      <c r="P619" s="7"/>
      <c r="Q619" s="10"/>
    </row>
    <row r="620" spans="1:17" x14ac:dyDescent="0.25">
      <c r="A620" s="1" t="s">
        <v>12</v>
      </c>
      <c r="B620" s="2" t="s">
        <v>589</v>
      </c>
      <c r="C620" s="2" t="s">
        <v>590</v>
      </c>
      <c r="D620" s="2" t="s">
        <v>591</v>
      </c>
      <c r="E620" s="3" t="s">
        <v>592</v>
      </c>
      <c r="F620" s="18">
        <v>904.82</v>
      </c>
      <c r="G620" s="4"/>
      <c r="H620" s="2">
        <v>1</v>
      </c>
      <c r="I620" s="3">
        <v>45966</v>
      </c>
      <c r="J620" s="4">
        <v>116</v>
      </c>
      <c r="K620" s="4" t="s">
        <v>71</v>
      </c>
      <c r="L620" s="3">
        <v>46083</v>
      </c>
      <c r="M620" s="23">
        <f>YEAR(Таблица1[[#This Row],[Дата отчета]])</f>
        <v>2026</v>
      </c>
      <c r="N620" s="2"/>
      <c r="O620" s="2"/>
      <c r="P620" s="2"/>
      <c r="Q620" s="5"/>
    </row>
    <row r="621" spans="1:17" x14ac:dyDescent="0.25">
      <c r="A621" s="6" t="s">
        <v>12</v>
      </c>
      <c r="B621" s="7" t="s">
        <v>589</v>
      </c>
      <c r="C621" s="7" t="s">
        <v>590</v>
      </c>
      <c r="D621" s="7" t="s">
        <v>593</v>
      </c>
      <c r="E621" s="8" t="s">
        <v>211</v>
      </c>
      <c r="F621" s="19">
        <v>2000</v>
      </c>
      <c r="G621" s="9"/>
      <c r="H621" s="7">
        <v>1</v>
      </c>
      <c r="I621" s="8">
        <v>46056</v>
      </c>
      <c r="J621" s="9">
        <v>26</v>
      </c>
      <c r="K621" s="9" t="s">
        <v>38</v>
      </c>
      <c r="L621" s="3">
        <v>46083</v>
      </c>
      <c r="M621" s="23">
        <f>YEAR(Таблица1[[#This Row],[Дата отчета]])</f>
        <v>2026</v>
      </c>
      <c r="N621" s="7"/>
      <c r="O621" s="7"/>
      <c r="P621" s="7"/>
      <c r="Q621" s="10"/>
    </row>
    <row r="622" spans="1:17" x14ac:dyDescent="0.25">
      <c r="A622" s="1" t="s">
        <v>12</v>
      </c>
      <c r="B622" s="2" t="s">
        <v>589</v>
      </c>
      <c r="C622" s="2" t="s">
        <v>594</v>
      </c>
      <c r="D622" s="2" t="s">
        <v>595</v>
      </c>
      <c r="E622" s="3" t="s">
        <v>211</v>
      </c>
      <c r="F622" s="18">
        <v>2534.89</v>
      </c>
      <c r="G622" s="4"/>
      <c r="H622" s="2">
        <v>1</v>
      </c>
      <c r="I622" s="3">
        <v>46056</v>
      </c>
      <c r="J622" s="4">
        <v>26</v>
      </c>
      <c r="K622" s="4" t="s">
        <v>38</v>
      </c>
      <c r="L622" s="3">
        <v>46083</v>
      </c>
      <c r="M622" s="23">
        <f>YEAR(Таблица1[[#This Row],[Дата отчета]])</f>
        <v>2026</v>
      </c>
      <c r="N622" s="2"/>
      <c r="O622" s="2"/>
      <c r="P622" s="2"/>
      <c r="Q622" s="5"/>
    </row>
    <row r="623" spans="1:17" x14ac:dyDescent="0.25">
      <c r="A623" s="6" t="s">
        <v>12</v>
      </c>
      <c r="B623" s="7" t="s">
        <v>589</v>
      </c>
      <c r="C623" s="7" t="s">
        <v>596</v>
      </c>
      <c r="D623" s="7" t="s">
        <v>597</v>
      </c>
      <c r="E623" s="8" t="s">
        <v>59</v>
      </c>
      <c r="F623" s="19">
        <v>7952.65</v>
      </c>
      <c r="G623" s="9"/>
      <c r="H623" s="7">
        <v>1</v>
      </c>
      <c r="I623" s="8">
        <v>46077</v>
      </c>
      <c r="J623" s="9">
        <v>5</v>
      </c>
      <c r="K623" s="9" t="s">
        <v>38</v>
      </c>
      <c r="L623" s="3">
        <v>46083</v>
      </c>
      <c r="M623" s="23">
        <f>YEAR(Таблица1[[#This Row],[Дата отчета]])</f>
        <v>2026</v>
      </c>
      <c r="N623" s="7"/>
      <c r="O623" s="7"/>
      <c r="P623" s="7"/>
      <c r="Q623" s="10"/>
    </row>
    <row r="624" spans="1:17" x14ac:dyDescent="0.25">
      <c r="A624" s="1" t="s">
        <v>12</v>
      </c>
      <c r="B624" s="2" t="s">
        <v>589</v>
      </c>
      <c r="C624" s="2" t="s">
        <v>598</v>
      </c>
      <c r="D624" s="2" t="s">
        <v>599</v>
      </c>
      <c r="E624" s="3" t="s">
        <v>600</v>
      </c>
      <c r="F624" s="18">
        <v>45.91</v>
      </c>
      <c r="G624" s="4"/>
      <c r="H624" s="2">
        <v>1</v>
      </c>
      <c r="I624" s="3">
        <v>43560</v>
      </c>
      <c r="J624" s="4">
        <v>2522</v>
      </c>
      <c r="K624" s="4" t="s">
        <v>17</v>
      </c>
      <c r="L624" s="3">
        <v>46083</v>
      </c>
      <c r="M624" s="23">
        <f>YEAR(Таблица1[[#This Row],[Дата отчета]])</f>
        <v>2026</v>
      </c>
      <c r="N624" s="2"/>
      <c r="O624" s="2"/>
      <c r="P624" s="2"/>
      <c r="Q624" s="5"/>
    </row>
    <row r="625" spans="1:17" x14ac:dyDescent="0.25">
      <c r="A625" s="6" t="s">
        <v>12</v>
      </c>
      <c r="B625" s="7" t="s">
        <v>589</v>
      </c>
      <c r="C625" s="7" t="s">
        <v>601</v>
      </c>
      <c r="D625" s="7" t="s">
        <v>602</v>
      </c>
      <c r="E625" s="8" t="s">
        <v>592</v>
      </c>
      <c r="F625" s="19">
        <v>2028.51</v>
      </c>
      <c r="G625" s="9"/>
      <c r="H625" s="7">
        <v>1</v>
      </c>
      <c r="I625" s="8">
        <v>45966</v>
      </c>
      <c r="J625" s="9">
        <v>116</v>
      </c>
      <c r="K625" s="9" t="s">
        <v>71</v>
      </c>
      <c r="L625" s="3">
        <v>46083</v>
      </c>
      <c r="M625" s="23">
        <f>YEAR(Таблица1[[#This Row],[Дата отчета]])</f>
        <v>2026</v>
      </c>
      <c r="N625" s="7"/>
      <c r="O625" s="7"/>
      <c r="P625" s="7"/>
      <c r="Q625" s="10"/>
    </row>
    <row r="626" spans="1:17" x14ac:dyDescent="0.25">
      <c r="A626" s="1" t="s">
        <v>12</v>
      </c>
      <c r="B626" s="2" t="s">
        <v>589</v>
      </c>
      <c r="C626" s="2" t="s">
        <v>601</v>
      </c>
      <c r="D626" s="2" t="s">
        <v>603</v>
      </c>
      <c r="E626" s="3" t="s">
        <v>211</v>
      </c>
      <c r="F626" s="18">
        <v>2000</v>
      </c>
      <c r="G626" s="4"/>
      <c r="H626" s="2">
        <v>1</v>
      </c>
      <c r="I626" s="3">
        <v>46056</v>
      </c>
      <c r="J626" s="4">
        <v>26</v>
      </c>
      <c r="K626" s="4" t="s">
        <v>38</v>
      </c>
      <c r="L626" s="3">
        <v>46083</v>
      </c>
      <c r="M626" s="23">
        <f>YEAR(Таблица1[[#This Row],[Дата отчета]])</f>
        <v>2026</v>
      </c>
      <c r="N626" s="2"/>
      <c r="O626" s="2"/>
      <c r="P626" s="2"/>
      <c r="Q626" s="5"/>
    </row>
    <row r="627" spans="1:17" x14ac:dyDescent="0.25">
      <c r="A627" s="6" t="s">
        <v>12</v>
      </c>
      <c r="B627" s="7" t="s">
        <v>589</v>
      </c>
      <c r="C627" s="7" t="s">
        <v>604</v>
      </c>
      <c r="D627" s="7" t="s">
        <v>605</v>
      </c>
      <c r="E627" s="8" t="s">
        <v>606</v>
      </c>
      <c r="F627" s="19">
        <v>316.13</v>
      </c>
      <c r="G627" s="9"/>
      <c r="H627" s="7">
        <v>1</v>
      </c>
      <c r="I627" s="8">
        <v>45873</v>
      </c>
      <c r="J627" s="9">
        <v>209</v>
      </c>
      <c r="K627" s="9" t="s">
        <v>67</v>
      </c>
      <c r="L627" s="3">
        <v>46083</v>
      </c>
      <c r="M627" s="23">
        <f>YEAR(Таблица1[[#This Row],[Дата отчета]])</f>
        <v>2026</v>
      </c>
      <c r="N627" s="7"/>
      <c r="O627" s="7"/>
      <c r="P627" s="7"/>
      <c r="Q627" s="10"/>
    </row>
    <row r="628" spans="1:17" x14ac:dyDescent="0.25">
      <c r="A628" s="1" t="s">
        <v>12</v>
      </c>
      <c r="B628" s="2" t="s">
        <v>589</v>
      </c>
      <c r="C628" s="2" t="s">
        <v>607</v>
      </c>
      <c r="D628" s="2" t="s">
        <v>608</v>
      </c>
      <c r="E628" s="3" t="s">
        <v>609</v>
      </c>
      <c r="F628" s="18">
        <v>771.25</v>
      </c>
      <c r="G628" s="4"/>
      <c r="H628" s="2">
        <v>1</v>
      </c>
      <c r="I628" s="3">
        <v>45233</v>
      </c>
      <c r="J628" s="4">
        <v>849</v>
      </c>
      <c r="K628" s="4" t="s">
        <v>17</v>
      </c>
      <c r="L628" s="3">
        <v>46083</v>
      </c>
      <c r="M628" s="23">
        <f>YEAR(Таблица1[[#This Row],[Дата отчета]])</f>
        <v>2026</v>
      </c>
      <c r="N628" s="2"/>
      <c r="O628" s="2"/>
      <c r="P628" s="2"/>
      <c r="Q628" s="5"/>
    </row>
    <row r="629" spans="1:17" x14ac:dyDescent="0.25">
      <c r="A629" s="6" t="s">
        <v>12</v>
      </c>
      <c r="B629" s="7" t="s">
        <v>589</v>
      </c>
      <c r="C629" s="7" t="s">
        <v>607</v>
      </c>
      <c r="D629" s="7" t="s">
        <v>610</v>
      </c>
      <c r="E629" s="8" t="s">
        <v>611</v>
      </c>
      <c r="F629" s="19">
        <v>500</v>
      </c>
      <c r="G629" s="9"/>
      <c r="H629" s="7">
        <v>1</v>
      </c>
      <c r="I629" s="8">
        <v>45335</v>
      </c>
      <c r="J629" s="9">
        <v>747</v>
      </c>
      <c r="K629" s="9" t="s">
        <v>17</v>
      </c>
      <c r="L629" s="3">
        <v>46083</v>
      </c>
      <c r="M629" s="23">
        <f>YEAR(Таблица1[[#This Row],[Дата отчета]])</f>
        <v>2026</v>
      </c>
      <c r="N629" s="7"/>
      <c r="O629" s="7"/>
      <c r="P629" s="7"/>
      <c r="Q629" s="10"/>
    </row>
    <row r="630" spans="1:17" x14ac:dyDescent="0.25">
      <c r="A630" s="1" t="s">
        <v>12</v>
      </c>
      <c r="B630" s="2" t="s">
        <v>589</v>
      </c>
      <c r="C630" s="2" t="s">
        <v>612</v>
      </c>
      <c r="D630" s="2" t="s">
        <v>613</v>
      </c>
      <c r="E630" s="3" t="s">
        <v>592</v>
      </c>
      <c r="F630" s="18">
        <v>2124.0700000000002</v>
      </c>
      <c r="G630" s="4"/>
      <c r="H630" s="2">
        <v>1</v>
      </c>
      <c r="I630" s="3">
        <v>45966</v>
      </c>
      <c r="J630" s="4">
        <v>116</v>
      </c>
      <c r="K630" s="4" t="s">
        <v>71</v>
      </c>
      <c r="L630" s="3">
        <v>46083</v>
      </c>
      <c r="M630" s="23">
        <f>YEAR(Таблица1[[#This Row],[Дата отчета]])</f>
        <v>2026</v>
      </c>
      <c r="N630" s="2"/>
      <c r="O630" s="2"/>
      <c r="P630" s="2"/>
      <c r="Q630" s="5"/>
    </row>
    <row r="631" spans="1:17" x14ac:dyDescent="0.25">
      <c r="A631" s="6" t="s">
        <v>12</v>
      </c>
      <c r="B631" s="7" t="s">
        <v>589</v>
      </c>
      <c r="C631" s="7" t="s">
        <v>612</v>
      </c>
      <c r="D631" s="7" t="s">
        <v>614</v>
      </c>
      <c r="E631" s="8" t="s">
        <v>211</v>
      </c>
      <c r="F631" s="19">
        <v>2000</v>
      </c>
      <c r="G631" s="9"/>
      <c r="H631" s="7">
        <v>1</v>
      </c>
      <c r="I631" s="8">
        <v>46056</v>
      </c>
      <c r="J631" s="9">
        <v>26</v>
      </c>
      <c r="K631" s="9" t="s">
        <v>38</v>
      </c>
      <c r="L631" s="3">
        <v>46083</v>
      </c>
      <c r="M631" s="23">
        <f>YEAR(Таблица1[[#This Row],[Дата отчета]])</f>
        <v>2026</v>
      </c>
      <c r="N631" s="7"/>
      <c r="O631" s="7"/>
      <c r="P631" s="7"/>
      <c r="Q631" s="10"/>
    </row>
    <row r="632" spans="1:17" x14ac:dyDescent="0.25">
      <c r="A632" s="1" t="s">
        <v>12</v>
      </c>
      <c r="B632" s="2" t="s">
        <v>589</v>
      </c>
      <c r="C632" s="2" t="s">
        <v>615</v>
      </c>
      <c r="D632" s="2" t="s">
        <v>616</v>
      </c>
      <c r="E632" s="3" t="s">
        <v>617</v>
      </c>
      <c r="F632" s="18">
        <v>127.6</v>
      </c>
      <c r="G632" s="4"/>
      <c r="H632" s="2">
        <v>1</v>
      </c>
      <c r="I632" s="3">
        <v>42468</v>
      </c>
      <c r="J632" s="4">
        <v>3614</v>
      </c>
      <c r="K632" s="4" t="s">
        <v>17</v>
      </c>
      <c r="L632" s="3">
        <v>46083</v>
      </c>
      <c r="M632" s="23">
        <f>YEAR(Таблица1[[#This Row],[Дата отчета]])</f>
        <v>2026</v>
      </c>
      <c r="N632" s="2"/>
      <c r="O632" s="2"/>
      <c r="P632" s="2"/>
      <c r="Q632" s="5"/>
    </row>
    <row r="633" spans="1:17" x14ac:dyDescent="0.25">
      <c r="A633" s="6" t="s">
        <v>12</v>
      </c>
      <c r="B633" s="7" t="s">
        <v>589</v>
      </c>
      <c r="C633" s="7" t="s">
        <v>615</v>
      </c>
      <c r="D633" s="7" t="s">
        <v>618</v>
      </c>
      <c r="E633" s="8" t="s">
        <v>619</v>
      </c>
      <c r="F633" s="19">
        <v>430</v>
      </c>
      <c r="G633" s="9"/>
      <c r="H633" s="7">
        <v>1</v>
      </c>
      <c r="I633" s="8">
        <v>42501</v>
      </c>
      <c r="J633" s="9">
        <v>3581</v>
      </c>
      <c r="K633" s="9" t="s">
        <v>17</v>
      </c>
      <c r="L633" s="3">
        <v>46083</v>
      </c>
      <c r="M633" s="23">
        <f>YEAR(Таблица1[[#This Row],[Дата отчета]])</f>
        <v>2026</v>
      </c>
      <c r="N633" s="7"/>
      <c r="O633" s="7"/>
      <c r="P633" s="7"/>
      <c r="Q633" s="10"/>
    </row>
    <row r="634" spans="1:17" x14ac:dyDescent="0.25">
      <c r="A634" s="1" t="s">
        <v>12</v>
      </c>
      <c r="B634" s="2" t="s">
        <v>589</v>
      </c>
      <c r="C634" s="2" t="s">
        <v>615</v>
      </c>
      <c r="D634" s="2" t="s">
        <v>620</v>
      </c>
      <c r="E634" s="3" t="s">
        <v>621</v>
      </c>
      <c r="F634" s="18">
        <v>0.01</v>
      </c>
      <c r="G634" s="4"/>
      <c r="H634" s="2">
        <v>1</v>
      </c>
      <c r="I634" s="3">
        <v>43817</v>
      </c>
      <c r="J634" s="4">
        <v>2265</v>
      </c>
      <c r="K634" s="4" t="s">
        <v>17</v>
      </c>
      <c r="L634" s="3">
        <v>46083</v>
      </c>
      <c r="M634" s="23">
        <f>YEAR(Таблица1[[#This Row],[Дата отчета]])</f>
        <v>2026</v>
      </c>
      <c r="N634" s="2"/>
      <c r="O634" s="2"/>
      <c r="P634" s="2"/>
      <c r="Q634" s="5"/>
    </row>
    <row r="635" spans="1:17" x14ac:dyDescent="0.25">
      <c r="A635" s="6" t="s">
        <v>12</v>
      </c>
      <c r="B635" s="7" t="s">
        <v>589</v>
      </c>
      <c r="C635" s="7" t="s">
        <v>622</v>
      </c>
      <c r="D635" s="7"/>
      <c r="E635" s="8"/>
      <c r="F635" s="19">
        <v>68.27</v>
      </c>
      <c r="G635" s="9"/>
      <c r="H635" s="7">
        <v>1</v>
      </c>
      <c r="I635" s="8">
        <v>0</v>
      </c>
      <c r="J635" s="9">
        <v>46082</v>
      </c>
      <c r="K635" s="9" t="s">
        <v>17</v>
      </c>
      <c r="L635" s="3">
        <v>46083</v>
      </c>
      <c r="M635" s="23">
        <f>YEAR(Таблица1[[#This Row],[Дата отчета]])</f>
        <v>2026</v>
      </c>
      <c r="N635" s="7"/>
      <c r="O635" s="7"/>
      <c r="P635" s="7"/>
      <c r="Q635" s="10"/>
    </row>
    <row r="636" spans="1:17" x14ac:dyDescent="0.25">
      <c r="A636" s="1" t="s">
        <v>12</v>
      </c>
      <c r="B636" s="2" t="s">
        <v>589</v>
      </c>
      <c r="C636" s="2" t="s">
        <v>623</v>
      </c>
      <c r="D636" s="2" t="s">
        <v>624</v>
      </c>
      <c r="E636" s="3" t="s">
        <v>625</v>
      </c>
      <c r="F636" s="18">
        <v>799.94</v>
      </c>
      <c r="G636" s="4"/>
      <c r="H636" s="2">
        <v>1</v>
      </c>
      <c r="I636" s="3">
        <v>42429</v>
      </c>
      <c r="J636" s="4">
        <v>3653</v>
      </c>
      <c r="K636" s="4" t="s">
        <v>17</v>
      </c>
      <c r="L636" s="3">
        <v>46083</v>
      </c>
      <c r="M636" s="23">
        <f>YEAR(Таблица1[[#This Row],[Дата отчета]])</f>
        <v>2026</v>
      </c>
      <c r="N636" s="2"/>
      <c r="O636" s="2"/>
      <c r="P636" s="2"/>
      <c r="Q636" s="5"/>
    </row>
    <row r="637" spans="1:17" x14ac:dyDescent="0.25">
      <c r="A637" s="6" t="s">
        <v>12</v>
      </c>
      <c r="B637" s="7" t="s">
        <v>589</v>
      </c>
      <c r="C637" s="7" t="s">
        <v>626</v>
      </c>
      <c r="D637" s="7" t="s">
        <v>627</v>
      </c>
      <c r="E637" s="8" t="s">
        <v>606</v>
      </c>
      <c r="F637" s="19">
        <v>2356.06</v>
      </c>
      <c r="G637" s="9"/>
      <c r="H637" s="7">
        <v>1</v>
      </c>
      <c r="I637" s="8">
        <v>45873</v>
      </c>
      <c r="J637" s="9">
        <v>209</v>
      </c>
      <c r="K637" s="9" t="s">
        <v>67</v>
      </c>
      <c r="L637" s="3">
        <v>46083</v>
      </c>
      <c r="M637" s="23">
        <f>YEAR(Таблица1[[#This Row],[Дата отчета]])</f>
        <v>2026</v>
      </c>
      <c r="N637" s="7"/>
      <c r="O637" s="7"/>
      <c r="P637" s="7"/>
      <c r="Q637" s="10"/>
    </row>
    <row r="638" spans="1:17" x14ac:dyDescent="0.25">
      <c r="A638" s="1" t="s">
        <v>12</v>
      </c>
      <c r="B638" s="2" t="s">
        <v>589</v>
      </c>
      <c r="C638" s="2" t="s">
        <v>626</v>
      </c>
      <c r="D638" s="2" t="s">
        <v>628</v>
      </c>
      <c r="E638" s="3" t="s">
        <v>592</v>
      </c>
      <c r="F638" s="18">
        <v>5000</v>
      </c>
      <c r="G638" s="4"/>
      <c r="H638" s="2">
        <v>1</v>
      </c>
      <c r="I638" s="3">
        <v>45966</v>
      </c>
      <c r="J638" s="4">
        <v>116</v>
      </c>
      <c r="K638" s="4" t="s">
        <v>71</v>
      </c>
      <c r="L638" s="3">
        <v>46083</v>
      </c>
      <c r="M638" s="23">
        <f>YEAR(Таблица1[[#This Row],[Дата отчета]])</f>
        <v>2026</v>
      </c>
      <c r="N638" s="2"/>
      <c r="O638" s="2"/>
      <c r="P638" s="2"/>
      <c r="Q638" s="5"/>
    </row>
    <row r="639" spans="1:17" x14ac:dyDescent="0.25">
      <c r="A639" s="6" t="s">
        <v>12</v>
      </c>
      <c r="B639" s="7" t="s">
        <v>589</v>
      </c>
      <c r="C639" s="7" t="s">
        <v>626</v>
      </c>
      <c r="D639" s="7" t="s">
        <v>629</v>
      </c>
      <c r="E639" s="8" t="s">
        <v>211</v>
      </c>
      <c r="F639" s="19">
        <v>2000</v>
      </c>
      <c r="G639" s="9"/>
      <c r="H639" s="7">
        <v>1</v>
      </c>
      <c r="I639" s="8">
        <v>46056</v>
      </c>
      <c r="J639" s="9">
        <v>26</v>
      </c>
      <c r="K639" s="9" t="s">
        <v>38</v>
      </c>
      <c r="L639" s="3">
        <v>46083</v>
      </c>
      <c r="M639" s="23">
        <f>YEAR(Таблица1[[#This Row],[Дата отчета]])</f>
        <v>2026</v>
      </c>
      <c r="N639" s="7"/>
      <c r="O639" s="7"/>
      <c r="P639" s="7"/>
      <c r="Q639" s="10"/>
    </row>
    <row r="640" spans="1:17" x14ac:dyDescent="0.25">
      <c r="A640" s="1" t="s">
        <v>12</v>
      </c>
      <c r="B640" s="2" t="s">
        <v>589</v>
      </c>
      <c r="C640" s="2" t="s">
        <v>630</v>
      </c>
      <c r="D640" s="2" t="s">
        <v>631</v>
      </c>
      <c r="E640" s="3" t="s">
        <v>528</v>
      </c>
      <c r="F640" s="18">
        <v>800</v>
      </c>
      <c r="G640" s="4"/>
      <c r="H640" s="2">
        <v>1</v>
      </c>
      <c r="I640" s="3">
        <v>45985</v>
      </c>
      <c r="J640" s="4">
        <v>97</v>
      </c>
      <c r="K640" s="4" t="s">
        <v>71</v>
      </c>
      <c r="L640" s="3">
        <v>46083</v>
      </c>
      <c r="M640" s="23">
        <f>YEAR(Таблица1[[#This Row],[Дата отчета]])</f>
        <v>2026</v>
      </c>
      <c r="N640" s="2"/>
      <c r="O640" s="2"/>
      <c r="P640" s="2"/>
      <c r="Q640" s="5"/>
    </row>
    <row r="641" spans="1:17" x14ac:dyDescent="0.25">
      <c r="A641" s="6" t="s">
        <v>12</v>
      </c>
      <c r="B641" s="7" t="s">
        <v>632</v>
      </c>
      <c r="C641" s="7" t="s">
        <v>633</v>
      </c>
      <c r="D641" s="7" t="s">
        <v>634</v>
      </c>
      <c r="E641" s="8" t="s">
        <v>635</v>
      </c>
      <c r="F641" s="19">
        <v>45000</v>
      </c>
      <c r="G641" s="9"/>
      <c r="H641" s="7">
        <v>1</v>
      </c>
      <c r="I641" s="8">
        <v>45910</v>
      </c>
      <c r="J641" s="9">
        <v>172</v>
      </c>
      <c r="K641" s="9" t="s">
        <v>22</v>
      </c>
      <c r="L641" s="3">
        <v>46083</v>
      </c>
      <c r="M641" s="23">
        <f>YEAR(Таблица1[[#This Row],[Дата отчета]])</f>
        <v>2026</v>
      </c>
      <c r="N641" s="7"/>
      <c r="O641" s="7"/>
      <c r="P641" s="7"/>
      <c r="Q641" s="10"/>
    </row>
    <row r="642" spans="1:17" x14ac:dyDescent="0.25">
      <c r="A642" s="1" t="s">
        <v>12</v>
      </c>
      <c r="B642" s="2" t="s">
        <v>636</v>
      </c>
      <c r="C642" s="2" t="s">
        <v>637</v>
      </c>
      <c r="D642" s="2" t="s">
        <v>638</v>
      </c>
      <c r="E642" s="3" t="s">
        <v>75</v>
      </c>
      <c r="F642" s="18">
        <v>411323.77</v>
      </c>
      <c r="G642" s="4"/>
      <c r="H642" s="2">
        <v>1</v>
      </c>
      <c r="I642" s="3">
        <v>46016</v>
      </c>
      <c r="J642" s="4">
        <v>66</v>
      </c>
      <c r="K642" s="4" t="s">
        <v>27</v>
      </c>
      <c r="L642" s="3">
        <v>46083</v>
      </c>
      <c r="M642" s="23">
        <f>YEAR(Таблица1[[#This Row],[Дата отчета]])</f>
        <v>2026</v>
      </c>
      <c r="N642" s="2"/>
      <c r="O642" s="2"/>
      <c r="P642" s="2"/>
      <c r="Q642" s="5"/>
    </row>
    <row r="643" spans="1:17" x14ac:dyDescent="0.25">
      <c r="A643" s="6" t="s">
        <v>12</v>
      </c>
      <c r="B643" s="7" t="s">
        <v>636</v>
      </c>
      <c r="C643" s="7" t="s">
        <v>639</v>
      </c>
      <c r="D643" s="7" t="s">
        <v>640</v>
      </c>
      <c r="E643" s="8" t="s">
        <v>455</v>
      </c>
      <c r="F643" s="19">
        <v>5632282.5</v>
      </c>
      <c r="G643" s="9"/>
      <c r="H643" s="7">
        <v>1</v>
      </c>
      <c r="I643" s="8">
        <v>46080</v>
      </c>
      <c r="J643" s="9">
        <v>2</v>
      </c>
      <c r="K643" s="9" t="s">
        <v>38</v>
      </c>
      <c r="L643" s="3">
        <v>46083</v>
      </c>
      <c r="M643" s="23">
        <f>YEAR(Таблица1[[#This Row],[Дата отчета]])</f>
        <v>2026</v>
      </c>
      <c r="N643" s="7"/>
      <c r="O643" s="7"/>
      <c r="P643" s="7"/>
      <c r="Q643" s="10"/>
    </row>
    <row r="644" spans="1:17" x14ac:dyDescent="0.25">
      <c r="A644" s="1" t="s">
        <v>12</v>
      </c>
      <c r="B644" s="2" t="s">
        <v>641</v>
      </c>
      <c r="C644" s="2" t="s">
        <v>642</v>
      </c>
      <c r="D644" s="2" t="s">
        <v>643</v>
      </c>
      <c r="E644" s="3" t="s">
        <v>360</v>
      </c>
      <c r="F644" s="18">
        <v>1750000</v>
      </c>
      <c r="G644" s="4"/>
      <c r="H644" s="2">
        <v>1</v>
      </c>
      <c r="I644" s="3">
        <v>46058</v>
      </c>
      <c r="J644" s="4">
        <v>24</v>
      </c>
      <c r="K644" s="4" t="s">
        <v>38</v>
      </c>
      <c r="L644" s="3">
        <v>46083</v>
      </c>
      <c r="M644" s="23">
        <f>YEAR(Таблица1[[#This Row],[Дата отчета]])</f>
        <v>2026</v>
      </c>
      <c r="N644" s="2"/>
      <c r="O644" s="2"/>
      <c r="P644" s="2"/>
      <c r="Q644" s="5"/>
    </row>
    <row r="645" spans="1:17" x14ac:dyDescent="0.25">
      <c r="A645" s="6" t="s">
        <v>12</v>
      </c>
      <c r="B645" s="7" t="s">
        <v>641</v>
      </c>
      <c r="C645" s="7" t="s">
        <v>642</v>
      </c>
      <c r="D645" s="7" t="s">
        <v>644</v>
      </c>
      <c r="E645" s="8" t="s">
        <v>455</v>
      </c>
      <c r="F645" s="19">
        <v>1750000</v>
      </c>
      <c r="G645" s="9"/>
      <c r="H645" s="7">
        <v>1</v>
      </c>
      <c r="I645" s="8">
        <v>46080</v>
      </c>
      <c r="J645" s="9">
        <v>2</v>
      </c>
      <c r="K645" s="9" t="s">
        <v>38</v>
      </c>
      <c r="L645" s="3">
        <v>46083</v>
      </c>
      <c r="M645" s="23">
        <f>YEAR(Таблица1[[#This Row],[Дата отчета]])</f>
        <v>2026</v>
      </c>
      <c r="N645" s="7"/>
      <c r="O645" s="7"/>
      <c r="P645" s="7"/>
      <c r="Q645" s="10"/>
    </row>
    <row r="646" spans="1:17" x14ac:dyDescent="0.25">
      <c r="A646" s="1" t="s">
        <v>12</v>
      </c>
      <c r="B646" s="2" t="s">
        <v>645</v>
      </c>
      <c r="C646" s="2" t="s">
        <v>646</v>
      </c>
      <c r="D646" s="2" t="s">
        <v>647</v>
      </c>
      <c r="E646" s="3" t="s">
        <v>26</v>
      </c>
      <c r="F646" s="18">
        <v>9237364.1999999993</v>
      </c>
      <c r="G646" s="4"/>
      <c r="H646" s="2">
        <v>1</v>
      </c>
      <c r="I646" s="3">
        <v>46044</v>
      </c>
      <c r="J646" s="4">
        <v>38</v>
      </c>
      <c r="K646" s="4" t="s">
        <v>27</v>
      </c>
      <c r="L646" s="3">
        <v>46083</v>
      </c>
      <c r="M646" s="23">
        <f>YEAR(Таблица1[[#This Row],[Дата отчета]])</f>
        <v>2026</v>
      </c>
      <c r="N646" s="2"/>
      <c r="O646" s="2"/>
      <c r="P646" s="2"/>
      <c r="Q646" s="5"/>
    </row>
    <row r="647" spans="1:17" x14ac:dyDescent="0.25">
      <c r="A647" s="6" t="s">
        <v>12</v>
      </c>
      <c r="B647" s="7" t="s">
        <v>645</v>
      </c>
      <c r="C647" s="7" t="s">
        <v>648</v>
      </c>
      <c r="D647" s="7" t="s">
        <v>649</v>
      </c>
      <c r="E647" s="8" t="s">
        <v>576</v>
      </c>
      <c r="F647" s="19">
        <v>9237364.1999999993</v>
      </c>
      <c r="G647" s="9"/>
      <c r="H647" s="7">
        <v>1</v>
      </c>
      <c r="I647" s="8">
        <v>46064</v>
      </c>
      <c r="J647" s="9">
        <v>18</v>
      </c>
      <c r="K647" s="9" t="s">
        <v>38</v>
      </c>
      <c r="L647" s="3">
        <v>46083</v>
      </c>
      <c r="M647" s="23">
        <f>YEAR(Таблица1[[#This Row],[Дата отчета]])</f>
        <v>2026</v>
      </c>
      <c r="N647" s="7"/>
      <c r="O647" s="7"/>
      <c r="P647" s="7"/>
      <c r="Q647" s="10"/>
    </row>
    <row r="648" spans="1:17" x14ac:dyDescent="0.25">
      <c r="A648" s="1" t="s">
        <v>12</v>
      </c>
      <c r="B648" s="2" t="s">
        <v>645</v>
      </c>
      <c r="C648" s="2" t="s">
        <v>650</v>
      </c>
      <c r="D648" s="2" t="s">
        <v>651</v>
      </c>
      <c r="E648" s="3" t="s">
        <v>652</v>
      </c>
      <c r="F648" s="18">
        <v>456108</v>
      </c>
      <c r="G648" s="4"/>
      <c r="H648" s="2">
        <v>1</v>
      </c>
      <c r="I648" s="3">
        <v>45971</v>
      </c>
      <c r="J648" s="4">
        <v>111</v>
      </c>
      <c r="K648" s="4" t="s">
        <v>71</v>
      </c>
      <c r="L648" s="3">
        <v>46083</v>
      </c>
      <c r="M648" s="23">
        <f>YEAR(Таблица1[[#This Row],[Дата отчета]])</f>
        <v>2026</v>
      </c>
      <c r="N648" s="2"/>
      <c r="O648" s="2"/>
      <c r="P648" s="2"/>
      <c r="Q648" s="5"/>
    </row>
    <row r="649" spans="1:17" x14ac:dyDescent="0.25">
      <c r="A649" s="6" t="s">
        <v>12</v>
      </c>
      <c r="B649" s="7" t="s">
        <v>653</v>
      </c>
      <c r="C649" s="7" t="s">
        <v>654</v>
      </c>
      <c r="D649" s="7" t="s">
        <v>655</v>
      </c>
      <c r="E649" s="8" t="s">
        <v>656</v>
      </c>
      <c r="F649" s="19">
        <v>2210602</v>
      </c>
      <c r="G649" s="9"/>
      <c r="H649" s="7">
        <v>1</v>
      </c>
      <c r="I649" s="8">
        <v>46052</v>
      </c>
      <c r="J649" s="9">
        <v>30</v>
      </c>
      <c r="K649" s="9" t="s">
        <v>38</v>
      </c>
      <c r="L649" s="3">
        <v>46083</v>
      </c>
      <c r="M649" s="23">
        <f>YEAR(Таблица1[[#This Row],[Дата отчета]])</f>
        <v>2026</v>
      </c>
      <c r="N649" s="7"/>
      <c r="O649" s="7"/>
      <c r="P649" s="7"/>
      <c r="Q649" s="10"/>
    </row>
    <row r="650" spans="1:17" x14ac:dyDescent="0.25">
      <c r="A650" s="1" t="s">
        <v>12</v>
      </c>
      <c r="B650" s="2" t="s">
        <v>653</v>
      </c>
      <c r="C650" s="2" t="s">
        <v>657</v>
      </c>
      <c r="D650" s="2" t="s">
        <v>658</v>
      </c>
      <c r="E650" s="3" t="s">
        <v>350</v>
      </c>
      <c r="F650" s="18">
        <v>20163208.710000001</v>
      </c>
      <c r="G650" s="4"/>
      <c r="H650" s="2">
        <v>1</v>
      </c>
      <c r="I650" s="3">
        <v>46057</v>
      </c>
      <c r="J650" s="4">
        <v>25</v>
      </c>
      <c r="K650" s="4" t="s">
        <v>38</v>
      </c>
      <c r="L650" s="3">
        <v>46083</v>
      </c>
      <c r="M650" s="23">
        <f>YEAR(Таблица1[[#This Row],[Дата отчета]])</f>
        <v>2026</v>
      </c>
      <c r="N650" s="2"/>
      <c r="O650" s="2"/>
      <c r="P650" s="2"/>
      <c r="Q650" s="5"/>
    </row>
    <row r="651" spans="1:17" x14ac:dyDescent="0.25">
      <c r="A651" s="6" t="s">
        <v>12</v>
      </c>
      <c r="B651" s="7" t="s">
        <v>659</v>
      </c>
      <c r="C651" s="7" t="s">
        <v>660</v>
      </c>
      <c r="D651" s="7" t="s">
        <v>661</v>
      </c>
      <c r="E651" s="8" t="s">
        <v>662</v>
      </c>
      <c r="F651" s="19">
        <v>7568</v>
      </c>
      <c r="G651" s="9"/>
      <c r="H651" s="7">
        <v>1</v>
      </c>
      <c r="I651" s="8">
        <v>45932</v>
      </c>
      <c r="J651" s="9">
        <v>150</v>
      </c>
      <c r="K651" s="9" t="s">
        <v>22</v>
      </c>
      <c r="L651" s="3">
        <v>46083</v>
      </c>
      <c r="M651" s="23">
        <f>YEAR(Таблица1[[#This Row],[Дата отчета]])</f>
        <v>2026</v>
      </c>
      <c r="N651" s="7"/>
      <c r="O651" s="7"/>
      <c r="P651" s="7"/>
      <c r="Q651" s="10"/>
    </row>
    <row r="652" spans="1:17" x14ac:dyDescent="0.25">
      <c r="A652" s="1" t="s">
        <v>12</v>
      </c>
      <c r="B652" s="2" t="s">
        <v>663</v>
      </c>
      <c r="C652" s="2" t="s">
        <v>664</v>
      </c>
      <c r="D652" s="2" t="s">
        <v>665</v>
      </c>
      <c r="E652" s="3" t="s">
        <v>70</v>
      </c>
      <c r="F652" s="18">
        <v>9550</v>
      </c>
      <c r="G652" s="4"/>
      <c r="H652" s="2">
        <v>1</v>
      </c>
      <c r="I652" s="3">
        <v>45979</v>
      </c>
      <c r="J652" s="4">
        <v>103</v>
      </c>
      <c r="K652" s="4" t="s">
        <v>71</v>
      </c>
      <c r="L652" s="3">
        <v>46083</v>
      </c>
      <c r="M652" s="23">
        <f>YEAR(Таблица1[[#This Row],[Дата отчета]])</f>
        <v>2026</v>
      </c>
      <c r="N652" s="2"/>
      <c r="O652" s="2"/>
      <c r="P652" s="2"/>
      <c r="Q652" s="5"/>
    </row>
    <row r="653" spans="1:17" x14ac:dyDescent="0.25">
      <c r="A653" s="6" t="s">
        <v>12</v>
      </c>
      <c r="B653" s="7" t="s">
        <v>666</v>
      </c>
      <c r="C653" s="7" t="s">
        <v>667</v>
      </c>
      <c r="D653" s="7" t="s">
        <v>668</v>
      </c>
      <c r="E653" s="8" t="s">
        <v>669</v>
      </c>
      <c r="F653" s="19">
        <v>25035</v>
      </c>
      <c r="G653" s="9"/>
      <c r="H653" s="7">
        <v>1</v>
      </c>
      <c r="I653" s="8">
        <v>45930</v>
      </c>
      <c r="J653" s="9">
        <v>152</v>
      </c>
      <c r="K653" s="9" t="s">
        <v>22</v>
      </c>
      <c r="L653" s="3">
        <v>46083</v>
      </c>
      <c r="M653" s="23">
        <f>YEAR(Таблица1[[#This Row],[Дата отчета]])</f>
        <v>2026</v>
      </c>
      <c r="N653" s="7"/>
      <c r="O653" s="7"/>
      <c r="P653" s="7"/>
      <c r="Q653" s="10"/>
    </row>
    <row r="654" spans="1:17" x14ac:dyDescent="0.25">
      <c r="A654" s="1" t="s">
        <v>12</v>
      </c>
      <c r="B654" s="2" t="s">
        <v>670</v>
      </c>
      <c r="C654" s="2" t="s">
        <v>671</v>
      </c>
      <c r="D654" s="2" t="s">
        <v>672</v>
      </c>
      <c r="E654" s="3" t="s">
        <v>673</v>
      </c>
      <c r="F654" s="18">
        <v>114.79</v>
      </c>
      <c r="G654" s="4"/>
      <c r="H654" s="2">
        <v>1</v>
      </c>
      <c r="I654" s="3">
        <v>45775</v>
      </c>
      <c r="J654" s="4">
        <v>307</v>
      </c>
      <c r="K654" s="4" t="s">
        <v>92</v>
      </c>
      <c r="L654" s="3">
        <v>46083</v>
      </c>
      <c r="M654" s="23">
        <f>YEAR(Таблица1[[#This Row],[Дата отчета]])</f>
        <v>2026</v>
      </c>
      <c r="N654" s="2"/>
      <c r="O654" s="2"/>
      <c r="P654" s="2"/>
      <c r="Q654" s="5"/>
    </row>
    <row r="655" spans="1:17" x14ac:dyDescent="0.25">
      <c r="A655" s="6" t="s">
        <v>12</v>
      </c>
      <c r="B655" s="7" t="s">
        <v>674</v>
      </c>
      <c r="C655" s="7" t="s">
        <v>675</v>
      </c>
      <c r="D655" s="7" t="s">
        <v>676</v>
      </c>
      <c r="E655" s="8" t="s">
        <v>350</v>
      </c>
      <c r="F655" s="19">
        <v>830516.83</v>
      </c>
      <c r="G655" s="9"/>
      <c r="H655" s="7">
        <v>1</v>
      </c>
      <c r="I655" s="8">
        <v>46057</v>
      </c>
      <c r="J655" s="9">
        <v>25</v>
      </c>
      <c r="K655" s="9" t="s">
        <v>38</v>
      </c>
      <c r="L655" s="3">
        <v>46083</v>
      </c>
      <c r="M655" s="23">
        <f>YEAR(Таблица1[[#This Row],[Дата отчета]])</f>
        <v>2026</v>
      </c>
      <c r="N655" s="7"/>
      <c r="O655" s="7"/>
      <c r="P655" s="7"/>
      <c r="Q655" s="10"/>
    </row>
    <row r="656" spans="1:17" x14ac:dyDescent="0.25">
      <c r="A656" s="1" t="s">
        <v>12</v>
      </c>
      <c r="B656" s="2" t="s">
        <v>677</v>
      </c>
      <c r="C656" s="2" t="s">
        <v>678</v>
      </c>
      <c r="D656" s="2" t="s">
        <v>679</v>
      </c>
      <c r="E656" s="3" t="s">
        <v>239</v>
      </c>
      <c r="F656" s="18">
        <v>0.01</v>
      </c>
      <c r="G656" s="4"/>
      <c r="H656" s="2">
        <v>1</v>
      </c>
      <c r="I656" s="3">
        <v>45996</v>
      </c>
      <c r="J656" s="4">
        <v>86</v>
      </c>
      <c r="K656" s="4" t="s">
        <v>27</v>
      </c>
      <c r="L656" s="3">
        <v>46083</v>
      </c>
      <c r="M656" s="23">
        <f>YEAR(Таблица1[[#This Row],[Дата отчета]])</f>
        <v>2026</v>
      </c>
      <c r="N656" s="2"/>
      <c r="O656" s="2"/>
      <c r="P656" s="2"/>
      <c r="Q656" s="5"/>
    </row>
    <row r="657" spans="1:17" x14ac:dyDescent="0.25">
      <c r="A657" s="6" t="s">
        <v>12</v>
      </c>
      <c r="B657" s="7" t="s">
        <v>677</v>
      </c>
      <c r="C657" s="7" t="s">
        <v>269</v>
      </c>
      <c r="D657" s="7"/>
      <c r="E657" s="8"/>
      <c r="F657" s="19">
        <v>49553</v>
      </c>
      <c r="G657" s="9"/>
      <c r="H657" s="7">
        <v>1</v>
      </c>
      <c r="I657" s="8">
        <v>0</v>
      </c>
      <c r="J657" s="9">
        <v>46082</v>
      </c>
      <c r="K657" s="9" t="s">
        <v>17</v>
      </c>
      <c r="L657" s="3">
        <v>46083</v>
      </c>
      <c r="M657" s="23">
        <f>YEAR(Таблица1[[#This Row],[Дата отчета]])</f>
        <v>2026</v>
      </c>
      <c r="N657" s="7"/>
      <c r="O657" s="7"/>
      <c r="P657" s="7"/>
      <c r="Q657" s="10"/>
    </row>
    <row r="658" spans="1:17" x14ac:dyDescent="0.25">
      <c r="A658" s="1" t="s">
        <v>12</v>
      </c>
      <c r="B658" s="2" t="s">
        <v>680</v>
      </c>
      <c r="C658" s="2" t="s">
        <v>681</v>
      </c>
      <c r="D658" s="2" t="s">
        <v>682</v>
      </c>
      <c r="E658" s="3" t="s">
        <v>683</v>
      </c>
      <c r="F658" s="18">
        <v>25739.47</v>
      </c>
      <c r="G658" s="4"/>
      <c r="H658" s="2">
        <v>1</v>
      </c>
      <c r="I658" s="3">
        <v>45748</v>
      </c>
      <c r="J658" s="4">
        <v>334</v>
      </c>
      <c r="K658" s="4" t="s">
        <v>92</v>
      </c>
      <c r="L658" s="3">
        <v>46083</v>
      </c>
      <c r="M658" s="23">
        <f>YEAR(Таблица1[[#This Row],[Дата отчета]])</f>
        <v>2026</v>
      </c>
      <c r="N658" s="2"/>
      <c r="O658" s="2"/>
      <c r="P658" s="2"/>
      <c r="Q658" s="5"/>
    </row>
    <row r="659" spans="1:17" x14ac:dyDescent="0.25">
      <c r="A659" s="6" t="s">
        <v>12</v>
      </c>
      <c r="B659" s="7" t="s">
        <v>684</v>
      </c>
      <c r="C659" s="7" t="s">
        <v>685</v>
      </c>
      <c r="D659" s="7" t="s">
        <v>686</v>
      </c>
      <c r="E659" s="8" t="s">
        <v>687</v>
      </c>
      <c r="F659" s="19">
        <v>231787.21</v>
      </c>
      <c r="G659" s="9"/>
      <c r="H659" s="7">
        <v>1</v>
      </c>
      <c r="I659" s="8">
        <v>45771</v>
      </c>
      <c r="J659" s="9">
        <v>311</v>
      </c>
      <c r="K659" s="9" t="s">
        <v>92</v>
      </c>
      <c r="L659" s="3">
        <v>46083</v>
      </c>
      <c r="M659" s="23">
        <f>YEAR(Таблица1[[#This Row],[Дата отчета]])</f>
        <v>2026</v>
      </c>
      <c r="N659" s="7"/>
      <c r="O659" s="7"/>
      <c r="P659" s="7"/>
      <c r="Q659" s="10"/>
    </row>
    <row r="660" spans="1:17" x14ac:dyDescent="0.25">
      <c r="A660" s="1" t="s">
        <v>12</v>
      </c>
      <c r="B660" s="2" t="s">
        <v>684</v>
      </c>
      <c r="C660" s="2" t="s">
        <v>688</v>
      </c>
      <c r="D660" s="2" t="s">
        <v>689</v>
      </c>
      <c r="E660" s="3" t="s">
        <v>690</v>
      </c>
      <c r="F660" s="18">
        <v>1109648.04</v>
      </c>
      <c r="G660" s="4"/>
      <c r="H660" s="2">
        <v>1</v>
      </c>
      <c r="I660" s="3">
        <v>45958</v>
      </c>
      <c r="J660" s="4">
        <v>124</v>
      </c>
      <c r="K660" s="4" t="s">
        <v>22</v>
      </c>
      <c r="L660" s="3">
        <v>46083</v>
      </c>
      <c r="M660" s="23">
        <f>YEAR(Таблица1[[#This Row],[Дата отчета]])</f>
        <v>2026</v>
      </c>
      <c r="N660" s="2"/>
      <c r="O660" s="2"/>
      <c r="P660" s="2"/>
      <c r="Q660" s="5"/>
    </row>
    <row r="661" spans="1:17" x14ac:dyDescent="0.25">
      <c r="A661" s="6" t="s">
        <v>12</v>
      </c>
      <c r="B661" s="7" t="s">
        <v>684</v>
      </c>
      <c r="C661" s="7" t="s">
        <v>688</v>
      </c>
      <c r="D661" s="7" t="s">
        <v>691</v>
      </c>
      <c r="E661" s="8" t="s">
        <v>692</v>
      </c>
      <c r="F661" s="19">
        <v>623307.19999999995</v>
      </c>
      <c r="G661" s="9"/>
      <c r="H661" s="7">
        <v>1</v>
      </c>
      <c r="I661" s="8">
        <v>45982</v>
      </c>
      <c r="J661" s="9">
        <v>100</v>
      </c>
      <c r="K661" s="9" t="s">
        <v>71</v>
      </c>
      <c r="L661" s="3">
        <v>46083</v>
      </c>
      <c r="M661" s="23">
        <f>YEAR(Таблица1[[#This Row],[Дата отчета]])</f>
        <v>2026</v>
      </c>
      <c r="N661" s="7"/>
      <c r="O661" s="7"/>
      <c r="P661" s="7"/>
      <c r="Q661" s="10"/>
    </row>
    <row r="662" spans="1:17" x14ac:dyDescent="0.25">
      <c r="A662" s="1" t="s">
        <v>12</v>
      </c>
      <c r="B662" s="2" t="s">
        <v>684</v>
      </c>
      <c r="C662" s="2" t="s">
        <v>693</v>
      </c>
      <c r="D662" s="2" t="s">
        <v>694</v>
      </c>
      <c r="E662" s="3" t="s">
        <v>156</v>
      </c>
      <c r="F662" s="18">
        <v>662388</v>
      </c>
      <c r="G662" s="4"/>
      <c r="H662" s="2">
        <v>1</v>
      </c>
      <c r="I662" s="3">
        <v>46051</v>
      </c>
      <c r="J662" s="4">
        <v>31</v>
      </c>
      <c r="K662" s="4" t="s">
        <v>27</v>
      </c>
      <c r="L662" s="3">
        <v>46083</v>
      </c>
      <c r="M662" s="23">
        <f>YEAR(Таблица1[[#This Row],[Дата отчета]])</f>
        <v>2026</v>
      </c>
      <c r="N662" s="2"/>
      <c r="O662" s="2"/>
      <c r="P662" s="2"/>
      <c r="Q662" s="5"/>
    </row>
    <row r="663" spans="1:17" x14ac:dyDescent="0.25">
      <c r="A663" s="6" t="s">
        <v>12</v>
      </c>
      <c r="B663" s="7" t="s">
        <v>684</v>
      </c>
      <c r="C663" s="7" t="s">
        <v>695</v>
      </c>
      <c r="D663" s="7" t="s">
        <v>696</v>
      </c>
      <c r="E663" s="8" t="s">
        <v>218</v>
      </c>
      <c r="F663" s="19">
        <v>140313</v>
      </c>
      <c r="G663" s="9"/>
      <c r="H663" s="7">
        <v>1</v>
      </c>
      <c r="I663" s="8">
        <v>45947</v>
      </c>
      <c r="J663" s="9">
        <v>135</v>
      </c>
      <c r="K663" s="9" t="s">
        <v>22</v>
      </c>
      <c r="L663" s="3">
        <v>46083</v>
      </c>
      <c r="M663" s="23">
        <f>YEAR(Таблица1[[#This Row],[Дата отчета]])</f>
        <v>2026</v>
      </c>
      <c r="N663" s="7"/>
      <c r="O663" s="7"/>
      <c r="P663" s="7"/>
      <c r="Q663" s="10"/>
    </row>
    <row r="664" spans="1:17" x14ac:dyDescent="0.25">
      <c r="A664" s="1" t="s">
        <v>12</v>
      </c>
      <c r="B664" s="2" t="s">
        <v>684</v>
      </c>
      <c r="C664" s="2" t="s">
        <v>697</v>
      </c>
      <c r="D664" s="2" t="s">
        <v>698</v>
      </c>
      <c r="E664" s="3" t="s">
        <v>699</v>
      </c>
      <c r="F664" s="18">
        <v>172161</v>
      </c>
      <c r="G664" s="4"/>
      <c r="H664" s="2">
        <v>1</v>
      </c>
      <c r="I664" s="3">
        <v>45218</v>
      </c>
      <c r="J664" s="4">
        <v>864</v>
      </c>
      <c r="K664" s="4" t="s">
        <v>17</v>
      </c>
      <c r="L664" s="3">
        <v>46083</v>
      </c>
      <c r="M664" s="23">
        <f>YEAR(Таблица1[[#This Row],[Дата отчета]])</f>
        <v>2026</v>
      </c>
      <c r="N664" s="2" t="s">
        <v>4535</v>
      </c>
      <c r="O664" s="2"/>
      <c r="P664" s="2"/>
      <c r="Q664" s="5"/>
    </row>
    <row r="665" spans="1:17" x14ac:dyDescent="0.25">
      <c r="A665" s="6" t="s">
        <v>12</v>
      </c>
      <c r="B665" s="7" t="s">
        <v>684</v>
      </c>
      <c r="C665" s="7" t="s">
        <v>700</v>
      </c>
      <c r="D665" s="7" t="s">
        <v>701</v>
      </c>
      <c r="E665" s="8" t="s">
        <v>702</v>
      </c>
      <c r="F665" s="19">
        <v>1192763</v>
      </c>
      <c r="G665" s="9"/>
      <c r="H665" s="7">
        <v>1</v>
      </c>
      <c r="I665" s="8">
        <v>45943</v>
      </c>
      <c r="J665" s="9">
        <v>139</v>
      </c>
      <c r="K665" s="9" t="s">
        <v>22</v>
      </c>
      <c r="L665" s="3">
        <v>46083</v>
      </c>
      <c r="M665" s="23">
        <f>YEAR(Таблица1[[#This Row],[Дата отчета]])</f>
        <v>2026</v>
      </c>
      <c r="N665" s="7"/>
      <c r="O665" s="7"/>
      <c r="P665" s="7"/>
      <c r="Q665" s="10"/>
    </row>
    <row r="666" spans="1:17" x14ac:dyDescent="0.25">
      <c r="A666" s="1" t="s">
        <v>12</v>
      </c>
      <c r="B666" s="2" t="s">
        <v>684</v>
      </c>
      <c r="C666" s="2" t="s">
        <v>703</v>
      </c>
      <c r="D666" s="2" t="s">
        <v>704</v>
      </c>
      <c r="E666" s="3" t="s">
        <v>702</v>
      </c>
      <c r="F666" s="18">
        <v>546480</v>
      </c>
      <c r="G666" s="4"/>
      <c r="H666" s="2">
        <v>1</v>
      </c>
      <c r="I666" s="3">
        <v>45943</v>
      </c>
      <c r="J666" s="4">
        <v>139</v>
      </c>
      <c r="K666" s="4" t="s">
        <v>22</v>
      </c>
      <c r="L666" s="3">
        <v>46083</v>
      </c>
      <c r="M666" s="23">
        <f>YEAR(Таблица1[[#This Row],[Дата отчета]])</f>
        <v>2026</v>
      </c>
      <c r="N666" s="2"/>
      <c r="O666" s="2"/>
      <c r="P666" s="2"/>
      <c r="Q666" s="5"/>
    </row>
    <row r="667" spans="1:17" x14ac:dyDescent="0.25">
      <c r="A667" s="6" t="s">
        <v>12</v>
      </c>
      <c r="B667" s="7" t="s">
        <v>705</v>
      </c>
      <c r="C667" s="7" t="s">
        <v>706</v>
      </c>
      <c r="D667" s="7" t="s">
        <v>707</v>
      </c>
      <c r="E667" s="8" t="s">
        <v>70</v>
      </c>
      <c r="F667" s="19">
        <v>876000</v>
      </c>
      <c r="G667" s="9"/>
      <c r="H667" s="7">
        <v>1</v>
      </c>
      <c r="I667" s="8">
        <v>45979</v>
      </c>
      <c r="J667" s="9">
        <v>103</v>
      </c>
      <c r="K667" s="9" t="s">
        <v>71</v>
      </c>
      <c r="L667" s="3">
        <v>46083</v>
      </c>
      <c r="M667" s="23">
        <f>YEAR(Таблица1[[#This Row],[Дата отчета]])</f>
        <v>2026</v>
      </c>
      <c r="N667" s="7"/>
      <c r="O667" s="7"/>
      <c r="P667" s="7"/>
      <c r="Q667" s="10"/>
    </row>
    <row r="668" spans="1:17" x14ac:dyDescent="0.25">
      <c r="A668" s="1" t="s">
        <v>12</v>
      </c>
      <c r="B668" s="2" t="s">
        <v>708</v>
      </c>
      <c r="C668" s="2" t="s">
        <v>709</v>
      </c>
      <c r="D668" s="2" t="s">
        <v>710</v>
      </c>
      <c r="E668" s="3" t="s">
        <v>711</v>
      </c>
      <c r="F668" s="18">
        <v>344584</v>
      </c>
      <c r="G668" s="4"/>
      <c r="H668" s="2">
        <v>1</v>
      </c>
      <c r="I668" s="3">
        <v>46069</v>
      </c>
      <c r="J668" s="4">
        <v>13</v>
      </c>
      <c r="K668" s="4" t="s">
        <v>38</v>
      </c>
      <c r="L668" s="3">
        <v>46083</v>
      </c>
      <c r="M668" s="23">
        <f>YEAR(Таблица1[[#This Row],[Дата отчета]])</f>
        <v>2026</v>
      </c>
      <c r="N668" s="2"/>
      <c r="O668" s="2"/>
      <c r="P668" s="2"/>
      <c r="Q668" s="5"/>
    </row>
    <row r="669" spans="1:17" x14ac:dyDescent="0.25">
      <c r="A669" s="6" t="s">
        <v>12</v>
      </c>
      <c r="B669" s="7" t="s">
        <v>712</v>
      </c>
      <c r="C669" s="7" t="s">
        <v>713</v>
      </c>
      <c r="D669" s="7" t="s">
        <v>714</v>
      </c>
      <c r="E669" s="8" t="s">
        <v>57</v>
      </c>
      <c r="F669" s="19">
        <v>500000</v>
      </c>
      <c r="G669" s="9"/>
      <c r="H669" s="7">
        <v>1</v>
      </c>
      <c r="I669" s="8">
        <v>46043</v>
      </c>
      <c r="J669" s="9">
        <v>39</v>
      </c>
      <c r="K669" s="9" t="s">
        <v>27</v>
      </c>
      <c r="L669" s="3">
        <v>46083</v>
      </c>
      <c r="M669" s="23">
        <f>YEAR(Таблица1[[#This Row],[Дата отчета]])</f>
        <v>2026</v>
      </c>
      <c r="N669" s="7"/>
      <c r="O669" s="7"/>
      <c r="P669" s="7"/>
      <c r="Q669" s="10"/>
    </row>
    <row r="670" spans="1:17" x14ac:dyDescent="0.25">
      <c r="A670" s="1" t="s">
        <v>12</v>
      </c>
      <c r="B670" s="2" t="s">
        <v>715</v>
      </c>
      <c r="C670" s="2" t="s">
        <v>716</v>
      </c>
      <c r="D670" s="2" t="s">
        <v>717</v>
      </c>
      <c r="E670" s="3" t="s">
        <v>718</v>
      </c>
      <c r="F670" s="18">
        <v>161919248.72</v>
      </c>
      <c r="G670" s="4"/>
      <c r="H670" s="2">
        <v>1</v>
      </c>
      <c r="I670" s="3">
        <v>45999</v>
      </c>
      <c r="J670" s="4">
        <v>83</v>
      </c>
      <c r="K670" s="4" t="s">
        <v>27</v>
      </c>
      <c r="L670" s="3">
        <v>46083</v>
      </c>
      <c r="M670" s="23">
        <f>YEAR(Таблица1[[#This Row],[Дата отчета]])</f>
        <v>2026</v>
      </c>
      <c r="N670" s="2"/>
      <c r="O670" s="2"/>
      <c r="P670" s="2"/>
      <c r="Q670" s="5"/>
    </row>
    <row r="671" spans="1:17" x14ac:dyDescent="0.25">
      <c r="A671" s="6" t="s">
        <v>12</v>
      </c>
      <c r="B671" s="7" t="s">
        <v>719</v>
      </c>
      <c r="C671" s="7" t="s">
        <v>720</v>
      </c>
      <c r="D671" s="7" t="s">
        <v>721</v>
      </c>
      <c r="E671" s="8" t="s">
        <v>113</v>
      </c>
      <c r="F671" s="19">
        <v>236250</v>
      </c>
      <c r="G671" s="9"/>
      <c r="H671" s="7">
        <v>1</v>
      </c>
      <c r="I671" s="8">
        <v>46009</v>
      </c>
      <c r="J671" s="9">
        <v>73</v>
      </c>
      <c r="K671" s="9" t="s">
        <v>27</v>
      </c>
      <c r="L671" s="3">
        <v>46083</v>
      </c>
      <c r="M671" s="23">
        <f>YEAR(Таблица1[[#This Row],[Дата отчета]])</f>
        <v>2026</v>
      </c>
      <c r="N671" s="7"/>
      <c r="O671" s="8">
        <v>46099</v>
      </c>
      <c r="P671" s="7"/>
      <c r="Q671" s="10"/>
    </row>
    <row r="672" spans="1:17" x14ac:dyDescent="0.25">
      <c r="A672" s="1" t="s">
        <v>12</v>
      </c>
      <c r="B672" s="2" t="s">
        <v>719</v>
      </c>
      <c r="C672" s="2" t="s">
        <v>722</v>
      </c>
      <c r="D672" s="2" t="s">
        <v>723</v>
      </c>
      <c r="E672" s="3" t="s">
        <v>183</v>
      </c>
      <c r="F672" s="18">
        <v>1181250</v>
      </c>
      <c r="G672" s="4"/>
      <c r="H672" s="2">
        <v>1</v>
      </c>
      <c r="I672" s="3">
        <v>45817</v>
      </c>
      <c r="J672" s="4">
        <v>265</v>
      </c>
      <c r="K672" s="4" t="s">
        <v>67</v>
      </c>
      <c r="L672" s="3">
        <v>46083</v>
      </c>
      <c r="M672" s="23">
        <f>YEAR(Таблица1[[#This Row],[Дата отчета]])</f>
        <v>2026</v>
      </c>
      <c r="N672" s="2"/>
      <c r="O672" s="8">
        <v>46099</v>
      </c>
      <c r="P672" s="2"/>
      <c r="Q672" s="5"/>
    </row>
    <row r="673" spans="1:17" x14ac:dyDescent="0.25">
      <c r="A673" s="6" t="s">
        <v>12</v>
      </c>
      <c r="B673" s="7" t="s">
        <v>719</v>
      </c>
      <c r="C673" s="7" t="s">
        <v>722</v>
      </c>
      <c r="D673" s="7" t="s">
        <v>724</v>
      </c>
      <c r="E673" s="8" t="s">
        <v>725</v>
      </c>
      <c r="F673" s="19">
        <v>236250</v>
      </c>
      <c r="G673" s="9"/>
      <c r="H673" s="7">
        <v>1</v>
      </c>
      <c r="I673" s="8">
        <v>46002</v>
      </c>
      <c r="J673" s="9">
        <v>80</v>
      </c>
      <c r="K673" s="9" t="s">
        <v>27</v>
      </c>
      <c r="L673" s="3">
        <v>46083</v>
      </c>
      <c r="M673" s="23">
        <f>YEAR(Таблица1[[#This Row],[Дата отчета]])</f>
        <v>2026</v>
      </c>
      <c r="N673" s="7"/>
      <c r="O673" s="8">
        <v>46099</v>
      </c>
      <c r="P673" s="7"/>
      <c r="Q673" s="10"/>
    </row>
    <row r="674" spans="1:17" x14ac:dyDescent="0.25">
      <c r="A674" s="1" t="s">
        <v>12</v>
      </c>
      <c r="B674" s="2" t="s">
        <v>726</v>
      </c>
      <c r="C674" s="2" t="s">
        <v>727</v>
      </c>
      <c r="D674" s="2" t="s">
        <v>728</v>
      </c>
      <c r="E674" s="3" t="s">
        <v>729</v>
      </c>
      <c r="F674" s="18">
        <v>6869.56</v>
      </c>
      <c r="G674" s="4"/>
      <c r="H674" s="2">
        <v>1</v>
      </c>
      <c r="I674" s="3">
        <v>45799</v>
      </c>
      <c r="J674" s="4">
        <v>283</v>
      </c>
      <c r="K674" s="4" t="s">
        <v>92</v>
      </c>
      <c r="L674" s="3">
        <v>46083</v>
      </c>
      <c r="M674" s="23">
        <f>YEAR(Таблица1[[#This Row],[Дата отчета]])</f>
        <v>2026</v>
      </c>
      <c r="N674" s="2" t="s">
        <v>807</v>
      </c>
      <c r="O674" s="2"/>
      <c r="P674" s="2"/>
      <c r="Q674" s="5"/>
    </row>
    <row r="675" spans="1:17" x14ac:dyDescent="0.25">
      <c r="A675" s="6" t="s">
        <v>12</v>
      </c>
      <c r="B675" s="7" t="s">
        <v>726</v>
      </c>
      <c r="C675" s="7" t="s">
        <v>730</v>
      </c>
      <c r="D675" s="7" t="s">
        <v>731</v>
      </c>
      <c r="E675" s="8" t="s">
        <v>535</v>
      </c>
      <c r="F675" s="19">
        <v>16930</v>
      </c>
      <c r="G675" s="9"/>
      <c r="H675" s="7">
        <v>1</v>
      </c>
      <c r="I675" s="8">
        <v>45796</v>
      </c>
      <c r="J675" s="9">
        <v>286</v>
      </c>
      <c r="K675" s="9" t="s">
        <v>92</v>
      </c>
      <c r="L675" s="3">
        <v>46083</v>
      </c>
      <c r="M675" s="23">
        <f>YEAR(Таблица1[[#This Row],[Дата отчета]])</f>
        <v>2026</v>
      </c>
      <c r="N675" s="2" t="s">
        <v>807</v>
      </c>
      <c r="O675" s="7"/>
      <c r="P675" s="7"/>
      <c r="Q675" s="10"/>
    </row>
    <row r="676" spans="1:17" x14ac:dyDescent="0.25">
      <c r="A676" s="1" t="s">
        <v>12</v>
      </c>
      <c r="B676" s="2" t="s">
        <v>726</v>
      </c>
      <c r="C676" s="2" t="s">
        <v>732</v>
      </c>
      <c r="D676" s="2" t="s">
        <v>733</v>
      </c>
      <c r="E676" s="3" t="s">
        <v>734</v>
      </c>
      <c r="F676" s="18">
        <v>2163.48</v>
      </c>
      <c r="G676" s="4"/>
      <c r="H676" s="2">
        <v>1</v>
      </c>
      <c r="I676" s="3">
        <v>45541</v>
      </c>
      <c r="J676" s="4">
        <v>541</v>
      </c>
      <c r="K676" s="4" t="s">
        <v>17</v>
      </c>
      <c r="L676" s="3">
        <v>46083</v>
      </c>
      <c r="M676" s="23">
        <f>YEAR(Таблица1[[#This Row],[Дата отчета]])</f>
        <v>2026</v>
      </c>
      <c r="N676" s="2" t="s">
        <v>807</v>
      </c>
      <c r="O676" s="2"/>
      <c r="P676" s="2"/>
      <c r="Q676" s="5"/>
    </row>
    <row r="677" spans="1:17" x14ac:dyDescent="0.25">
      <c r="A677" s="6" t="s">
        <v>12</v>
      </c>
      <c r="B677" s="7" t="s">
        <v>726</v>
      </c>
      <c r="C677" s="7" t="s">
        <v>735</v>
      </c>
      <c r="D677" s="7" t="s">
        <v>736</v>
      </c>
      <c r="E677" s="8" t="s">
        <v>247</v>
      </c>
      <c r="F677" s="19">
        <v>35983.96</v>
      </c>
      <c r="G677" s="9"/>
      <c r="H677" s="7">
        <v>1</v>
      </c>
      <c r="I677" s="8">
        <v>45798</v>
      </c>
      <c r="J677" s="9">
        <v>284</v>
      </c>
      <c r="K677" s="9" t="s">
        <v>92</v>
      </c>
      <c r="L677" s="3">
        <v>46083</v>
      </c>
      <c r="M677" s="23">
        <f>YEAR(Таблица1[[#This Row],[Дата отчета]])</f>
        <v>2026</v>
      </c>
      <c r="N677" s="2" t="s">
        <v>807</v>
      </c>
      <c r="O677" s="7"/>
      <c r="P677" s="7"/>
      <c r="Q677" s="10"/>
    </row>
    <row r="678" spans="1:17" x14ac:dyDescent="0.25">
      <c r="A678" s="1" t="s">
        <v>12</v>
      </c>
      <c r="B678" s="2" t="s">
        <v>726</v>
      </c>
      <c r="C678" s="2" t="s">
        <v>737</v>
      </c>
      <c r="D678" s="2" t="s">
        <v>738</v>
      </c>
      <c r="E678" s="3" t="s">
        <v>739</v>
      </c>
      <c r="F678" s="18">
        <v>3413.74</v>
      </c>
      <c r="G678" s="4"/>
      <c r="H678" s="2">
        <v>1</v>
      </c>
      <c r="I678" s="3">
        <v>45839</v>
      </c>
      <c r="J678" s="4">
        <v>243</v>
      </c>
      <c r="K678" s="4" t="s">
        <v>67</v>
      </c>
      <c r="L678" s="3">
        <v>46083</v>
      </c>
      <c r="M678" s="23">
        <f>YEAR(Таблица1[[#This Row],[Дата отчета]])</f>
        <v>2026</v>
      </c>
      <c r="N678" s="2" t="s">
        <v>807</v>
      </c>
      <c r="O678" s="2"/>
      <c r="P678" s="2"/>
      <c r="Q678" s="5"/>
    </row>
    <row r="679" spans="1:17" x14ac:dyDescent="0.25">
      <c r="A679" s="6" t="s">
        <v>12</v>
      </c>
      <c r="B679" s="7" t="s">
        <v>740</v>
      </c>
      <c r="C679" s="7" t="s">
        <v>741</v>
      </c>
      <c r="D679" s="7" t="s">
        <v>742</v>
      </c>
      <c r="E679" s="8" t="s">
        <v>75</v>
      </c>
      <c r="F679" s="19">
        <v>2223000</v>
      </c>
      <c r="G679" s="9"/>
      <c r="H679" s="7">
        <v>1</v>
      </c>
      <c r="I679" s="8">
        <v>46016</v>
      </c>
      <c r="J679" s="9">
        <v>66</v>
      </c>
      <c r="K679" s="9" t="s">
        <v>27</v>
      </c>
      <c r="L679" s="3">
        <v>46083</v>
      </c>
      <c r="M679" s="23">
        <f>YEAR(Таблица1[[#This Row],[Дата отчета]])</f>
        <v>2026</v>
      </c>
      <c r="N679" s="7"/>
      <c r="O679" s="7"/>
      <c r="P679" s="7"/>
      <c r="Q679" s="10"/>
    </row>
    <row r="680" spans="1:17" x14ac:dyDescent="0.25">
      <c r="A680" s="1" t="s">
        <v>12</v>
      </c>
      <c r="B680" s="2" t="s">
        <v>740</v>
      </c>
      <c r="C680" s="2" t="s">
        <v>741</v>
      </c>
      <c r="D680" s="2" t="s">
        <v>743</v>
      </c>
      <c r="E680" s="3" t="s">
        <v>365</v>
      </c>
      <c r="F680" s="18">
        <v>123500</v>
      </c>
      <c r="G680" s="4"/>
      <c r="H680" s="2">
        <v>1</v>
      </c>
      <c r="I680" s="3">
        <v>46062</v>
      </c>
      <c r="J680" s="4">
        <v>20</v>
      </c>
      <c r="K680" s="4" t="s">
        <v>38</v>
      </c>
      <c r="L680" s="3">
        <v>46083</v>
      </c>
      <c r="M680" s="23">
        <f>YEAR(Таблица1[[#This Row],[Дата отчета]])</f>
        <v>2026</v>
      </c>
      <c r="N680" s="2"/>
      <c r="O680" s="2"/>
      <c r="P680" s="2"/>
      <c r="Q680" s="5"/>
    </row>
    <row r="681" spans="1:17" x14ac:dyDescent="0.25">
      <c r="A681" s="6" t="s">
        <v>12</v>
      </c>
      <c r="B681" s="7" t="s">
        <v>740</v>
      </c>
      <c r="C681" s="7" t="s">
        <v>741</v>
      </c>
      <c r="D681" s="7" t="s">
        <v>744</v>
      </c>
      <c r="E681" s="8" t="s">
        <v>365</v>
      </c>
      <c r="F681" s="19">
        <v>5187000</v>
      </c>
      <c r="G681" s="9"/>
      <c r="H681" s="7">
        <v>1</v>
      </c>
      <c r="I681" s="8">
        <v>46062</v>
      </c>
      <c r="J681" s="9">
        <v>20</v>
      </c>
      <c r="K681" s="9" t="s">
        <v>38</v>
      </c>
      <c r="L681" s="3">
        <v>46083</v>
      </c>
      <c r="M681" s="23">
        <f>YEAR(Таблица1[[#This Row],[Дата отчета]])</f>
        <v>2026</v>
      </c>
      <c r="N681" s="7"/>
      <c r="O681" s="7"/>
      <c r="P681" s="7"/>
      <c r="Q681" s="10"/>
    </row>
    <row r="682" spans="1:17" x14ac:dyDescent="0.25">
      <c r="A682" s="1" t="s">
        <v>12</v>
      </c>
      <c r="B682" s="2" t="s">
        <v>745</v>
      </c>
      <c r="C682" s="2" t="s">
        <v>746</v>
      </c>
      <c r="D682" s="2" t="s">
        <v>747</v>
      </c>
      <c r="E682" s="3" t="s">
        <v>748</v>
      </c>
      <c r="F682" s="18">
        <v>2798.49</v>
      </c>
      <c r="G682" s="4"/>
      <c r="H682" s="2">
        <v>1</v>
      </c>
      <c r="I682" s="3">
        <v>45580</v>
      </c>
      <c r="J682" s="4">
        <v>502</v>
      </c>
      <c r="K682" s="4" t="s">
        <v>17</v>
      </c>
      <c r="L682" s="3">
        <v>46083</v>
      </c>
      <c r="M682" s="23">
        <f>YEAR(Таблица1[[#This Row],[Дата отчета]])</f>
        <v>2026</v>
      </c>
      <c r="N682" s="2"/>
      <c r="O682" s="2"/>
      <c r="P682" s="2"/>
      <c r="Q682" s="5"/>
    </row>
    <row r="683" spans="1:17" x14ac:dyDescent="0.25">
      <c r="A683" s="6" t="s">
        <v>12</v>
      </c>
      <c r="B683" s="7" t="s">
        <v>749</v>
      </c>
      <c r="C683" s="7" t="s">
        <v>750</v>
      </c>
      <c r="D683" s="7" t="s">
        <v>751</v>
      </c>
      <c r="E683" s="8" t="s">
        <v>576</v>
      </c>
      <c r="F683" s="19">
        <v>2778000</v>
      </c>
      <c r="G683" s="9"/>
      <c r="H683" s="7">
        <v>1</v>
      </c>
      <c r="I683" s="8">
        <v>46064</v>
      </c>
      <c r="J683" s="9">
        <v>18</v>
      </c>
      <c r="K683" s="9" t="s">
        <v>38</v>
      </c>
      <c r="L683" s="3">
        <v>46083</v>
      </c>
      <c r="M683" s="23">
        <f>YEAR(Таблица1[[#This Row],[Дата отчета]])</f>
        <v>2026</v>
      </c>
      <c r="N683" s="7"/>
      <c r="O683" s="7"/>
      <c r="P683" s="7"/>
      <c r="Q683" s="10"/>
    </row>
    <row r="684" spans="1:17" x14ac:dyDescent="0.25">
      <c r="A684" s="1" t="s">
        <v>12</v>
      </c>
      <c r="B684" s="2" t="s">
        <v>752</v>
      </c>
      <c r="C684" s="2" t="s">
        <v>753</v>
      </c>
      <c r="D684" s="2" t="s">
        <v>754</v>
      </c>
      <c r="E684" s="3" t="s">
        <v>350</v>
      </c>
      <c r="F684" s="18">
        <v>130000</v>
      </c>
      <c r="G684" s="4"/>
      <c r="H684" s="2">
        <v>1</v>
      </c>
      <c r="I684" s="3">
        <v>46057</v>
      </c>
      <c r="J684" s="4">
        <v>25</v>
      </c>
      <c r="K684" s="4" t="s">
        <v>38</v>
      </c>
      <c r="L684" s="3">
        <v>46083</v>
      </c>
      <c r="M684" s="23">
        <f>YEAR(Таблица1[[#This Row],[Дата отчета]])</f>
        <v>2026</v>
      </c>
      <c r="N684" s="2"/>
      <c r="O684" s="2"/>
      <c r="P684" s="2"/>
      <c r="Q684" s="5"/>
    </row>
    <row r="685" spans="1:17" x14ac:dyDescent="0.25">
      <c r="A685" s="6" t="s">
        <v>12</v>
      </c>
      <c r="B685" s="7" t="s">
        <v>755</v>
      </c>
      <c r="C685" s="7" t="s">
        <v>756</v>
      </c>
      <c r="D685" s="7" t="s">
        <v>757</v>
      </c>
      <c r="E685" s="8" t="s">
        <v>711</v>
      </c>
      <c r="F685" s="19">
        <v>500</v>
      </c>
      <c r="G685" s="9"/>
      <c r="H685" s="7">
        <v>1</v>
      </c>
      <c r="I685" s="8">
        <v>46069</v>
      </c>
      <c r="J685" s="9">
        <v>13</v>
      </c>
      <c r="K685" s="9" t="s">
        <v>38</v>
      </c>
      <c r="L685" s="3">
        <v>46083</v>
      </c>
      <c r="M685" s="23">
        <f>YEAR(Таблица1[[#This Row],[Дата отчета]])</f>
        <v>2026</v>
      </c>
      <c r="N685" s="7"/>
      <c r="O685" s="7"/>
      <c r="P685" s="7"/>
      <c r="Q685" s="10"/>
    </row>
    <row r="686" spans="1:17" x14ac:dyDescent="0.25">
      <c r="A686" s="1" t="s">
        <v>12</v>
      </c>
      <c r="B686" s="2" t="s">
        <v>758</v>
      </c>
      <c r="C686" s="2" t="s">
        <v>759</v>
      </c>
      <c r="D686" s="2" t="s">
        <v>760</v>
      </c>
      <c r="E686" s="3" t="s">
        <v>761</v>
      </c>
      <c r="F686" s="18">
        <v>0.3</v>
      </c>
      <c r="G686" s="4"/>
      <c r="H686" s="2">
        <v>1</v>
      </c>
      <c r="I686" s="3">
        <v>45803</v>
      </c>
      <c r="J686" s="4">
        <v>279</v>
      </c>
      <c r="K686" s="4" t="s">
        <v>92</v>
      </c>
      <c r="L686" s="3">
        <v>46083</v>
      </c>
      <c r="M686" s="23">
        <f>YEAR(Таблица1[[#This Row],[Дата отчета]])</f>
        <v>2026</v>
      </c>
      <c r="N686" s="2"/>
      <c r="O686" s="2"/>
      <c r="P686" s="2"/>
      <c r="Q686" s="5"/>
    </row>
    <row r="687" spans="1:17" x14ac:dyDescent="0.25">
      <c r="A687" s="6" t="s">
        <v>12</v>
      </c>
      <c r="B687" s="7" t="s">
        <v>762</v>
      </c>
      <c r="C687" s="7" t="s">
        <v>763</v>
      </c>
      <c r="D687" s="7" t="s">
        <v>764</v>
      </c>
      <c r="E687" s="8" t="s">
        <v>765</v>
      </c>
      <c r="F687" s="19">
        <v>1425</v>
      </c>
      <c r="G687" s="9"/>
      <c r="H687" s="7">
        <v>1</v>
      </c>
      <c r="I687" s="8">
        <v>45751</v>
      </c>
      <c r="J687" s="9">
        <v>331</v>
      </c>
      <c r="K687" s="9" t="s">
        <v>92</v>
      </c>
      <c r="L687" s="3">
        <v>46083</v>
      </c>
      <c r="M687" s="23">
        <f>YEAR(Таблица1[[#This Row],[Дата отчета]])</f>
        <v>2026</v>
      </c>
      <c r="N687" s="7" t="s">
        <v>4550</v>
      </c>
      <c r="O687" s="7"/>
      <c r="P687" s="7"/>
      <c r="Q687" s="10"/>
    </row>
    <row r="688" spans="1:17" x14ac:dyDescent="0.25">
      <c r="A688" s="1" t="s">
        <v>12</v>
      </c>
      <c r="B688" s="2" t="s">
        <v>766</v>
      </c>
      <c r="C688" s="2" t="s">
        <v>767</v>
      </c>
      <c r="D688" s="2" t="s">
        <v>768</v>
      </c>
      <c r="E688" s="3" t="s">
        <v>769</v>
      </c>
      <c r="F688" s="18">
        <v>163072</v>
      </c>
      <c r="G688" s="4"/>
      <c r="H688" s="2">
        <v>1</v>
      </c>
      <c r="I688" s="3">
        <v>45825</v>
      </c>
      <c r="J688" s="4">
        <v>257</v>
      </c>
      <c r="K688" s="4" t="s">
        <v>67</v>
      </c>
      <c r="L688" s="3">
        <v>46083</v>
      </c>
      <c r="M688" s="23">
        <f>YEAR(Таблица1[[#This Row],[Дата отчета]])</f>
        <v>2026</v>
      </c>
      <c r="N688" s="2" t="s">
        <v>4538</v>
      </c>
      <c r="O688" s="2"/>
      <c r="P688" s="2"/>
      <c r="Q688" s="5"/>
    </row>
    <row r="689" spans="1:17" x14ac:dyDescent="0.25">
      <c r="A689" s="6" t="s">
        <v>12</v>
      </c>
      <c r="B689" s="7" t="s">
        <v>770</v>
      </c>
      <c r="C689" s="7" t="s">
        <v>771</v>
      </c>
      <c r="D689" s="7" t="s">
        <v>772</v>
      </c>
      <c r="E689" s="8" t="s">
        <v>773</v>
      </c>
      <c r="F689" s="19">
        <v>11240</v>
      </c>
      <c r="G689" s="9"/>
      <c r="H689" s="7">
        <v>1</v>
      </c>
      <c r="I689" s="8">
        <v>45888</v>
      </c>
      <c r="J689" s="9">
        <v>194</v>
      </c>
      <c r="K689" s="9" t="s">
        <v>67</v>
      </c>
      <c r="L689" s="3">
        <v>46083</v>
      </c>
      <c r="M689" s="23">
        <f>YEAR(Таблица1[[#This Row],[Дата отчета]])</f>
        <v>2026</v>
      </c>
      <c r="N689" s="7"/>
      <c r="O689" s="7"/>
      <c r="P689" s="7"/>
      <c r="Q689" s="10"/>
    </row>
    <row r="690" spans="1:17" x14ac:dyDescent="0.25">
      <c r="A690" s="1" t="s">
        <v>12</v>
      </c>
      <c r="B690" s="2" t="s">
        <v>774</v>
      </c>
      <c r="C690" s="2" t="s">
        <v>775</v>
      </c>
      <c r="D690" s="2" t="s">
        <v>776</v>
      </c>
      <c r="E690" s="3" t="s">
        <v>725</v>
      </c>
      <c r="F690" s="18">
        <v>460100</v>
      </c>
      <c r="G690" s="4"/>
      <c r="H690" s="2">
        <v>1</v>
      </c>
      <c r="I690" s="3">
        <v>46002</v>
      </c>
      <c r="J690" s="4">
        <v>80</v>
      </c>
      <c r="K690" s="4" t="s">
        <v>27</v>
      </c>
      <c r="L690" s="3">
        <v>46083</v>
      </c>
      <c r="M690" s="23">
        <f>YEAR(Таблица1[[#This Row],[Дата отчета]])</f>
        <v>2026</v>
      </c>
      <c r="N690" s="2"/>
      <c r="O690" s="2"/>
      <c r="P690" s="2"/>
      <c r="Q690" s="5"/>
    </row>
    <row r="691" spans="1:17" x14ac:dyDescent="0.25">
      <c r="A691" s="6" t="s">
        <v>12</v>
      </c>
      <c r="B691" s="7" t="s">
        <v>777</v>
      </c>
      <c r="C691" s="7" t="s">
        <v>778</v>
      </c>
      <c r="D691" s="7" t="s">
        <v>779</v>
      </c>
      <c r="E691" s="8" t="s">
        <v>780</v>
      </c>
      <c r="F691" s="19">
        <v>196.02</v>
      </c>
      <c r="G691" s="9"/>
      <c r="H691" s="7">
        <v>1</v>
      </c>
      <c r="I691" s="8">
        <v>44868</v>
      </c>
      <c r="J691" s="9">
        <v>1214</v>
      </c>
      <c r="K691" s="9" t="s">
        <v>17</v>
      </c>
      <c r="L691" s="3">
        <v>46083</v>
      </c>
      <c r="M691" s="23">
        <f>YEAR(Таблица1[[#This Row],[Дата отчета]])</f>
        <v>2026</v>
      </c>
      <c r="N691" s="2" t="s">
        <v>807</v>
      </c>
      <c r="O691" s="7"/>
      <c r="P691" s="7"/>
      <c r="Q691" s="10"/>
    </row>
    <row r="692" spans="1:17" x14ac:dyDescent="0.25">
      <c r="A692" s="1" t="s">
        <v>12</v>
      </c>
      <c r="B692" s="2" t="s">
        <v>781</v>
      </c>
      <c r="C692" s="2" t="s">
        <v>782</v>
      </c>
      <c r="D692" s="2" t="s">
        <v>783</v>
      </c>
      <c r="E692" s="3" t="s">
        <v>259</v>
      </c>
      <c r="F692" s="18">
        <v>1819352.97</v>
      </c>
      <c r="G692" s="4"/>
      <c r="H692" s="2">
        <v>1</v>
      </c>
      <c r="I692" s="3">
        <v>46071</v>
      </c>
      <c r="J692" s="4">
        <v>11</v>
      </c>
      <c r="K692" s="4" t="s">
        <v>38</v>
      </c>
      <c r="L692" s="3">
        <v>46083</v>
      </c>
      <c r="M692" s="23">
        <f>YEAR(Таблица1[[#This Row],[Дата отчета]])</f>
        <v>2026</v>
      </c>
      <c r="N692" s="2"/>
      <c r="O692" s="2"/>
      <c r="P692" s="2"/>
      <c r="Q692" s="5"/>
    </row>
    <row r="693" spans="1:17" x14ac:dyDescent="0.25">
      <c r="A693" s="6" t="s">
        <v>12</v>
      </c>
      <c r="B693" s="7" t="s">
        <v>784</v>
      </c>
      <c r="C693" s="7" t="s">
        <v>785</v>
      </c>
      <c r="D693" s="7" t="s">
        <v>786</v>
      </c>
      <c r="E693" s="8" t="s">
        <v>211</v>
      </c>
      <c r="F693" s="19">
        <v>12083389.800000001</v>
      </c>
      <c r="G693" s="9"/>
      <c r="H693" s="7">
        <v>1</v>
      </c>
      <c r="I693" s="8">
        <v>46056</v>
      </c>
      <c r="J693" s="9">
        <v>26</v>
      </c>
      <c r="K693" s="9" t="s">
        <v>38</v>
      </c>
      <c r="L693" s="3">
        <v>46083</v>
      </c>
      <c r="M693" s="23">
        <f>YEAR(Таблица1[[#This Row],[Дата отчета]])</f>
        <v>2026</v>
      </c>
      <c r="N693" s="7"/>
      <c r="O693" s="7"/>
      <c r="P693" s="7"/>
      <c r="Q693" s="10"/>
    </row>
    <row r="694" spans="1:17" x14ac:dyDescent="0.25">
      <c r="A694" s="1" t="s">
        <v>12</v>
      </c>
      <c r="B694" s="2" t="s">
        <v>784</v>
      </c>
      <c r="C694" s="2" t="s">
        <v>787</v>
      </c>
      <c r="D694" s="2" t="s">
        <v>788</v>
      </c>
      <c r="E694" s="3" t="s">
        <v>350</v>
      </c>
      <c r="F694" s="18">
        <v>1446946.5</v>
      </c>
      <c r="G694" s="4"/>
      <c r="H694" s="2">
        <v>1</v>
      </c>
      <c r="I694" s="3">
        <v>46057</v>
      </c>
      <c r="J694" s="4">
        <v>25</v>
      </c>
      <c r="K694" s="4" t="s">
        <v>38</v>
      </c>
      <c r="L694" s="3">
        <v>46083</v>
      </c>
      <c r="M694" s="23">
        <f>YEAR(Таблица1[[#This Row],[Дата отчета]])</f>
        <v>2026</v>
      </c>
      <c r="N694" s="2"/>
      <c r="O694" s="2"/>
      <c r="P694" s="2"/>
      <c r="Q694" s="5"/>
    </row>
    <row r="695" spans="1:17" x14ac:dyDescent="0.25">
      <c r="A695" s="6" t="s">
        <v>12</v>
      </c>
      <c r="B695" s="7" t="s">
        <v>784</v>
      </c>
      <c r="C695" s="7" t="s">
        <v>789</v>
      </c>
      <c r="D695" s="7" t="s">
        <v>790</v>
      </c>
      <c r="E695" s="8" t="s">
        <v>281</v>
      </c>
      <c r="F695" s="19">
        <v>895000</v>
      </c>
      <c r="G695" s="9"/>
      <c r="H695" s="7">
        <v>1</v>
      </c>
      <c r="I695" s="8">
        <v>46065</v>
      </c>
      <c r="J695" s="9">
        <v>17</v>
      </c>
      <c r="K695" s="9" t="s">
        <v>38</v>
      </c>
      <c r="L695" s="3">
        <v>46083</v>
      </c>
      <c r="M695" s="23">
        <f>YEAR(Таблица1[[#This Row],[Дата отчета]])</f>
        <v>2026</v>
      </c>
      <c r="N695" s="7"/>
      <c r="O695" s="7"/>
      <c r="P695" s="7"/>
      <c r="Q695" s="10"/>
    </row>
    <row r="696" spans="1:17" x14ac:dyDescent="0.25">
      <c r="A696" s="1" t="s">
        <v>12</v>
      </c>
      <c r="B696" s="2" t="s">
        <v>784</v>
      </c>
      <c r="C696" s="2" t="s">
        <v>791</v>
      </c>
      <c r="D696" s="2" t="s">
        <v>792</v>
      </c>
      <c r="E696" s="3" t="s">
        <v>345</v>
      </c>
      <c r="F696" s="18">
        <v>60000</v>
      </c>
      <c r="G696" s="4"/>
      <c r="H696" s="2">
        <v>1</v>
      </c>
      <c r="I696" s="3">
        <v>45919</v>
      </c>
      <c r="J696" s="4">
        <v>163</v>
      </c>
      <c r="K696" s="4" t="s">
        <v>22</v>
      </c>
      <c r="L696" s="3">
        <v>46083</v>
      </c>
      <c r="M696" s="23">
        <f>YEAR(Таблица1[[#This Row],[Дата отчета]])</f>
        <v>2026</v>
      </c>
      <c r="N696" s="2"/>
      <c r="O696" s="2"/>
      <c r="P696" s="2"/>
      <c r="Q696" s="5"/>
    </row>
    <row r="697" spans="1:17" x14ac:dyDescent="0.25">
      <c r="A697" s="6" t="s">
        <v>12</v>
      </c>
      <c r="B697" s="7" t="s">
        <v>793</v>
      </c>
      <c r="C697" s="7" t="s">
        <v>794</v>
      </c>
      <c r="D697" s="7" t="s">
        <v>795</v>
      </c>
      <c r="E697" s="8" t="s">
        <v>796</v>
      </c>
      <c r="F697" s="19">
        <v>650</v>
      </c>
      <c r="G697" s="9"/>
      <c r="H697" s="7">
        <v>1</v>
      </c>
      <c r="I697" s="8">
        <v>44889</v>
      </c>
      <c r="J697" s="9">
        <v>1193</v>
      </c>
      <c r="K697" s="9" t="s">
        <v>17</v>
      </c>
      <c r="L697" s="3">
        <v>46083</v>
      </c>
      <c r="M697" s="23">
        <f>YEAR(Таблица1[[#This Row],[Дата отчета]])</f>
        <v>2026</v>
      </c>
      <c r="N697" s="2" t="s">
        <v>807</v>
      </c>
      <c r="O697" s="7"/>
      <c r="P697" s="7"/>
      <c r="Q697" s="10"/>
    </row>
    <row r="698" spans="1:17" x14ac:dyDescent="0.25">
      <c r="A698" s="1" t="s">
        <v>12</v>
      </c>
      <c r="B698" s="2" t="s">
        <v>797</v>
      </c>
      <c r="C698" s="2" t="s">
        <v>798</v>
      </c>
      <c r="D698" s="2" t="s">
        <v>799</v>
      </c>
      <c r="E698" s="3" t="s">
        <v>800</v>
      </c>
      <c r="F698" s="18">
        <v>64916</v>
      </c>
      <c r="G698" s="4"/>
      <c r="H698" s="2">
        <v>1</v>
      </c>
      <c r="I698" s="3">
        <v>45993</v>
      </c>
      <c r="J698" s="4">
        <v>89</v>
      </c>
      <c r="K698" s="4" t="s">
        <v>27</v>
      </c>
      <c r="L698" s="3">
        <v>46083</v>
      </c>
      <c r="M698" s="23">
        <f>YEAR(Таблица1[[#This Row],[Дата отчета]])</f>
        <v>2026</v>
      </c>
      <c r="N698" s="2"/>
      <c r="O698" s="2"/>
      <c r="P698" s="2"/>
      <c r="Q698" s="5"/>
    </row>
    <row r="699" spans="1:17" x14ac:dyDescent="0.25">
      <c r="A699" s="6" t="s">
        <v>12</v>
      </c>
      <c r="B699" s="7" t="s">
        <v>801</v>
      </c>
      <c r="C699" s="7" t="s">
        <v>802</v>
      </c>
      <c r="D699" s="7" t="s">
        <v>803</v>
      </c>
      <c r="E699" s="8" t="s">
        <v>161</v>
      </c>
      <c r="F699" s="19">
        <v>1117.75</v>
      </c>
      <c r="G699" s="9"/>
      <c r="H699" s="7">
        <v>1</v>
      </c>
      <c r="I699" s="8">
        <v>45890</v>
      </c>
      <c r="J699" s="9">
        <v>192</v>
      </c>
      <c r="K699" s="9" t="s">
        <v>67</v>
      </c>
      <c r="L699" s="3">
        <v>46083</v>
      </c>
      <c r="M699" s="23">
        <f>YEAR(Таблица1[[#This Row],[Дата отчета]])</f>
        <v>2026</v>
      </c>
      <c r="N699" s="7"/>
      <c r="O699" s="7"/>
      <c r="P699" s="7"/>
      <c r="Q699" s="10"/>
    </row>
    <row r="700" spans="1:17" x14ac:dyDescent="0.25">
      <c r="A700" s="1" t="s">
        <v>12</v>
      </c>
      <c r="B700" s="2" t="s">
        <v>804</v>
      </c>
      <c r="C700" s="2" t="s">
        <v>805</v>
      </c>
      <c r="D700" s="2" t="s">
        <v>806</v>
      </c>
      <c r="E700" s="3" t="s">
        <v>276</v>
      </c>
      <c r="F700" s="18">
        <v>8840</v>
      </c>
      <c r="G700" s="4"/>
      <c r="H700" s="2">
        <v>1</v>
      </c>
      <c r="I700" s="3">
        <v>45827</v>
      </c>
      <c r="J700" s="4">
        <v>255</v>
      </c>
      <c r="K700" s="4" t="s">
        <v>67</v>
      </c>
      <c r="L700" s="3">
        <v>46083</v>
      </c>
      <c r="M700" s="23">
        <f>YEAR(Таблица1[[#This Row],[Дата отчета]])</f>
        <v>2026</v>
      </c>
      <c r="N700" s="2" t="s">
        <v>807</v>
      </c>
      <c r="O700" s="2"/>
      <c r="P700" s="2"/>
      <c r="Q700" s="5"/>
    </row>
    <row r="701" spans="1:17" x14ac:dyDescent="0.25">
      <c r="A701" s="6" t="s">
        <v>12</v>
      </c>
      <c r="B701" s="7" t="s">
        <v>804</v>
      </c>
      <c r="C701" s="7" t="s">
        <v>808</v>
      </c>
      <c r="D701" s="7" t="s">
        <v>809</v>
      </c>
      <c r="E701" s="8" t="s">
        <v>810</v>
      </c>
      <c r="F701" s="19">
        <v>192230</v>
      </c>
      <c r="G701" s="9"/>
      <c r="H701" s="7">
        <v>1</v>
      </c>
      <c r="I701" s="8">
        <v>46063</v>
      </c>
      <c r="J701" s="9">
        <v>19</v>
      </c>
      <c r="K701" s="9" t="s">
        <v>38</v>
      </c>
      <c r="L701" s="3">
        <v>46083</v>
      </c>
      <c r="M701" s="23">
        <f>YEAR(Таблица1[[#This Row],[Дата отчета]])</f>
        <v>2026</v>
      </c>
      <c r="N701" s="7"/>
      <c r="O701" s="7"/>
      <c r="P701" s="7"/>
      <c r="Q701" s="10"/>
    </row>
    <row r="702" spans="1:17" x14ac:dyDescent="0.25">
      <c r="A702" s="1" t="s">
        <v>12</v>
      </c>
      <c r="B702" s="2" t="s">
        <v>804</v>
      </c>
      <c r="C702" s="2" t="s">
        <v>811</v>
      </c>
      <c r="D702" s="2" t="s">
        <v>812</v>
      </c>
      <c r="E702" s="3" t="s">
        <v>37</v>
      </c>
      <c r="F702" s="18">
        <v>850000</v>
      </c>
      <c r="G702" s="4"/>
      <c r="H702" s="2">
        <v>1</v>
      </c>
      <c r="I702" s="3">
        <v>46066</v>
      </c>
      <c r="J702" s="4">
        <v>16</v>
      </c>
      <c r="K702" s="4" t="s">
        <v>38</v>
      </c>
      <c r="L702" s="3">
        <v>46083</v>
      </c>
      <c r="M702" s="23">
        <f>YEAR(Таблица1[[#This Row],[Дата отчета]])</f>
        <v>2026</v>
      </c>
      <c r="N702" s="2"/>
      <c r="O702" s="2"/>
      <c r="P702" s="2"/>
      <c r="Q702" s="5"/>
    </row>
    <row r="703" spans="1:17" x14ac:dyDescent="0.25">
      <c r="A703" s="6" t="s">
        <v>12</v>
      </c>
      <c r="B703" s="7" t="s">
        <v>804</v>
      </c>
      <c r="C703" s="7" t="s">
        <v>813</v>
      </c>
      <c r="D703" s="7" t="s">
        <v>814</v>
      </c>
      <c r="E703" s="8" t="s">
        <v>37</v>
      </c>
      <c r="F703" s="19">
        <v>850000</v>
      </c>
      <c r="G703" s="9"/>
      <c r="H703" s="7">
        <v>1</v>
      </c>
      <c r="I703" s="8">
        <v>46066</v>
      </c>
      <c r="J703" s="9">
        <v>16</v>
      </c>
      <c r="K703" s="9" t="s">
        <v>38</v>
      </c>
      <c r="L703" s="3">
        <v>46083</v>
      </c>
      <c r="M703" s="23">
        <f>YEAR(Таблица1[[#This Row],[Дата отчета]])</f>
        <v>2026</v>
      </c>
      <c r="N703" s="7"/>
      <c r="O703" s="7"/>
      <c r="P703" s="7"/>
      <c r="Q703" s="10"/>
    </row>
    <row r="704" spans="1:17" x14ac:dyDescent="0.25">
      <c r="A704" s="1" t="s">
        <v>12</v>
      </c>
      <c r="B704" s="2" t="s">
        <v>804</v>
      </c>
      <c r="C704" s="2" t="s">
        <v>815</v>
      </c>
      <c r="D704" s="2" t="s">
        <v>816</v>
      </c>
      <c r="E704" s="3" t="s">
        <v>259</v>
      </c>
      <c r="F704" s="18">
        <v>850000</v>
      </c>
      <c r="G704" s="4"/>
      <c r="H704" s="2">
        <v>1</v>
      </c>
      <c r="I704" s="3">
        <v>46071</v>
      </c>
      <c r="J704" s="4">
        <v>11</v>
      </c>
      <c r="K704" s="4" t="s">
        <v>38</v>
      </c>
      <c r="L704" s="3">
        <v>46083</v>
      </c>
      <c r="M704" s="23">
        <f>YEAR(Таблица1[[#This Row],[Дата отчета]])</f>
        <v>2026</v>
      </c>
      <c r="N704" s="2"/>
      <c r="O704" s="2"/>
      <c r="P704" s="2"/>
      <c r="Q704" s="5"/>
    </row>
    <row r="705" spans="1:17" x14ac:dyDescent="0.25">
      <c r="A705" s="6" t="s">
        <v>12</v>
      </c>
      <c r="B705" s="7" t="s">
        <v>804</v>
      </c>
      <c r="C705" s="7" t="s">
        <v>817</v>
      </c>
      <c r="D705" s="7" t="s">
        <v>818</v>
      </c>
      <c r="E705" s="8" t="s">
        <v>59</v>
      </c>
      <c r="F705" s="19">
        <v>850000</v>
      </c>
      <c r="G705" s="9"/>
      <c r="H705" s="7">
        <v>1</v>
      </c>
      <c r="I705" s="8">
        <v>46077</v>
      </c>
      <c r="J705" s="9">
        <v>5</v>
      </c>
      <c r="K705" s="9" t="s">
        <v>38</v>
      </c>
      <c r="L705" s="3">
        <v>46083</v>
      </c>
      <c r="M705" s="23">
        <f>YEAR(Таблица1[[#This Row],[Дата отчета]])</f>
        <v>2026</v>
      </c>
      <c r="N705" s="7"/>
      <c r="O705" s="7"/>
      <c r="P705" s="7"/>
      <c r="Q705" s="10"/>
    </row>
    <row r="706" spans="1:17" x14ac:dyDescent="0.25">
      <c r="A706" s="1" t="s">
        <v>12</v>
      </c>
      <c r="B706" s="2" t="s">
        <v>804</v>
      </c>
      <c r="C706" s="2" t="s">
        <v>819</v>
      </c>
      <c r="D706" s="2" t="s">
        <v>820</v>
      </c>
      <c r="E706" s="3" t="s">
        <v>821</v>
      </c>
      <c r="F706" s="18">
        <v>56500</v>
      </c>
      <c r="G706" s="4"/>
      <c r="H706" s="2">
        <v>1</v>
      </c>
      <c r="I706" s="3">
        <v>45924</v>
      </c>
      <c r="J706" s="4">
        <v>158</v>
      </c>
      <c r="K706" s="4" t="s">
        <v>22</v>
      </c>
      <c r="L706" s="3">
        <v>46083</v>
      </c>
      <c r="M706" s="23">
        <f>YEAR(Таблица1[[#This Row],[Дата отчета]])</f>
        <v>2026</v>
      </c>
      <c r="N706" s="2" t="s">
        <v>807</v>
      </c>
      <c r="O706" s="2"/>
      <c r="P706" s="2"/>
      <c r="Q706" s="5"/>
    </row>
    <row r="707" spans="1:17" x14ac:dyDescent="0.25">
      <c r="A707" s="6" t="s">
        <v>12</v>
      </c>
      <c r="B707" s="7" t="s">
        <v>804</v>
      </c>
      <c r="C707" s="7" t="s">
        <v>822</v>
      </c>
      <c r="D707" s="7" t="s">
        <v>823</v>
      </c>
      <c r="E707" s="8" t="s">
        <v>824</v>
      </c>
      <c r="F707" s="19">
        <v>500000</v>
      </c>
      <c r="G707" s="9"/>
      <c r="H707" s="7">
        <v>1</v>
      </c>
      <c r="I707" s="8">
        <v>45975</v>
      </c>
      <c r="J707" s="9">
        <v>107</v>
      </c>
      <c r="K707" s="9" t="s">
        <v>71</v>
      </c>
      <c r="L707" s="3">
        <v>46083</v>
      </c>
      <c r="M707" s="23">
        <f>YEAR(Таблица1[[#This Row],[Дата отчета]])</f>
        <v>2026</v>
      </c>
      <c r="N707" s="2" t="s">
        <v>807</v>
      </c>
      <c r="O707" s="7"/>
      <c r="P707" s="7"/>
      <c r="Q707" s="10"/>
    </row>
    <row r="708" spans="1:17" x14ac:dyDescent="0.25">
      <c r="A708" s="1" t="s">
        <v>12</v>
      </c>
      <c r="B708" s="2" t="s">
        <v>804</v>
      </c>
      <c r="C708" s="2" t="s">
        <v>825</v>
      </c>
      <c r="D708" s="2" t="s">
        <v>826</v>
      </c>
      <c r="E708" s="3" t="s">
        <v>827</v>
      </c>
      <c r="F708" s="18">
        <v>132000</v>
      </c>
      <c r="G708" s="4"/>
      <c r="H708" s="2">
        <v>1</v>
      </c>
      <c r="I708" s="3">
        <v>45981</v>
      </c>
      <c r="J708" s="4">
        <v>101</v>
      </c>
      <c r="K708" s="4" t="s">
        <v>71</v>
      </c>
      <c r="L708" s="3">
        <v>46083</v>
      </c>
      <c r="M708" s="23">
        <f>YEAR(Таблица1[[#This Row],[Дата отчета]])</f>
        <v>2026</v>
      </c>
      <c r="N708" s="2" t="s">
        <v>807</v>
      </c>
      <c r="O708" s="2"/>
      <c r="P708" s="2"/>
      <c r="Q708" s="5"/>
    </row>
    <row r="709" spans="1:17" x14ac:dyDescent="0.25">
      <c r="A709" s="6" t="s">
        <v>12</v>
      </c>
      <c r="B709" s="7" t="s">
        <v>804</v>
      </c>
      <c r="C709" s="7" t="s">
        <v>828</v>
      </c>
      <c r="D709" s="7" t="s">
        <v>829</v>
      </c>
      <c r="E709" s="8" t="s">
        <v>830</v>
      </c>
      <c r="F709" s="19">
        <v>36000</v>
      </c>
      <c r="G709" s="9"/>
      <c r="H709" s="7">
        <v>1</v>
      </c>
      <c r="I709" s="8">
        <v>46006</v>
      </c>
      <c r="J709" s="9">
        <v>76</v>
      </c>
      <c r="K709" s="9" t="s">
        <v>27</v>
      </c>
      <c r="L709" s="3">
        <v>46083</v>
      </c>
      <c r="M709" s="23">
        <f>YEAR(Таблица1[[#This Row],[Дата отчета]])</f>
        <v>2026</v>
      </c>
      <c r="N709" s="7"/>
      <c r="O709" s="7"/>
      <c r="P709" s="7"/>
      <c r="Q709" s="10"/>
    </row>
    <row r="710" spans="1:17" x14ac:dyDescent="0.25">
      <c r="A710" s="1" t="s">
        <v>12</v>
      </c>
      <c r="B710" s="2" t="s">
        <v>831</v>
      </c>
      <c r="C710" s="2" t="s">
        <v>832</v>
      </c>
      <c r="D710" s="2" t="s">
        <v>833</v>
      </c>
      <c r="E710" s="3" t="s">
        <v>834</v>
      </c>
      <c r="F710" s="18">
        <v>1.8</v>
      </c>
      <c r="G710" s="4"/>
      <c r="H710" s="2">
        <v>1</v>
      </c>
      <c r="I710" s="3">
        <v>45824</v>
      </c>
      <c r="J710" s="4">
        <v>258</v>
      </c>
      <c r="K710" s="4" t="s">
        <v>67</v>
      </c>
      <c r="L710" s="3">
        <v>46083</v>
      </c>
      <c r="M710" s="23">
        <f>YEAR(Таблица1[[#This Row],[Дата отчета]])</f>
        <v>2026</v>
      </c>
      <c r="N710" s="2"/>
      <c r="O710" s="2"/>
      <c r="P710" s="2"/>
      <c r="Q710" s="5"/>
    </row>
    <row r="711" spans="1:17" x14ac:dyDescent="0.25">
      <c r="A711" s="6" t="s">
        <v>12</v>
      </c>
      <c r="B711" s="7" t="s">
        <v>835</v>
      </c>
      <c r="C711" s="7" t="s">
        <v>836</v>
      </c>
      <c r="D711" s="7" t="s">
        <v>837</v>
      </c>
      <c r="E711" s="8" t="s">
        <v>360</v>
      </c>
      <c r="F711" s="19">
        <v>21362245.34</v>
      </c>
      <c r="G711" s="9"/>
      <c r="H711" s="7">
        <v>1</v>
      </c>
      <c r="I711" s="8">
        <v>46058</v>
      </c>
      <c r="J711" s="9">
        <v>24</v>
      </c>
      <c r="K711" s="9" t="s">
        <v>38</v>
      </c>
      <c r="L711" s="3">
        <v>46083</v>
      </c>
      <c r="M711" s="23">
        <f>YEAR(Таблица1[[#This Row],[Дата отчета]])</f>
        <v>2026</v>
      </c>
      <c r="N711" s="7"/>
      <c r="O711" s="7"/>
      <c r="P711" s="7"/>
      <c r="Q711" s="10"/>
    </row>
    <row r="712" spans="1:17" x14ac:dyDescent="0.25">
      <c r="A712" s="1" t="s">
        <v>12</v>
      </c>
      <c r="B712" s="2" t="s">
        <v>838</v>
      </c>
      <c r="C712" s="2" t="s">
        <v>839</v>
      </c>
      <c r="D712" s="2" t="s">
        <v>840</v>
      </c>
      <c r="E712" s="3" t="s">
        <v>841</v>
      </c>
      <c r="F712" s="18">
        <v>21420</v>
      </c>
      <c r="G712" s="4"/>
      <c r="H712" s="2">
        <v>1</v>
      </c>
      <c r="I712" s="3">
        <v>45925</v>
      </c>
      <c r="J712" s="4">
        <v>157</v>
      </c>
      <c r="K712" s="4" t="s">
        <v>22</v>
      </c>
      <c r="L712" s="3">
        <v>46083</v>
      </c>
      <c r="M712" s="23">
        <f>YEAR(Таблица1[[#This Row],[Дата отчета]])</f>
        <v>2026</v>
      </c>
      <c r="N712" s="2"/>
      <c r="O712" s="2"/>
      <c r="P712" s="2"/>
      <c r="Q712" s="5"/>
    </row>
    <row r="713" spans="1:17" x14ac:dyDescent="0.25">
      <c r="A713" s="6" t="s">
        <v>12</v>
      </c>
      <c r="B713" s="7" t="s">
        <v>838</v>
      </c>
      <c r="C713" s="7" t="s">
        <v>842</v>
      </c>
      <c r="D713" s="7" t="s">
        <v>843</v>
      </c>
      <c r="E713" s="8" t="s">
        <v>841</v>
      </c>
      <c r="F713" s="19">
        <v>26000</v>
      </c>
      <c r="G713" s="9"/>
      <c r="H713" s="7">
        <v>1</v>
      </c>
      <c r="I713" s="8">
        <v>45925</v>
      </c>
      <c r="J713" s="9">
        <v>157</v>
      </c>
      <c r="K713" s="9" t="s">
        <v>22</v>
      </c>
      <c r="L713" s="3">
        <v>46083</v>
      </c>
      <c r="M713" s="23">
        <f>YEAR(Таблица1[[#This Row],[Дата отчета]])</f>
        <v>2026</v>
      </c>
      <c r="N713" s="7"/>
      <c r="O713" s="7"/>
      <c r="P713" s="7"/>
      <c r="Q713" s="10"/>
    </row>
    <row r="714" spans="1:17" x14ac:dyDescent="0.25">
      <c r="A714" s="1" t="s">
        <v>12</v>
      </c>
      <c r="B714" s="2" t="s">
        <v>844</v>
      </c>
      <c r="C714" s="2" t="s">
        <v>845</v>
      </c>
      <c r="D714" s="2" t="s">
        <v>846</v>
      </c>
      <c r="E714" s="3" t="s">
        <v>847</v>
      </c>
      <c r="F714" s="18">
        <v>11834</v>
      </c>
      <c r="G714" s="4"/>
      <c r="H714" s="2">
        <v>1</v>
      </c>
      <c r="I714" s="3">
        <v>45200</v>
      </c>
      <c r="J714" s="4">
        <v>882</v>
      </c>
      <c r="K714" s="4" t="s">
        <v>17</v>
      </c>
      <c r="L714" s="3">
        <v>46083</v>
      </c>
      <c r="M714" s="23">
        <f>YEAR(Таблица1[[#This Row],[Дата отчета]])</f>
        <v>2026</v>
      </c>
      <c r="N714" s="2" t="s">
        <v>807</v>
      </c>
      <c r="O714" s="2"/>
      <c r="P714" s="2"/>
      <c r="Q714" s="5"/>
    </row>
    <row r="715" spans="1:17" x14ac:dyDescent="0.25">
      <c r="A715" s="6" t="s">
        <v>12</v>
      </c>
      <c r="B715" s="7" t="s">
        <v>848</v>
      </c>
      <c r="C715" s="7" t="s">
        <v>849</v>
      </c>
      <c r="D715" s="7" t="s">
        <v>850</v>
      </c>
      <c r="E715" s="8" t="s">
        <v>211</v>
      </c>
      <c r="F715" s="19">
        <v>47390</v>
      </c>
      <c r="G715" s="9"/>
      <c r="H715" s="7">
        <v>1</v>
      </c>
      <c r="I715" s="8">
        <v>46056</v>
      </c>
      <c r="J715" s="9">
        <v>26</v>
      </c>
      <c r="K715" s="9" t="s">
        <v>38</v>
      </c>
      <c r="L715" s="3">
        <v>46083</v>
      </c>
      <c r="M715" s="23">
        <f>YEAR(Таблица1[[#This Row],[Дата отчета]])</f>
        <v>2026</v>
      </c>
      <c r="N715" s="7"/>
      <c r="O715" s="7"/>
      <c r="P715" s="7"/>
      <c r="Q715" s="10"/>
    </row>
    <row r="716" spans="1:17" x14ac:dyDescent="0.25">
      <c r="A716" s="1" t="s">
        <v>12</v>
      </c>
      <c r="B716" s="2" t="s">
        <v>851</v>
      </c>
      <c r="C716" s="2" t="s">
        <v>852</v>
      </c>
      <c r="D716" s="2" t="s">
        <v>853</v>
      </c>
      <c r="E716" s="3" t="s">
        <v>169</v>
      </c>
      <c r="F716" s="18">
        <v>157500</v>
      </c>
      <c r="G716" s="4"/>
      <c r="H716" s="2">
        <v>1</v>
      </c>
      <c r="I716" s="3">
        <v>46050</v>
      </c>
      <c r="J716" s="4">
        <v>32</v>
      </c>
      <c r="K716" s="4" t="s">
        <v>27</v>
      </c>
      <c r="L716" s="3">
        <v>46083</v>
      </c>
      <c r="M716" s="23">
        <f>YEAR(Таблица1[[#This Row],[Дата отчета]])</f>
        <v>2026</v>
      </c>
      <c r="N716" s="2"/>
      <c r="O716" s="2"/>
      <c r="P716" s="2"/>
      <c r="Q716" s="5"/>
    </row>
    <row r="717" spans="1:17" x14ac:dyDescent="0.25">
      <c r="A717" s="6" t="s">
        <v>12</v>
      </c>
      <c r="B717" s="7" t="s">
        <v>854</v>
      </c>
      <c r="C717" s="7" t="s">
        <v>855</v>
      </c>
      <c r="D717" s="7" t="s">
        <v>856</v>
      </c>
      <c r="E717" s="8" t="s">
        <v>773</v>
      </c>
      <c r="F717" s="19">
        <v>3000</v>
      </c>
      <c r="G717" s="9"/>
      <c r="H717" s="7">
        <v>1</v>
      </c>
      <c r="I717" s="8">
        <v>45888</v>
      </c>
      <c r="J717" s="9">
        <v>194</v>
      </c>
      <c r="K717" s="9" t="s">
        <v>67</v>
      </c>
      <c r="L717" s="3">
        <v>46083</v>
      </c>
      <c r="M717" s="23">
        <f>YEAR(Таблица1[[#This Row],[Дата отчета]])</f>
        <v>2026</v>
      </c>
      <c r="N717" s="7"/>
      <c r="O717" s="7"/>
      <c r="P717" s="7"/>
      <c r="Q717" s="10"/>
    </row>
    <row r="718" spans="1:17" x14ac:dyDescent="0.25">
      <c r="A718" s="1" t="s">
        <v>12</v>
      </c>
      <c r="B718" s="2" t="s">
        <v>854</v>
      </c>
      <c r="C718" s="2" t="s">
        <v>857</v>
      </c>
      <c r="D718" s="2" t="s">
        <v>858</v>
      </c>
      <c r="E718" s="3" t="s">
        <v>859</v>
      </c>
      <c r="F718" s="18">
        <v>9250</v>
      </c>
      <c r="G718" s="4"/>
      <c r="H718" s="2">
        <v>1</v>
      </c>
      <c r="I718" s="3">
        <v>45110</v>
      </c>
      <c r="J718" s="4">
        <v>972</v>
      </c>
      <c r="K718" s="4" t="s">
        <v>17</v>
      </c>
      <c r="L718" s="3">
        <v>46083</v>
      </c>
      <c r="M718" s="23">
        <f>YEAR(Таблица1[[#This Row],[Дата отчета]])</f>
        <v>2026</v>
      </c>
      <c r="N718" s="2" t="s">
        <v>807</v>
      </c>
      <c r="O718" s="2"/>
      <c r="P718" s="2"/>
      <c r="Q718" s="5"/>
    </row>
    <row r="719" spans="1:17" x14ac:dyDescent="0.25">
      <c r="A719" s="6" t="s">
        <v>12</v>
      </c>
      <c r="B719" s="7" t="s">
        <v>854</v>
      </c>
      <c r="C719" s="7" t="s">
        <v>860</v>
      </c>
      <c r="D719" s="7" t="s">
        <v>861</v>
      </c>
      <c r="E719" s="8" t="s">
        <v>862</v>
      </c>
      <c r="F719" s="19">
        <v>4996</v>
      </c>
      <c r="G719" s="9"/>
      <c r="H719" s="7">
        <v>1</v>
      </c>
      <c r="I719" s="8">
        <v>45187</v>
      </c>
      <c r="J719" s="9">
        <v>895</v>
      </c>
      <c r="K719" s="9" t="s">
        <v>17</v>
      </c>
      <c r="L719" s="3">
        <v>46083</v>
      </c>
      <c r="M719" s="23">
        <f>YEAR(Таблица1[[#This Row],[Дата отчета]])</f>
        <v>2026</v>
      </c>
      <c r="N719" s="2" t="s">
        <v>807</v>
      </c>
      <c r="O719" s="7"/>
      <c r="P719" s="7"/>
      <c r="Q719" s="10"/>
    </row>
    <row r="720" spans="1:17" x14ac:dyDescent="0.25">
      <c r="A720" s="1" t="s">
        <v>12</v>
      </c>
      <c r="B720" s="2" t="s">
        <v>854</v>
      </c>
      <c r="C720" s="2" t="s">
        <v>863</v>
      </c>
      <c r="D720" s="2" t="s">
        <v>864</v>
      </c>
      <c r="E720" s="3" t="s">
        <v>865</v>
      </c>
      <c r="F720" s="18">
        <v>3100</v>
      </c>
      <c r="G720" s="4"/>
      <c r="H720" s="2">
        <v>1</v>
      </c>
      <c r="I720" s="3">
        <v>45456</v>
      </c>
      <c r="J720" s="4">
        <v>626</v>
      </c>
      <c r="K720" s="4" t="s">
        <v>17</v>
      </c>
      <c r="L720" s="3">
        <v>46083</v>
      </c>
      <c r="M720" s="23">
        <f>YEAR(Таблица1[[#This Row],[Дата отчета]])</f>
        <v>2026</v>
      </c>
      <c r="N720" s="2" t="s">
        <v>807</v>
      </c>
      <c r="O720" s="2"/>
      <c r="P720" s="2"/>
      <c r="Q720" s="5"/>
    </row>
    <row r="721" spans="1:17" x14ac:dyDescent="0.25">
      <c r="A721" s="6" t="s">
        <v>12</v>
      </c>
      <c r="B721" s="7" t="s">
        <v>854</v>
      </c>
      <c r="C721" s="7" t="s">
        <v>866</v>
      </c>
      <c r="D721" s="7" t="s">
        <v>867</v>
      </c>
      <c r="E721" s="8" t="s">
        <v>868</v>
      </c>
      <c r="F721" s="19">
        <v>2640</v>
      </c>
      <c r="G721" s="9"/>
      <c r="H721" s="7">
        <v>1</v>
      </c>
      <c r="I721" s="8">
        <v>45252</v>
      </c>
      <c r="J721" s="9">
        <v>830</v>
      </c>
      <c r="K721" s="9" t="s">
        <v>17</v>
      </c>
      <c r="L721" s="3">
        <v>46083</v>
      </c>
      <c r="M721" s="23">
        <f>YEAR(Таблица1[[#This Row],[Дата отчета]])</f>
        <v>2026</v>
      </c>
      <c r="N721" s="2" t="s">
        <v>807</v>
      </c>
      <c r="O721" s="7"/>
      <c r="P721" s="7"/>
      <c r="Q721" s="10"/>
    </row>
    <row r="722" spans="1:17" x14ac:dyDescent="0.25">
      <c r="A722" s="1" t="s">
        <v>12</v>
      </c>
      <c r="B722" s="2" t="s">
        <v>854</v>
      </c>
      <c r="C722" s="2" t="s">
        <v>869</v>
      </c>
      <c r="D722" s="2" t="s">
        <v>870</v>
      </c>
      <c r="E722" s="3" t="s">
        <v>360</v>
      </c>
      <c r="F722" s="18">
        <v>71968</v>
      </c>
      <c r="G722" s="4"/>
      <c r="H722" s="2">
        <v>1</v>
      </c>
      <c r="I722" s="3">
        <v>46058</v>
      </c>
      <c r="J722" s="4">
        <v>24</v>
      </c>
      <c r="K722" s="4" t="s">
        <v>38</v>
      </c>
      <c r="L722" s="3">
        <v>46083</v>
      </c>
      <c r="M722" s="23">
        <f>YEAR(Таблица1[[#This Row],[Дата отчета]])</f>
        <v>2026</v>
      </c>
      <c r="N722" s="2"/>
      <c r="O722" s="2"/>
      <c r="P722" s="2"/>
      <c r="Q722" s="5"/>
    </row>
    <row r="723" spans="1:17" x14ac:dyDescent="0.25">
      <c r="A723" s="6" t="s">
        <v>12</v>
      </c>
      <c r="B723" s="7" t="s">
        <v>854</v>
      </c>
      <c r="C723" s="7" t="s">
        <v>871</v>
      </c>
      <c r="D723" s="7" t="s">
        <v>872</v>
      </c>
      <c r="E723" s="8" t="s">
        <v>360</v>
      </c>
      <c r="F723" s="19">
        <v>129179</v>
      </c>
      <c r="G723" s="9"/>
      <c r="H723" s="7">
        <v>1</v>
      </c>
      <c r="I723" s="8">
        <v>46058</v>
      </c>
      <c r="J723" s="9">
        <v>24</v>
      </c>
      <c r="K723" s="9" t="s">
        <v>38</v>
      </c>
      <c r="L723" s="3">
        <v>46083</v>
      </c>
      <c r="M723" s="23">
        <f>YEAR(Таблица1[[#This Row],[Дата отчета]])</f>
        <v>2026</v>
      </c>
      <c r="N723" s="7"/>
      <c r="O723" s="7"/>
      <c r="P723" s="7"/>
      <c r="Q723" s="10"/>
    </row>
    <row r="724" spans="1:17" x14ac:dyDescent="0.25">
      <c r="A724" s="1" t="s">
        <v>12</v>
      </c>
      <c r="B724" s="2" t="s">
        <v>854</v>
      </c>
      <c r="C724" s="2" t="s">
        <v>873</v>
      </c>
      <c r="D724" s="2" t="s">
        <v>874</v>
      </c>
      <c r="E724" s="3" t="s">
        <v>360</v>
      </c>
      <c r="F724" s="18">
        <v>120800</v>
      </c>
      <c r="G724" s="4"/>
      <c r="H724" s="2">
        <v>1</v>
      </c>
      <c r="I724" s="3">
        <v>46058</v>
      </c>
      <c r="J724" s="4">
        <v>24</v>
      </c>
      <c r="K724" s="4" t="s">
        <v>38</v>
      </c>
      <c r="L724" s="3">
        <v>46083</v>
      </c>
      <c r="M724" s="23">
        <f>YEAR(Таблица1[[#This Row],[Дата отчета]])</f>
        <v>2026</v>
      </c>
      <c r="N724" s="2"/>
      <c r="O724" s="2"/>
      <c r="P724" s="2"/>
      <c r="Q724" s="5"/>
    </row>
    <row r="725" spans="1:17" x14ac:dyDescent="0.25">
      <c r="A725" s="6" t="s">
        <v>12</v>
      </c>
      <c r="B725" s="7" t="s">
        <v>854</v>
      </c>
      <c r="C725" s="7" t="s">
        <v>875</v>
      </c>
      <c r="D725" s="7" t="s">
        <v>876</v>
      </c>
      <c r="E725" s="8" t="s">
        <v>360</v>
      </c>
      <c r="F725" s="19">
        <v>13490</v>
      </c>
      <c r="G725" s="9"/>
      <c r="H725" s="7">
        <v>1</v>
      </c>
      <c r="I725" s="8">
        <v>46058</v>
      </c>
      <c r="J725" s="9">
        <v>24</v>
      </c>
      <c r="K725" s="9" t="s">
        <v>38</v>
      </c>
      <c r="L725" s="3">
        <v>46083</v>
      </c>
      <c r="M725" s="23">
        <f>YEAR(Таблица1[[#This Row],[Дата отчета]])</f>
        <v>2026</v>
      </c>
      <c r="N725" s="7"/>
      <c r="O725" s="7"/>
      <c r="P725" s="7"/>
      <c r="Q725" s="10"/>
    </row>
    <row r="726" spans="1:17" x14ac:dyDescent="0.25">
      <c r="A726" s="1" t="s">
        <v>12</v>
      </c>
      <c r="B726" s="2" t="s">
        <v>854</v>
      </c>
      <c r="C726" s="2" t="s">
        <v>877</v>
      </c>
      <c r="D726" s="2" t="s">
        <v>878</v>
      </c>
      <c r="E726" s="3" t="s">
        <v>810</v>
      </c>
      <c r="F726" s="18">
        <v>53809</v>
      </c>
      <c r="G726" s="4"/>
      <c r="H726" s="2">
        <v>1</v>
      </c>
      <c r="I726" s="3">
        <v>46063</v>
      </c>
      <c r="J726" s="4">
        <v>19</v>
      </c>
      <c r="K726" s="4" t="s">
        <v>38</v>
      </c>
      <c r="L726" s="3">
        <v>46083</v>
      </c>
      <c r="M726" s="23">
        <f>YEAR(Таблица1[[#This Row],[Дата отчета]])</f>
        <v>2026</v>
      </c>
      <c r="N726" s="2"/>
      <c r="O726" s="2"/>
      <c r="P726" s="2"/>
      <c r="Q726" s="5"/>
    </row>
    <row r="727" spans="1:17" x14ac:dyDescent="0.25">
      <c r="A727" s="6" t="s">
        <v>12</v>
      </c>
      <c r="B727" s="7" t="s">
        <v>854</v>
      </c>
      <c r="C727" s="7" t="s">
        <v>879</v>
      </c>
      <c r="D727" s="7" t="s">
        <v>880</v>
      </c>
      <c r="E727" s="8" t="s">
        <v>711</v>
      </c>
      <c r="F727" s="19">
        <v>7200</v>
      </c>
      <c r="G727" s="9"/>
      <c r="H727" s="7">
        <v>1</v>
      </c>
      <c r="I727" s="8">
        <v>46069</v>
      </c>
      <c r="J727" s="9">
        <v>13</v>
      </c>
      <c r="K727" s="9" t="s">
        <v>38</v>
      </c>
      <c r="L727" s="3">
        <v>46083</v>
      </c>
      <c r="M727" s="23">
        <f>YEAR(Таблица1[[#This Row],[Дата отчета]])</f>
        <v>2026</v>
      </c>
      <c r="N727" s="7"/>
      <c r="O727" s="7"/>
      <c r="P727" s="7"/>
      <c r="Q727" s="10"/>
    </row>
    <row r="728" spans="1:17" x14ac:dyDescent="0.25">
      <c r="A728" s="1" t="s">
        <v>12</v>
      </c>
      <c r="B728" s="2" t="s">
        <v>854</v>
      </c>
      <c r="C728" s="2" t="s">
        <v>881</v>
      </c>
      <c r="D728" s="2" t="s">
        <v>882</v>
      </c>
      <c r="E728" s="3" t="s">
        <v>48</v>
      </c>
      <c r="F728" s="18">
        <v>52079</v>
      </c>
      <c r="G728" s="4"/>
      <c r="H728" s="2">
        <v>1</v>
      </c>
      <c r="I728" s="3">
        <v>46078</v>
      </c>
      <c r="J728" s="4">
        <v>4</v>
      </c>
      <c r="K728" s="4" t="s">
        <v>38</v>
      </c>
      <c r="L728" s="3">
        <v>46083</v>
      </c>
      <c r="M728" s="23">
        <f>YEAR(Таблица1[[#This Row],[Дата отчета]])</f>
        <v>2026</v>
      </c>
      <c r="N728" s="2"/>
      <c r="O728" s="2"/>
      <c r="P728" s="2"/>
      <c r="Q728" s="5"/>
    </row>
    <row r="729" spans="1:17" x14ac:dyDescent="0.25">
      <c r="A729" s="6" t="s">
        <v>12</v>
      </c>
      <c r="B729" s="7" t="s">
        <v>854</v>
      </c>
      <c r="C729" s="7" t="s">
        <v>883</v>
      </c>
      <c r="D729" s="7" t="s">
        <v>884</v>
      </c>
      <c r="E729" s="8" t="s">
        <v>885</v>
      </c>
      <c r="F729" s="19">
        <v>22290</v>
      </c>
      <c r="G729" s="9"/>
      <c r="H729" s="7">
        <v>1</v>
      </c>
      <c r="I729" s="8">
        <v>45783</v>
      </c>
      <c r="J729" s="9">
        <v>299</v>
      </c>
      <c r="K729" s="9" t="s">
        <v>92</v>
      </c>
      <c r="L729" s="3">
        <v>46083</v>
      </c>
      <c r="M729" s="23">
        <f>YEAR(Таблица1[[#This Row],[Дата отчета]])</f>
        <v>2026</v>
      </c>
      <c r="N729" s="2" t="s">
        <v>807</v>
      </c>
      <c r="O729" s="7"/>
      <c r="P729" s="7"/>
      <c r="Q729" s="10"/>
    </row>
    <row r="730" spans="1:17" x14ac:dyDescent="0.25">
      <c r="A730" s="1" t="s">
        <v>12</v>
      </c>
      <c r="B730" s="2" t="s">
        <v>854</v>
      </c>
      <c r="C730" s="2" t="s">
        <v>883</v>
      </c>
      <c r="D730" s="2" t="s">
        <v>886</v>
      </c>
      <c r="E730" s="3" t="s">
        <v>669</v>
      </c>
      <c r="F730" s="18">
        <v>2000</v>
      </c>
      <c r="G730" s="4"/>
      <c r="H730" s="2">
        <v>1</v>
      </c>
      <c r="I730" s="3">
        <v>45930</v>
      </c>
      <c r="J730" s="4">
        <v>152</v>
      </c>
      <c r="K730" s="4" t="s">
        <v>22</v>
      </c>
      <c r="L730" s="3">
        <v>46083</v>
      </c>
      <c r="M730" s="23">
        <f>YEAR(Таблица1[[#This Row],[Дата отчета]])</f>
        <v>2026</v>
      </c>
      <c r="N730" s="2"/>
      <c r="O730" s="2"/>
      <c r="P730" s="2"/>
      <c r="Q730" s="5"/>
    </row>
    <row r="731" spans="1:17" x14ac:dyDescent="0.25">
      <c r="A731" s="6" t="s">
        <v>12</v>
      </c>
      <c r="B731" s="7" t="s">
        <v>854</v>
      </c>
      <c r="C731" s="7" t="s">
        <v>883</v>
      </c>
      <c r="D731" s="7" t="s">
        <v>887</v>
      </c>
      <c r="E731" s="8" t="s">
        <v>231</v>
      </c>
      <c r="F731" s="19">
        <v>4100</v>
      </c>
      <c r="G731" s="9"/>
      <c r="H731" s="7">
        <v>1</v>
      </c>
      <c r="I731" s="8">
        <v>45992</v>
      </c>
      <c r="J731" s="9">
        <v>90</v>
      </c>
      <c r="K731" s="9" t="s">
        <v>27</v>
      </c>
      <c r="L731" s="3">
        <v>46083</v>
      </c>
      <c r="M731" s="23">
        <f>YEAR(Таблица1[[#This Row],[Дата отчета]])</f>
        <v>2026</v>
      </c>
      <c r="N731" s="7"/>
      <c r="O731" s="7"/>
      <c r="P731" s="7"/>
      <c r="Q731" s="10"/>
    </row>
    <row r="732" spans="1:17" x14ac:dyDescent="0.25">
      <c r="A732" s="1" t="s">
        <v>12</v>
      </c>
      <c r="B732" s="2" t="s">
        <v>854</v>
      </c>
      <c r="C732" s="2" t="s">
        <v>888</v>
      </c>
      <c r="D732" s="2" t="s">
        <v>889</v>
      </c>
      <c r="E732" s="3" t="s">
        <v>890</v>
      </c>
      <c r="F732" s="18">
        <v>3000</v>
      </c>
      <c r="G732" s="4"/>
      <c r="H732" s="2">
        <v>1</v>
      </c>
      <c r="I732" s="3">
        <v>45894</v>
      </c>
      <c r="J732" s="4">
        <v>188</v>
      </c>
      <c r="K732" s="4" t="s">
        <v>67</v>
      </c>
      <c r="L732" s="3">
        <v>46083</v>
      </c>
      <c r="M732" s="23">
        <f>YEAR(Таблица1[[#This Row],[Дата отчета]])</f>
        <v>2026</v>
      </c>
      <c r="N732" s="2"/>
      <c r="O732" s="2"/>
      <c r="P732" s="2"/>
      <c r="Q732" s="5"/>
    </row>
    <row r="733" spans="1:17" x14ac:dyDescent="0.25">
      <c r="A733" s="6" t="s">
        <v>12</v>
      </c>
      <c r="B733" s="7" t="s">
        <v>854</v>
      </c>
      <c r="C733" s="7" t="s">
        <v>891</v>
      </c>
      <c r="D733" s="7" t="s">
        <v>892</v>
      </c>
      <c r="E733" s="8" t="s">
        <v>893</v>
      </c>
      <c r="F733" s="19">
        <v>29300</v>
      </c>
      <c r="G733" s="9"/>
      <c r="H733" s="7">
        <v>1</v>
      </c>
      <c r="I733" s="8">
        <v>45898</v>
      </c>
      <c r="J733" s="9">
        <v>184</v>
      </c>
      <c r="K733" s="9" t="s">
        <v>67</v>
      </c>
      <c r="L733" s="3">
        <v>46083</v>
      </c>
      <c r="M733" s="23">
        <f>YEAR(Таблица1[[#This Row],[Дата отчета]])</f>
        <v>2026</v>
      </c>
      <c r="N733" s="7"/>
      <c r="O733" s="7"/>
      <c r="P733" s="7"/>
      <c r="Q733" s="10"/>
    </row>
    <row r="734" spans="1:17" x14ac:dyDescent="0.25">
      <c r="A734" s="1" t="s">
        <v>12</v>
      </c>
      <c r="B734" s="2" t="s">
        <v>894</v>
      </c>
      <c r="C734" s="2" t="s">
        <v>895</v>
      </c>
      <c r="D734" s="2" t="s">
        <v>896</v>
      </c>
      <c r="E734" s="3" t="s">
        <v>897</v>
      </c>
      <c r="F734" s="18">
        <v>2400</v>
      </c>
      <c r="G734" s="4"/>
      <c r="H734" s="2">
        <v>1</v>
      </c>
      <c r="I734" s="3">
        <v>45022</v>
      </c>
      <c r="J734" s="4">
        <v>1060</v>
      </c>
      <c r="K734" s="4" t="s">
        <v>17</v>
      </c>
      <c r="L734" s="3">
        <v>46083</v>
      </c>
      <c r="M734" s="23">
        <f>YEAR(Таблица1[[#This Row],[Дата отчета]])</f>
        <v>2026</v>
      </c>
      <c r="N734" s="2" t="s">
        <v>807</v>
      </c>
      <c r="O734" s="2"/>
      <c r="P734" s="2"/>
      <c r="Q734" s="5"/>
    </row>
    <row r="735" spans="1:17" x14ac:dyDescent="0.25">
      <c r="A735" s="6" t="s">
        <v>12</v>
      </c>
      <c r="B735" s="7" t="s">
        <v>894</v>
      </c>
      <c r="C735" s="7" t="s">
        <v>898</v>
      </c>
      <c r="D735" s="7" t="s">
        <v>899</v>
      </c>
      <c r="E735" s="8" t="s">
        <v>900</v>
      </c>
      <c r="F735" s="19">
        <v>22029</v>
      </c>
      <c r="G735" s="9"/>
      <c r="H735" s="7">
        <v>1</v>
      </c>
      <c r="I735" s="8">
        <v>45203</v>
      </c>
      <c r="J735" s="9">
        <v>879</v>
      </c>
      <c r="K735" s="9" t="s">
        <v>17</v>
      </c>
      <c r="L735" s="3">
        <v>46083</v>
      </c>
      <c r="M735" s="23">
        <f>YEAR(Таблица1[[#This Row],[Дата отчета]])</f>
        <v>2026</v>
      </c>
      <c r="N735" s="2" t="s">
        <v>807</v>
      </c>
      <c r="O735" s="7"/>
      <c r="P735" s="7"/>
      <c r="Q735" s="10"/>
    </row>
    <row r="736" spans="1:17" x14ac:dyDescent="0.25">
      <c r="A736" s="1" t="s">
        <v>12</v>
      </c>
      <c r="B736" s="2" t="s">
        <v>901</v>
      </c>
      <c r="C736" s="2" t="s">
        <v>775</v>
      </c>
      <c r="D736" s="2" t="s">
        <v>902</v>
      </c>
      <c r="E736" s="3" t="s">
        <v>903</v>
      </c>
      <c r="F736" s="18">
        <v>270</v>
      </c>
      <c r="G736" s="4"/>
      <c r="H736" s="2">
        <v>1</v>
      </c>
      <c r="I736" s="3">
        <v>43679</v>
      </c>
      <c r="J736" s="4">
        <v>2403</v>
      </c>
      <c r="K736" s="4" t="s">
        <v>17</v>
      </c>
      <c r="L736" s="3">
        <v>46083</v>
      </c>
      <c r="M736" s="23">
        <f>YEAR(Таблица1[[#This Row],[Дата отчета]])</f>
        <v>2026</v>
      </c>
      <c r="N736" s="2" t="s">
        <v>807</v>
      </c>
      <c r="O736" s="2"/>
      <c r="P736" s="2"/>
      <c r="Q736" s="5"/>
    </row>
    <row r="737" spans="1:17" x14ac:dyDescent="0.25">
      <c r="A737" s="6" t="s">
        <v>12</v>
      </c>
      <c r="B737" s="7" t="s">
        <v>904</v>
      </c>
      <c r="C737" s="7" t="s">
        <v>905</v>
      </c>
      <c r="D737" s="7" t="s">
        <v>906</v>
      </c>
      <c r="E737" s="8" t="s">
        <v>907</v>
      </c>
      <c r="F737" s="19">
        <v>479100</v>
      </c>
      <c r="G737" s="9"/>
      <c r="H737" s="7">
        <v>1</v>
      </c>
      <c r="I737" s="8">
        <v>45909</v>
      </c>
      <c r="J737" s="9">
        <v>173</v>
      </c>
      <c r="K737" s="9" t="s">
        <v>22</v>
      </c>
      <c r="L737" s="3">
        <v>46083</v>
      </c>
      <c r="M737" s="23">
        <f>YEAR(Таблица1[[#This Row],[Дата отчета]])</f>
        <v>2026</v>
      </c>
      <c r="N737" s="7"/>
      <c r="O737" s="7"/>
      <c r="P737" s="7"/>
      <c r="Q737" s="10"/>
    </row>
    <row r="738" spans="1:17" x14ac:dyDescent="0.25">
      <c r="A738" s="1" t="s">
        <v>12</v>
      </c>
      <c r="B738" s="2" t="s">
        <v>904</v>
      </c>
      <c r="C738" s="2" t="s">
        <v>908</v>
      </c>
      <c r="D738" s="2" t="s">
        <v>909</v>
      </c>
      <c r="E738" s="3" t="s">
        <v>702</v>
      </c>
      <c r="F738" s="18">
        <v>855000</v>
      </c>
      <c r="G738" s="4"/>
      <c r="H738" s="2">
        <v>1</v>
      </c>
      <c r="I738" s="3">
        <v>45943</v>
      </c>
      <c r="J738" s="4">
        <v>139</v>
      </c>
      <c r="K738" s="4" t="s">
        <v>22</v>
      </c>
      <c r="L738" s="3">
        <v>46083</v>
      </c>
      <c r="M738" s="23">
        <f>YEAR(Таблица1[[#This Row],[Дата отчета]])</f>
        <v>2026</v>
      </c>
      <c r="N738" s="2"/>
      <c r="O738" s="2"/>
      <c r="P738" s="2"/>
      <c r="Q738" s="5"/>
    </row>
    <row r="739" spans="1:17" x14ac:dyDescent="0.25">
      <c r="A739" s="6" t="s">
        <v>12</v>
      </c>
      <c r="B739" s="7" t="s">
        <v>904</v>
      </c>
      <c r="C739" s="7" t="s">
        <v>910</v>
      </c>
      <c r="D739" s="7" t="s">
        <v>911</v>
      </c>
      <c r="E739" s="8" t="s">
        <v>169</v>
      </c>
      <c r="F739" s="19">
        <v>4479987</v>
      </c>
      <c r="G739" s="9"/>
      <c r="H739" s="7">
        <v>1</v>
      </c>
      <c r="I739" s="8">
        <v>46050</v>
      </c>
      <c r="J739" s="9">
        <v>32</v>
      </c>
      <c r="K739" s="9" t="s">
        <v>27</v>
      </c>
      <c r="L739" s="3">
        <v>46083</v>
      </c>
      <c r="M739" s="23">
        <f>YEAR(Таблица1[[#This Row],[Дата отчета]])</f>
        <v>2026</v>
      </c>
      <c r="N739" s="7"/>
      <c r="O739" s="7"/>
      <c r="P739" s="7"/>
      <c r="Q739" s="10"/>
    </row>
    <row r="740" spans="1:17" x14ac:dyDescent="0.25">
      <c r="A740" s="1" t="s">
        <v>12</v>
      </c>
      <c r="B740" s="2" t="s">
        <v>912</v>
      </c>
      <c r="C740" s="2" t="s">
        <v>913</v>
      </c>
      <c r="D740" s="2" t="s">
        <v>914</v>
      </c>
      <c r="E740" s="3" t="s">
        <v>156</v>
      </c>
      <c r="F740" s="18">
        <v>207200</v>
      </c>
      <c r="G740" s="4"/>
      <c r="H740" s="2">
        <v>1</v>
      </c>
      <c r="I740" s="3">
        <v>46051</v>
      </c>
      <c r="J740" s="4">
        <v>31</v>
      </c>
      <c r="K740" s="4" t="s">
        <v>27</v>
      </c>
      <c r="L740" s="3">
        <v>46083</v>
      </c>
      <c r="M740" s="23">
        <f>YEAR(Таблица1[[#This Row],[Дата отчета]])</f>
        <v>2026</v>
      </c>
      <c r="N740" s="2"/>
      <c r="O740" s="2"/>
      <c r="P740" s="2"/>
      <c r="Q740" s="5"/>
    </row>
    <row r="741" spans="1:17" x14ac:dyDescent="0.25">
      <c r="A741" s="6" t="s">
        <v>12</v>
      </c>
      <c r="B741" s="7" t="s">
        <v>915</v>
      </c>
      <c r="C741" s="7" t="s">
        <v>916</v>
      </c>
      <c r="D741" s="7" t="s">
        <v>917</v>
      </c>
      <c r="E741" s="8" t="s">
        <v>571</v>
      </c>
      <c r="F741" s="19">
        <v>380000</v>
      </c>
      <c r="G741" s="9"/>
      <c r="H741" s="7">
        <v>1</v>
      </c>
      <c r="I741" s="8">
        <v>45951</v>
      </c>
      <c r="J741" s="9">
        <v>131</v>
      </c>
      <c r="K741" s="9" t="s">
        <v>22</v>
      </c>
      <c r="L741" s="3">
        <v>46083</v>
      </c>
      <c r="M741" s="23">
        <f>YEAR(Таблица1[[#This Row],[Дата отчета]])</f>
        <v>2026</v>
      </c>
      <c r="N741" s="7"/>
      <c r="O741" s="7"/>
      <c r="P741" s="7"/>
      <c r="Q741" s="10"/>
    </row>
    <row r="742" spans="1:17" x14ac:dyDescent="0.25">
      <c r="A742" s="1" t="s">
        <v>12</v>
      </c>
      <c r="B742" s="2" t="s">
        <v>915</v>
      </c>
      <c r="C742" s="2" t="s">
        <v>918</v>
      </c>
      <c r="D742" s="2" t="s">
        <v>919</v>
      </c>
      <c r="E742" s="3" t="s">
        <v>920</v>
      </c>
      <c r="F742" s="18">
        <v>37500</v>
      </c>
      <c r="G742" s="4"/>
      <c r="H742" s="2">
        <v>1</v>
      </c>
      <c r="I742" s="3">
        <v>45392</v>
      </c>
      <c r="J742" s="4">
        <v>690</v>
      </c>
      <c r="K742" s="4" t="s">
        <v>17</v>
      </c>
      <c r="L742" s="3">
        <v>46083</v>
      </c>
      <c r="M742" s="23">
        <f>YEAR(Таблица1[[#This Row],[Дата отчета]])</f>
        <v>2026</v>
      </c>
      <c r="N742" s="2" t="s">
        <v>4538</v>
      </c>
      <c r="O742" s="2"/>
      <c r="P742" s="2"/>
      <c r="Q742" s="5"/>
    </row>
    <row r="743" spans="1:17" x14ac:dyDescent="0.25">
      <c r="A743" s="6" t="s">
        <v>12</v>
      </c>
      <c r="B743" s="7" t="s">
        <v>915</v>
      </c>
      <c r="C743" s="7" t="s">
        <v>921</v>
      </c>
      <c r="D743" s="7" t="s">
        <v>922</v>
      </c>
      <c r="E743" s="8" t="s">
        <v>360</v>
      </c>
      <c r="F743" s="19">
        <v>6402046.9900000002</v>
      </c>
      <c r="G743" s="9"/>
      <c r="H743" s="7">
        <v>1</v>
      </c>
      <c r="I743" s="8">
        <v>46058</v>
      </c>
      <c r="J743" s="9">
        <v>24</v>
      </c>
      <c r="K743" s="9" t="s">
        <v>38</v>
      </c>
      <c r="L743" s="3">
        <v>46083</v>
      </c>
      <c r="M743" s="23">
        <f>YEAR(Таблица1[[#This Row],[Дата отчета]])</f>
        <v>2026</v>
      </c>
      <c r="N743" s="7"/>
      <c r="O743" s="7"/>
      <c r="P743" s="7"/>
      <c r="Q743" s="10"/>
    </row>
    <row r="744" spans="1:17" x14ac:dyDescent="0.25">
      <c r="A744" s="1" t="s">
        <v>12</v>
      </c>
      <c r="B744" s="2" t="s">
        <v>915</v>
      </c>
      <c r="C744" s="2" t="s">
        <v>923</v>
      </c>
      <c r="D744" s="2" t="s">
        <v>924</v>
      </c>
      <c r="E744" s="3" t="s">
        <v>725</v>
      </c>
      <c r="F744" s="18">
        <v>10495159.01</v>
      </c>
      <c r="G744" s="4"/>
      <c r="H744" s="2">
        <v>1</v>
      </c>
      <c r="I744" s="3">
        <v>46002</v>
      </c>
      <c r="J744" s="4">
        <v>80</v>
      </c>
      <c r="K744" s="4" t="s">
        <v>27</v>
      </c>
      <c r="L744" s="3">
        <v>46083</v>
      </c>
      <c r="M744" s="23">
        <f>YEAR(Таблица1[[#This Row],[Дата отчета]])</f>
        <v>2026</v>
      </c>
      <c r="N744" s="2"/>
      <c r="O744" s="2"/>
      <c r="P744" s="2"/>
      <c r="Q744" s="5"/>
    </row>
    <row r="745" spans="1:17" x14ac:dyDescent="0.25">
      <c r="A745" s="6" t="s">
        <v>12</v>
      </c>
      <c r="B745" s="7" t="s">
        <v>925</v>
      </c>
      <c r="C745" s="7" t="s">
        <v>926</v>
      </c>
      <c r="D745" s="7" t="s">
        <v>927</v>
      </c>
      <c r="E745" s="8" t="s">
        <v>662</v>
      </c>
      <c r="F745" s="19">
        <v>700232.5</v>
      </c>
      <c r="G745" s="9"/>
      <c r="H745" s="7">
        <v>1</v>
      </c>
      <c r="I745" s="8">
        <v>45932</v>
      </c>
      <c r="J745" s="9">
        <v>150</v>
      </c>
      <c r="K745" s="9" t="s">
        <v>22</v>
      </c>
      <c r="L745" s="3">
        <v>46083</v>
      </c>
      <c r="M745" s="23">
        <f>YEAR(Таблица1[[#This Row],[Дата отчета]])</f>
        <v>2026</v>
      </c>
      <c r="N745" s="7"/>
      <c r="O745" s="7"/>
      <c r="P745" s="7"/>
      <c r="Q745" s="10"/>
    </row>
    <row r="746" spans="1:17" x14ac:dyDescent="0.25">
      <c r="A746" s="1" t="s">
        <v>12</v>
      </c>
      <c r="B746" s="2" t="s">
        <v>925</v>
      </c>
      <c r="C746" s="2" t="s">
        <v>926</v>
      </c>
      <c r="D746" s="2" t="s">
        <v>928</v>
      </c>
      <c r="E746" s="3" t="s">
        <v>929</v>
      </c>
      <c r="F746" s="18">
        <v>700232.5</v>
      </c>
      <c r="G746" s="4"/>
      <c r="H746" s="2">
        <v>1</v>
      </c>
      <c r="I746" s="3">
        <v>46007</v>
      </c>
      <c r="J746" s="4">
        <v>75</v>
      </c>
      <c r="K746" s="4" t="s">
        <v>27</v>
      </c>
      <c r="L746" s="3">
        <v>46083</v>
      </c>
      <c r="M746" s="23">
        <f>YEAR(Таблица1[[#This Row],[Дата отчета]])</f>
        <v>2026</v>
      </c>
      <c r="N746" s="2"/>
      <c r="O746" s="2"/>
      <c r="P746" s="2"/>
      <c r="Q746" s="5"/>
    </row>
    <row r="747" spans="1:17" x14ac:dyDescent="0.25">
      <c r="A747" s="6" t="s">
        <v>12</v>
      </c>
      <c r="B747" s="7" t="s">
        <v>925</v>
      </c>
      <c r="C747" s="7" t="s">
        <v>926</v>
      </c>
      <c r="D747" s="7" t="s">
        <v>930</v>
      </c>
      <c r="E747" s="8" t="s">
        <v>254</v>
      </c>
      <c r="F747" s="19">
        <v>1017148</v>
      </c>
      <c r="G747" s="9"/>
      <c r="H747" s="7">
        <v>1</v>
      </c>
      <c r="I747" s="8">
        <v>46048</v>
      </c>
      <c r="J747" s="9">
        <v>34</v>
      </c>
      <c r="K747" s="9" t="s">
        <v>27</v>
      </c>
      <c r="L747" s="3">
        <v>46083</v>
      </c>
      <c r="M747" s="23">
        <f>YEAR(Таблица1[[#This Row],[Дата отчета]])</f>
        <v>2026</v>
      </c>
      <c r="N747" s="7"/>
      <c r="O747" s="7"/>
      <c r="P747" s="7"/>
      <c r="Q747" s="10"/>
    </row>
    <row r="748" spans="1:17" x14ac:dyDescent="0.25">
      <c r="A748" s="1" t="s">
        <v>12</v>
      </c>
      <c r="B748" s="2" t="s">
        <v>931</v>
      </c>
      <c r="C748" s="2" t="s">
        <v>932</v>
      </c>
      <c r="D748" s="2" t="s">
        <v>933</v>
      </c>
      <c r="E748" s="3" t="s">
        <v>656</v>
      </c>
      <c r="F748" s="18">
        <v>585500</v>
      </c>
      <c r="G748" s="4"/>
      <c r="H748" s="2">
        <v>1</v>
      </c>
      <c r="I748" s="3">
        <v>46052</v>
      </c>
      <c r="J748" s="4">
        <v>30</v>
      </c>
      <c r="K748" s="4" t="s">
        <v>38</v>
      </c>
      <c r="L748" s="3">
        <v>46083</v>
      </c>
      <c r="M748" s="23">
        <f>YEAR(Таблица1[[#This Row],[Дата отчета]])</f>
        <v>2026</v>
      </c>
      <c r="N748" s="2"/>
      <c r="O748" s="2"/>
      <c r="P748" s="2"/>
      <c r="Q748" s="5"/>
    </row>
    <row r="749" spans="1:17" x14ac:dyDescent="0.25">
      <c r="A749" s="6" t="s">
        <v>12</v>
      </c>
      <c r="B749" s="7" t="s">
        <v>931</v>
      </c>
      <c r="C749" s="7" t="s">
        <v>932</v>
      </c>
      <c r="D749" s="7" t="s">
        <v>934</v>
      </c>
      <c r="E749" s="8" t="s">
        <v>711</v>
      </c>
      <c r="F749" s="19">
        <v>585500</v>
      </c>
      <c r="G749" s="9"/>
      <c r="H749" s="7">
        <v>1</v>
      </c>
      <c r="I749" s="8">
        <v>46069</v>
      </c>
      <c r="J749" s="9">
        <v>13</v>
      </c>
      <c r="K749" s="9" t="s">
        <v>38</v>
      </c>
      <c r="L749" s="3">
        <v>46083</v>
      </c>
      <c r="M749" s="23">
        <f>YEAR(Таблица1[[#This Row],[Дата отчета]])</f>
        <v>2026</v>
      </c>
      <c r="N749" s="7"/>
      <c r="O749" s="7"/>
      <c r="P749" s="7"/>
      <c r="Q749" s="10"/>
    </row>
    <row r="750" spans="1:17" x14ac:dyDescent="0.25">
      <c r="A750" s="1" t="s">
        <v>12</v>
      </c>
      <c r="B750" s="2" t="s">
        <v>935</v>
      </c>
      <c r="C750" s="2" t="s">
        <v>936</v>
      </c>
      <c r="D750" s="2" t="s">
        <v>937</v>
      </c>
      <c r="E750" s="3" t="s">
        <v>841</v>
      </c>
      <c r="F750" s="18">
        <v>38030</v>
      </c>
      <c r="G750" s="4"/>
      <c r="H750" s="2">
        <v>1</v>
      </c>
      <c r="I750" s="3">
        <v>45925</v>
      </c>
      <c r="J750" s="4">
        <v>157</v>
      </c>
      <c r="K750" s="4" t="s">
        <v>22</v>
      </c>
      <c r="L750" s="3">
        <v>46083</v>
      </c>
      <c r="M750" s="23">
        <f>YEAR(Таблица1[[#This Row],[Дата отчета]])</f>
        <v>2026</v>
      </c>
      <c r="N750" s="2"/>
      <c r="O750" s="2"/>
      <c r="P750" s="2"/>
      <c r="Q750" s="5"/>
    </row>
    <row r="751" spans="1:17" x14ac:dyDescent="0.25">
      <c r="A751" s="6" t="s">
        <v>12</v>
      </c>
      <c r="B751" s="7" t="s">
        <v>935</v>
      </c>
      <c r="C751" s="7" t="s">
        <v>938</v>
      </c>
      <c r="D751" s="7" t="s">
        <v>939</v>
      </c>
      <c r="E751" s="8" t="s">
        <v>131</v>
      </c>
      <c r="F751" s="19">
        <v>25650</v>
      </c>
      <c r="G751" s="9"/>
      <c r="H751" s="7">
        <v>1</v>
      </c>
      <c r="I751" s="8">
        <v>45931</v>
      </c>
      <c r="J751" s="9">
        <v>151</v>
      </c>
      <c r="K751" s="9" t="s">
        <v>22</v>
      </c>
      <c r="L751" s="3">
        <v>46083</v>
      </c>
      <c r="M751" s="23">
        <f>YEAR(Таблица1[[#This Row],[Дата отчета]])</f>
        <v>2026</v>
      </c>
      <c r="N751" s="7"/>
      <c r="O751" s="7"/>
      <c r="P751" s="7"/>
      <c r="Q751" s="10"/>
    </row>
    <row r="752" spans="1:17" x14ac:dyDescent="0.25">
      <c r="A752" s="1" t="s">
        <v>12</v>
      </c>
      <c r="B752" s="2" t="s">
        <v>935</v>
      </c>
      <c r="C752" s="2" t="s">
        <v>940</v>
      </c>
      <c r="D752" s="2" t="s">
        <v>941</v>
      </c>
      <c r="E752" s="3" t="s">
        <v>254</v>
      </c>
      <c r="F752" s="18">
        <v>91850</v>
      </c>
      <c r="G752" s="4"/>
      <c r="H752" s="2">
        <v>1</v>
      </c>
      <c r="I752" s="3">
        <v>46048</v>
      </c>
      <c r="J752" s="4">
        <v>34</v>
      </c>
      <c r="K752" s="4" t="s">
        <v>27</v>
      </c>
      <c r="L752" s="3">
        <v>46083</v>
      </c>
      <c r="M752" s="23">
        <f>YEAR(Таблица1[[#This Row],[Дата отчета]])</f>
        <v>2026</v>
      </c>
      <c r="N752" s="2"/>
      <c r="O752" s="2"/>
      <c r="P752" s="2"/>
      <c r="Q752" s="5"/>
    </row>
    <row r="753" spans="1:17" x14ac:dyDescent="0.25">
      <c r="A753" s="6" t="s">
        <v>12</v>
      </c>
      <c r="B753" s="7" t="s">
        <v>935</v>
      </c>
      <c r="C753" s="7" t="s">
        <v>942</v>
      </c>
      <c r="D753" s="7" t="s">
        <v>943</v>
      </c>
      <c r="E753" s="8" t="s">
        <v>944</v>
      </c>
      <c r="F753" s="19">
        <v>14000</v>
      </c>
      <c r="G753" s="9"/>
      <c r="H753" s="7">
        <v>1</v>
      </c>
      <c r="I753" s="8">
        <v>45749</v>
      </c>
      <c r="J753" s="9">
        <v>333</v>
      </c>
      <c r="K753" s="9" t="s">
        <v>92</v>
      </c>
      <c r="L753" s="3">
        <v>46083</v>
      </c>
      <c r="M753" s="23">
        <f>YEAR(Таблица1[[#This Row],[Дата отчета]])</f>
        <v>2026</v>
      </c>
      <c r="N753" s="7" t="s">
        <v>4538</v>
      </c>
      <c r="O753" s="7"/>
      <c r="P753" s="7"/>
      <c r="Q753" s="10"/>
    </row>
    <row r="754" spans="1:17" x14ac:dyDescent="0.25">
      <c r="A754" s="1" t="s">
        <v>12</v>
      </c>
      <c r="B754" s="2" t="s">
        <v>945</v>
      </c>
      <c r="C754" s="2" t="s">
        <v>946</v>
      </c>
      <c r="D754" s="2" t="s">
        <v>947</v>
      </c>
      <c r="E754" s="3" t="s">
        <v>79</v>
      </c>
      <c r="F754" s="18">
        <v>2000</v>
      </c>
      <c r="G754" s="4"/>
      <c r="H754" s="2">
        <v>1</v>
      </c>
      <c r="I754" s="3">
        <v>45980</v>
      </c>
      <c r="J754" s="4">
        <v>102</v>
      </c>
      <c r="K754" s="4" t="s">
        <v>71</v>
      </c>
      <c r="L754" s="3">
        <v>46083</v>
      </c>
      <c r="M754" s="23">
        <f>YEAR(Таблица1[[#This Row],[Дата отчета]])</f>
        <v>2026</v>
      </c>
      <c r="N754" s="2"/>
      <c r="O754" s="2"/>
      <c r="P754" s="2"/>
      <c r="Q754" s="5"/>
    </row>
    <row r="755" spans="1:17" x14ac:dyDescent="0.25">
      <c r="A755" s="6" t="s">
        <v>12</v>
      </c>
      <c r="B755" s="7" t="s">
        <v>948</v>
      </c>
      <c r="C755" s="7" t="s">
        <v>949</v>
      </c>
      <c r="D755" s="7" t="s">
        <v>950</v>
      </c>
      <c r="E755" s="8" t="s">
        <v>360</v>
      </c>
      <c r="F755" s="19">
        <v>37607.5</v>
      </c>
      <c r="G755" s="9"/>
      <c r="H755" s="7">
        <v>1</v>
      </c>
      <c r="I755" s="8">
        <v>46058</v>
      </c>
      <c r="J755" s="9">
        <v>24</v>
      </c>
      <c r="K755" s="9" t="s">
        <v>38</v>
      </c>
      <c r="L755" s="3">
        <v>46083</v>
      </c>
      <c r="M755" s="23">
        <f>YEAR(Таблица1[[#This Row],[Дата отчета]])</f>
        <v>2026</v>
      </c>
      <c r="N755" s="7"/>
      <c r="O755" s="7"/>
      <c r="P755" s="7"/>
      <c r="Q755" s="10"/>
    </row>
    <row r="756" spans="1:17" x14ac:dyDescent="0.25">
      <c r="A756" s="1" t="s">
        <v>12</v>
      </c>
      <c r="B756" s="2" t="s">
        <v>948</v>
      </c>
      <c r="C756" s="2" t="s">
        <v>951</v>
      </c>
      <c r="D756" s="2" t="s">
        <v>952</v>
      </c>
      <c r="E756" s="3" t="s">
        <v>360</v>
      </c>
      <c r="F756" s="18">
        <v>313445</v>
      </c>
      <c r="G756" s="4"/>
      <c r="H756" s="2">
        <v>1</v>
      </c>
      <c r="I756" s="3">
        <v>46058</v>
      </c>
      <c r="J756" s="4">
        <v>24</v>
      </c>
      <c r="K756" s="4" t="s">
        <v>38</v>
      </c>
      <c r="L756" s="3">
        <v>46083</v>
      </c>
      <c r="M756" s="23">
        <f>YEAR(Таблица1[[#This Row],[Дата отчета]])</f>
        <v>2026</v>
      </c>
      <c r="N756" s="2"/>
      <c r="O756" s="2"/>
      <c r="P756" s="2"/>
      <c r="Q756" s="5"/>
    </row>
    <row r="757" spans="1:17" x14ac:dyDescent="0.25">
      <c r="A757" s="6" t="s">
        <v>12</v>
      </c>
      <c r="B757" s="7" t="s">
        <v>953</v>
      </c>
      <c r="C757" s="7" t="s">
        <v>954</v>
      </c>
      <c r="D757" s="7" t="s">
        <v>955</v>
      </c>
      <c r="E757" s="8" t="s">
        <v>156</v>
      </c>
      <c r="F757" s="19">
        <v>3115745.29</v>
      </c>
      <c r="G757" s="9"/>
      <c r="H757" s="7">
        <v>1</v>
      </c>
      <c r="I757" s="8">
        <v>46051</v>
      </c>
      <c r="J757" s="9">
        <v>31</v>
      </c>
      <c r="K757" s="9" t="s">
        <v>27</v>
      </c>
      <c r="L757" s="3">
        <v>46083</v>
      </c>
      <c r="M757" s="23">
        <f>YEAR(Таблица1[[#This Row],[Дата отчета]])</f>
        <v>2026</v>
      </c>
      <c r="N757" s="7"/>
      <c r="O757" s="7"/>
      <c r="P757" s="7"/>
      <c r="Q757" s="10"/>
    </row>
    <row r="758" spans="1:17" x14ac:dyDescent="0.25">
      <c r="A758" s="1" t="s">
        <v>12</v>
      </c>
      <c r="B758" s="2" t="s">
        <v>956</v>
      </c>
      <c r="C758" s="2" t="s">
        <v>957</v>
      </c>
      <c r="D758" s="2" t="s">
        <v>958</v>
      </c>
      <c r="E758" s="3" t="s">
        <v>360</v>
      </c>
      <c r="F758" s="18">
        <v>6244997.5</v>
      </c>
      <c r="G758" s="4"/>
      <c r="H758" s="2">
        <v>1</v>
      </c>
      <c r="I758" s="3">
        <v>46058</v>
      </c>
      <c r="J758" s="4">
        <v>24</v>
      </c>
      <c r="K758" s="4" t="s">
        <v>38</v>
      </c>
      <c r="L758" s="3">
        <v>46083</v>
      </c>
      <c r="M758" s="23">
        <f>YEAR(Таблица1[[#This Row],[Дата отчета]])</f>
        <v>2026</v>
      </c>
      <c r="N758" s="2"/>
      <c r="O758" s="2"/>
      <c r="P758" s="2"/>
      <c r="Q758" s="5"/>
    </row>
    <row r="759" spans="1:17" x14ac:dyDescent="0.25">
      <c r="A759" s="6" t="s">
        <v>12</v>
      </c>
      <c r="B759" s="7" t="s">
        <v>959</v>
      </c>
      <c r="C759" s="7" t="s">
        <v>960</v>
      </c>
      <c r="D759" s="7" t="s">
        <v>961</v>
      </c>
      <c r="E759" s="8" t="s">
        <v>61</v>
      </c>
      <c r="F759" s="19">
        <v>53800</v>
      </c>
      <c r="G759" s="9"/>
      <c r="H759" s="7">
        <v>1</v>
      </c>
      <c r="I759" s="8">
        <v>46079</v>
      </c>
      <c r="J759" s="9">
        <v>3</v>
      </c>
      <c r="K759" s="9" t="s">
        <v>38</v>
      </c>
      <c r="L759" s="3">
        <v>46083</v>
      </c>
      <c r="M759" s="23">
        <f>YEAR(Таблица1[[#This Row],[Дата отчета]])</f>
        <v>2026</v>
      </c>
      <c r="N759" s="7"/>
      <c r="O759" s="7"/>
      <c r="P759" s="7"/>
      <c r="Q759" s="10"/>
    </row>
    <row r="760" spans="1:17" x14ac:dyDescent="0.25">
      <c r="A760" s="1" t="s">
        <v>12</v>
      </c>
      <c r="B760" s="2" t="s">
        <v>962</v>
      </c>
      <c r="C760" s="2" t="s">
        <v>963</v>
      </c>
      <c r="D760" s="2" t="s">
        <v>964</v>
      </c>
      <c r="E760" s="3" t="s">
        <v>656</v>
      </c>
      <c r="F760" s="18">
        <v>561194</v>
      </c>
      <c r="G760" s="4"/>
      <c r="H760" s="2">
        <v>1</v>
      </c>
      <c r="I760" s="3">
        <v>46052</v>
      </c>
      <c r="J760" s="4">
        <v>30</v>
      </c>
      <c r="K760" s="4" t="s">
        <v>38</v>
      </c>
      <c r="L760" s="3">
        <v>46083</v>
      </c>
      <c r="M760" s="23">
        <f>YEAR(Таблица1[[#This Row],[Дата отчета]])</f>
        <v>2026</v>
      </c>
      <c r="N760" s="2"/>
      <c r="O760" s="2"/>
      <c r="P760" s="2"/>
      <c r="Q760" s="5"/>
    </row>
    <row r="761" spans="1:17" x14ac:dyDescent="0.25">
      <c r="A761" s="6" t="s">
        <v>12</v>
      </c>
      <c r="B761" s="7" t="s">
        <v>965</v>
      </c>
      <c r="C761" s="7" t="s">
        <v>966</v>
      </c>
      <c r="D761" s="7" t="s">
        <v>967</v>
      </c>
      <c r="E761" s="8" t="s">
        <v>968</v>
      </c>
      <c r="F761" s="19">
        <v>252667.4</v>
      </c>
      <c r="G761" s="9"/>
      <c r="H761" s="7">
        <v>1</v>
      </c>
      <c r="I761" s="8">
        <v>45729</v>
      </c>
      <c r="J761" s="9">
        <v>353</v>
      </c>
      <c r="K761" s="9" t="s">
        <v>92</v>
      </c>
      <c r="L761" s="3">
        <v>46083</v>
      </c>
      <c r="M761" s="23">
        <f>YEAR(Таблица1[[#This Row],[Дата отчета]])</f>
        <v>2026</v>
      </c>
      <c r="N761" s="7" t="s">
        <v>4536</v>
      </c>
      <c r="O761" s="7"/>
      <c r="P761" s="7"/>
      <c r="Q761" s="10"/>
    </row>
    <row r="762" spans="1:17" x14ac:dyDescent="0.25">
      <c r="A762" s="1" t="s">
        <v>12</v>
      </c>
      <c r="B762" s="2" t="s">
        <v>969</v>
      </c>
      <c r="C762" s="2" t="s">
        <v>970</v>
      </c>
      <c r="D762" s="2"/>
      <c r="E762" s="3"/>
      <c r="F762" s="18">
        <v>400000</v>
      </c>
      <c r="G762" s="4"/>
      <c r="H762" s="2">
        <v>1</v>
      </c>
      <c r="I762" s="3">
        <v>0</v>
      </c>
      <c r="J762" s="4">
        <v>46082</v>
      </c>
      <c r="K762" s="4" t="s">
        <v>17</v>
      </c>
      <c r="L762" s="3">
        <v>46083</v>
      </c>
      <c r="M762" s="23">
        <f>YEAR(Таблица1[[#This Row],[Дата отчета]])</f>
        <v>2026</v>
      </c>
      <c r="N762" s="2" t="s">
        <v>4551</v>
      </c>
      <c r="O762" s="2"/>
      <c r="P762" s="2" t="s">
        <v>4546</v>
      </c>
      <c r="Q762" s="5"/>
    </row>
    <row r="763" spans="1:17" x14ac:dyDescent="0.25">
      <c r="A763" s="6" t="s">
        <v>12</v>
      </c>
      <c r="B763" s="7" t="s">
        <v>971</v>
      </c>
      <c r="C763" s="7" t="s">
        <v>972</v>
      </c>
      <c r="D763" s="7" t="s">
        <v>973</v>
      </c>
      <c r="E763" s="8" t="s">
        <v>592</v>
      </c>
      <c r="F763" s="19">
        <v>225706.72</v>
      </c>
      <c r="G763" s="9"/>
      <c r="H763" s="7">
        <v>1</v>
      </c>
      <c r="I763" s="8">
        <v>45966</v>
      </c>
      <c r="J763" s="9">
        <v>116</v>
      </c>
      <c r="K763" s="9" t="s">
        <v>71</v>
      </c>
      <c r="L763" s="3">
        <v>46083</v>
      </c>
      <c r="M763" s="23">
        <f>YEAR(Таблица1[[#This Row],[Дата отчета]])</f>
        <v>2026</v>
      </c>
      <c r="N763" s="7"/>
      <c r="O763" s="7"/>
      <c r="P763" s="7"/>
      <c r="Q763" s="10"/>
    </row>
    <row r="764" spans="1:17" x14ac:dyDescent="0.25">
      <c r="A764" s="1" t="s">
        <v>12</v>
      </c>
      <c r="B764" s="2" t="s">
        <v>971</v>
      </c>
      <c r="C764" s="2" t="s">
        <v>974</v>
      </c>
      <c r="D764" s="2" t="s">
        <v>975</v>
      </c>
      <c r="E764" s="3" t="s">
        <v>592</v>
      </c>
      <c r="F764" s="18">
        <v>154485.6</v>
      </c>
      <c r="G764" s="4"/>
      <c r="H764" s="2">
        <v>1</v>
      </c>
      <c r="I764" s="3">
        <v>45966</v>
      </c>
      <c r="J764" s="4">
        <v>116</v>
      </c>
      <c r="K764" s="4" t="s">
        <v>71</v>
      </c>
      <c r="L764" s="3">
        <v>46083</v>
      </c>
      <c r="M764" s="23">
        <f>YEAR(Таблица1[[#This Row],[Дата отчета]])</f>
        <v>2026</v>
      </c>
      <c r="N764" s="2"/>
      <c r="O764" s="2"/>
      <c r="P764" s="2"/>
      <c r="Q764" s="5"/>
    </row>
    <row r="765" spans="1:17" x14ac:dyDescent="0.25">
      <c r="A765" s="6" t="s">
        <v>12</v>
      </c>
      <c r="B765" s="7" t="s">
        <v>976</v>
      </c>
      <c r="C765" s="7" t="s">
        <v>977</v>
      </c>
      <c r="D765" s="7" t="s">
        <v>978</v>
      </c>
      <c r="E765" s="8" t="s">
        <v>979</v>
      </c>
      <c r="F765" s="19">
        <v>2403856.33</v>
      </c>
      <c r="G765" s="9"/>
      <c r="H765" s="7">
        <v>1</v>
      </c>
      <c r="I765" s="8">
        <v>46049</v>
      </c>
      <c r="J765" s="9">
        <v>33</v>
      </c>
      <c r="K765" s="9" t="s">
        <v>27</v>
      </c>
      <c r="L765" s="3">
        <v>46083</v>
      </c>
      <c r="M765" s="23">
        <f>YEAR(Таблица1[[#This Row],[Дата отчета]])</f>
        <v>2026</v>
      </c>
      <c r="N765" s="7"/>
      <c r="O765" s="7"/>
      <c r="P765" s="7"/>
      <c r="Q765" s="10"/>
    </row>
    <row r="766" spans="1:17" x14ac:dyDescent="0.25">
      <c r="A766" s="1" t="s">
        <v>12</v>
      </c>
      <c r="B766" s="2" t="s">
        <v>980</v>
      </c>
      <c r="C766" s="2" t="s">
        <v>981</v>
      </c>
      <c r="D766" s="2" t="s">
        <v>982</v>
      </c>
      <c r="E766" s="3" t="s">
        <v>983</v>
      </c>
      <c r="F766" s="18">
        <v>31000</v>
      </c>
      <c r="G766" s="4"/>
      <c r="H766" s="2">
        <v>1</v>
      </c>
      <c r="I766" s="3">
        <v>45755</v>
      </c>
      <c r="J766" s="4">
        <v>327</v>
      </c>
      <c r="K766" s="4" t="s">
        <v>92</v>
      </c>
      <c r="L766" s="3">
        <v>46083</v>
      </c>
      <c r="M766" s="23">
        <f>YEAR(Таблица1[[#This Row],[Дата отчета]])</f>
        <v>2026</v>
      </c>
      <c r="N766" s="2" t="s">
        <v>807</v>
      </c>
      <c r="O766" s="2"/>
      <c r="P766" s="2"/>
      <c r="Q766" s="5"/>
    </row>
    <row r="767" spans="1:17" x14ac:dyDescent="0.25">
      <c r="A767" s="6" t="s">
        <v>12</v>
      </c>
      <c r="B767" s="7" t="s">
        <v>984</v>
      </c>
      <c r="C767" s="7" t="s">
        <v>985</v>
      </c>
      <c r="D767" s="7" t="s">
        <v>986</v>
      </c>
      <c r="E767" s="8" t="s">
        <v>987</v>
      </c>
      <c r="F767" s="19">
        <v>32000</v>
      </c>
      <c r="G767" s="9"/>
      <c r="H767" s="7">
        <v>1</v>
      </c>
      <c r="I767" s="8">
        <v>45747</v>
      </c>
      <c r="J767" s="9">
        <v>335</v>
      </c>
      <c r="K767" s="9" t="s">
        <v>92</v>
      </c>
      <c r="L767" s="3">
        <v>46083</v>
      </c>
      <c r="M767" s="23">
        <f>YEAR(Таблица1[[#This Row],[Дата отчета]])</f>
        <v>2026</v>
      </c>
      <c r="N767" s="2" t="s">
        <v>807</v>
      </c>
      <c r="O767" s="7"/>
      <c r="P767" s="7"/>
      <c r="Q767" s="10"/>
    </row>
    <row r="768" spans="1:17" x14ac:dyDescent="0.25">
      <c r="A768" s="1" t="s">
        <v>12</v>
      </c>
      <c r="B768" s="2" t="s">
        <v>988</v>
      </c>
      <c r="C768" s="2" t="s">
        <v>989</v>
      </c>
      <c r="D768" s="2" t="s">
        <v>990</v>
      </c>
      <c r="E768" s="3" t="s">
        <v>140</v>
      </c>
      <c r="F768" s="18">
        <v>214283.5</v>
      </c>
      <c r="G768" s="4"/>
      <c r="H768" s="2">
        <v>1</v>
      </c>
      <c r="I768" s="3">
        <v>45917</v>
      </c>
      <c r="J768" s="4">
        <v>165</v>
      </c>
      <c r="K768" s="4" t="s">
        <v>22</v>
      </c>
      <c r="L768" s="3">
        <v>46083</v>
      </c>
      <c r="M768" s="23">
        <f>YEAR(Таблица1[[#This Row],[Дата отчета]])</f>
        <v>2026</v>
      </c>
      <c r="N768" s="2"/>
      <c r="O768" s="2"/>
      <c r="P768" s="2"/>
      <c r="Q768" s="5"/>
    </row>
    <row r="769" spans="1:17" x14ac:dyDescent="0.25">
      <c r="A769" s="6" t="s">
        <v>12</v>
      </c>
      <c r="B769" s="7" t="s">
        <v>991</v>
      </c>
      <c r="C769" s="7" t="s">
        <v>992</v>
      </c>
      <c r="D769" s="7" t="s">
        <v>993</v>
      </c>
      <c r="E769" s="8" t="s">
        <v>994</v>
      </c>
      <c r="F769" s="19">
        <v>20740</v>
      </c>
      <c r="G769" s="9"/>
      <c r="H769" s="7">
        <v>1</v>
      </c>
      <c r="I769" s="8">
        <v>45741</v>
      </c>
      <c r="J769" s="9">
        <v>341</v>
      </c>
      <c r="K769" s="9" t="s">
        <v>92</v>
      </c>
      <c r="L769" s="3">
        <v>46083</v>
      </c>
      <c r="M769" s="23">
        <f>YEAR(Таблица1[[#This Row],[Дата отчета]])</f>
        <v>2026</v>
      </c>
      <c r="N769" s="7" t="s">
        <v>4538</v>
      </c>
      <c r="O769" s="7"/>
      <c r="P769" s="7"/>
      <c r="Q769" s="10"/>
    </row>
    <row r="770" spans="1:17" x14ac:dyDescent="0.25">
      <c r="A770" s="1" t="s">
        <v>12</v>
      </c>
      <c r="B770" s="2" t="s">
        <v>995</v>
      </c>
      <c r="C770" s="2" t="s">
        <v>996</v>
      </c>
      <c r="D770" s="2" t="s">
        <v>997</v>
      </c>
      <c r="E770" s="3" t="s">
        <v>998</v>
      </c>
      <c r="F770" s="18">
        <v>401.24</v>
      </c>
      <c r="G770" s="4"/>
      <c r="H770" s="2">
        <v>1</v>
      </c>
      <c r="I770" s="3">
        <v>45534</v>
      </c>
      <c r="J770" s="4">
        <v>548</v>
      </c>
      <c r="K770" s="4" t="s">
        <v>17</v>
      </c>
      <c r="L770" s="3">
        <v>46083</v>
      </c>
      <c r="M770" s="23">
        <f>YEAR(Таблица1[[#This Row],[Дата отчета]])</f>
        <v>2026</v>
      </c>
      <c r="N770" s="7" t="s">
        <v>4536</v>
      </c>
      <c r="O770" s="2"/>
      <c r="P770" s="2" t="s">
        <v>4552</v>
      </c>
      <c r="Q770" s="5"/>
    </row>
    <row r="771" spans="1:17" x14ac:dyDescent="0.25">
      <c r="A771" s="6" t="s">
        <v>12</v>
      </c>
      <c r="B771" s="7" t="s">
        <v>995</v>
      </c>
      <c r="C771" s="7" t="s">
        <v>999</v>
      </c>
      <c r="D771" s="7" t="s">
        <v>1000</v>
      </c>
      <c r="E771" s="8" t="s">
        <v>1001</v>
      </c>
      <c r="F771" s="19">
        <v>4012.33</v>
      </c>
      <c r="G771" s="9"/>
      <c r="H771" s="7">
        <v>1</v>
      </c>
      <c r="I771" s="8">
        <v>45573</v>
      </c>
      <c r="J771" s="9">
        <v>509</v>
      </c>
      <c r="K771" s="9" t="s">
        <v>17</v>
      </c>
      <c r="L771" s="3">
        <v>46083</v>
      </c>
      <c r="M771" s="23">
        <f>YEAR(Таблица1[[#This Row],[Дата отчета]])</f>
        <v>2026</v>
      </c>
      <c r="N771" s="7" t="s">
        <v>4536</v>
      </c>
      <c r="O771" s="7"/>
      <c r="P771" s="2" t="s">
        <v>4552</v>
      </c>
      <c r="Q771" s="10"/>
    </row>
    <row r="772" spans="1:17" x14ac:dyDescent="0.25">
      <c r="A772" s="1" t="s">
        <v>12</v>
      </c>
      <c r="B772" s="2" t="s">
        <v>1002</v>
      </c>
      <c r="C772" s="2" t="s">
        <v>1003</v>
      </c>
      <c r="D772" s="2" t="s">
        <v>1004</v>
      </c>
      <c r="E772" s="3" t="s">
        <v>156</v>
      </c>
      <c r="F772" s="18">
        <v>298776</v>
      </c>
      <c r="G772" s="4"/>
      <c r="H772" s="2">
        <v>1</v>
      </c>
      <c r="I772" s="3">
        <v>46051</v>
      </c>
      <c r="J772" s="4">
        <v>31</v>
      </c>
      <c r="K772" s="4" t="s">
        <v>27</v>
      </c>
      <c r="L772" s="3">
        <v>46083</v>
      </c>
      <c r="M772" s="23">
        <f>YEAR(Таблица1[[#This Row],[Дата отчета]])</f>
        <v>2026</v>
      </c>
      <c r="N772" s="2"/>
      <c r="O772" s="2"/>
      <c r="P772" s="2"/>
      <c r="Q772" s="5"/>
    </row>
    <row r="773" spans="1:17" x14ac:dyDescent="0.25">
      <c r="A773" s="6" t="s">
        <v>12</v>
      </c>
      <c r="B773" s="7" t="s">
        <v>1005</v>
      </c>
      <c r="C773" s="7" t="s">
        <v>1006</v>
      </c>
      <c r="D773" s="7" t="s">
        <v>1007</v>
      </c>
      <c r="E773" s="8" t="s">
        <v>360</v>
      </c>
      <c r="F773" s="19">
        <v>215488</v>
      </c>
      <c r="G773" s="9"/>
      <c r="H773" s="7">
        <v>1</v>
      </c>
      <c r="I773" s="8">
        <v>46058</v>
      </c>
      <c r="J773" s="9">
        <v>24</v>
      </c>
      <c r="K773" s="9" t="s">
        <v>38</v>
      </c>
      <c r="L773" s="3">
        <v>46083</v>
      </c>
      <c r="M773" s="23">
        <f>YEAR(Таблица1[[#This Row],[Дата отчета]])</f>
        <v>2026</v>
      </c>
      <c r="N773" s="7"/>
      <c r="O773" s="7"/>
      <c r="P773" s="7"/>
      <c r="Q773" s="10"/>
    </row>
    <row r="774" spans="1:17" x14ac:dyDescent="0.25">
      <c r="A774" s="1" t="s">
        <v>12</v>
      </c>
      <c r="B774" s="2" t="s">
        <v>1008</v>
      </c>
      <c r="C774" s="2" t="s">
        <v>775</v>
      </c>
      <c r="D774" s="2" t="s">
        <v>1009</v>
      </c>
      <c r="E774" s="3" t="s">
        <v>1010</v>
      </c>
      <c r="F774" s="18">
        <v>0.1</v>
      </c>
      <c r="G774" s="4"/>
      <c r="H774" s="2">
        <v>1</v>
      </c>
      <c r="I774" s="3">
        <v>45519</v>
      </c>
      <c r="J774" s="4">
        <v>563</v>
      </c>
      <c r="K774" s="4" t="s">
        <v>17</v>
      </c>
      <c r="L774" s="3">
        <v>46083</v>
      </c>
      <c r="M774" s="23">
        <f>YEAR(Таблица1[[#This Row],[Дата отчета]])</f>
        <v>2026</v>
      </c>
      <c r="N774" s="2"/>
      <c r="O774" s="2"/>
      <c r="P774" s="2"/>
      <c r="Q774" s="5"/>
    </row>
    <row r="775" spans="1:17" x14ac:dyDescent="0.25">
      <c r="A775" s="6" t="s">
        <v>12</v>
      </c>
      <c r="B775" s="7" t="s">
        <v>1011</v>
      </c>
      <c r="C775" s="7" t="s">
        <v>1012</v>
      </c>
      <c r="D775" s="7" t="s">
        <v>1013</v>
      </c>
      <c r="E775" s="8" t="s">
        <v>1014</v>
      </c>
      <c r="F775" s="19">
        <v>0.01</v>
      </c>
      <c r="G775" s="9"/>
      <c r="H775" s="7">
        <v>1</v>
      </c>
      <c r="I775" s="8">
        <v>45224</v>
      </c>
      <c r="J775" s="9">
        <v>858</v>
      </c>
      <c r="K775" s="9" t="s">
        <v>17</v>
      </c>
      <c r="L775" s="3">
        <v>46083</v>
      </c>
      <c r="M775" s="23">
        <f>YEAR(Таблица1[[#This Row],[Дата отчета]])</f>
        <v>2026</v>
      </c>
      <c r="N775" s="7"/>
      <c r="O775" s="7"/>
      <c r="P775" s="7"/>
      <c r="Q775" s="10"/>
    </row>
    <row r="776" spans="1:17" x14ac:dyDescent="0.25">
      <c r="A776" s="1" t="s">
        <v>12</v>
      </c>
      <c r="B776" s="2" t="s">
        <v>1011</v>
      </c>
      <c r="C776" s="2" t="s">
        <v>1015</v>
      </c>
      <c r="D776" s="2" t="s">
        <v>1016</v>
      </c>
      <c r="E776" s="3" t="s">
        <v>123</v>
      </c>
      <c r="F776" s="18">
        <v>12461.79</v>
      </c>
      <c r="G776" s="4"/>
      <c r="H776" s="2">
        <v>1</v>
      </c>
      <c r="I776" s="3">
        <v>45782</v>
      </c>
      <c r="J776" s="4">
        <v>300</v>
      </c>
      <c r="K776" s="4" t="s">
        <v>92</v>
      </c>
      <c r="L776" s="3">
        <v>46083</v>
      </c>
      <c r="M776" s="23">
        <f>YEAR(Таблица1[[#This Row],[Дата отчета]])</f>
        <v>2026</v>
      </c>
      <c r="N776" s="7" t="s">
        <v>4536</v>
      </c>
      <c r="O776" s="2"/>
      <c r="P776" s="2" t="s">
        <v>4552</v>
      </c>
      <c r="Q776" s="5"/>
    </row>
    <row r="777" spans="1:17" x14ac:dyDescent="0.25">
      <c r="A777" s="6" t="s">
        <v>12</v>
      </c>
      <c r="B777" s="7" t="s">
        <v>1017</v>
      </c>
      <c r="C777" s="7" t="s">
        <v>1018</v>
      </c>
      <c r="D777" s="7" t="s">
        <v>1019</v>
      </c>
      <c r="E777" s="8" t="s">
        <v>455</v>
      </c>
      <c r="F777" s="19">
        <v>162000</v>
      </c>
      <c r="G777" s="9"/>
      <c r="H777" s="7">
        <v>1</v>
      </c>
      <c r="I777" s="8">
        <v>46080</v>
      </c>
      <c r="J777" s="9">
        <v>2</v>
      </c>
      <c r="K777" s="9" t="s">
        <v>38</v>
      </c>
      <c r="L777" s="3">
        <v>46083</v>
      </c>
      <c r="M777" s="23">
        <f>YEAR(Таблица1[[#This Row],[Дата отчета]])</f>
        <v>2026</v>
      </c>
      <c r="N777" s="7"/>
      <c r="O777" s="7"/>
      <c r="P777" s="7"/>
      <c r="Q777" s="10"/>
    </row>
    <row r="778" spans="1:17" x14ac:dyDescent="0.25">
      <c r="A778" s="1" t="s">
        <v>12</v>
      </c>
      <c r="B778" s="2" t="s">
        <v>1020</v>
      </c>
      <c r="C778" s="2" t="s">
        <v>1021</v>
      </c>
      <c r="D778" s="2" t="s">
        <v>1022</v>
      </c>
      <c r="E778" s="3" t="s">
        <v>1023</v>
      </c>
      <c r="F778" s="18">
        <v>47400</v>
      </c>
      <c r="G778" s="4"/>
      <c r="H778" s="2">
        <v>1</v>
      </c>
      <c r="I778" s="3">
        <v>45728</v>
      </c>
      <c r="J778" s="4">
        <v>354</v>
      </c>
      <c r="K778" s="4" t="s">
        <v>92</v>
      </c>
      <c r="L778" s="3">
        <v>46083</v>
      </c>
      <c r="M778" s="23">
        <f>YEAR(Таблица1[[#This Row],[Дата отчета]])</f>
        <v>2026</v>
      </c>
      <c r="N778" s="2" t="s">
        <v>4553</v>
      </c>
      <c r="O778" s="2"/>
      <c r="P778" s="2"/>
      <c r="Q778" s="5"/>
    </row>
    <row r="779" spans="1:17" x14ac:dyDescent="0.25">
      <c r="A779" s="6" t="s">
        <v>12</v>
      </c>
      <c r="B779" s="7" t="s">
        <v>1024</v>
      </c>
      <c r="C779" s="7" t="s">
        <v>1025</v>
      </c>
      <c r="D779" s="7" t="s">
        <v>1026</v>
      </c>
      <c r="E779" s="8" t="s">
        <v>1027</v>
      </c>
      <c r="F779" s="19">
        <v>22500</v>
      </c>
      <c r="G779" s="9"/>
      <c r="H779" s="7">
        <v>1</v>
      </c>
      <c r="I779" s="8">
        <v>45896</v>
      </c>
      <c r="J779" s="9">
        <v>186</v>
      </c>
      <c r="K779" s="9" t="s">
        <v>67</v>
      </c>
      <c r="L779" s="3">
        <v>46083</v>
      </c>
      <c r="M779" s="23">
        <f>YEAR(Таблица1[[#This Row],[Дата отчета]])</f>
        <v>2026</v>
      </c>
      <c r="N779" s="7"/>
      <c r="O779" s="7"/>
      <c r="P779" s="7"/>
      <c r="Q779" s="10"/>
    </row>
    <row r="780" spans="1:17" x14ac:dyDescent="0.25">
      <c r="A780" s="1" t="s">
        <v>12</v>
      </c>
      <c r="B780" s="2" t="s">
        <v>1028</v>
      </c>
      <c r="C780" s="2" t="s">
        <v>1029</v>
      </c>
      <c r="D780" s="2" t="s">
        <v>1030</v>
      </c>
      <c r="E780" s="3" t="s">
        <v>1031</v>
      </c>
      <c r="F780" s="18">
        <v>60000</v>
      </c>
      <c r="G780" s="4"/>
      <c r="H780" s="2">
        <v>1</v>
      </c>
      <c r="I780" s="3">
        <v>45812</v>
      </c>
      <c r="J780" s="4">
        <v>270</v>
      </c>
      <c r="K780" s="4" t="s">
        <v>67</v>
      </c>
      <c r="L780" s="3">
        <v>46083</v>
      </c>
      <c r="M780" s="23">
        <f>YEAR(Таблица1[[#This Row],[Дата отчета]])</f>
        <v>2026</v>
      </c>
      <c r="N780" s="2" t="s">
        <v>807</v>
      </c>
      <c r="O780" s="2"/>
      <c r="P780" s="2"/>
      <c r="Q780" s="5"/>
    </row>
    <row r="781" spans="1:17" x14ac:dyDescent="0.25">
      <c r="A781" s="6" t="s">
        <v>12</v>
      </c>
      <c r="B781" s="7" t="s">
        <v>1028</v>
      </c>
      <c r="C781" s="7" t="s">
        <v>1029</v>
      </c>
      <c r="D781" s="7" t="s">
        <v>1032</v>
      </c>
      <c r="E781" s="8" t="s">
        <v>528</v>
      </c>
      <c r="F781" s="19">
        <v>140000</v>
      </c>
      <c r="G781" s="9"/>
      <c r="H781" s="7">
        <v>1</v>
      </c>
      <c r="I781" s="8">
        <v>45985</v>
      </c>
      <c r="J781" s="9">
        <v>97</v>
      </c>
      <c r="K781" s="9" t="s">
        <v>71</v>
      </c>
      <c r="L781" s="3">
        <v>46083</v>
      </c>
      <c r="M781" s="23">
        <f>YEAR(Таблица1[[#This Row],[Дата отчета]])</f>
        <v>2026</v>
      </c>
      <c r="N781" s="7"/>
      <c r="O781" s="7"/>
      <c r="P781" s="7"/>
      <c r="Q781" s="10"/>
    </row>
    <row r="782" spans="1:17" x14ac:dyDescent="0.25">
      <c r="A782" s="1" t="s">
        <v>12</v>
      </c>
      <c r="B782" s="2" t="s">
        <v>1028</v>
      </c>
      <c r="C782" s="2" t="s">
        <v>1033</v>
      </c>
      <c r="D782" s="2" t="s">
        <v>1034</v>
      </c>
      <c r="E782" s="3" t="s">
        <v>1031</v>
      </c>
      <c r="F782" s="18">
        <v>40500</v>
      </c>
      <c r="G782" s="4"/>
      <c r="H782" s="2">
        <v>1</v>
      </c>
      <c r="I782" s="3">
        <v>45812</v>
      </c>
      <c r="J782" s="4">
        <v>270</v>
      </c>
      <c r="K782" s="4" t="s">
        <v>67</v>
      </c>
      <c r="L782" s="3">
        <v>46083</v>
      </c>
      <c r="M782" s="23">
        <f>YEAR(Таблица1[[#This Row],[Дата отчета]])</f>
        <v>2026</v>
      </c>
      <c r="N782" s="2" t="s">
        <v>807</v>
      </c>
      <c r="O782" s="2"/>
      <c r="P782" s="2"/>
      <c r="Q782" s="5"/>
    </row>
    <row r="783" spans="1:17" x14ac:dyDescent="0.25">
      <c r="A783" s="6" t="s">
        <v>12</v>
      </c>
      <c r="B783" s="7" t="s">
        <v>1028</v>
      </c>
      <c r="C783" s="7" t="s">
        <v>1033</v>
      </c>
      <c r="D783" s="7" t="s">
        <v>1035</v>
      </c>
      <c r="E783" s="8" t="s">
        <v>218</v>
      </c>
      <c r="F783" s="19">
        <v>74250</v>
      </c>
      <c r="G783" s="9"/>
      <c r="H783" s="7">
        <v>1</v>
      </c>
      <c r="I783" s="8">
        <v>45947</v>
      </c>
      <c r="J783" s="9">
        <v>135</v>
      </c>
      <c r="K783" s="9" t="s">
        <v>22</v>
      </c>
      <c r="L783" s="3">
        <v>46083</v>
      </c>
      <c r="M783" s="23">
        <f>YEAR(Таблица1[[#This Row],[Дата отчета]])</f>
        <v>2026</v>
      </c>
      <c r="N783" s="7"/>
      <c r="O783" s="7"/>
      <c r="P783" s="7"/>
      <c r="Q783" s="10"/>
    </row>
    <row r="784" spans="1:17" x14ac:dyDescent="0.25">
      <c r="A784" s="1" t="s">
        <v>12</v>
      </c>
      <c r="B784" s="2" t="s">
        <v>1028</v>
      </c>
      <c r="C784" s="2" t="s">
        <v>1033</v>
      </c>
      <c r="D784" s="2" t="s">
        <v>1036</v>
      </c>
      <c r="E784" s="3" t="s">
        <v>528</v>
      </c>
      <c r="F784" s="18">
        <v>20250</v>
      </c>
      <c r="G784" s="4"/>
      <c r="H784" s="2">
        <v>1</v>
      </c>
      <c r="I784" s="3">
        <v>45985</v>
      </c>
      <c r="J784" s="4">
        <v>97</v>
      </c>
      <c r="K784" s="4" t="s">
        <v>71</v>
      </c>
      <c r="L784" s="3">
        <v>46083</v>
      </c>
      <c r="M784" s="23">
        <f>YEAR(Таблица1[[#This Row],[Дата отчета]])</f>
        <v>2026</v>
      </c>
      <c r="N784" s="2"/>
      <c r="O784" s="2"/>
      <c r="P784" s="2"/>
      <c r="Q784" s="5"/>
    </row>
    <row r="785" spans="1:17" x14ac:dyDescent="0.25">
      <c r="A785" s="6" t="s">
        <v>12</v>
      </c>
      <c r="B785" s="7" t="s">
        <v>1028</v>
      </c>
      <c r="C785" s="7" t="s">
        <v>1037</v>
      </c>
      <c r="D785" s="7" t="s">
        <v>1038</v>
      </c>
      <c r="E785" s="8" t="s">
        <v>1039</v>
      </c>
      <c r="F785" s="19">
        <v>90000</v>
      </c>
      <c r="G785" s="9"/>
      <c r="H785" s="7">
        <v>1</v>
      </c>
      <c r="I785" s="8">
        <v>45831</v>
      </c>
      <c r="J785" s="9">
        <v>251</v>
      </c>
      <c r="K785" s="9" t="s">
        <v>67</v>
      </c>
      <c r="L785" s="3">
        <v>46083</v>
      </c>
      <c r="M785" s="23">
        <f>YEAR(Таблица1[[#This Row],[Дата отчета]])</f>
        <v>2026</v>
      </c>
      <c r="N785" s="2" t="s">
        <v>807</v>
      </c>
      <c r="O785" s="7"/>
      <c r="P785" s="7"/>
      <c r="Q785" s="10"/>
    </row>
    <row r="786" spans="1:17" x14ac:dyDescent="0.25">
      <c r="A786" s="1" t="s">
        <v>12</v>
      </c>
      <c r="B786" s="2" t="s">
        <v>1028</v>
      </c>
      <c r="C786" s="2" t="s">
        <v>1037</v>
      </c>
      <c r="D786" s="2" t="s">
        <v>1040</v>
      </c>
      <c r="E786" s="3" t="s">
        <v>466</v>
      </c>
      <c r="F786" s="18">
        <v>165000</v>
      </c>
      <c r="G786" s="4"/>
      <c r="H786" s="2">
        <v>1</v>
      </c>
      <c r="I786" s="3">
        <v>45986</v>
      </c>
      <c r="J786" s="4">
        <v>96</v>
      </c>
      <c r="K786" s="4" t="s">
        <v>71</v>
      </c>
      <c r="L786" s="3">
        <v>46083</v>
      </c>
      <c r="M786" s="23">
        <f>YEAR(Таблица1[[#This Row],[Дата отчета]])</f>
        <v>2026</v>
      </c>
      <c r="N786" s="2"/>
      <c r="O786" s="2"/>
      <c r="P786" s="2"/>
      <c r="Q786" s="5"/>
    </row>
    <row r="787" spans="1:17" x14ac:dyDescent="0.25">
      <c r="A787" s="6" t="s">
        <v>12</v>
      </c>
      <c r="B787" s="7" t="s">
        <v>1028</v>
      </c>
      <c r="C787" s="7" t="s">
        <v>1041</v>
      </c>
      <c r="D787" s="7" t="s">
        <v>1042</v>
      </c>
      <c r="E787" s="8" t="s">
        <v>1039</v>
      </c>
      <c r="F787" s="19">
        <v>84000</v>
      </c>
      <c r="G787" s="9"/>
      <c r="H787" s="7">
        <v>1</v>
      </c>
      <c r="I787" s="8">
        <v>45831</v>
      </c>
      <c r="J787" s="9">
        <v>251</v>
      </c>
      <c r="K787" s="9" t="s">
        <v>67</v>
      </c>
      <c r="L787" s="3">
        <v>46083</v>
      </c>
      <c r="M787" s="23">
        <f>YEAR(Таблица1[[#This Row],[Дата отчета]])</f>
        <v>2026</v>
      </c>
      <c r="N787" s="2" t="s">
        <v>807</v>
      </c>
      <c r="O787" s="7"/>
      <c r="P787" s="7"/>
      <c r="Q787" s="10"/>
    </row>
    <row r="788" spans="1:17" x14ac:dyDescent="0.25">
      <c r="A788" s="1" t="s">
        <v>12</v>
      </c>
      <c r="B788" s="2" t="s">
        <v>1043</v>
      </c>
      <c r="C788" s="2" t="s">
        <v>1044</v>
      </c>
      <c r="D788" s="2" t="s">
        <v>1045</v>
      </c>
      <c r="E788" s="3" t="s">
        <v>769</v>
      </c>
      <c r="F788" s="18">
        <v>1165</v>
      </c>
      <c r="G788" s="4"/>
      <c r="H788" s="2">
        <v>1</v>
      </c>
      <c r="I788" s="3">
        <v>45825</v>
      </c>
      <c r="J788" s="4">
        <v>257</v>
      </c>
      <c r="K788" s="4" t="s">
        <v>67</v>
      </c>
      <c r="L788" s="3">
        <v>46083</v>
      </c>
      <c r="M788" s="23">
        <f>YEAR(Таблица1[[#This Row],[Дата отчета]])</f>
        <v>2026</v>
      </c>
      <c r="N788" s="7" t="s">
        <v>4536</v>
      </c>
      <c r="O788" s="2"/>
      <c r="P788" s="2"/>
      <c r="Q788" s="5"/>
    </row>
    <row r="789" spans="1:17" x14ac:dyDescent="0.25">
      <c r="A789" s="6" t="s">
        <v>12</v>
      </c>
      <c r="B789" s="7" t="s">
        <v>1046</v>
      </c>
      <c r="C789" s="7" t="s">
        <v>1047</v>
      </c>
      <c r="D789" s="7" t="s">
        <v>1048</v>
      </c>
      <c r="E789" s="8" t="s">
        <v>1049</v>
      </c>
      <c r="F789" s="19">
        <v>9000</v>
      </c>
      <c r="G789" s="9"/>
      <c r="H789" s="7">
        <v>1</v>
      </c>
      <c r="I789" s="8">
        <v>45861</v>
      </c>
      <c r="J789" s="9">
        <v>221</v>
      </c>
      <c r="K789" s="9" t="s">
        <v>67</v>
      </c>
      <c r="L789" s="3">
        <v>46083</v>
      </c>
      <c r="M789" s="23">
        <f>YEAR(Таблица1[[#This Row],[Дата отчета]])</f>
        <v>2026</v>
      </c>
      <c r="N789" s="2" t="s">
        <v>807</v>
      </c>
      <c r="O789" s="7"/>
      <c r="P789" s="7"/>
      <c r="Q789" s="10"/>
    </row>
    <row r="790" spans="1:17" x14ac:dyDescent="0.25">
      <c r="A790" s="1" t="s">
        <v>12</v>
      </c>
      <c r="B790" s="2" t="s">
        <v>1050</v>
      </c>
      <c r="C790" s="2" t="s">
        <v>1051</v>
      </c>
      <c r="D790" s="2" t="s">
        <v>1052</v>
      </c>
      <c r="E790" s="3" t="s">
        <v>683</v>
      </c>
      <c r="F790" s="18">
        <v>86800</v>
      </c>
      <c r="G790" s="4"/>
      <c r="H790" s="2">
        <v>1</v>
      </c>
      <c r="I790" s="3">
        <v>45748</v>
      </c>
      <c r="J790" s="4">
        <v>334</v>
      </c>
      <c r="K790" s="4" t="s">
        <v>92</v>
      </c>
      <c r="L790" s="3">
        <v>46083</v>
      </c>
      <c r="M790" s="23">
        <f>YEAR(Таблица1[[#This Row],[Дата отчета]])</f>
        <v>2026</v>
      </c>
      <c r="N790" s="2" t="s">
        <v>807</v>
      </c>
      <c r="O790" s="2"/>
      <c r="P790" s="2"/>
      <c r="Q790" s="5"/>
    </row>
    <row r="791" spans="1:17" x14ac:dyDescent="0.25">
      <c r="A791" s="6" t="s">
        <v>12</v>
      </c>
      <c r="B791" s="7" t="s">
        <v>1053</v>
      </c>
      <c r="C791" s="7" t="s">
        <v>1054</v>
      </c>
      <c r="D791" s="7" t="s">
        <v>1055</v>
      </c>
      <c r="E791" s="8" t="s">
        <v>239</v>
      </c>
      <c r="F791" s="19">
        <v>10000000</v>
      </c>
      <c r="G791" s="9"/>
      <c r="H791" s="7">
        <v>1</v>
      </c>
      <c r="I791" s="8">
        <v>45996</v>
      </c>
      <c r="J791" s="9">
        <v>86</v>
      </c>
      <c r="K791" s="9" t="s">
        <v>27</v>
      </c>
      <c r="L791" s="3">
        <v>46083</v>
      </c>
      <c r="M791" s="23">
        <f>YEAR(Таблица1[[#This Row],[Дата отчета]])</f>
        <v>2026</v>
      </c>
      <c r="N791" s="7"/>
      <c r="O791" s="7"/>
      <c r="P791" s="7"/>
      <c r="Q791" s="10"/>
    </row>
    <row r="792" spans="1:17" x14ac:dyDescent="0.25">
      <c r="A792" s="1" t="s">
        <v>12</v>
      </c>
      <c r="B792" s="2" t="s">
        <v>1053</v>
      </c>
      <c r="C792" s="2" t="s">
        <v>1054</v>
      </c>
      <c r="D792" s="2" t="s">
        <v>1056</v>
      </c>
      <c r="E792" s="3" t="s">
        <v>350</v>
      </c>
      <c r="F792" s="18">
        <v>20000000</v>
      </c>
      <c r="G792" s="4"/>
      <c r="H792" s="2">
        <v>1</v>
      </c>
      <c r="I792" s="3">
        <v>46057</v>
      </c>
      <c r="J792" s="4">
        <v>25</v>
      </c>
      <c r="K792" s="4" t="s">
        <v>38</v>
      </c>
      <c r="L792" s="3">
        <v>46083</v>
      </c>
      <c r="M792" s="23">
        <f>YEAR(Таблица1[[#This Row],[Дата отчета]])</f>
        <v>2026</v>
      </c>
      <c r="N792" s="2"/>
      <c r="O792" s="2"/>
      <c r="P792" s="2"/>
      <c r="Q792" s="5"/>
    </row>
    <row r="793" spans="1:17" x14ac:dyDescent="0.25">
      <c r="A793" s="6" t="s">
        <v>12</v>
      </c>
      <c r="B793" s="7" t="s">
        <v>1057</v>
      </c>
      <c r="C793" s="7" t="s">
        <v>1058</v>
      </c>
      <c r="D793" s="7" t="s">
        <v>1059</v>
      </c>
      <c r="E793" s="8" t="s">
        <v>455</v>
      </c>
      <c r="F793" s="19">
        <v>657833.19999999995</v>
      </c>
      <c r="G793" s="9"/>
      <c r="H793" s="7">
        <v>1</v>
      </c>
      <c r="I793" s="8">
        <v>46080</v>
      </c>
      <c r="J793" s="9">
        <v>2</v>
      </c>
      <c r="K793" s="9" t="s">
        <v>38</v>
      </c>
      <c r="L793" s="3">
        <v>46083</v>
      </c>
      <c r="M793" s="23">
        <f>YEAR(Таблица1[[#This Row],[Дата отчета]])</f>
        <v>2026</v>
      </c>
      <c r="N793" s="7"/>
      <c r="O793" s="7"/>
      <c r="P793" s="7"/>
      <c r="Q793" s="10"/>
    </row>
    <row r="794" spans="1:17" x14ac:dyDescent="0.25">
      <c r="A794" s="1" t="s">
        <v>12</v>
      </c>
      <c r="B794" s="2" t="s">
        <v>1060</v>
      </c>
      <c r="C794" s="2" t="s">
        <v>1061</v>
      </c>
      <c r="D794" s="2" t="s">
        <v>1062</v>
      </c>
      <c r="E794" s="3" t="s">
        <v>127</v>
      </c>
      <c r="F794" s="18">
        <v>819000</v>
      </c>
      <c r="G794" s="4"/>
      <c r="H794" s="2">
        <v>1</v>
      </c>
      <c r="I794" s="3">
        <v>46037</v>
      </c>
      <c r="J794" s="4">
        <v>45</v>
      </c>
      <c r="K794" s="4" t="s">
        <v>27</v>
      </c>
      <c r="L794" s="3">
        <v>46083</v>
      </c>
      <c r="M794" s="23">
        <f>YEAR(Таблица1[[#This Row],[Дата отчета]])</f>
        <v>2026</v>
      </c>
      <c r="N794" s="2"/>
      <c r="O794" s="2"/>
      <c r="P794" s="2"/>
      <c r="Q794" s="5"/>
    </row>
    <row r="795" spans="1:17" x14ac:dyDescent="0.25">
      <c r="A795" s="6" t="s">
        <v>12</v>
      </c>
      <c r="B795" s="7" t="s">
        <v>1063</v>
      </c>
      <c r="C795" s="7" t="s">
        <v>1064</v>
      </c>
      <c r="D795" s="7" t="s">
        <v>1065</v>
      </c>
      <c r="E795" s="8" t="s">
        <v>51</v>
      </c>
      <c r="F795" s="19">
        <v>244320</v>
      </c>
      <c r="G795" s="9"/>
      <c r="H795" s="7">
        <v>1</v>
      </c>
      <c r="I795" s="8">
        <v>45939</v>
      </c>
      <c r="J795" s="9">
        <v>143</v>
      </c>
      <c r="K795" s="9" t="s">
        <v>22</v>
      </c>
      <c r="L795" s="3">
        <v>46083</v>
      </c>
      <c r="M795" s="23">
        <f>YEAR(Таблица1[[#This Row],[Дата отчета]])</f>
        <v>2026</v>
      </c>
      <c r="N795" s="7"/>
      <c r="O795" s="7"/>
      <c r="P795" s="7"/>
      <c r="Q795" s="10"/>
    </row>
    <row r="796" spans="1:17" x14ac:dyDescent="0.25">
      <c r="A796" s="1" t="s">
        <v>12</v>
      </c>
      <c r="B796" s="2" t="s">
        <v>1066</v>
      </c>
      <c r="C796" s="2" t="s">
        <v>269</v>
      </c>
      <c r="D796" s="2" t="s">
        <v>1067</v>
      </c>
      <c r="E796" s="3" t="s">
        <v>528</v>
      </c>
      <c r="F796" s="18">
        <v>3630</v>
      </c>
      <c r="G796" s="4"/>
      <c r="H796" s="2">
        <v>1</v>
      </c>
      <c r="I796" s="3">
        <v>45985</v>
      </c>
      <c r="J796" s="4">
        <v>97</v>
      </c>
      <c r="K796" s="4" t="s">
        <v>71</v>
      </c>
      <c r="L796" s="3">
        <v>46083</v>
      </c>
      <c r="M796" s="23">
        <f>YEAR(Таблица1[[#This Row],[Дата отчета]])</f>
        <v>2026</v>
      </c>
      <c r="N796" s="2"/>
      <c r="O796" s="2"/>
      <c r="P796" s="2"/>
      <c r="Q796" s="5"/>
    </row>
    <row r="797" spans="1:17" x14ac:dyDescent="0.25">
      <c r="A797" s="6" t="s">
        <v>12</v>
      </c>
      <c r="B797" s="7" t="s">
        <v>1068</v>
      </c>
      <c r="C797" s="7" t="s">
        <v>1069</v>
      </c>
      <c r="D797" s="7" t="s">
        <v>1070</v>
      </c>
      <c r="E797" s="8" t="s">
        <v>1071</v>
      </c>
      <c r="F797" s="19">
        <v>4</v>
      </c>
      <c r="G797" s="9"/>
      <c r="H797" s="7">
        <v>1</v>
      </c>
      <c r="I797" s="8">
        <v>44860</v>
      </c>
      <c r="J797" s="9">
        <v>1222</v>
      </c>
      <c r="K797" s="9" t="s">
        <v>17</v>
      </c>
      <c r="L797" s="3">
        <v>46083</v>
      </c>
      <c r="M797" s="23">
        <f>YEAR(Таблица1[[#This Row],[Дата отчета]])</f>
        <v>2026</v>
      </c>
      <c r="N797" s="7" t="s">
        <v>1072</v>
      </c>
      <c r="O797" s="7"/>
      <c r="P797" s="7"/>
      <c r="Q797" s="10"/>
    </row>
    <row r="798" spans="1:17" x14ac:dyDescent="0.25">
      <c r="A798" s="1" t="s">
        <v>12</v>
      </c>
      <c r="B798" s="2" t="s">
        <v>1073</v>
      </c>
      <c r="C798" s="2" t="s">
        <v>1074</v>
      </c>
      <c r="D798" s="2" t="s">
        <v>1075</v>
      </c>
      <c r="E798" s="3" t="s">
        <v>161</v>
      </c>
      <c r="F798" s="18">
        <v>11631.14</v>
      </c>
      <c r="G798" s="4"/>
      <c r="H798" s="2">
        <v>1</v>
      </c>
      <c r="I798" s="3">
        <v>45890</v>
      </c>
      <c r="J798" s="4">
        <v>192</v>
      </c>
      <c r="K798" s="4" t="s">
        <v>67</v>
      </c>
      <c r="L798" s="3">
        <v>46083</v>
      </c>
      <c r="M798" s="23">
        <f>YEAR(Таблица1[[#This Row],[Дата отчета]])</f>
        <v>2026</v>
      </c>
      <c r="N798" s="2"/>
      <c r="O798" s="2"/>
      <c r="P798" s="2"/>
      <c r="Q798" s="5"/>
    </row>
    <row r="799" spans="1:17" x14ac:dyDescent="0.25">
      <c r="A799" s="6" t="s">
        <v>12</v>
      </c>
      <c r="B799" s="7" t="s">
        <v>1076</v>
      </c>
      <c r="C799" s="7" t="s">
        <v>1077</v>
      </c>
      <c r="D799" s="7" t="s">
        <v>1078</v>
      </c>
      <c r="E799" s="8" t="s">
        <v>841</v>
      </c>
      <c r="F799" s="19">
        <v>52780.5</v>
      </c>
      <c r="G799" s="9"/>
      <c r="H799" s="7">
        <v>1</v>
      </c>
      <c r="I799" s="8">
        <v>45925</v>
      </c>
      <c r="J799" s="9">
        <v>157</v>
      </c>
      <c r="K799" s="9" t="s">
        <v>22</v>
      </c>
      <c r="L799" s="3">
        <v>46083</v>
      </c>
      <c r="M799" s="23">
        <f>YEAR(Таблица1[[#This Row],[Дата отчета]])</f>
        <v>2026</v>
      </c>
      <c r="N799" s="7"/>
      <c r="O799" s="7"/>
      <c r="P799" s="7"/>
      <c r="Q799" s="10"/>
    </row>
    <row r="800" spans="1:17" x14ac:dyDescent="0.25">
      <c r="A800" s="1" t="s">
        <v>12</v>
      </c>
      <c r="B800" s="2" t="s">
        <v>1079</v>
      </c>
      <c r="C800" s="2" t="s">
        <v>1080</v>
      </c>
      <c r="D800" s="2" t="s">
        <v>1081</v>
      </c>
      <c r="E800" s="3" t="s">
        <v>96</v>
      </c>
      <c r="F800" s="18">
        <v>96000</v>
      </c>
      <c r="G800" s="4"/>
      <c r="H800" s="2">
        <v>1</v>
      </c>
      <c r="I800" s="3">
        <v>45876</v>
      </c>
      <c r="J800" s="4">
        <v>206</v>
      </c>
      <c r="K800" s="4" t="s">
        <v>67</v>
      </c>
      <c r="L800" s="3">
        <v>46083</v>
      </c>
      <c r="M800" s="23">
        <f>YEAR(Таблица1[[#This Row],[Дата отчета]])</f>
        <v>2026</v>
      </c>
      <c r="N800" s="2"/>
      <c r="O800" s="2"/>
      <c r="P800" s="2"/>
      <c r="Q800" s="5"/>
    </row>
    <row r="801" spans="1:17" x14ac:dyDescent="0.25">
      <c r="A801" s="6" t="s">
        <v>1082</v>
      </c>
      <c r="B801" s="7" t="s">
        <v>1083</v>
      </c>
      <c r="C801" s="7" t="s">
        <v>1084</v>
      </c>
      <c r="D801" s="7" t="s">
        <v>1085</v>
      </c>
      <c r="E801" s="8" t="s">
        <v>1086</v>
      </c>
      <c r="F801" s="19">
        <v>126099.22</v>
      </c>
      <c r="G801" s="9"/>
      <c r="H801" s="7">
        <v>1</v>
      </c>
      <c r="I801" s="8">
        <v>45847</v>
      </c>
      <c r="J801" s="9">
        <v>235</v>
      </c>
      <c r="K801" s="9" t="s">
        <v>67</v>
      </c>
      <c r="L801" s="3">
        <v>46083</v>
      </c>
      <c r="M801" s="23">
        <f>YEAR(Таблица1[[#This Row],[Дата отчета]])</f>
        <v>2026</v>
      </c>
      <c r="N801" s="7"/>
      <c r="O801" s="7"/>
      <c r="P801" s="7"/>
      <c r="Q801" s="10"/>
    </row>
    <row r="802" spans="1:17" x14ac:dyDescent="0.25">
      <c r="A802" s="1" t="s">
        <v>1082</v>
      </c>
      <c r="B802" s="2" t="s">
        <v>1087</v>
      </c>
      <c r="C802" s="2" t="s">
        <v>1088</v>
      </c>
      <c r="D802" s="2" t="s">
        <v>1089</v>
      </c>
      <c r="E802" s="3" t="s">
        <v>35</v>
      </c>
      <c r="F802" s="18">
        <v>2819920.72</v>
      </c>
      <c r="G802" s="4"/>
      <c r="H802" s="2">
        <v>1</v>
      </c>
      <c r="I802" s="3">
        <v>46036</v>
      </c>
      <c r="J802" s="4">
        <v>46</v>
      </c>
      <c r="K802" s="4" t="s">
        <v>27</v>
      </c>
      <c r="L802" s="3">
        <v>46083</v>
      </c>
      <c r="M802" s="23">
        <f>YEAR(Таблица1[[#This Row],[Дата отчета]])</f>
        <v>2026</v>
      </c>
      <c r="N802" s="2"/>
      <c r="O802" s="2"/>
      <c r="P802" s="2"/>
      <c r="Q802" s="5"/>
    </row>
    <row r="803" spans="1:17" x14ac:dyDescent="0.25">
      <c r="A803" s="6" t="s">
        <v>1082</v>
      </c>
      <c r="B803" s="7" t="s">
        <v>1087</v>
      </c>
      <c r="C803" s="7" t="s">
        <v>1090</v>
      </c>
      <c r="D803" s="7" t="s">
        <v>1091</v>
      </c>
      <c r="E803" s="8" t="s">
        <v>1092</v>
      </c>
      <c r="F803" s="19">
        <v>35421.75</v>
      </c>
      <c r="G803" s="9"/>
      <c r="H803" s="7">
        <v>1</v>
      </c>
      <c r="I803" s="8">
        <v>45554</v>
      </c>
      <c r="J803" s="9">
        <v>528</v>
      </c>
      <c r="K803" s="9" t="s">
        <v>17</v>
      </c>
      <c r="L803" s="3">
        <v>46083</v>
      </c>
      <c r="M803" s="23">
        <f>YEAR(Таблица1[[#This Row],[Дата отчета]])</f>
        <v>2026</v>
      </c>
      <c r="N803" s="7" t="s">
        <v>4535</v>
      </c>
      <c r="O803" s="7"/>
      <c r="P803" s="7"/>
      <c r="Q803" s="10"/>
    </row>
    <row r="804" spans="1:17" x14ac:dyDescent="0.25">
      <c r="A804" s="1" t="s">
        <v>1082</v>
      </c>
      <c r="B804" s="2" t="s">
        <v>271</v>
      </c>
      <c r="C804" s="2" t="s">
        <v>1093</v>
      </c>
      <c r="D804" s="2" t="s">
        <v>1094</v>
      </c>
      <c r="E804" s="3" t="s">
        <v>841</v>
      </c>
      <c r="F804" s="18">
        <v>4103412.84</v>
      </c>
      <c r="G804" s="4"/>
      <c r="H804" s="2">
        <v>1</v>
      </c>
      <c r="I804" s="3">
        <v>45925</v>
      </c>
      <c r="J804" s="4">
        <v>157</v>
      </c>
      <c r="K804" s="4" t="s">
        <v>22</v>
      </c>
      <c r="L804" s="3">
        <v>46083</v>
      </c>
      <c r="M804" s="23">
        <f>YEAR(Таблица1[[#This Row],[Дата отчета]])</f>
        <v>2026</v>
      </c>
      <c r="N804" s="2"/>
      <c r="O804" s="2"/>
      <c r="P804" s="2"/>
      <c r="Q804" s="5"/>
    </row>
    <row r="805" spans="1:17" x14ac:dyDescent="0.25">
      <c r="A805" s="6" t="s">
        <v>1082</v>
      </c>
      <c r="B805" s="7" t="s">
        <v>271</v>
      </c>
      <c r="C805" s="7" t="s">
        <v>1095</v>
      </c>
      <c r="D805" s="7" t="s">
        <v>1096</v>
      </c>
      <c r="E805" s="8" t="s">
        <v>571</v>
      </c>
      <c r="F805" s="19">
        <v>81774.75</v>
      </c>
      <c r="G805" s="9"/>
      <c r="H805" s="7">
        <v>1</v>
      </c>
      <c r="I805" s="8">
        <v>45951</v>
      </c>
      <c r="J805" s="9">
        <v>131</v>
      </c>
      <c r="K805" s="9" t="s">
        <v>22</v>
      </c>
      <c r="L805" s="3">
        <v>46083</v>
      </c>
      <c r="M805" s="23">
        <f>YEAR(Таблица1[[#This Row],[Дата отчета]])</f>
        <v>2026</v>
      </c>
      <c r="N805" s="7"/>
      <c r="O805" s="7"/>
      <c r="P805" s="7"/>
      <c r="Q805" s="10"/>
    </row>
    <row r="806" spans="1:17" x14ac:dyDescent="0.25">
      <c r="A806" s="1" t="s">
        <v>1082</v>
      </c>
      <c r="B806" s="2" t="s">
        <v>271</v>
      </c>
      <c r="C806" s="2" t="s">
        <v>1095</v>
      </c>
      <c r="D806" s="2" t="s">
        <v>1097</v>
      </c>
      <c r="E806" s="3" t="s">
        <v>571</v>
      </c>
      <c r="F806" s="18">
        <v>381299.85</v>
      </c>
      <c r="G806" s="4"/>
      <c r="H806" s="2">
        <v>1</v>
      </c>
      <c r="I806" s="3">
        <v>45951</v>
      </c>
      <c r="J806" s="4">
        <v>131</v>
      </c>
      <c r="K806" s="4" t="s">
        <v>22</v>
      </c>
      <c r="L806" s="3">
        <v>46083</v>
      </c>
      <c r="M806" s="23">
        <f>YEAR(Таблица1[[#This Row],[Дата отчета]])</f>
        <v>2026</v>
      </c>
      <c r="N806" s="2"/>
      <c r="O806" s="2"/>
      <c r="P806" s="2"/>
      <c r="Q806" s="5"/>
    </row>
    <row r="807" spans="1:17" x14ac:dyDescent="0.25">
      <c r="A807" s="6" t="s">
        <v>1082</v>
      </c>
      <c r="B807" s="7" t="s">
        <v>271</v>
      </c>
      <c r="C807" s="7" t="s">
        <v>1095</v>
      </c>
      <c r="D807" s="7" t="s">
        <v>1098</v>
      </c>
      <c r="E807" s="8" t="s">
        <v>827</v>
      </c>
      <c r="F807" s="19">
        <v>242292.07</v>
      </c>
      <c r="G807" s="9"/>
      <c r="H807" s="7">
        <v>1</v>
      </c>
      <c r="I807" s="8">
        <v>45981</v>
      </c>
      <c r="J807" s="9">
        <v>101</v>
      </c>
      <c r="K807" s="9" t="s">
        <v>71</v>
      </c>
      <c r="L807" s="3">
        <v>46083</v>
      </c>
      <c r="M807" s="23">
        <f>YEAR(Таблица1[[#This Row],[Дата отчета]])</f>
        <v>2026</v>
      </c>
      <c r="N807" s="7"/>
      <c r="O807" s="7"/>
      <c r="P807" s="7"/>
      <c r="Q807" s="10"/>
    </row>
    <row r="808" spans="1:17" x14ac:dyDescent="0.25">
      <c r="A808" s="1" t="s">
        <v>1082</v>
      </c>
      <c r="B808" s="2" t="s">
        <v>271</v>
      </c>
      <c r="C808" s="2" t="s">
        <v>1095</v>
      </c>
      <c r="D808" s="2" t="s">
        <v>1099</v>
      </c>
      <c r="E808" s="3" t="s">
        <v>692</v>
      </c>
      <c r="F808" s="18">
        <v>9195.39</v>
      </c>
      <c r="G808" s="4"/>
      <c r="H808" s="2">
        <v>1</v>
      </c>
      <c r="I808" s="3">
        <v>45982</v>
      </c>
      <c r="J808" s="4">
        <v>100</v>
      </c>
      <c r="K808" s="4" t="s">
        <v>71</v>
      </c>
      <c r="L808" s="3">
        <v>46083</v>
      </c>
      <c r="M808" s="23">
        <f>YEAR(Таблица1[[#This Row],[Дата отчета]])</f>
        <v>2026</v>
      </c>
      <c r="N808" s="2"/>
      <c r="O808" s="2"/>
      <c r="P808" s="2"/>
      <c r="Q808" s="5"/>
    </row>
    <row r="809" spans="1:17" x14ac:dyDescent="0.25">
      <c r="A809" s="6" t="s">
        <v>1082</v>
      </c>
      <c r="B809" s="7" t="s">
        <v>271</v>
      </c>
      <c r="C809" s="7" t="s">
        <v>1095</v>
      </c>
      <c r="D809" s="7" t="s">
        <v>1100</v>
      </c>
      <c r="E809" s="8" t="s">
        <v>692</v>
      </c>
      <c r="F809" s="19">
        <v>96959.25</v>
      </c>
      <c r="G809" s="9"/>
      <c r="H809" s="7">
        <v>1</v>
      </c>
      <c r="I809" s="8">
        <v>45982</v>
      </c>
      <c r="J809" s="9">
        <v>100</v>
      </c>
      <c r="K809" s="9" t="s">
        <v>71</v>
      </c>
      <c r="L809" s="3">
        <v>46083</v>
      </c>
      <c r="M809" s="23">
        <f>YEAR(Таблица1[[#This Row],[Дата отчета]])</f>
        <v>2026</v>
      </c>
      <c r="N809" s="7"/>
      <c r="O809" s="7"/>
      <c r="P809" s="7"/>
      <c r="Q809" s="10"/>
    </row>
    <row r="810" spans="1:17" x14ac:dyDescent="0.25">
      <c r="A810" s="1" t="s">
        <v>1082</v>
      </c>
      <c r="B810" s="2" t="s">
        <v>271</v>
      </c>
      <c r="C810" s="2" t="s">
        <v>1101</v>
      </c>
      <c r="D810" s="2" t="s">
        <v>1102</v>
      </c>
      <c r="E810" s="3" t="s">
        <v>281</v>
      </c>
      <c r="F810" s="18">
        <v>1472469.51</v>
      </c>
      <c r="G810" s="4"/>
      <c r="H810" s="2">
        <v>1</v>
      </c>
      <c r="I810" s="3">
        <v>46065</v>
      </c>
      <c r="J810" s="4">
        <v>17</v>
      </c>
      <c r="K810" s="4" t="s">
        <v>38</v>
      </c>
      <c r="L810" s="3">
        <v>46083</v>
      </c>
      <c r="M810" s="23">
        <f>YEAR(Таблица1[[#This Row],[Дата отчета]])</f>
        <v>2026</v>
      </c>
      <c r="N810" s="2"/>
      <c r="O810" s="2"/>
      <c r="P810" s="2"/>
      <c r="Q810" s="5"/>
    </row>
    <row r="811" spans="1:17" x14ac:dyDescent="0.25">
      <c r="A811" s="6" t="s">
        <v>1082</v>
      </c>
      <c r="B811" s="7" t="s">
        <v>271</v>
      </c>
      <c r="C811" s="7" t="s">
        <v>1103</v>
      </c>
      <c r="D811" s="7" t="s">
        <v>1104</v>
      </c>
      <c r="E811" s="8" t="s">
        <v>51</v>
      </c>
      <c r="F811" s="19">
        <v>17940.52</v>
      </c>
      <c r="G811" s="9"/>
      <c r="H811" s="7">
        <v>1</v>
      </c>
      <c r="I811" s="8">
        <v>45939</v>
      </c>
      <c r="J811" s="9">
        <v>143</v>
      </c>
      <c r="K811" s="9" t="s">
        <v>22</v>
      </c>
      <c r="L811" s="3">
        <v>46083</v>
      </c>
      <c r="M811" s="23">
        <f>YEAR(Таблица1[[#This Row],[Дата отчета]])</f>
        <v>2026</v>
      </c>
      <c r="N811" s="7"/>
      <c r="O811" s="7"/>
      <c r="P811" s="7"/>
      <c r="Q811" s="10"/>
    </row>
    <row r="812" spans="1:17" x14ac:dyDescent="0.25">
      <c r="A812" s="1" t="s">
        <v>1082</v>
      </c>
      <c r="B812" s="2" t="s">
        <v>271</v>
      </c>
      <c r="C812" s="2" t="s">
        <v>1105</v>
      </c>
      <c r="D812" s="2" t="s">
        <v>1106</v>
      </c>
      <c r="E812" s="3" t="s">
        <v>75</v>
      </c>
      <c r="F812" s="18">
        <v>42558293.729999997</v>
      </c>
      <c r="G812" s="4"/>
      <c r="H812" s="2">
        <v>1</v>
      </c>
      <c r="I812" s="3">
        <v>46016</v>
      </c>
      <c r="J812" s="4">
        <v>66</v>
      </c>
      <c r="K812" s="4" t="s">
        <v>27</v>
      </c>
      <c r="L812" s="3">
        <v>46083</v>
      </c>
      <c r="M812" s="23">
        <f>YEAR(Таблица1[[#This Row],[Дата отчета]])</f>
        <v>2026</v>
      </c>
      <c r="N812" s="2"/>
      <c r="O812" s="2"/>
      <c r="P812" s="2"/>
      <c r="Q812" s="5"/>
    </row>
    <row r="813" spans="1:17" x14ac:dyDescent="0.25">
      <c r="A813" s="6" t="s">
        <v>1082</v>
      </c>
      <c r="B813" s="7" t="s">
        <v>561</v>
      </c>
      <c r="C813" s="7" t="s">
        <v>1107</v>
      </c>
      <c r="D813" s="7" t="s">
        <v>1108</v>
      </c>
      <c r="E813" s="8" t="s">
        <v>231</v>
      </c>
      <c r="F813" s="19">
        <v>100541017.20999999</v>
      </c>
      <c r="G813" s="9"/>
      <c r="H813" s="7">
        <v>1</v>
      </c>
      <c r="I813" s="8">
        <v>45992</v>
      </c>
      <c r="J813" s="9">
        <v>90</v>
      </c>
      <c r="K813" s="9" t="s">
        <v>27</v>
      </c>
      <c r="L813" s="3">
        <v>46083</v>
      </c>
      <c r="M813" s="23">
        <f>YEAR(Таблица1[[#This Row],[Дата отчета]])</f>
        <v>2026</v>
      </c>
      <c r="N813" s="7"/>
      <c r="O813" s="7"/>
      <c r="P813" s="7"/>
      <c r="Q813" s="10"/>
    </row>
    <row r="814" spans="1:17" x14ac:dyDescent="0.25">
      <c r="A814" s="1" t="s">
        <v>1082</v>
      </c>
      <c r="B814" s="2" t="s">
        <v>561</v>
      </c>
      <c r="C814" s="2" t="s">
        <v>1109</v>
      </c>
      <c r="D814" s="2" t="s">
        <v>1110</v>
      </c>
      <c r="E814" s="3" t="s">
        <v>455</v>
      </c>
      <c r="F814" s="18">
        <v>10023164.039999999</v>
      </c>
      <c r="G814" s="4"/>
      <c r="H814" s="2">
        <v>1</v>
      </c>
      <c r="I814" s="3">
        <v>46080</v>
      </c>
      <c r="J814" s="4">
        <v>2</v>
      </c>
      <c r="K814" s="4" t="s">
        <v>38</v>
      </c>
      <c r="L814" s="3">
        <v>46083</v>
      </c>
      <c r="M814" s="23">
        <f>YEAR(Таблица1[[#This Row],[Дата отчета]])</f>
        <v>2026</v>
      </c>
      <c r="N814" s="2"/>
      <c r="O814" s="2"/>
      <c r="P814" s="2"/>
      <c r="Q814" s="5"/>
    </row>
    <row r="815" spans="1:17" x14ac:dyDescent="0.25">
      <c r="A815" s="6" t="s">
        <v>1082</v>
      </c>
      <c r="B815" s="7" t="s">
        <v>561</v>
      </c>
      <c r="C815" s="7" t="s">
        <v>1111</v>
      </c>
      <c r="D815" s="7" t="s">
        <v>1112</v>
      </c>
      <c r="E815" s="8" t="s">
        <v>1113</v>
      </c>
      <c r="F815" s="19">
        <v>4.22</v>
      </c>
      <c r="G815" s="9"/>
      <c r="H815" s="7">
        <v>1</v>
      </c>
      <c r="I815" s="8">
        <v>45737</v>
      </c>
      <c r="J815" s="9">
        <v>345</v>
      </c>
      <c r="K815" s="9" t="s">
        <v>92</v>
      </c>
      <c r="L815" s="3">
        <v>46083</v>
      </c>
      <c r="M815" s="23">
        <f>YEAR(Таблица1[[#This Row],[Дата отчета]])</f>
        <v>2026</v>
      </c>
      <c r="N815" s="7"/>
      <c r="O815" s="7"/>
      <c r="P815" s="7"/>
      <c r="Q815" s="10"/>
    </row>
    <row r="816" spans="1:17" x14ac:dyDescent="0.25">
      <c r="A816" s="1" t="s">
        <v>1082</v>
      </c>
      <c r="B816" s="2" t="s">
        <v>561</v>
      </c>
      <c r="C816" s="2" t="s">
        <v>1114</v>
      </c>
      <c r="D816" s="2" t="s">
        <v>1115</v>
      </c>
      <c r="E816" s="3" t="s">
        <v>824</v>
      </c>
      <c r="F816" s="18">
        <v>19041986.25</v>
      </c>
      <c r="G816" s="4"/>
      <c r="H816" s="2">
        <v>1</v>
      </c>
      <c r="I816" s="3">
        <v>45975</v>
      </c>
      <c r="J816" s="4">
        <v>107</v>
      </c>
      <c r="K816" s="4" t="s">
        <v>71</v>
      </c>
      <c r="L816" s="3">
        <v>46083</v>
      </c>
      <c r="M816" s="23">
        <f>YEAR(Таблица1[[#This Row],[Дата отчета]])</f>
        <v>2026</v>
      </c>
      <c r="N816" s="2"/>
      <c r="O816" s="2"/>
      <c r="P816" s="2"/>
      <c r="Q816" s="5"/>
    </row>
    <row r="817" spans="1:17" x14ac:dyDescent="0.25">
      <c r="A817" s="6" t="s">
        <v>1082</v>
      </c>
      <c r="B817" s="7" t="s">
        <v>561</v>
      </c>
      <c r="C817" s="7" t="s">
        <v>1116</v>
      </c>
      <c r="D817" s="7" t="s">
        <v>1117</v>
      </c>
      <c r="E817" s="8" t="s">
        <v>332</v>
      </c>
      <c r="F817" s="19">
        <v>832127.38</v>
      </c>
      <c r="G817" s="9"/>
      <c r="H817" s="7">
        <v>1</v>
      </c>
      <c r="I817" s="8">
        <v>45936</v>
      </c>
      <c r="J817" s="9">
        <v>146</v>
      </c>
      <c r="K817" s="9" t="s">
        <v>22</v>
      </c>
      <c r="L817" s="3">
        <v>46083</v>
      </c>
      <c r="M817" s="23">
        <f>YEAR(Таблица1[[#This Row],[Дата отчета]])</f>
        <v>2026</v>
      </c>
      <c r="N817" s="7"/>
      <c r="O817" s="7"/>
      <c r="P817" s="7"/>
      <c r="Q817" s="10"/>
    </row>
    <row r="818" spans="1:17" x14ac:dyDescent="0.25">
      <c r="A818" s="1" t="s">
        <v>1082</v>
      </c>
      <c r="B818" s="2" t="s">
        <v>561</v>
      </c>
      <c r="C818" s="2" t="s">
        <v>1118</v>
      </c>
      <c r="D818" s="2" t="s">
        <v>1119</v>
      </c>
      <c r="E818" s="3" t="s">
        <v>1120</v>
      </c>
      <c r="F818" s="18">
        <v>19608750</v>
      </c>
      <c r="G818" s="4"/>
      <c r="H818" s="2">
        <v>1</v>
      </c>
      <c r="I818" s="3">
        <v>45937</v>
      </c>
      <c r="J818" s="4">
        <v>145</v>
      </c>
      <c r="K818" s="4" t="s">
        <v>22</v>
      </c>
      <c r="L818" s="3">
        <v>46083</v>
      </c>
      <c r="M818" s="23">
        <f>YEAR(Таблица1[[#This Row],[Дата отчета]])</f>
        <v>2026</v>
      </c>
      <c r="N818" s="2"/>
      <c r="O818" s="2"/>
      <c r="P818" s="2"/>
      <c r="Q818" s="5"/>
    </row>
    <row r="819" spans="1:17" x14ac:dyDescent="0.25">
      <c r="A819" s="6" t="s">
        <v>1082</v>
      </c>
      <c r="B819" s="7" t="s">
        <v>561</v>
      </c>
      <c r="C819" s="7" t="s">
        <v>1121</v>
      </c>
      <c r="D819" s="7" t="s">
        <v>1122</v>
      </c>
      <c r="E819" s="8" t="s">
        <v>1123</v>
      </c>
      <c r="F819" s="19">
        <v>8521724.8000000007</v>
      </c>
      <c r="G819" s="9"/>
      <c r="H819" s="7">
        <v>1</v>
      </c>
      <c r="I819" s="8">
        <v>45944</v>
      </c>
      <c r="J819" s="9">
        <v>138</v>
      </c>
      <c r="K819" s="9" t="s">
        <v>22</v>
      </c>
      <c r="L819" s="3">
        <v>46083</v>
      </c>
      <c r="M819" s="23">
        <f>YEAR(Таблица1[[#This Row],[Дата отчета]])</f>
        <v>2026</v>
      </c>
      <c r="N819" s="7"/>
      <c r="O819" s="7"/>
      <c r="P819" s="7"/>
      <c r="Q819" s="10"/>
    </row>
    <row r="820" spans="1:17" x14ac:dyDescent="0.25">
      <c r="A820" s="1" t="s">
        <v>1082</v>
      </c>
      <c r="B820" s="2" t="s">
        <v>561</v>
      </c>
      <c r="C820" s="2" t="s">
        <v>1124</v>
      </c>
      <c r="D820" s="2" t="s">
        <v>1125</v>
      </c>
      <c r="E820" s="3" t="s">
        <v>1123</v>
      </c>
      <c r="F820" s="18">
        <v>565552.64000000001</v>
      </c>
      <c r="G820" s="4"/>
      <c r="H820" s="2">
        <v>1</v>
      </c>
      <c r="I820" s="3">
        <v>45944</v>
      </c>
      <c r="J820" s="4">
        <v>138</v>
      </c>
      <c r="K820" s="4" t="s">
        <v>22</v>
      </c>
      <c r="L820" s="3">
        <v>46083</v>
      </c>
      <c r="M820" s="23">
        <f>YEAR(Таблица1[[#This Row],[Дата отчета]])</f>
        <v>2026</v>
      </c>
      <c r="N820" s="2"/>
      <c r="O820" s="2"/>
      <c r="P820" s="2"/>
      <c r="Q820" s="5"/>
    </row>
    <row r="821" spans="1:17" x14ac:dyDescent="0.25">
      <c r="A821" s="6" t="s">
        <v>1082</v>
      </c>
      <c r="B821" s="7" t="s">
        <v>1126</v>
      </c>
      <c r="C821" s="7" t="s">
        <v>1127</v>
      </c>
      <c r="D821" s="7" t="s">
        <v>1128</v>
      </c>
      <c r="E821" s="8" t="s">
        <v>31</v>
      </c>
      <c r="F821" s="19">
        <v>595854</v>
      </c>
      <c r="G821" s="9"/>
      <c r="H821" s="7">
        <v>1</v>
      </c>
      <c r="I821" s="8">
        <v>46015</v>
      </c>
      <c r="J821" s="9">
        <v>67</v>
      </c>
      <c r="K821" s="9" t="s">
        <v>27</v>
      </c>
      <c r="L821" s="3">
        <v>46083</v>
      </c>
      <c r="M821" s="23">
        <f>YEAR(Таблица1[[#This Row],[Дата отчета]])</f>
        <v>2026</v>
      </c>
      <c r="N821" s="7"/>
      <c r="O821" s="7"/>
      <c r="P821" s="7"/>
      <c r="Q821" s="10"/>
    </row>
    <row r="822" spans="1:17" x14ac:dyDescent="0.25">
      <c r="A822" s="1" t="s">
        <v>1082</v>
      </c>
      <c r="B822" s="2" t="s">
        <v>1126</v>
      </c>
      <c r="C822" s="2" t="s">
        <v>1127</v>
      </c>
      <c r="D822" s="2" t="s">
        <v>1129</v>
      </c>
      <c r="E822" s="3" t="s">
        <v>75</v>
      </c>
      <c r="F822" s="18">
        <v>3400245.12</v>
      </c>
      <c r="G822" s="4"/>
      <c r="H822" s="2">
        <v>1</v>
      </c>
      <c r="I822" s="3">
        <v>46016</v>
      </c>
      <c r="J822" s="4">
        <v>66</v>
      </c>
      <c r="K822" s="4" t="s">
        <v>27</v>
      </c>
      <c r="L822" s="3">
        <v>46083</v>
      </c>
      <c r="M822" s="23">
        <f>YEAR(Таблица1[[#This Row],[Дата отчета]])</f>
        <v>2026</v>
      </c>
      <c r="N822" s="2"/>
      <c r="O822" s="2"/>
      <c r="P822" s="2"/>
      <c r="Q822" s="5"/>
    </row>
    <row r="823" spans="1:17" x14ac:dyDescent="0.25">
      <c r="A823" s="6" t="s">
        <v>1082</v>
      </c>
      <c r="B823" s="7" t="s">
        <v>1130</v>
      </c>
      <c r="C823" s="7" t="s">
        <v>1131</v>
      </c>
      <c r="D823" s="7" t="s">
        <v>1132</v>
      </c>
      <c r="E823" s="8" t="s">
        <v>303</v>
      </c>
      <c r="F823" s="19">
        <v>100427453.63</v>
      </c>
      <c r="G823" s="9"/>
      <c r="H823" s="7">
        <v>1</v>
      </c>
      <c r="I823" s="8">
        <v>46059</v>
      </c>
      <c r="J823" s="9">
        <v>23</v>
      </c>
      <c r="K823" s="9" t="s">
        <v>38</v>
      </c>
      <c r="L823" s="3">
        <v>46083</v>
      </c>
      <c r="M823" s="23">
        <f>YEAR(Таблица1[[#This Row],[Дата отчета]])</f>
        <v>2026</v>
      </c>
      <c r="N823" s="7"/>
      <c r="O823" s="7"/>
      <c r="P823" s="7"/>
      <c r="Q823" s="10"/>
    </row>
    <row r="824" spans="1:17" x14ac:dyDescent="0.25">
      <c r="A824" s="1" t="s">
        <v>1082</v>
      </c>
      <c r="B824" s="2" t="s">
        <v>766</v>
      </c>
      <c r="C824" s="2" t="s">
        <v>1133</v>
      </c>
      <c r="D824" s="2" t="s">
        <v>1134</v>
      </c>
      <c r="E824" s="3" t="s">
        <v>979</v>
      </c>
      <c r="F824" s="18">
        <v>5895177.5800000001</v>
      </c>
      <c r="G824" s="4"/>
      <c r="H824" s="2">
        <v>1</v>
      </c>
      <c r="I824" s="3">
        <v>46049</v>
      </c>
      <c r="J824" s="4">
        <v>33</v>
      </c>
      <c r="K824" s="4" t="s">
        <v>27</v>
      </c>
      <c r="L824" s="3">
        <v>46083</v>
      </c>
      <c r="M824" s="23">
        <f>YEAR(Таблица1[[#This Row],[Дата отчета]])</f>
        <v>2026</v>
      </c>
      <c r="N824" s="2"/>
      <c r="O824" s="2"/>
      <c r="P824" s="2"/>
      <c r="Q824" s="5"/>
    </row>
    <row r="825" spans="1:17" x14ac:dyDescent="0.25">
      <c r="A825" s="6" t="s">
        <v>1082</v>
      </c>
      <c r="B825" s="7" t="s">
        <v>766</v>
      </c>
      <c r="C825" s="7" t="s">
        <v>1133</v>
      </c>
      <c r="D825" s="7" t="s">
        <v>1135</v>
      </c>
      <c r="E825" s="8" t="s">
        <v>48</v>
      </c>
      <c r="F825" s="19">
        <v>6661076.0499999998</v>
      </c>
      <c r="G825" s="9"/>
      <c r="H825" s="7">
        <v>1</v>
      </c>
      <c r="I825" s="8">
        <v>46078</v>
      </c>
      <c r="J825" s="9">
        <v>4</v>
      </c>
      <c r="K825" s="9" t="s">
        <v>38</v>
      </c>
      <c r="L825" s="3">
        <v>46083</v>
      </c>
      <c r="M825" s="23">
        <f>YEAR(Таблица1[[#This Row],[Дата отчета]])</f>
        <v>2026</v>
      </c>
      <c r="N825" s="7"/>
      <c r="O825" s="7"/>
      <c r="P825" s="7"/>
      <c r="Q825" s="10"/>
    </row>
    <row r="826" spans="1:17" x14ac:dyDescent="0.25">
      <c r="A826" s="1" t="s">
        <v>1082</v>
      </c>
      <c r="B826" s="2" t="s">
        <v>1136</v>
      </c>
      <c r="C826" s="2" t="s">
        <v>1137</v>
      </c>
      <c r="D826" s="2" t="s">
        <v>1138</v>
      </c>
      <c r="E826" s="3" t="s">
        <v>251</v>
      </c>
      <c r="F826" s="18">
        <v>2080992</v>
      </c>
      <c r="G826" s="4"/>
      <c r="H826" s="2">
        <v>1</v>
      </c>
      <c r="I826" s="3">
        <v>46038</v>
      </c>
      <c r="J826" s="4">
        <v>44</v>
      </c>
      <c r="K826" s="4" t="s">
        <v>27</v>
      </c>
      <c r="L826" s="3">
        <v>46083</v>
      </c>
      <c r="M826" s="23">
        <f>YEAR(Таблица1[[#This Row],[Дата отчета]])</f>
        <v>2026</v>
      </c>
      <c r="N826" s="2"/>
      <c r="O826" s="2"/>
      <c r="P826" s="2"/>
      <c r="Q826" s="5"/>
    </row>
    <row r="827" spans="1:17" x14ac:dyDescent="0.25">
      <c r="A827" s="6" t="s">
        <v>1082</v>
      </c>
      <c r="B827" s="7" t="s">
        <v>1136</v>
      </c>
      <c r="C827" s="7" t="s">
        <v>1139</v>
      </c>
      <c r="D827" s="7" t="s">
        <v>1140</v>
      </c>
      <c r="E827" s="8" t="s">
        <v>251</v>
      </c>
      <c r="F827" s="19">
        <v>2080992</v>
      </c>
      <c r="G827" s="9"/>
      <c r="H827" s="7">
        <v>1</v>
      </c>
      <c r="I827" s="8">
        <v>46038</v>
      </c>
      <c r="J827" s="9">
        <v>44</v>
      </c>
      <c r="K827" s="9" t="s">
        <v>27</v>
      </c>
      <c r="L827" s="3">
        <v>46083</v>
      </c>
      <c r="M827" s="23">
        <f>YEAR(Таблица1[[#This Row],[Дата отчета]])</f>
        <v>2026</v>
      </c>
      <c r="N827" s="7"/>
      <c r="O827" s="7"/>
      <c r="P827" s="7"/>
      <c r="Q827" s="10"/>
    </row>
    <row r="828" spans="1:17" x14ac:dyDescent="0.25">
      <c r="A828" s="1" t="s">
        <v>1082</v>
      </c>
      <c r="B828" s="2" t="s">
        <v>1136</v>
      </c>
      <c r="C828" s="2" t="s">
        <v>1141</v>
      </c>
      <c r="D828" s="2" t="s">
        <v>1142</v>
      </c>
      <c r="E828" s="3" t="s">
        <v>251</v>
      </c>
      <c r="F828" s="18">
        <v>1978905.6000000001</v>
      </c>
      <c r="G828" s="4"/>
      <c r="H828" s="2">
        <v>1</v>
      </c>
      <c r="I828" s="3">
        <v>46038</v>
      </c>
      <c r="J828" s="4">
        <v>44</v>
      </c>
      <c r="K828" s="4" t="s">
        <v>27</v>
      </c>
      <c r="L828" s="3">
        <v>46083</v>
      </c>
      <c r="M828" s="23">
        <f>YEAR(Таблица1[[#This Row],[Дата отчета]])</f>
        <v>2026</v>
      </c>
      <c r="N828" s="2"/>
      <c r="O828" s="2"/>
      <c r="P828" s="2"/>
      <c r="Q828" s="5"/>
    </row>
    <row r="829" spans="1:17" x14ac:dyDescent="0.25">
      <c r="A829" s="6" t="s">
        <v>1082</v>
      </c>
      <c r="B829" s="7" t="s">
        <v>915</v>
      </c>
      <c r="C829" s="7" t="s">
        <v>1143</v>
      </c>
      <c r="D829" s="7" t="s">
        <v>1144</v>
      </c>
      <c r="E829" s="8" t="s">
        <v>1145</v>
      </c>
      <c r="F829" s="19">
        <v>948672.83</v>
      </c>
      <c r="G829" s="9"/>
      <c r="H829" s="7">
        <v>1</v>
      </c>
      <c r="I829" s="8">
        <v>46021</v>
      </c>
      <c r="J829" s="9">
        <v>61</v>
      </c>
      <c r="K829" s="9" t="s">
        <v>27</v>
      </c>
      <c r="L829" s="3">
        <v>46083</v>
      </c>
      <c r="M829" s="23">
        <f>YEAR(Таблица1[[#This Row],[Дата отчета]])</f>
        <v>2026</v>
      </c>
      <c r="N829" s="7"/>
      <c r="O829" s="7"/>
      <c r="P829" s="7"/>
      <c r="Q829" s="10"/>
    </row>
    <row r="830" spans="1:17" x14ac:dyDescent="0.25">
      <c r="A830" t="s">
        <v>12</v>
      </c>
      <c r="B830" t="s">
        <v>18</v>
      </c>
      <c r="C830" t="s">
        <v>19</v>
      </c>
      <c r="D830" t="s">
        <v>20</v>
      </c>
      <c r="E830" t="s">
        <v>21</v>
      </c>
      <c r="F830" s="20">
        <v>17000</v>
      </c>
      <c r="I830" s="11">
        <f>E830*1</f>
        <v>45953</v>
      </c>
      <c r="J830" s="12">
        <f>L830-I830</f>
        <v>101</v>
      </c>
      <c r="K830" t="str">
        <f>IF(J830&lt;=30,"0-30",IF(J830&lt;=90,"31-90",IF(J830&lt;=120,"91-120",IF(J830&lt;=180,"121-180",IF(J830&lt;=270,"181-270",IF(J830&lt;=360,"271-360","&gt;360"))))))</f>
        <v>91-120</v>
      </c>
      <c r="L830" s="11">
        <v>46054</v>
      </c>
      <c r="M830" s="23">
        <f>YEAR(Таблица1[[#This Row],[Дата отчета]])</f>
        <v>2026</v>
      </c>
    </row>
    <row r="831" spans="1:17" x14ac:dyDescent="0.25">
      <c r="A831" t="s">
        <v>12</v>
      </c>
      <c r="B831" t="s">
        <v>23</v>
      </c>
      <c r="C831" t="s">
        <v>24</v>
      </c>
      <c r="D831" t="s">
        <v>25</v>
      </c>
      <c r="E831" t="s">
        <v>26</v>
      </c>
      <c r="F831" s="20">
        <v>21271</v>
      </c>
      <c r="I831" s="11">
        <f t="shared" ref="I831:I894" si="0">E831*1</f>
        <v>46044</v>
      </c>
      <c r="J831" s="12">
        <f t="shared" ref="J831:J894" si="1">L831-I831</f>
        <v>10</v>
      </c>
      <c r="K831" t="str">
        <f t="shared" ref="K831:K894" si="2">IF(J831&lt;=30,"0-30",IF(J831&lt;=90,"31-90",IF(J831&lt;=120,"91-120",IF(J831&lt;=180,"121-180",IF(J831&lt;=270,"181-270",IF(J831&lt;=360,"271-360","&gt;360"))))))</f>
        <v>0-30</v>
      </c>
      <c r="L831" s="11">
        <v>46054</v>
      </c>
      <c r="M831" s="23">
        <f>YEAR(Таблица1[[#This Row],[Дата отчета]])</f>
        <v>2026</v>
      </c>
    </row>
    <row r="832" spans="1:17" x14ac:dyDescent="0.25">
      <c r="A832" t="s">
        <v>12</v>
      </c>
      <c r="B832" t="s">
        <v>28</v>
      </c>
      <c r="C832" t="s">
        <v>29</v>
      </c>
      <c r="D832" t="s">
        <v>30</v>
      </c>
      <c r="E832" t="s">
        <v>31</v>
      </c>
      <c r="F832" s="20">
        <v>11000000</v>
      </c>
      <c r="I832" s="11">
        <f t="shared" si="0"/>
        <v>46015</v>
      </c>
      <c r="J832" s="12">
        <f t="shared" si="1"/>
        <v>39</v>
      </c>
      <c r="K832" t="str">
        <f t="shared" si="2"/>
        <v>31-90</v>
      </c>
      <c r="L832" s="11">
        <v>46054</v>
      </c>
      <c r="M832" s="23">
        <f>YEAR(Таблица1[[#This Row],[Дата отчета]])</f>
        <v>2026</v>
      </c>
    </row>
    <row r="833" spans="1:15" x14ac:dyDescent="0.25">
      <c r="A833" t="s">
        <v>12</v>
      </c>
      <c r="B833" t="s">
        <v>32</v>
      </c>
      <c r="C833" t="s">
        <v>33</v>
      </c>
      <c r="D833" t="s">
        <v>34</v>
      </c>
      <c r="E833" t="s">
        <v>35</v>
      </c>
      <c r="F833" s="20">
        <v>10657877.73</v>
      </c>
      <c r="I833" s="11">
        <f t="shared" si="0"/>
        <v>46036</v>
      </c>
      <c r="J833" s="12">
        <f t="shared" si="1"/>
        <v>18</v>
      </c>
      <c r="K833" t="str">
        <f t="shared" si="2"/>
        <v>0-30</v>
      </c>
      <c r="L833" s="11">
        <v>46054</v>
      </c>
      <c r="M833" s="23">
        <f>YEAR(Таблица1[[#This Row],[Дата отчета]])</f>
        <v>2026</v>
      </c>
    </row>
    <row r="834" spans="1:15" x14ac:dyDescent="0.25">
      <c r="A834" t="s">
        <v>12</v>
      </c>
      <c r="B834" t="s">
        <v>32</v>
      </c>
      <c r="C834" t="s">
        <v>39</v>
      </c>
      <c r="D834" t="s">
        <v>40</v>
      </c>
      <c r="E834" t="s">
        <v>35</v>
      </c>
      <c r="F834" s="20">
        <v>5963831.3700000001</v>
      </c>
      <c r="I834" s="11">
        <f t="shared" si="0"/>
        <v>46036</v>
      </c>
      <c r="J834" s="12">
        <f t="shared" si="1"/>
        <v>18</v>
      </c>
      <c r="K834" t="str">
        <f t="shared" si="2"/>
        <v>0-30</v>
      </c>
      <c r="L834" s="11">
        <v>46054</v>
      </c>
      <c r="M834" s="23">
        <f>YEAR(Таблица1[[#This Row],[Дата отчета]])</f>
        <v>2026</v>
      </c>
    </row>
    <row r="835" spans="1:15" x14ac:dyDescent="0.25">
      <c r="A835" t="s">
        <v>12</v>
      </c>
      <c r="B835" t="s">
        <v>42</v>
      </c>
      <c r="C835" t="s">
        <v>43</v>
      </c>
      <c r="D835" t="s">
        <v>44</v>
      </c>
      <c r="E835" t="s">
        <v>45</v>
      </c>
      <c r="F835" s="20">
        <v>30900000</v>
      </c>
      <c r="I835" s="11">
        <f t="shared" si="0"/>
        <v>45938</v>
      </c>
      <c r="J835" s="12">
        <f t="shared" si="1"/>
        <v>116</v>
      </c>
      <c r="K835" t="str">
        <f t="shared" si="2"/>
        <v>91-120</v>
      </c>
      <c r="L835" s="11">
        <v>46054</v>
      </c>
      <c r="M835" s="23">
        <f>YEAR(Таблица1[[#This Row],[Дата отчета]])</f>
        <v>2026</v>
      </c>
    </row>
    <row r="836" spans="1:15" x14ac:dyDescent="0.25">
      <c r="A836" t="s">
        <v>12</v>
      </c>
      <c r="B836" t="s">
        <v>42</v>
      </c>
      <c r="C836" t="s">
        <v>49</v>
      </c>
      <c r="D836" t="s">
        <v>50</v>
      </c>
      <c r="E836" t="s">
        <v>51</v>
      </c>
      <c r="F836" s="20">
        <v>603882</v>
      </c>
      <c r="I836" s="11">
        <f t="shared" si="0"/>
        <v>45939</v>
      </c>
      <c r="J836" s="12">
        <f t="shared" si="1"/>
        <v>115</v>
      </c>
      <c r="K836" t="str">
        <f t="shared" si="2"/>
        <v>91-120</v>
      </c>
      <c r="L836" s="11">
        <v>46054</v>
      </c>
      <c r="M836" s="23">
        <f>YEAR(Таблица1[[#This Row],[Дата отчета]])</f>
        <v>2026</v>
      </c>
    </row>
    <row r="837" spans="1:15" x14ac:dyDescent="0.25">
      <c r="A837" t="s">
        <v>12</v>
      </c>
      <c r="B837" t="s">
        <v>52</v>
      </c>
      <c r="C837" t="s">
        <v>55</v>
      </c>
      <c r="D837" t="s">
        <v>56</v>
      </c>
      <c r="E837" t="s">
        <v>57</v>
      </c>
      <c r="F837" s="20">
        <v>663150</v>
      </c>
      <c r="I837" s="11">
        <f t="shared" si="0"/>
        <v>46043</v>
      </c>
      <c r="J837" s="12">
        <f t="shared" si="1"/>
        <v>11</v>
      </c>
      <c r="K837" t="str">
        <f t="shared" si="2"/>
        <v>0-30</v>
      </c>
      <c r="L837" s="11">
        <v>46054</v>
      </c>
      <c r="M837" s="23">
        <f>YEAR(Таблица1[[#This Row],[Дата отчета]])</f>
        <v>2026</v>
      </c>
    </row>
    <row r="838" spans="1:15" x14ac:dyDescent="0.25">
      <c r="A838" t="s">
        <v>12</v>
      </c>
      <c r="B838" t="s">
        <v>52</v>
      </c>
      <c r="C838" t="s">
        <v>64</v>
      </c>
      <c r="D838" t="s">
        <v>65</v>
      </c>
      <c r="E838" t="s">
        <v>66</v>
      </c>
      <c r="F838" s="20">
        <v>75000</v>
      </c>
      <c r="I838" s="11">
        <f t="shared" si="0"/>
        <v>45895</v>
      </c>
      <c r="J838" s="12">
        <f t="shared" si="1"/>
        <v>159</v>
      </c>
      <c r="K838" t="str">
        <f t="shared" si="2"/>
        <v>121-180</v>
      </c>
      <c r="L838" s="11">
        <v>46054</v>
      </c>
      <c r="M838" s="23">
        <f>YEAR(Таблица1[[#This Row],[Дата отчета]])</f>
        <v>2026</v>
      </c>
    </row>
    <row r="839" spans="1:15" x14ac:dyDescent="0.25">
      <c r="A839" t="s">
        <v>12</v>
      </c>
      <c r="B839" t="s">
        <v>52</v>
      </c>
      <c r="C839" t="s">
        <v>1146</v>
      </c>
      <c r="D839" t="s">
        <v>1147</v>
      </c>
      <c r="E839" t="s">
        <v>1148</v>
      </c>
      <c r="F839" s="20">
        <v>23600</v>
      </c>
      <c r="I839" s="11">
        <f t="shared" si="0"/>
        <v>46045</v>
      </c>
      <c r="J839" s="12">
        <f t="shared" si="1"/>
        <v>9</v>
      </c>
      <c r="K839" t="str">
        <f t="shared" si="2"/>
        <v>0-30</v>
      </c>
      <c r="L839" s="11">
        <v>46054</v>
      </c>
      <c r="M839" s="23">
        <f>YEAR(Таблица1[[#This Row],[Дата отчета]])</f>
        <v>2026</v>
      </c>
    </row>
    <row r="840" spans="1:15" x14ac:dyDescent="0.25">
      <c r="A840" t="s">
        <v>12</v>
      </c>
      <c r="B840" t="s">
        <v>52</v>
      </c>
      <c r="C840" t="s">
        <v>68</v>
      </c>
      <c r="D840" t="s">
        <v>69</v>
      </c>
      <c r="E840" t="s">
        <v>70</v>
      </c>
      <c r="F840" s="20">
        <v>661131</v>
      </c>
      <c r="I840" s="11">
        <f t="shared" si="0"/>
        <v>45979</v>
      </c>
      <c r="J840" s="12">
        <f t="shared" si="1"/>
        <v>75</v>
      </c>
      <c r="K840" t="str">
        <f t="shared" si="2"/>
        <v>31-90</v>
      </c>
      <c r="L840" s="11">
        <v>46054</v>
      </c>
      <c r="M840" s="23">
        <f>YEAR(Таблица1[[#This Row],[Дата отчета]])</f>
        <v>2026</v>
      </c>
    </row>
    <row r="841" spans="1:15" x14ac:dyDescent="0.25">
      <c r="A841" t="s">
        <v>12</v>
      </c>
      <c r="B841" t="s">
        <v>52</v>
      </c>
      <c r="C841" t="s">
        <v>1149</v>
      </c>
      <c r="D841" t="s">
        <v>1150</v>
      </c>
      <c r="E841" t="s">
        <v>332</v>
      </c>
      <c r="F841" s="20">
        <v>4754</v>
      </c>
      <c r="I841" s="11">
        <f t="shared" si="0"/>
        <v>45936</v>
      </c>
      <c r="J841" s="12">
        <f t="shared" si="1"/>
        <v>118</v>
      </c>
      <c r="K841" t="str">
        <f t="shared" si="2"/>
        <v>91-120</v>
      </c>
      <c r="L841" s="11">
        <v>46054</v>
      </c>
      <c r="M841" s="23">
        <f>YEAR(Таблица1[[#This Row],[Дата отчета]])</f>
        <v>2026</v>
      </c>
    </row>
    <row r="842" spans="1:15" x14ac:dyDescent="0.25">
      <c r="A842" t="s">
        <v>12</v>
      </c>
      <c r="B842" t="s">
        <v>13</v>
      </c>
      <c r="C842" t="s">
        <v>14</v>
      </c>
      <c r="D842" t="s">
        <v>15</v>
      </c>
      <c r="E842" t="s">
        <v>16</v>
      </c>
      <c r="F842" s="20">
        <v>0.01</v>
      </c>
      <c r="I842" s="11">
        <f t="shared" si="0"/>
        <v>45051</v>
      </c>
      <c r="J842" s="12">
        <f t="shared" si="1"/>
        <v>1003</v>
      </c>
      <c r="K842" t="str">
        <f t="shared" si="2"/>
        <v>&gt;360</v>
      </c>
      <c r="L842" s="11">
        <v>46054</v>
      </c>
      <c r="M842" s="23">
        <f>YEAR(Таблица1[[#This Row],[Дата отчета]])</f>
        <v>2026</v>
      </c>
    </row>
    <row r="843" spans="1:15" x14ac:dyDescent="0.25">
      <c r="A843" t="s">
        <v>12</v>
      </c>
      <c r="B843" t="s">
        <v>72</v>
      </c>
      <c r="C843" t="s">
        <v>73</v>
      </c>
      <c r="D843" t="s">
        <v>74</v>
      </c>
      <c r="E843" t="s">
        <v>75</v>
      </c>
      <c r="F843" s="20">
        <v>28800000</v>
      </c>
      <c r="I843" s="11">
        <f t="shared" si="0"/>
        <v>46016</v>
      </c>
      <c r="J843" s="12">
        <f t="shared" si="1"/>
        <v>38</v>
      </c>
      <c r="K843" t="str">
        <f t="shared" si="2"/>
        <v>31-90</v>
      </c>
      <c r="L843" s="11">
        <v>46054</v>
      </c>
      <c r="M843" s="23">
        <f>YEAR(Таблица1[[#This Row],[Дата отчета]])</f>
        <v>2026</v>
      </c>
    </row>
    <row r="844" spans="1:15" x14ac:dyDescent="0.25">
      <c r="A844" t="s">
        <v>12</v>
      </c>
      <c r="B844" t="s">
        <v>76</v>
      </c>
      <c r="C844" t="s">
        <v>77</v>
      </c>
      <c r="D844" t="s">
        <v>78</v>
      </c>
      <c r="E844" t="s">
        <v>79</v>
      </c>
      <c r="F844" s="20">
        <v>1984080</v>
      </c>
      <c r="I844" s="11">
        <f t="shared" si="0"/>
        <v>45980</v>
      </c>
      <c r="J844" s="12">
        <f t="shared" si="1"/>
        <v>74</v>
      </c>
      <c r="K844" t="str">
        <f t="shared" si="2"/>
        <v>31-90</v>
      </c>
      <c r="L844" s="11">
        <v>46054</v>
      </c>
      <c r="M844" s="23">
        <f>YEAR(Таблица1[[#This Row],[Дата отчета]])</f>
        <v>2026</v>
      </c>
    </row>
    <row r="845" spans="1:15" x14ac:dyDescent="0.25">
      <c r="A845" t="s">
        <v>12</v>
      </c>
      <c r="B845" t="s">
        <v>80</v>
      </c>
      <c r="C845" t="s">
        <v>81</v>
      </c>
      <c r="D845" t="s">
        <v>82</v>
      </c>
      <c r="E845" t="s">
        <v>83</v>
      </c>
      <c r="F845" s="20">
        <v>4985</v>
      </c>
      <c r="I845" s="11">
        <f t="shared" si="0"/>
        <v>45852</v>
      </c>
      <c r="J845" s="12">
        <f t="shared" si="1"/>
        <v>202</v>
      </c>
      <c r="K845" t="str">
        <f t="shared" si="2"/>
        <v>181-270</v>
      </c>
      <c r="L845" s="11">
        <v>46054</v>
      </c>
      <c r="M845" s="23">
        <f>YEAR(Таблица1[[#This Row],[Дата отчета]])</f>
        <v>2026</v>
      </c>
    </row>
    <row r="846" spans="1:15" x14ac:dyDescent="0.25">
      <c r="A846" t="s">
        <v>12</v>
      </c>
      <c r="B846" t="s">
        <v>84</v>
      </c>
      <c r="C846" t="s">
        <v>85</v>
      </c>
      <c r="D846" t="s">
        <v>86</v>
      </c>
      <c r="E846" t="s">
        <v>87</v>
      </c>
      <c r="F846" s="20">
        <v>124374672.66</v>
      </c>
      <c r="I846" s="11">
        <f t="shared" si="0"/>
        <v>46020</v>
      </c>
      <c r="J846" s="12">
        <f t="shared" si="1"/>
        <v>34</v>
      </c>
      <c r="K846" t="str">
        <f t="shared" si="2"/>
        <v>31-90</v>
      </c>
      <c r="L846" s="11">
        <v>46054</v>
      </c>
      <c r="M846" s="23">
        <f>YEAR(Таблица1[[#This Row],[Дата отчета]])</f>
        <v>2026</v>
      </c>
    </row>
    <row r="847" spans="1:15" x14ac:dyDescent="0.25">
      <c r="A847" t="s">
        <v>12</v>
      </c>
      <c r="B847" t="s">
        <v>88</v>
      </c>
      <c r="C847" t="s">
        <v>89</v>
      </c>
      <c r="D847" t="s">
        <v>90</v>
      </c>
      <c r="E847" t="s">
        <v>91</v>
      </c>
      <c r="F847" s="20">
        <v>198000</v>
      </c>
      <c r="I847" s="11">
        <f t="shared" si="0"/>
        <v>45723</v>
      </c>
      <c r="J847" s="12">
        <f t="shared" si="1"/>
        <v>331</v>
      </c>
      <c r="K847" t="str">
        <f t="shared" si="2"/>
        <v>271-360</v>
      </c>
      <c r="L847" s="11">
        <v>46054</v>
      </c>
      <c r="M847" s="23">
        <f>YEAR(Таблица1[[#This Row],[Дата отчета]])</f>
        <v>2026</v>
      </c>
      <c r="N847" s="30" t="s">
        <v>4537</v>
      </c>
      <c r="O847" s="30"/>
    </row>
    <row r="848" spans="1:15" x14ac:dyDescent="0.25">
      <c r="A848" t="s">
        <v>12</v>
      </c>
      <c r="B848" t="s">
        <v>93</v>
      </c>
      <c r="C848" t="s">
        <v>94</v>
      </c>
      <c r="D848" t="s">
        <v>95</v>
      </c>
      <c r="E848" t="s">
        <v>96</v>
      </c>
      <c r="F848" s="20">
        <v>17955.38</v>
      </c>
      <c r="I848" s="11">
        <f t="shared" si="0"/>
        <v>45876</v>
      </c>
      <c r="J848" s="12">
        <f t="shared" si="1"/>
        <v>178</v>
      </c>
      <c r="K848" t="str">
        <f t="shared" si="2"/>
        <v>121-180</v>
      </c>
      <c r="L848" s="11">
        <v>46054</v>
      </c>
      <c r="M848" s="23">
        <f>YEAR(Таблица1[[#This Row],[Дата отчета]])</f>
        <v>2026</v>
      </c>
      <c r="N848" s="7" t="s">
        <v>4538</v>
      </c>
      <c r="O848" s="24"/>
    </row>
    <row r="849" spans="1:16" x14ac:dyDescent="0.25">
      <c r="A849" t="s">
        <v>12</v>
      </c>
      <c r="B849" t="s">
        <v>93</v>
      </c>
      <c r="C849" t="s">
        <v>97</v>
      </c>
      <c r="D849" t="s">
        <v>98</v>
      </c>
      <c r="E849" t="s">
        <v>96</v>
      </c>
      <c r="F849" s="20">
        <v>67008.2</v>
      </c>
      <c r="I849" s="11">
        <f t="shared" si="0"/>
        <v>45876</v>
      </c>
      <c r="J849" s="12">
        <f t="shared" si="1"/>
        <v>178</v>
      </c>
      <c r="K849" t="str">
        <f t="shared" si="2"/>
        <v>121-180</v>
      </c>
      <c r="L849" s="11">
        <v>46054</v>
      </c>
      <c r="M849" s="23">
        <f>YEAR(Таблица1[[#This Row],[Дата отчета]])</f>
        <v>2026</v>
      </c>
      <c r="N849" s="2" t="s">
        <v>4538</v>
      </c>
      <c r="O849" s="31"/>
    </row>
    <row r="850" spans="1:16" x14ac:dyDescent="0.25">
      <c r="A850" t="s">
        <v>12</v>
      </c>
      <c r="B850" t="s">
        <v>93</v>
      </c>
      <c r="C850" t="s">
        <v>97</v>
      </c>
      <c r="D850" t="s">
        <v>99</v>
      </c>
      <c r="E850" t="s">
        <v>100</v>
      </c>
      <c r="F850" s="20">
        <v>8599.8700000000008</v>
      </c>
      <c r="I850" s="11">
        <f t="shared" si="0"/>
        <v>45905</v>
      </c>
      <c r="J850" s="12">
        <f t="shared" si="1"/>
        <v>149</v>
      </c>
      <c r="K850" t="str">
        <f t="shared" si="2"/>
        <v>121-180</v>
      </c>
      <c r="L850" s="11">
        <v>46054</v>
      </c>
      <c r="M850" s="23">
        <f>YEAR(Таблица1[[#This Row],[Дата отчета]])</f>
        <v>2026</v>
      </c>
      <c r="N850" s="2" t="s">
        <v>4538</v>
      </c>
      <c r="O850" s="31"/>
    </row>
    <row r="851" spans="1:16" x14ac:dyDescent="0.25">
      <c r="A851" t="s">
        <v>12</v>
      </c>
      <c r="B851" t="s">
        <v>1151</v>
      </c>
      <c r="C851" t="s">
        <v>1152</v>
      </c>
      <c r="D851" t="s">
        <v>1153</v>
      </c>
      <c r="E851" t="s">
        <v>57</v>
      </c>
      <c r="F851" s="20">
        <v>408122</v>
      </c>
      <c r="I851" s="11">
        <f t="shared" si="0"/>
        <v>46043</v>
      </c>
      <c r="J851" s="12">
        <f t="shared" si="1"/>
        <v>11</v>
      </c>
      <c r="K851" t="str">
        <f t="shared" si="2"/>
        <v>0-30</v>
      </c>
      <c r="L851" s="11">
        <v>46054</v>
      </c>
      <c r="M851" s="23">
        <f>YEAR(Таблица1[[#This Row],[Дата отчета]])</f>
        <v>2026</v>
      </c>
    </row>
    <row r="852" spans="1:16" x14ac:dyDescent="0.25">
      <c r="A852" t="s">
        <v>12</v>
      </c>
      <c r="B852" t="s">
        <v>101</v>
      </c>
      <c r="C852" t="s">
        <v>102</v>
      </c>
      <c r="D852" t="s">
        <v>103</v>
      </c>
      <c r="E852" t="s">
        <v>57</v>
      </c>
      <c r="F852" s="20">
        <v>21107760</v>
      </c>
      <c r="I852" s="11">
        <f t="shared" si="0"/>
        <v>46043</v>
      </c>
      <c r="J852" s="12">
        <f t="shared" si="1"/>
        <v>11</v>
      </c>
      <c r="K852" t="str">
        <f t="shared" si="2"/>
        <v>0-30</v>
      </c>
      <c r="L852" s="11">
        <v>46054</v>
      </c>
      <c r="M852" s="23">
        <f>YEAR(Таблица1[[#This Row],[Дата отчета]])</f>
        <v>2026</v>
      </c>
    </row>
    <row r="853" spans="1:16" x14ac:dyDescent="0.25">
      <c r="A853" t="s">
        <v>12</v>
      </c>
      <c r="B853" t="s">
        <v>101</v>
      </c>
      <c r="C853" t="s">
        <v>104</v>
      </c>
      <c r="D853" t="s">
        <v>105</v>
      </c>
      <c r="E853" t="s">
        <v>106</v>
      </c>
      <c r="F853" s="20">
        <v>1833304</v>
      </c>
      <c r="I853" s="11">
        <f t="shared" si="0"/>
        <v>46017</v>
      </c>
      <c r="J853" s="12">
        <f t="shared" si="1"/>
        <v>37</v>
      </c>
      <c r="K853" t="str">
        <f t="shared" si="2"/>
        <v>31-90</v>
      </c>
      <c r="L853" s="11">
        <v>46054</v>
      </c>
      <c r="M853" s="23">
        <f>YEAR(Таблица1[[#This Row],[Дата отчета]])</f>
        <v>2026</v>
      </c>
      <c r="N853" s="7"/>
      <c r="O853" s="24"/>
    </row>
    <row r="854" spans="1:16" x14ac:dyDescent="0.25">
      <c r="A854" t="s">
        <v>12</v>
      </c>
      <c r="B854" t="s">
        <v>1154</v>
      </c>
      <c r="C854" t="s">
        <v>1155</v>
      </c>
      <c r="D854" t="s">
        <v>1156</v>
      </c>
      <c r="E854" t="s">
        <v>525</v>
      </c>
      <c r="F854" s="20">
        <v>11000</v>
      </c>
      <c r="I854" s="11">
        <f t="shared" si="0"/>
        <v>45954</v>
      </c>
      <c r="J854" s="12">
        <f t="shared" si="1"/>
        <v>100</v>
      </c>
      <c r="K854" t="str">
        <f t="shared" si="2"/>
        <v>91-120</v>
      </c>
      <c r="L854" s="11">
        <v>46054</v>
      </c>
      <c r="M854" s="23">
        <f>YEAR(Таблица1[[#This Row],[Дата отчета]])</f>
        <v>2026</v>
      </c>
    </row>
    <row r="855" spans="1:16" x14ac:dyDescent="0.25">
      <c r="A855" t="s">
        <v>12</v>
      </c>
      <c r="B855" t="s">
        <v>110</v>
      </c>
      <c r="C855" t="s">
        <v>111</v>
      </c>
      <c r="D855" t="s">
        <v>112</v>
      </c>
      <c r="E855" t="s">
        <v>113</v>
      </c>
      <c r="F855" s="20">
        <v>613440</v>
      </c>
      <c r="I855" s="11">
        <f t="shared" si="0"/>
        <v>46009</v>
      </c>
      <c r="J855" s="12">
        <f t="shared" si="1"/>
        <v>45</v>
      </c>
      <c r="K855" t="str">
        <f t="shared" si="2"/>
        <v>31-90</v>
      </c>
      <c r="L855" s="11">
        <v>46054</v>
      </c>
      <c r="M855" s="23">
        <f>YEAR(Таблица1[[#This Row],[Дата отчета]])</f>
        <v>2026</v>
      </c>
    </row>
    <row r="856" spans="1:16" x14ac:dyDescent="0.25">
      <c r="A856" t="s">
        <v>12</v>
      </c>
      <c r="B856" t="s">
        <v>117</v>
      </c>
      <c r="C856" t="s">
        <v>118</v>
      </c>
      <c r="D856" t="s">
        <v>119</v>
      </c>
      <c r="E856" t="s">
        <v>70</v>
      </c>
      <c r="F856" s="20">
        <v>350000</v>
      </c>
      <c r="I856" s="11">
        <f t="shared" si="0"/>
        <v>45979</v>
      </c>
      <c r="J856" s="12">
        <f t="shared" si="1"/>
        <v>75</v>
      </c>
      <c r="K856" t="str">
        <f t="shared" si="2"/>
        <v>31-90</v>
      </c>
      <c r="L856" s="11">
        <v>46054</v>
      </c>
      <c r="M856" s="23">
        <f>YEAR(Таблица1[[#This Row],[Дата отчета]])</f>
        <v>2026</v>
      </c>
    </row>
    <row r="857" spans="1:16" x14ac:dyDescent="0.25">
      <c r="A857" t="s">
        <v>12</v>
      </c>
      <c r="B857" t="s">
        <v>120</v>
      </c>
      <c r="C857" t="s">
        <v>121</v>
      </c>
      <c r="D857" t="s">
        <v>122</v>
      </c>
      <c r="E857" t="s">
        <v>123</v>
      </c>
      <c r="F857" s="20">
        <v>691600</v>
      </c>
      <c r="I857" s="11">
        <f t="shared" si="0"/>
        <v>45782</v>
      </c>
      <c r="J857" s="12">
        <f t="shared" si="1"/>
        <v>272</v>
      </c>
      <c r="K857" t="str">
        <f t="shared" si="2"/>
        <v>271-360</v>
      </c>
      <c r="L857" s="11">
        <v>46054</v>
      </c>
      <c r="M857" s="23">
        <f>YEAR(Таблица1[[#This Row],[Дата отчета]])</f>
        <v>2026</v>
      </c>
      <c r="N857" s="2" t="s">
        <v>4541</v>
      </c>
      <c r="O857" s="31"/>
    </row>
    <row r="858" spans="1:16" x14ac:dyDescent="0.25">
      <c r="A858" t="s">
        <v>12</v>
      </c>
      <c r="B858" t="s">
        <v>124</v>
      </c>
      <c r="C858" t="s">
        <v>125</v>
      </c>
      <c r="D858" t="s">
        <v>126</v>
      </c>
      <c r="E858" t="s">
        <v>127</v>
      </c>
      <c r="F858" s="20">
        <v>66000</v>
      </c>
      <c r="I858" s="11">
        <f t="shared" si="0"/>
        <v>46037</v>
      </c>
      <c r="J858" s="12">
        <f t="shared" si="1"/>
        <v>17</v>
      </c>
      <c r="K858" t="str">
        <f t="shared" si="2"/>
        <v>0-30</v>
      </c>
      <c r="L858" s="11">
        <v>46054</v>
      </c>
      <c r="M858" s="23">
        <f>YEAR(Таблица1[[#This Row],[Дата отчета]])</f>
        <v>2026</v>
      </c>
    </row>
    <row r="859" spans="1:16" x14ac:dyDescent="0.25">
      <c r="A859" t="s">
        <v>12</v>
      </c>
      <c r="B859" t="s">
        <v>128</v>
      </c>
      <c r="C859" t="s">
        <v>129</v>
      </c>
      <c r="D859" t="s">
        <v>130</v>
      </c>
      <c r="E859" t="s">
        <v>131</v>
      </c>
      <c r="F859" s="20">
        <v>400000</v>
      </c>
      <c r="I859" s="11">
        <f t="shared" si="0"/>
        <v>45931</v>
      </c>
      <c r="J859" s="12">
        <f t="shared" si="1"/>
        <v>123</v>
      </c>
      <c r="K859" t="str">
        <f t="shared" si="2"/>
        <v>121-180</v>
      </c>
      <c r="L859" s="11">
        <v>46054</v>
      </c>
      <c r="M859" s="23">
        <f>YEAR(Таблица1[[#This Row],[Дата отчета]])</f>
        <v>2026</v>
      </c>
      <c r="N859" s="2" t="s">
        <v>4544</v>
      </c>
      <c r="O859" s="8">
        <v>45981</v>
      </c>
      <c r="P859" s="2" t="s">
        <v>4546</v>
      </c>
    </row>
    <row r="860" spans="1:16" x14ac:dyDescent="0.25">
      <c r="A860" t="s">
        <v>12</v>
      </c>
      <c r="B860" t="s">
        <v>128</v>
      </c>
      <c r="C860" t="s">
        <v>132</v>
      </c>
      <c r="D860" t="s">
        <v>133</v>
      </c>
      <c r="E860" t="s">
        <v>134</v>
      </c>
      <c r="F860" s="20">
        <v>1600000</v>
      </c>
      <c r="I860" s="11">
        <f t="shared" si="0"/>
        <v>45856</v>
      </c>
      <c r="J860" s="12">
        <f t="shared" si="1"/>
        <v>198</v>
      </c>
      <c r="K860" t="str">
        <f t="shared" si="2"/>
        <v>181-270</v>
      </c>
      <c r="L860" s="11">
        <v>46054</v>
      </c>
      <c r="M860" s="23">
        <f>YEAR(Таблица1[[#This Row],[Дата отчета]])</f>
        <v>2026</v>
      </c>
      <c r="N860" s="2" t="s">
        <v>4543</v>
      </c>
      <c r="O860" s="8">
        <v>46068</v>
      </c>
      <c r="P860" s="2" t="s">
        <v>4546</v>
      </c>
    </row>
    <row r="861" spans="1:16" x14ac:dyDescent="0.25">
      <c r="A861" t="s">
        <v>12</v>
      </c>
      <c r="B861" t="s">
        <v>128</v>
      </c>
      <c r="C861" t="s">
        <v>132</v>
      </c>
      <c r="D861" t="s">
        <v>135</v>
      </c>
      <c r="E861" t="s">
        <v>106</v>
      </c>
      <c r="F861" s="20">
        <v>1200000</v>
      </c>
      <c r="I861" s="11">
        <f t="shared" si="0"/>
        <v>46017</v>
      </c>
      <c r="J861" s="12">
        <f t="shared" si="1"/>
        <v>37</v>
      </c>
      <c r="K861" t="str">
        <f t="shared" si="2"/>
        <v>31-90</v>
      </c>
      <c r="L861" s="11">
        <v>46054</v>
      </c>
      <c r="M861" s="23">
        <f>YEAR(Таблица1[[#This Row],[Дата отчета]])</f>
        <v>2026</v>
      </c>
      <c r="N861" s="2"/>
      <c r="O861" s="8"/>
      <c r="P861" s="2"/>
    </row>
    <row r="862" spans="1:16" x14ac:dyDescent="0.25">
      <c r="A862" t="s">
        <v>12</v>
      </c>
      <c r="B862" t="s">
        <v>128</v>
      </c>
      <c r="C862" t="s">
        <v>136</v>
      </c>
      <c r="D862" t="s">
        <v>137</v>
      </c>
      <c r="E862" t="s">
        <v>131</v>
      </c>
      <c r="F862" s="20">
        <v>400000</v>
      </c>
      <c r="I862" s="11">
        <f t="shared" si="0"/>
        <v>45931</v>
      </c>
      <c r="J862" s="12">
        <f t="shared" si="1"/>
        <v>123</v>
      </c>
      <c r="K862" t="str">
        <f t="shared" si="2"/>
        <v>121-180</v>
      </c>
      <c r="L862" s="11">
        <v>46054</v>
      </c>
      <c r="M862" s="23">
        <f>YEAR(Таблица1[[#This Row],[Дата отчета]])</f>
        <v>2026</v>
      </c>
      <c r="N862" s="2" t="s">
        <v>4544</v>
      </c>
      <c r="O862" s="8">
        <v>45981</v>
      </c>
      <c r="P862" s="2" t="s">
        <v>4546</v>
      </c>
    </row>
    <row r="863" spans="1:16" x14ac:dyDescent="0.25">
      <c r="A863" t="s">
        <v>12</v>
      </c>
      <c r="B863" t="s">
        <v>128</v>
      </c>
      <c r="C863" t="s">
        <v>138</v>
      </c>
      <c r="D863" t="s">
        <v>139</v>
      </c>
      <c r="E863" t="s">
        <v>140</v>
      </c>
      <c r="F863" s="20">
        <v>250000</v>
      </c>
      <c r="I863" s="11">
        <f t="shared" si="0"/>
        <v>45917</v>
      </c>
      <c r="J863" s="12">
        <f t="shared" si="1"/>
        <v>137</v>
      </c>
      <c r="K863" t="str">
        <f t="shared" si="2"/>
        <v>121-180</v>
      </c>
      <c r="L863" s="11">
        <v>46054</v>
      </c>
      <c r="M863" s="23">
        <f>YEAR(Таблица1[[#This Row],[Дата отчета]])</f>
        <v>2026</v>
      </c>
      <c r="N863" s="2" t="s">
        <v>4544</v>
      </c>
      <c r="O863" s="3">
        <v>45986</v>
      </c>
      <c r="P863" s="2" t="s">
        <v>4546</v>
      </c>
    </row>
    <row r="864" spans="1:16" x14ac:dyDescent="0.25">
      <c r="A864" t="s">
        <v>12</v>
      </c>
      <c r="B864" t="s">
        <v>128</v>
      </c>
      <c r="C864" t="s">
        <v>141</v>
      </c>
      <c r="D864" t="s">
        <v>142</v>
      </c>
      <c r="E864" t="s">
        <v>140</v>
      </c>
      <c r="F864" s="20">
        <v>250000</v>
      </c>
      <c r="I864" s="11">
        <f t="shared" si="0"/>
        <v>45917</v>
      </c>
      <c r="J864" s="12">
        <f t="shared" si="1"/>
        <v>137</v>
      </c>
      <c r="K864" t="str">
        <f t="shared" si="2"/>
        <v>121-180</v>
      </c>
      <c r="L864" s="11">
        <v>46054</v>
      </c>
      <c r="M864" s="23">
        <f>YEAR(Таблица1[[#This Row],[Дата отчета]])</f>
        <v>2026</v>
      </c>
      <c r="N864" s="2" t="s">
        <v>4544</v>
      </c>
      <c r="O864" s="8">
        <v>45986</v>
      </c>
      <c r="P864" s="2" t="s">
        <v>4546</v>
      </c>
    </row>
    <row r="865" spans="1:14" x14ac:dyDescent="0.25">
      <c r="A865" t="s">
        <v>12</v>
      </c>
      <c r="B865" t="s">
        <v>143</v>
      </c>
      <c r="C865" t="s">
        <v>144</v>
      </c>
      <c r="D865" t="s">
        <v>145</v>
      </c>
      <c r="E865" t="s">
        <v>146</v>
      </c>
      <c r="F865" s="20">
        <v>7000</v>
      </c>
      <c r="I865" s="11">
        <f t="shared" si="0"/>
        <v>45838</v>
      </c>
      <c r="J865" s="12">
        <f t="shared" si="1"/>
        <v>216</v>
      </c>
      <c r="K865" t="str">
        <f t="shared" si="2"/>
        <v>181-270</v>
      </c>
      <c r="L865" s="11">
        <v>46054</v>
      </c>
      <c r="M865" s="23">
        <f>YEAR(Таблица1[[#This Row],[Дата отчета]])</f>
        <v>2026</v>
      </c>
      <c r="N865" s="2" t="s">
        <v>807</v>
      </c>
    </row>
    <row r="866" spans="1:14" x14ac:dyDescent="0.25">
      <c r="A866" t="s">
        <v>12</v>
      </c>
      <c r="B866" t="s">
        <v>150</v>
      </c>
      <c r="C866" t="s">
        <v>154</v>
      </c>
      <c r="D866" t="s">
        <v>155</v>
      </c>
      <c r="E866" t="s">
        <v>156</v>
      </c>
      <c r="F866" s="20">
        <v>0.01</v>
      </c>
      <c r="I866" s="11">
        <f t="shared" si="0"/>
        <v>46051</v>
      </c>
      <c r="J866" s="12">
        <f t="shared" si="1"/>
        <v>3</v>
      </c>
      <c r="K866" t="str">
        <f t="shared" si="2"/>
        <v>0-30</v>
      </c>
      <c r="L866" s="11">
        <v>46054</v>
      </c>
      <c r="M866" s="23">
        <f>YEAR(Таблица1[[#This Row],[Дата отчета]])</f>
        <v>2026</v>
      </c>
    </row>
    <row r="867" spans="1:14" x14ac:dyDescent="0.25">
      <c r="A867" t="s">
        <v>12</v>
      </c>
      <c r="B867" t="s">
        <v>158</v>
      </c>
      <c r="C867" t="s">
        <v>159</v>
      </c>
      <c r="D867" t="s">
        <v>160</v>
      </c>
      <c r="E867" t="s">
        <v>161</v>
      </c>
      <c r="F867" s="20">
        <v>52154.400000000001</v>
      </c>
      <c r="I867" s="11">
        <f t="shared" si="0"/>
        <v>45890</v>
      </c>
      <c r="J867" s="12">
        <f t="shared" si="1"/>
        <v>164</v>
      </c>
      <c r="K867" t="str">
        <f t="shared" si="2"/>
        <v>121-180</v>
      </c>
      <c r="L867" s="11">
        <v>46054</v>
      </c>
      <c r="M867" s="23">
        <f>YEAR(Таблица1[[#This Row],[Дата отчета]])</f>
        <v>2026</v>
      </c>
    </row>
    <row r="868" spans="1:14" x14ac:dyDescent="0.25">
      <c r="A868" t="s">
        <v>12</v>
      </c>
      <c r="B868" t="s">
        <v>1157</v>
      </c>
      <c r="C868" t="s">
        <v>1158</v>
      </c>
      <c r="D868" t="s">
        <v>1159</v>
      </c>
      <c r="E868" t="s">
        <v>1160</v>
      </c>
      <c r="F868" s="20">
        <v>750000</v>
      </c>
      <c r="I868" s="11">
        <f t="shared" si="0"/>
        <v>46008</v>
      </c>
      <c r="J868" s="12">
        <f t="shared" si="1"/>
        <v>46</v>
      </c>
      <c r="K868" t="str">
        <f t="shared" si="2"/>
        <v>31-90</v>
      </c>
      <c r="L868" s="11">
        <v>46054</v>
      </c>
      <c r="M868" s="23">
        <f>YEAR(Таблица1[[#This Row],[Дата отчета]])</f>
        <v>2026</v>
      </c>
    </row>
    <row r="869" spans="1:14" x14ac:dyDescent="0.25">
      <c r="A869" t="s">
        <v>12</v>
      </c>
      <c r="B869" t="s">
        <v>166</v>
      </c>
      <c r="C869" t="s">
        <v>167</v>
      </c>
      <c r="D869" t="s">
        <v>168</v>
      </c>
      <c r="E869" t="s">
        <v>169</v>
      </c>
      <c r="F869" s="20">
        <v>2405000</v>
      </c>
      <c r="I869" s="11">
        <f t="shared" si="0"/>
        <v>46050</v>
      </c>
      <c r="J869" s="12">
        <f t="shared" si="1"/>
        <v>4</v>
      </c>
      <c r="K869" t="str">
        <f t="shared" si="2"/>
        <v>0-30</v>
      </c>
      <c r="L869" s="11">
        <v>46054</v>
      </c>
      <c r="M869" s="23">
        <f>YEAR(Таблица1[[#This Row],[Дата отчета]])</f>
        <v>2026</v>
      </c>
    </row>
    <row r="870" spans="1:14" x14ac:dyDescent="0.25">
      <c r="A870" t="s">
        <v>12</v>
      </c>
      <c r="B870" t="s">
        <v>166</v>
      </c>
      <c r="C870" t="s">
        <v>170</v>
      </c>
      <c r="D870" t="s">
        <v>171</v>
      </c>
      <c r="E870" t="s">
        <v>169</v>
      </c>
      <c r="F870" s="20">
        <v>1150000</v>
      </c>
      <c r="I870" s="11">
        <f t="shared" si="0"/>
        <v>46050</v>
      </c>
      <c r="J870" s="12">
        <f t="shared" si="1"/>
        <v>4</v>
      </c>
      <c r="K870" t="str">
        <f t="shared" si="2"/>
        <v>0-30</v>
      </c>
      <c r="L870" s="11">
        <v>46054</v>
      </c>
      <c r="M870" s="23">
        <f>YEAR(Таблица1[[#This Row],[Дата отчета]])</f>
        <v>2026</v>
      </c>
    </row>
    <row r="871" spans="1:14" x14ac:dyDescent="0.25">
      <c r="A871" t="s">
        <v>12</v>
      </c>
      <c r="B871" t="s">
        <v>172</v>
      </c>
      <c r="C871" t="s">
        <v>173</v>
      </c>
      <c r="D871" t="s">
        <v>174</v>
      </c>
      <c r="E871" t="s">
        <v>175</v>
      </c>
      <c r="F871" s="20">
        <v>12630</v>
      </c>
      <c r="I871" s="11">
        <f t="shared" si="0"/>
        <v>45399</v>
      </c>
      <c r="J871" s="12">
        <f t="shared" si="1"/>
        <v>655</v>
      </c>
      <c r="K871" t="str">
        <f t="shared" si="2"/>
        <v>&gt;360</v>
      </c>
      <c r="L871" s="11">
        <v>46054</v>
      </c>
      <c r="M871" s="23">
        <f>YEAR(Таблица1[[#This Row],[Дата отчета]])</f>
        <v>2026</v>
      </c>
      <c r="N871" s="7" t="s">
        <v>4547</v>
      </c>
    </row>
    <row r="872" spans="1:14" x14ac:dyDescent="0.25">
      <c r="A872" t="s">
        <v>12</v>
      </c>
      <c r="B872" t="s">
        <v>1161</v>
      </c>
      <c r="C872" t="s">
        <v>1162</v>
      </c>
      <c r="D872" t="s">
        <v>1163</v>
      </c>
      <c r="E872" t="s">
        <v>1164</v>
      </c>
      <c r="F872" s="20">
        <v>496840</v>
      </c>
      <c r="I872" s="11">
        <f t="shared" si="0"/>
        <v>45912</v>
      </c>
      <c r="J872" s="12">
        <f t="shared" si="1"/>
        <v>142</v>
      </c>
      <c r="K872" t="str">
        <f t="shared" si="2"/>
        <v>121-180</v>
      </c>
      <c r="L872" s="11">
        <v>46054</v>
      </c>
      <c r="M872" s="23">
        <f>YEAR(Таблица1[[#This Row],[Дата отчета]])</f>
        <v>2026</v>
      </c>
    </row>
    <row r="873" spans="1:14" x14ac:dyDescent="0.25">
      <c r="A873" t="s">
        <v>12</v>
      </c>
      <c r="B873" t="s">
        <v>176</v>
      </c>
      <c r="C873" t="s">
        <v>177</v>
      </c>
      <c r="D873" t="s">
        <v>178</v>
      </c>
      <c r="E873" t="s">
        <v>179</v>
      </c>
      <c r="F873" s="20">
        <v>92350</v>
      </c>
      <c r="I873" s="11">
        <f t="shared" si="0"/>
        <v>45987</v>
      </c>
      <c r="J873" s="12">
        <f t="shared" si="1"/>
        <v>67</v>
      </c>
      <c r="K873" t="str">
        <f t="shared" si="2"/>
        <v>31-90</v>
      </c>
      <c r="L873" s="11">
        <v>46054</v>
      </c>
      <c r="M873" s="23">
        <f>YEAR(Таблица1[[#This Row],[Дата отчета]])</f>
        <v>2026</v>
      </c>
    </row>
    <row r="874" spans="1:14" x14ac:dyDescent="0.25">
      <c r="A874" t="s">
        <v>12</v>
      </c>
      <c r="B874" t="s">
        <v>180</v>
      </c>
      <c r="C874" t="s">
        <v>181</v>
      </c>
      <c r="D874" t="s">
        <v>182</v>
      </c>
      <c r="E874" t="s">
        <v>183</v>
      </c>
      <c r="F874" s="20">
        <v>14178</v>
      </c>
      <c r="I874" s="11">
        <f t="shared" si="0"/>
        <v>45817</v>
      </c>
      <c r="J874" s="12">
        <f t="shared" si="1"/>
        <v>237</v>
      </c>
      <c r="K874" t="str">
        <f t="shared" si="2"/>
        <v>181-270</v>
      </c>
      <c r="L874" s="11">
        <v>46054</v>
      </c>
      <c r="M874" s="23">
        <f>YEAR(Таблица1[[#This Row],[Дата отчета]])</f>
        <v>2026</v>
      </c>
      <c r="N874" s="7" t="s">
        <v>4538</v>
      </c>
    </row>
    <row r="875" spans="1:14" x14ac:dyDescent="0.25">
      <c r="A875" t="s">
        <v>12</v>
      </c>
      <c r="B875" t="s">
        <v>186</v>
      </c>
      <c r="C875" t="s">
        <v>187</v>
      </c>
      <c r="D875" t="s">
        <v>188</v>
      </c>
      <c r="E875" t="s">
        <v>189</v>
      </c>
      <c r="F875" s="20">
        <v>6600</v>
      </c>
      <c r="I875" s="11">
        <f t="shared" si="0"/>
        <v>45471</v>
      </c>
      <c r="J875" s="12">
        <f t="shared" si="1"/>
        <v>583</v>
      </c>
      <c r="K875" t="str">
        <f t="shared" si="2"/>
        <v>&gt;360</v>
      </c>
      <c r="L875" s="11">
        <v>46054</v>
      </c>
      <c r="M875" s="23">
        <f>YEAR(Таблица1[[#This Row],[Дата отчета]])</f>
        <v>2026</v>
      </c>
    </row>
    <row r="876" spans="1:14" x14ac:dyDescent="0.25">
      <c r="A876" t="s">
        <v>12</v>
      </c>
      <c r="B876" t="s">
        <v>186</v>
      </c>
      <c r="C876" t="s">
        <v>190</v>
      </c>
      <c r="D876" t="s">
        <v>191</v>
      </c>
      <c r="E876" t="s">
        <v>192</v>
      </c>
      <c r="F876" s="20">
        <v>6600</v>
      </c>
      <c r="I876" s="11">
        <f t="shared" si="0"/>
        <v>45467</v>
      </c>
      <c r="J876" s="12">
        <f t="shared" si="1"/>
        <v>587</v>
      </c>
      <c r="K876" t="str">
        <f t="shared" si="2"/>
        <v>&gt;360</v>
      </c>
      <c r="L876" s="11">
        <v>46054</v>
      </c>
      <c r="M876" s="23">
        <f>YEAR(Таблица1[[#This Row],[Дата отчета]])</f>
        <v>2026</v>
      </c>
    </row>
    <row r="877" spans="1:14" x14ac:dyDescent="0.25">
      <c r="A877" t="s">
        <v>12</v>
      </c>
      <c r="B877" t="s">
        <v>186</v>
      </c>
      <c r="C877" t="s">
        <v>193</v>
      </c>
      <c r="D877" t="s">
        <v>194</v>
      </c>
      <c r="E877" t="s">
        <v>195</v>
      </c>
      <c r="F877" s="20">
        <v>25000</v>
      </c>
      <c r="I877" s="11">
        <f t="shared" si="0"/>
        <v>45916</v>
      </c>
      <c r="J877" s="12">
        <f t="shared" si="1"/>
        <v>138</v>
      </c>
      <c r="K877" t="str">
        <f t="shared" si="2"/>
        <v>121-180</v>
      </c>
      <c r="L877" s="11">
        <v>46054</v>
      </c>
      <c r="M877" s="23">
        <f>YEAR(Таблица1[[#This Row],[Дата отчета]])</f>
        <v>2026</v>
      </c>
    </row>
    <row r="878" spans="1:14" x14ac:dyDescent="0.25">
      <c r="A878" t="s">
        <v>12</v>
      </c>
      <c r="B878" t="s">
        <v>186</v>
      </c>
      <c r="C878" t="s">
        <v>196</v>
      </c>
      <c r="D878" t="s">
        <v>197</v>
      </c>
      <c r="E878" t="s">
        <v>198</v>
      </c>
      <c r="F878" s="20">
        <v>6600</v>
      </c>
      <c r="I878" s="11">
        <f t="shared" si="0"/>
        <v>45439</v>
      </c>
      <c r="J878" s="12">
        <f t="shared" si="1"/>
        <v>615</v>
      </c>
      <c r="K878" t="str">
        <f t="shared" si="2"/>
        <v>&gt;360</v>
      </c>
      <c r="L878" s="11">
        <v>46054</v>
      </c>
      <c r="M878" s="23">
        <f>YEAR(Таблица1[[#This Row],[Дата отчета]])</f>
        <v>2026</v>
      </c>
    </row>
    <row r="879" spans="1:14" x14ac:dyDescent="0.25">
      <c r="A879" t="s">
        <v>12</v>
      </c>
      <c r="B879" t="s">
        <v>186</v>
      </c>
      <c r="C879" t="s">
        <v>199</v>
      </c>
      <c r="D879" t="s">
        <v>200</v>
      </c>
      <c r="E879" t="s">
        <v>201</v>
      </c>
      <c r="F879" s="20">
        <v>6600</v>
      </c>
      <c r="I879" s="11">
        <f t="shared" si="0"/>
        <v>45800</v>
      </c>
      <c r="J879" s="12">
        <f t="shared" si="1"/>
        <v>254</v>
      </c>
      <c r="K879" t="str">
        <f t="shared" si="2"/>
        <v>181-270</v>
      </c>
      <c r="L879" s="11">
        <v>46054</v>
      </c>
      <c r="M879" s="23">
        <f>YEAR(Таблица1[[#This Row],[Дата отчета]])</f>
        <v>2026</v>
      </c>
    </row>
    <row r="880" spans="1:14" x14ac:dyDescent="0.25">
      <c r="A880" t="s">
        <v>12</v>
      </c>
      <c r="B880" t="s">
        <v>186</v>
      </c>
      <c r="C880" t="s">
        <v>202</v>
      </c>
      <c r="D880" t="s">
        <v>203</v>
      </c>
      <c r="E880" t="s">
        <v>204</v>
      </c>
      <c r="F880" s="20">
        <v>25000</v>
      </c>
      <c r="I880" s="11">
        <f t="shared" si="0"/>
        <v>45481</v>
      </c>
      <c r="J880" s="12">
        <f t="shared" si="1"/>
        <v>573</v>
      </c>
      <c r="K880" t="str">
        <f t="shared" si="2"/>
        <v>&gt;360</v>
      </c>
      <c r="L880" s="11">
        <v>46054</v>
      </c>
      <c r="M880" s="23">
        <f>YEAR(Таблица1[[#This Row],[Дата отчета]])</f>
        <v>2026</v>
      </c>
    </row>
    <row r="881" spans="1:15" x14ac:dyDescent="0.25">
      <c r="A881" t="s">
        <v>12</v>
      </c>
      <c r="B881" t="s">
        <v>186</v>
      </c>
      <c r="C881" t="s">
        <v>205</v>
      </c>
      <c r="D881" t="s">
        <v>206</v>
      </c>
      <c r="E881" t="s">
        <v>207</v>
      </c>
      <c r="F881" s="20">
        <v>25000</v>
      </c>
      <c r="I881" s="11">
        <f t="shared" si="0"/>
        <v>45901</v>
      </c>
      <c r="J881" s="12">
        <f t="shared" si="1"/>
        <v>153</v>
      </c>
      <c r="K881" t="str">
        <f t="shared" si="2"/>
        <v>121-180</v>
      </c>
      <c r="L881" s="11">
        <v>46054</v>
      </c>
      <c r="M881" s="23">
        <f>YEAR(Таблица1[[#This Row],[Дата отчета]])</f>
        <v>2026</v>
      </c>
    </row>
    <row r="882" spans="1:15" x14ac:dyDescent="0.25">
      <c r="A882" t="s">
        <v>12</v>
      </c>
      <c r="B882" t="s">
        <v>186</v>
      </c>
      <c r="C882" t="s">
        <v>1165</v>
      </c>
      <c r="D882" t="s">
        <v>1166</v>
      </c>
      <c r="E882" t="s">
        <v>1167</v>
      </c>
      <c r="F882" s="20">
        <v>25000</v>
      </c>
      <c r="I882" s="11">
        <f t="shared" si="0"/>
        <v>45908</v>
      </c>
      <c r="J882" s="12">
        <f t="shared" si="1"/>
        <v>146</v>
      </c>
      <c r="K882" t="str">
        <f t="shared" si="2"/>
        <v>121-180</v>
      </c>
      <c r="L882" s="11">
        <v>46054</v>
      </c>
      <c r="M882" s="23">
        <f>YEAR(Таблица1[[#This Row],[Дата отчета]])</f>
        <v>2026</v>
      </c>
    </row>
    <row r="883" spans="1:15" x14ac:dyDescent="0.25">
      <c r="A883" t="s">
        <v>12</v>
      </c>
      <c r="B883" t="s">
        <v>212</v>
      </c>
      <c r="C883" t="s">
        <v>213</v>
      </c>
      <c r="D883" t="s">
        <v>214</v>
      </c>
      <c r="E883" t="s">
        <v>215</v>
      </c>
      <c r="F883" s="20">
        <v>1750000</v>
      </c>
      <c r="I883" s="11">
        <f t="shared" si="0"/>
        <v>45929</v>
      </c>
      <c r="J883" s="12">
        <f t="shared" si="1"/>
        <v>125</v>
      </c>
      <c r="K883" t="str">
        <f t="shared" si="2"/>
        <v>121-180</v>
      </c>
      <c r="L883" s="11">
        <v>46054</v>
      </c>
      <c r="M883" s="23">
        <f>YEAR(Таблица1[[#This Row],[Дата отчета]])</f>
        <v>2026</v>
      </c>
    </row>
    <row r="884" spans="1:15" x14ac:dyDescent="0.25">
      <c r="A884" t="s">
        <v>12</v>
      </c>
      <c r="B884" t="s">
        <v>212</v>
      </c>
      <c r="C884" t="s">
        <v>216</v>
      </c>
      <c r="D884" t="s">
        <v>217</v>
      </c>
      <c r="E884" t="s">
        <v>218</v>
      </c>
      <c r="F884" s="20">
        <v>1750000</v>
      </c>
      <c r="I884" s="11">
        <f t="shared" si="0"/>
        <v>45947</v>
      </c>
      <c r="J884" s="12">
        <f t="shared" si="1"/>
        <v>107</v>
      </c>
      <c r="K884" t="str">
        <f t="shared" si="2"/>
        <v>91-120</v>
      </c>
      <c r="L884" s="11">
        <v>46054</v>
      </c>
      <c r="M884" s="23">
        <f>YEAR(Таблица1[[#This Row],[Дата отчета]])</f>
        <v>2026</v>
      </c>
    </row>
    <row r="885" spans="1:15" x14ac:dyDescent="0.25">
      <c r="A885" t="s">
        <v>12</v>
      </c>
      <c r="B885" t="s">
        <v>212</v>
      </c>
      <c r="C885" t="s">
        <v>219</v>
      </c>
      <c r="D885" t="s">
        <v>220</v>
      </c>
      <c r="E885" t="s">
        <v>215</v>
      </c>
      <c r="F885" s="20">
        <v>1750000</v>
      </c>
      <c r="I885" s="11">
        <f t="shared" si="0"/>
        <v>45929</v>
      </c>
      <c r="J885" s="12">
        <f t="shared" si="1"/>
        <v>125</v>
      </c>
      <c r="K885" t="str">
        <f t="shared" si="2"/>
        <v>121-180</v>
      </c>
      <c r="L885" s="11">
        <v>46054</v>
      </c>
      <c r="M885" s="23">
        <f>YEAR(Таблица1[[#This Row],[Дата отчета]])</f>
        <v>2026</v>
      </c>
    </row>
    <row r="886" spans="1:15" x14ac:dyDescent="0.25">
      <c r="A886" t="s">
        <v>12</v>
      </c>
      <c r="B886" t="s">
        <v>212</v>
      </c>
      <c r="C886" t="s">
        <v>221</v>
      </c>
      <c r="D886" t="s">
        <v>222</v>
      </c>
      <c r="E886" t="s">
        <v>218</v>
      </c>
      <c r="F886" s="20">
        <v>1750000</v>
      </c>
      <c r="I886" s="11">
        <f t="shared" si="0"/>
        <v>45947</v>
      </c>
      <c r="J886" s="12">
        <f t="shared" si="1"/>
        <v>107</v>
      </c>
      <c r="K886" t="str">
        <f t="shared" si="2"/>
        <v>91-120</v>
      </c>
      <c r="L886" s="11">
        <v>46054</v>
      </c>
      <c r="M886" s="23">
        <f>YEAR(Таблица1[[#This Row],[Дата отчета]])</f>
        <v>2026</v>
      </c>
    </row>
    <row r="887" spans="1:15" x14ac:dyDescent="0.25">
      <c r="A887" t="s">
        <v>12</v>
      </c>
      <c r="B887" t="s">
        <v>212</v>
      </c>
      <c r="C887" t="s">
        <v>223</v>
      </c>
      <c r="D887" t="s">
        <v>224</v>
      </c>
      <c r="E887" t="s">
        <v>215</v>
      </c>
      <c r="F887" s="20">
        <v>1750000</v>
      </c>
      <c r="I887" s="11">
        <f t="shared" si="0"/>
        <v>45929</v>
      </c>
      <c r="J887" s="12">
        <f t="shared" si="1"/>
        <v>125</v>
      </c>
      <c r="K887" t="str">
        <f t="shared" si="2"/>
        <v>121-180</v>
      </c>
      <c r="L887" s="11">
        <v>46054</v>
      </c>
      <c r="M887" s="23">
        <f>YEAR(Таблица1[[#This Row],[Дата отчета]])</f>
        <v>2026</v>
      </c>
    </row>
    <row r="888" spans="1:15" x14ac:dyDescent="0.25">
      <c r="A888" t="s">
        <v>12</v>
      </c>
      <c r="B888" t="s">
        <v>228</v>
      </c>
      <c r="C888" t="s">
        <v>229</v>
      </c>
      <c r="D888" t="s">
        <v>230</v>
      </c>
      <c r="E888" t="s">
        <v>231</v>
      </c>
      <c r="F888" s="20">
        <v>2053117.29</v>
      </c>
      <c r="I888" s="11">
        <f t="shared" si="0"/>
        <v>45992</v>
      </c>
      <c r="J888" s="12">
        <f t="shared" si="1"/>
        <v>62</v>
      </c>
      <c r="K888" t="str">
        <f t="shared" si="2"/>
        <v>31-90</v>
      </c>
      <c r="L888" s="11">
        <v>46054</v>
      </c>
      <c r="M888" s="23">
        <f>YEAR(Таблица1[[#This Row],[Дата отчета]])</f>
        <v>2026</v>
      </c>
      <c r="N888" s="7"/>
      <c r="O888" s="7"/>
    </row>
    <row r="889" spans="1:15" x14ac:dyDescent="0.25">
      <c r="A889" t="s">
        <v>12</v>
      </c>
      <c r="B889" t="s">
        <v>228</v>
      </c>
      <c r="C889" t="s">
        <v>233</v>
      </c>
      <c r="D889" t="s">
        <v>234</v>
      </c>
      <c r="E889" t="s">
        <v>231</v>
      </c>
      <c r="F889" s="20">
        <v>1211264.99</v>
      </c>
      <c r="I889" s="11">
        <f t="shared" si="0"/>
        <v>45992</v>
      </c>
      <c r="J889" s="12">
        <f t="shared" si="1"/>
        <v>62</v>
      </c>
      <c r="K889" t="str">
        <f t="shared" si="2"/>
        <v>31-90</v>
      </c>
      <c r="L889" s="11">
        <v>46054</v>
      </c>
      <c r="M889" s="23">
        <f>YEAR(Таблица1[[#This Row],[Дата отчета]])</f>
        <v>2026</v>
      </c>
    </row>
    <row r="890" spans="1:15" x14ac:dyDescent="0.25">
      <c r="A890" t="s">
        <v>12</v>
      </c>
      <c r="B890" t="s">
        <v>228</v>
      </c>
      <c r="C890" t="s">
        <v>236</v>
      </c>
      <c r="D890" t="s">
        <v>237</v>
      </c>
      <c r="E890" t="s">
        <v>231</v>
      </c>
      <c r="F890" s="20">
        <v>512327.6</v>
      </c>
      <c r="I890" s="11">
        <f t="shared" si="0"/>
        <v>45992</v>
      </c>
      <c r="J890" s="12">
        <f t="shared" si="1"/>
        <v>62</v>
      </c>
      <c r="K890" t="str">
        <f t="shared" si="2"/>
        <v>31-90</v>
      </c>
      <c r="L890" s="11">
        <v>46054</v>
      </c>
      <c r="M890" s="23">
        <f>YEAR(Таблица1[[#This Row],[Дата отчета]])</f>
        <v>2026</v>
      </c>
    </row>
    <row r="891" spans="1:15" x14ac:dyDescent="0.25">
      <c r="A891" t="s">
        <v>12</v>
      </c>
      <c r="B891" t="s">
        <v>228</v>
      </c>
      <c r="C891" t="s">
        <v>236</v>
      </c>
      <c r="D891" t="s">
        <v>238</v>
      </c>
      <c r="E891" t="s">
        <v>239</v>
      </c>
      <c r="F891" s="20">
        <v>12000</v>
      </c>
      <c r="I891" s="11">
        <f t="shared" si="0"/>
        <v>45996</v>
      </c>
      <c r="J891" s="12">
        <f t="shared" si="1"/>
        <v>58</v>
      </c>
      <c r="K891" t="str">
        <f t="shared" si="2"/>
        <v>31-90</v>
      </c>
      <c r="L891" s="11">
        <v>46054</v>
      </c>
      <c r="M891" s="23">
        <f>YEAR(Таблица1[[#This Row],[Дата отчета]])</f>
        <v>2026</v>
      </c>
    </row>
    <row r="892" spans="1:15" x14ac:dyDescent="0.25">
      <c r="A892" t="s">
        <v>12</v>
      </c>
      <c r="B892" t="s">
        <v>228</v>
      </c>
      <c r="C892" t="s">
        <v>241</v>
      </c>
      <c r="D892" t="s">
        <v>242</v>
      </c>
      <c r="E892" t="s">
        <v>231</v>
      </c>
      <c r="F892" s="20">
        <v>438338.63</v>
      </c>
      <c r="I892" s="11">
        <f t="shared" si="0"/>
        <v>45992</v>
      </c>
      <c r="J892" s="12">
        <f t="shared" si="1"/>
        <v>62</v>
      </c>
      <c r="K892" t="str">
        <f t="shared" si="2"/>
        <v>31-90</v>
      </c>
      <c r="L892" s="11">
        <v>46054</v>
      </c>
      <c r="M892" s="23">
        <f>YEAR(Таблица1[[#This Row],[Дата отчета]])</f>
        <v>2026</v>
      </c>
    </row>
    <row r="893" spans="1:15" x14ac:dyDescent="0.25">
      <c r="A893" t="s">
        <v>12</v>
      </c>
      <c r="B893" t="s">
        <v>244</v>
      </c>
      <c r="C893" t="s">
        <v>245</v>
      </c>
      <c r="D893" t="s">
        <v>246</v>
      </c>
      <c r="E893" t="s">
        <v>247</v>
      </c>
      <c r="F893" s="20">
        <v>275272</v>
      </c>
      <c r="I893" s="11">
        <f t="shared" si="0"/>
        <v>45798</v>
      </c>
      <c r="J893" s="12">
        <f t="shared" si="1"/>
        <v>256</v>
      </c>
      <c r="K893" t="str">
        <f t="shared" si="2"/>
        <v>181-270</v>
      </c>
      <c r="L893" s="11">
        <v>46054</v>
      </c>
      <c r="M893" s="23">
        <f>YEAR(Таблица1[[#This Row],[Дата отчета]])</f>
        <v>2026</v>
      </c>
      <c r="N893" s="2" t="s">
        <v>4548</v>
      </c>
    </row>
    <row r="894" spans="1:15" x14ac:dyDescent="0.25">
      <c r="A894" t="s">
        <v>12</v>
      </c>
      <c r="B894" t="s">
        <v>248</v>
      </c>
      <c r="C894" t="s">
        <v>249</v>
      </c>
      <c r="D894" t="s">
        <v>250</v>
      </c>
      <c r="E894" t="s">
        <v>251</v>
      </c>
      <c r="F894" s="20">
        <v>26990233.25</v>
      </c>
      <c r="I894" s="11">
        <f t="shared" si="0"/>
        <v>46038</v>
      </c>
      <c r="J894" s="12">
        <f t="shared" si="1"/>
        <v>16</v>
      </c>
      <c r="K894" t="str">
        <f t="shared" si="2"/>
        <v>0-30</v>
      </c>
      <c r="L894" s="11">
        <v>46054</v>
      </c>
      <c r="M894" s="23">
        <f>YEAR(Таблица1[[#This Row],[Дата отчета]])</f>
        <v>2026</v>
      </c>
    </row>
    <row r="895" spans="1:15" x14ac:dyDescent="0.25">
      <c r="A895" t="s">
        <v>12</v>
      </c>
      <c r="B895" t="s">
        <v>248</v>
      </c>
      <c r="C895" t="s">
        <v>252</v>
      </c>
      <c r="D895" t="s">
        <v>253</v>
      </c>
      <c r="E895" t="s">
        <v>254</v>
      </c>
      <c r="F895" s="20">
        <v>23963645.800000001</v>
      </c>
      <c r="I895" s="11">
        <f t="shared" ref="I895:I958" si="3">E895*1</f>
        <v>46048</v>
      </c>
      <c r="J895" s="12">
        <f t="shared" ref="J895:J958" si="4">L895-I895</f>
        <v>6</v>
      </c>
      <c r="K895" t="str">
        <f t="shared" ref="K895:K958" si="5">IF(J895&lt;=30,"0-30",IF(J895&lt;=90,"31-90",IF(J895&lt;=120,"91-120",IF(J895&lt;=180,"121-180",IF(J895&lt;=270,"181-270",IF(J895&lt;=360,"271-360","&gt;360"))))))</f>
        <v>0-30</v>
      </c>
      <c r="L895" s="11">
        <v>46054</v>
      </c>
      <c r="M895" s="23">
        <f>YEAR(Таблица1[[#This Row],[Дата отчета]])</f>
        <v>2026</v>
      </c>
    </row>
    <row r="896" spans="1:15" x14ac:dyDescent="0.25">
      <c r="A896" t="s">
        <v>12</v>
      </c>
      <c r="B896" t="s">
        <v>268</v>
      </c>
      <c r="C896" t="s">
        <v>269</v>
      </c>
      <c r="D896" t="s">
        <v>270</v>
      </c>
      <c r="E896" t="s">
        <v>127</v>
      </c>
      <c r="F896" s="20">
        <v>130500</v>
      </c>
      <c r="I896" s="11">
        <f t="shared" si="3"/>
        <v>46037</v>
      </c>
      <c r="J896" s="12">
        <f t="shared" si="4"/>
        <v>17</v>
      </c>
      <c r="K896" t="str">
        <f t="shared" si="5"/>
        <v>0-30</v>
      </c>
      <c r="L896" s="11">
        <v>46054</v>
      </c>
      <c r="M896" s="23">
        <f>YEAR(Таблица1[[#This Row],[Дата отчета]])</f>
        <v>2026</v>
      </c>
    </row>
    <row r="897" spans="1:14" x14ac:dyDescent="0.25">
      <c r="A897" t="s">
        <v>12</v>
      </c>
      <c r="B897" t="s">
        <v>271</v>
      </c>
      <c r="C897" t="s">
        <v>274</v>
      </c>
      <c r="D897" t="s">
        <v>275</v>
      </c>
      <c r="E897" t="s">
        <v>276</v>
      </c>
      <c r="F897" s="20">
        <v>682568</v>
      </c>
      <c r="I897" s="11">
        <f t="shared" si="3"/>
        <v>45827</v>
      </c>
      <c r="J897" s="12">
        <f t="shared" si="4"/>
        <v>227</v>
      </c>
      <c r="K897" t="str">
        <f t="shared" si="5"/>
        <v>181-270</v>
      </c>
      <c r="L897" s="11">
        <v>46054</v>
      </c>
      <c r="M897" s="23">
        <f>YEAR(Таблица1[[#This Row],[Дата отчета]])</f>
        <v>2026</v>
      </c>
    </row>
    <row r="898" spans="1:14" x14ac:dyDescent="0.25">
      <c r="A898" t="s">
        <v>12</v>
      </c>
      <c r="B898" t="s">
        <v>271</v>
      </c>
      <c r="C898" t="s">
        <v>282</v>
      </c>
      <c r="D898" t="s">
        <v>283</v>
      </c>
      <c r="E898" t="s">
        <v>284</v>
      </c>
      <c r="F898" s="20">
        <v>600</v>
      </c>
      <c r="I898" s="11">
        <f t="shared" si="3"/>
        <v>45398</v>
      </c>
      <c r="J898" s="12">
        <f t="shared" si="4"/>
        <v>656</v>
      </c>
      <c r="K898" t="str">
        <f t="shared" si="5"/>
        <v>&gt;360</v>
      </c>
      <c r="L898" s="11">
        <v>46054</v>
      </c>
      <c r="M898" s="23">
        <f>YEAR(Таблица1[[#This Row],[Дата отчета]])</f>
        <v>2026</v>
      </c>
    </row>
    <row r="899" spans="1:14" x14ac:dyDescent="0.25">
      <c r="A899" t="s">
        <v>12</v>
      </c>
      <c r="B899" t="s">
        <v>271</v>
      </c>
      <c r="C899" t="s">
        <v>285</v>
      </c>
      <c r="D899" t="s">
        <v>286</v>
      </c>
      <c r="E899" t="s">
        <v>57</v>
      </c>
      <c r="F899" s="20">
        <v>2253340.15</v>
      </c>
      <c r="I899" s="11">
        <f t="shared" si="3"/>
        <v>46043</v>
      </c>
      <c r="J899" s="12">
        <f t="shared" si="4"/>
        <v>11</v>
      </c>
      <c r="K899" t="str">
        <f t="shared" si="5"/>
        <v>0-30</v>
      </c>
      <c r="L899" s="11">
        <v>46054</v>
      </c>
      <c r="M899" s="23">
        <f>YEAR(Таблица1[[#This Row],[Дата отчета]])</f>
        <v>2026</v>
      </c>
    </row>
    <row r="900" spans="1:14" x14ac:dyDescent="0.25">
      <c r="A900" t="s">
        <v>12</v>
      </c>
      <c r="B900" t="s">
        <v>271</v>
      </c>
      <c r="C900" t="s">
        <v>287</v>
      </c>
      <c r="D900" t="s">
        <v>288</v>
      </c>
      <c r="E900" t="s">
        <v>289</v>
      </c>
      <c r="F900" s="20">
        <v>29963</v>
      </c>
      <c r="I900" s="11">
        <f t="shared" si="3"/>
        <v>45716</v>
      </c>
      <c r="J900" s="12">
        <f t="shared" si="4"/>
        <v>338</v>
      </c>
      <c r="K900" t="str">
        <f t="shared" si="5"/>
        <v>271-360</v>
      </c>
      <c r="L900" s="11">
        <v>46054</v>
      </c>
      <c r="M900" s="23">
        <f>YEAR(Таблица1[[#This Row],[Дата отчета]])</f>
        <v>2026</v>
      </c>
      <c r="N900" s="2" t="s">
        <v>4538</v>
      </c>
    </row>
    <row r="901" spans="1:14" x14ac:dyDescent="0.25">
      <c r="A901" t="s">
        <v>12</v>
      </c>
      <c r="B901" t="s">
        <v>271</v>
      </c>
      <c r="C901" t="s">
        <v>290</v>
      </c>
      <c r="D901" t="s">
        <v>291</v>
      </c>
      <c r="E901" t="s">
        <v>292</v>
      </c>
      <c r="F901" s="20">
        <v>19600</v>
      </c>
      <c r="I901" s="11">
        <f t="shared" si="3"/>
        <v>45933</v>
      </c>
      <c r="J901" s="12">
        <f t="shared" si="4"/>
        <v>121</v>
      </c>
      <c r="K901" t="str">
        <f t="shared" si="5"/>
        <v>121-180</v>
      </c>
      <c r="L901" s="11">
        <v>46054</v>
      </c>
      <c r="M901" s="23">
        <f>YEAR(Таблица1[[#This Row],[Дата отчета]])</f>
        <v>2026</v>
      </c>
    </row>
    <row r="902" spans="1:14" x14ac:dyDescent="0.25">
      <c r="A902" t="s">
        <v>12</v>
      </c>
      <c r="B902" t="s">
        <v>293</v>
      </c>
      <c r="C902" t="s">
        <v>1168</v>
      </c>
      <c r="D902" t="s">
        <v>1169</v>
      </c>
      <c r="E902" t="s">
        <v>1170</v>
      </c>
      <c r="F902" s="20">
        <v>244800</v>
      </c>
      <c r="I902" s="11">
        <f t="shared" si="3"/>
        <v>46001</v>
      </c>
      <c r="J902" s="12">
        <f t="shared" si="4"/>
        <v>53</v>
      </c>
      <c r="K902" t="str">
        <f t="shared" si="5"/>
        <v>31-90</v>
      </c>
      <c r="L902" s="11">
        <v>46054</v>
      </c>
      <c r="M902" s="23">
        <f>YEAR(Таблица1[[#This Row],[Дата отчета]])</f>
        <v>2026</v>
      </c>
    </row>
    <row r="903" spans="1:14" x14ac:dyDescent="0.25">
      <c r="A903" t="s">
        <v>12</v>
      </c>
      <c r="B903" t="s">
        <v>293</v>
      </c>
      <c r="C903" t="s">
        <v>294</v>
      </c>
      <c r="D903" t="s">
        <v>295</v>
      </c>
      <c r="E903" t="s">
        <v>296</v>
      </c>
      <c r="F903" s="20">
        <v>132000</v>
      </c>
      <c r="I903" s="11">
        <f t="shared" si="3"/>
        <v>45988</v>
      </c>
      <c r="J903" s="12">
        <f t="shared" si="4"/>
        <v>66</v>
      </c>
      <c r="K903" t="str">
        <f t="shared" si="5"/>
        <v>31-90</v>
      </c>
      <c r="L903" s="11">
        <v>46054</v>
      </c>
      <c r="M903" s="23">
        <f>YEAR(Таблица1[[#This Row],[Дата отчета]])</f>
        <v>2026</v>
      </c>
    </row>
    <row r="904" spans="1:14" x14ac:dyDescent="0.25">
      <c r="A904" t="s">
        <v>12</v>
      </c>
      <c r="B904" t="s">
        <v>297</v>
      </c>
      <c r="C904" t="s">
        <v>298</v>
      </c>
      <c r="D904" t="s">
        <v>299</v>
      </c>
      <c r="E904" t="s">
        <v>300</v>
      </c>
      <c r="F904" s="20">
        <v>3959</v>
      </c>
      <c r="I904" s="11">
        <f t="shared" si="3"/>
        <v>45449</v>
      </c>
      <c r="J904" s="12">
        <f t="shared" si="4"/>
        <v>605</v>
      </c>
      <c r="K904" t="str">
        <f t="shared" si="5"/>
        <v>&gt;360</v>
      </c>
      <c r="L904" s="11">
        <v>46054</v>
      </c>
      <c r="M904" s="23">
        <f>YEAR(Таблица1[[#This Row],[Дата отчета]])</f>
        <v>2026</v>
      </c>
      <c r="N904" s="7" t="s">
        <v>4547</v>
      </c>
    </row>
    <row r="905" spans="1:14" x14ac:dyDescent="0.25">
      <c r="A905" t="s">
        <v>12</v>
      </c>
      <c r="B905" t="s">
        <v>297</v>
      </c>
      <c r="C905" t="s">
        <v>304</v>
      </c>
      <c r="D905" t="s">
        <v>305</v>
      </c>
      <c r="E905" t="s">
        <v>87</v>
      </c>
      <c r="F905" s="20">
        <v>53477</v>
      </c>
      <c r="I905" s="11">
        <f t="shared" si="3"/>
        <v>46020</v>
      </c>
      <c r="J905" s="12">
        <f t="shared" si="4"/>
        <v>34</v>
      </c>
      <c r="K905" t="str">
        <f t="shared" si="5"/>
        <v>31-90</v>
      </c>
      <c r="L905" s="11">
        <v>46054</v>
      </c>
      <c r="M905" s="23">
        <f>YEAR(Таблица1[[#This Row],[Дата отчета]])</f>
        <v>2026</v>
      </c>
    </row>
    <row r="906" spans="1:14" x14ac:dyDescent="0.25">
      <c r="A906" t="s">
        <v>12</v>
      </c>
      <c r="B906" t="s">
        <v>297</v>
      </c>
      <c r="C906" t="s">
        <v>306</v>
      </c>
      <c r="D906" t="s">
        <v>307</v>
      </c>
      <c r="E906" t="s">
        <v>79</v>
      </c>
      <c r="F906" s="20">
        <v>1875</v>
      </c>
      <c r="I906" s="11">
        <f t="shared" si="3"/>
        <v>45980</v>
      </c>
      <c r="J906" s="12">
        <f t="shared" si="4"/>
        <v>74</v>
      </c>
      <c r="K906" t="str">
        <f t="shared" si="5"/>
        <v>31-90</v>
      </c>
      <c r="L906" s="11">
        <v>46054</v>
      </c>
      <c r="M906" s="23">
        <f>YEAR(Таблица1[[#This Row],[Дата отчета]])</f>
        <v>2026</v>
      </c>
    </row>
    <row r="907" spans="1:14" x14ac:dyDescent="0.25">
      <c r="A907" t="s">
        <v>12</v>
      </c>
      <c r="B907" t="s">
        <v>297</v>
      </c>
      <c r="C907" t="s">
        <v>308</v>
      </c>
      <c r="D907" t="s">
        <v>309</v>
      </c>
      <c r="E907" t="s">
        <v>296</v>
      </c>
      <c r="F907" s="20">
        <v>13926</v>
      </c>
      <c r="I907" s="11">
        <f t="shared" si="3"/>
        <v>45988</v>
      </c>
      <c r="J907" s="12">
        <f t="shared" si="4"/>
        <v>66</v>
      </c>
      <c r="K907" t="str">
        <f t="shared" si="5"/>
        <v>31-90</v>
      </c>
      <c r="L907" s="11">
        <v>46054</v>
      </c>
      <c r="M907" s="23">
        <f>YEAR(Таблица1[[#This Row],[Дата отчета]])</f>
        <v>2026</v>
      </c>
    </row>
    <row r="908" spans="1:14" x14ac:dyDescent="0.25">
      <c r="A908" t="s">
        <v>12</v>
      </c>
      <c r="B908" t="s">
        <v>297</v>
      </c>
      <c r="C908" t="s">
        <v>310</v>
      </c>
      <c r="D908" t="s">
        <v>311</v>
      </c>
      <c r="E908" t="s">
        <v>312</v>
      </c>
      <c r="F908" s="20">
        <v>98480</v>
      </c>
      <c r="I908" s="11">
        <f t="shared" si="3"/>
        <v>45960</v>
      </c>
      <c r="J908" s="12">
        <f t="shared" si="4"/>
        <v>94</v>
      </c>
      <c r="K908" t="str">
        <f t="shared" si="5"/>
        <v>91-120</v>
      </c>
      <c r="L908" s="11">
        <v>46054</v>
      </c>
      <c r="M908" s="23">
        <f>YEAR(Таблица1[[#This Row],[Дата отчета]])</f>
        <v>2026</v>
      </c>
    </row>
    <row r="909" spans="1:14" x14ac:dyDescent="0.25">
      <c r="A909" t="s">
        <v>12</v>
      </c>
      <c r="B909" t="s">
        <v>297</v>
      </c>
      <c r="C909" t="s">
        <v>313</v>
      </c>
      <c r="D909" t="s">
        <v>314</v>
      </c>
      <c r="E909" t="s">
        <v>315</v>
      </c>
      <c r="F909" s="20">
        <v>39046</v>
      </c>
      <c r="I909" s="11">
        <f t="shared" si="3"/>
        <v>45891</v>
      </c>
      <c r="J909" s="12">
        <f t="shared" si="4"/>
        <v>163</v>
      </c>
      <c r="K909" t="str">
        <f t="shared" si="5"/>
        <v>121-180</v>
      </c>
      <c r="L909" s="11">
        <v>46054</v>
      </c>
      <c r="M909" s="23">
        <f>YEAR(Таблица1[[#This Row],[Дата отчета]])</f>
        <v>2026</v>
      </c>
    </row>
    <row r="910" spans="1:14" x14ac:dyDescent="0.25">
      <c r="A910" t="s">
        <v>12</v>
      </c>
      <c r="B910" t="s">
        <v>297</v>
      </c>
      <c r="C910" t="s">
        <v>1171</v>
      </c>
      <c r="D910" t="s">
        <v>1172</v>
      </c>
      <c r="E910" t="s">
        <v>1173</v>
      </c>
      <c r="F910" s="20">
        <v>3629</v>
      </c>
      <c r="I910" s="11">
        <f t="shared" si="3"/>
        <v>45922</v>
      </c>
      <c r="J910" s="12">
        <f t="shared" si="4"/>
        <v>132</v>
      </c>
      <c r="K910" t="str">
        <f t="shared" si="5"/>
        <v>121-180</v>
      </c>
      <c r="L910" s="11">
        <v>46054</v>
      </c>
      <c r="M910" s="23">
        <f>YEAR(Таблица1[[#This Row],[Дата отчета]])</f>
        <v>2026</v>
      </c>
    </row>
    <row r="911" spans="1:14" x14ac:dyDescent="0.25">
      <c r="A911" t="s">
        <v>12</v>
      </c>
      <c r="B911" t="s">
        <v>297</v>
      </c>
      <c r="C911" t="s">
        <v>316</v>
      </c>
      <c r="D911" t="s">
        <v>317</v>
      </c>
      <c r="E911" t="s">
        <v>318</v>
      </c>
      <c r="F911" s="20">
        <v>780</v>
      </c>
      <c r="I911" s="11">
        <f t="shared" si="3"/>
        <v>45845</v>
      </c>
      <c r="J911" s="12">
        <f t="shared" si="4"/>
        <v>209</v>
      </c>
      <c r="K911" t="str">
        <f t="shared" si="5"/>
        <v>181-270</v>
      </c>
      <c r="L911" s="11">
        <v>46054</v>
      </c>
      <c r="M911" s="23">
        <f>YEAR(Таблица1[[#This Row],[Дата отчета]])</f>
        <v>2026</v>
      </c>
    </row>
    <row r="912" spans="1:14" x14ac:dyDescent="0.25">
      <c r="A912" t="s">
        <v>12</v>
      </c>
      <c r="B912" t="s">
        <v>297</v>
      </c>
      <c r="C912" t="s">
        <v>319</v>
      </c>
      <c r="D912" t="s">
        <v>320</v>
      </c>
      <c r="E912" t="s">
        <v>321</v>
      </c>
      <c r="F912" s="20">
        <v>2154</v>
      </c>
      <c r="I912" s="11">
        <f t="shared" si="3"/>
        <v>45880</v>
      </c>
      <c r="J912" s="12">
        <f t="shared" si="4"/>
        <v>174</v>
      </c>
      <c r="K912" t="str">
        <f t="shared" si="5"/>
        <v>121-180</v>
      </c>
      <c r="L912" s="11">
        <v>46054</v>
      </c>
      <c r="M912" s="23">
        <f>YEAR(Таблица1[[#This Row],[Дата отчета]])</f>
        <v>2026</v>
      </c>
    </row>
    <row r="913" spans="1:13" x14ac:dyDescent="0.25">
      <c r="A913" t="s">
        <v>12</v>
      </c>
      <c r="B913" t="s">
        <v>297</v>
      </c>
      <c r="C913" t="s">
        <v>322</v>
      </c>
      <c r="D913" t="s">
        <v>323</v>
      </c>
      <c r="E913" t="s">
        <v>79</v>
      </c>
      <c r="F913" s="20">
        <v>1948</v>
      </c>
      <c r="I913" s="11">
        <f t="shared" si="3"/>
        <v>45980</v>
      </c>
      <c r="J913" s="12">
        <f t="shared" si="4"/>
        <v>74</v>
      </c>
      <c r="K913" t="str">
        <f t="shared" si="5"/>
        <v>31-90</v>
      </c>
      <c r="L913" s="11">
        <v>46054</v>
      </c>
      <c r="M913" s="23">
        <f>YEAR(Таблица1[[#This Row],[Дата отчета]])</f>
        <v>2026</v>
      </c>
    </row>
    <row r="914" spans="1:13" x14ac:dyDescent="0.25">
      <c r="A914" t="s">
        <v>12</v>
      </c>
      <c r="B914" t="s">
        <v>297</v>
      </c>
      <c r="C914" t="s">
        <v>324</v>
      </c>
      <c r="D914" t="s">
        <v>325</v>
      </c>
      <c r="E914" t="s">
        <v>51</v>
      </c>
      <c r="F914" s="20">
        <v>3247</v>
      </c>
      <c r="I914" s="11">
        <f t="shared" si="3"/>
        <v>45939</v>
      </c>
      <c r="J914" s="12">
        <f t="shared" si="4"/>
        <v>115</v>
      </c>
      <c r="K914" t="str">
        <f t="shared" si="5"/>
        <v>91-120</v>
      </c>
      <c r="L914" s="11">
        <v>46054</v>
      </c>
      <c r="M914" s="23">
        <f>YEAR(Таблица1[[#This Row],[Дата отчета]])</f>
        <v>2026</v>
      </c>
    </row>
    <row r="915" spans="1:13" x14ac:dyDescent="0.25">
      <c r="A915" t="s">
        <v>12</v>
      </c>
      <c r="B915" t="s">
        <v>297</v>
      </c>
      <c r="C915" t="s">
        <v>326</v>
      </c>
      <c r="D915" t="s">
        <v>327</v>
      </c>
      <c r="E915" t="s">
        <v>51</v>
      </c>
      <c r="F915" s="20">
        <v>12093</v>
      </c>
      <c r="I915" s="11">
        <f t="shared" si="3"/>
        <v>45939</v>
      </c>
      <c r="J915" s="12">
        <f t="shared" si="4"/>
        <v>115</v>
      </c>
      <c r="K915" t="str">
        <f t="shared" si="5"/>
        <v>91-120</v>
      </c>
      <c r="L915" s="11">
        <v>46054</v>
      </c>
      <c r="M915" s="23">
        <f>YEAR(Таблица1[[#This Row],[Дата отчета]])</f>
        <v>2026</v>
      </c>
    </row>
    <row r="916" spans="1:13" x14ac:dyDescent="0.25">
      <c r="A916" t="s">
        <v>12</v>
      </c>
      <c r="B916" t="s">
        <v>297</v>
      </c>
      <c r="C916" t="s">
        <v>328</v>
      </c>
      <c r="D916" t="s">
        <v>329</v>
      </c>
      <c r="E916" t="s">
        <v>292</v>
      </c>
      <c r="F916" s="20">
        <v>113416</v>
      </c>
      <c r="I916" s="11">
        <f t="shared" si="3"/>
        <v>45933</v>
      </c>
      <c r="J916" s="12">
        <f t="shared" si="4"/>
        <v>121</v>
      </c>
      <c r="K916" t="str">
        <f t="shared" si="5"/>
        <v>121-180</v>
      </c>
      <c r="L916" s="11">
        <v>46054</v>
      </c>
      <c r="M916" s="23">
        <f>YEAR(Таблица1[[#This Row],[Дата отчета]])</f>
        <v>2026</v>
      </c>
    </row>
    <row r="917" spans="1:13" x14ac:dyDescent="0.25">
      <c r="A917" t="s">
        <v>12</v>
      </c>
      <c r="B917" t="s">
        <v>297</v>
      </c>
      <c r="C917" t="s">
        <v>330</v>
      </c>
      <c r="D917" t="s">
        <v>331</v>
      </c>
      <c r="E917" t="s">
        <v>332</v>
      </c>
      <c r="F917" s="20">
        <v>279</v>
      </c>
      <c r="I917" s="11">
        <f t="shared" si="3"/>
        <v>45936</v>
      </c>
      <c r="J917" s="12">
        <f t="shared" si="4"/>
        <v>118</v>
      </c>
      <c r="K917" t="str">
        <f t="shared" si="5"/>
        <v>91-120</v>
      </c>
      <c r="L917" s="11">
        <v>46054</v>
      </c>
      <c r="M917" s="23">
        <f>YEAR(Таблица1[[#This Row],[Дата отчета]])</f>
        <v>2026</v>
      </c>
    </row>
    <row r="918" spans="1:13" x14ac:dyDescent="0.25">
      <c r="A918" t="s">
        <v>12</v>
      </c>
      <c r="B918" t="s">
        <v>297</v>
      </c>
      <c r="C918" t="s">
        <v>333</v>
      </c>
      <c r="D918" t="s">
        <v>334</v>
      </c>
      <c r="E918" t="s">
        <v>31</v>
      </c>
      <c r="F918" s="20">
        <v>930</v>
      </c>
      <c r="I918" s="11">
        <f t="shared" si="3"/>
        <v>46015</v>
      </c>
      <c r="J918" s="12">
        <f t="shared" si="4"/>
        <v>39</v>
      </c>
      <c r="K918" t="str">
        <f t="shared" si="5"/>
        <v>31-90</v>
      </c>
      <c r="L918" s="11">
        <v>46054</v>
      </c>
      <c r="M918" s="23">
        <f>YEAR(Таблица1[[#This Row],[Дата отчета]])</f>
        <v>2026</v>
      </c>
    </row>
    <row r="919" spans="1:13" x14ac:dyDescent="0.25">
      <c r="A919" t="s">
        <v>12</v>
      </c>
      <c r="B919" t="s">
        <v>297</v>
      </c>
      <c r="C919" t="s">
        <v>335</v>
      </c>
      <c r="D919" t="s">
        <v>336</v>
      </c>
      <c r="E919" t="s">
        <v>31</v>
      </c>
      <c r="F919" s="20">
        <v>930</v>
      </c>
      <c r="I919" s="11">
        <f t="shared" si="3"/>
        <v>46015</v>
      </c>
      <c r="J919" s="12">
        <f t="shared" si="4"/>
        <v>39</v>
      </c>
      <c r="K919" t="str">
        <f t="shared" si="5"/>
        <v>31-90</v>
      </c>
      <c r="L919" s="11">
        <v>46054</v>
      </c>
      <c r="M919" s="23">
        <f>YEAR(Таблица1[[#This Row],[Дата отчета]])</f>
        <v>2026</v>
      </c>
    </row>
    <row r="920" spans="1:13" x14ac:dyDescent="0.25">
      <c r="A920" t="s">
        <v>12</v>
      </c>
      <c r="B920" t="s">
        <v>297</v>
      </c>
      <c r="C920" t="s">
        <v>337</v>
      </c>
      <c r="D920" t="s">
        <v>338</v>
      </c>
      <c r="E920" t="s">
        <v>339</v>
      </c>
      <c r="F920" s="20">
        <v>1140</v>
      </c>
      <c r="I920" s="11">
        <f t="shared" si="3"/>
        <v>45867</v>
      </c>
      <c r="J920" s="12">
        <f t="shared" si="4"/>
        <v>187</v>
      </c>
      <c r="K920" t="str">
        <f t="shared" si="5"/>
        <v>181-270</v>
      </c>
      <c r="L920" s="11">
        <v>46054</v>
      </c>
      <c r="M920" s="23">
        <f>YEAR(Таблица1[[#This Row],[Дата отчета]])</f>
        <v>2026</v>
      </c>
    </row>
    <row r="921" spans="1:13" x14ac:dyDescent="0.25">
      <c r="A921" t="s">
        <v>12</v>
      </c>
      <c r="B921" t="s">
        <v>297</v>
      </c>
      <c r="C921" t="s">
        <v>340</v>
      </c>
      <c r="D921" t="s">
        <v>341</v>
      </c>
      <c r="E921" t="s">
        <v>342</v>
      </c>
      <c r="F921" s="20">
        <v>14870</v>
      </c>
      <c r="I921" s="11">
        <f t="shared" si="3"/>
        <v>45959</v>
      </c>
      <c r="J921" s="12">
        <f t="shared" si="4"/>
        <v>95</v>
      </c>
      <c r="K921" t="str">
        <f t="shared" si="5"/>
        <v>91-120</v>
      </c>
      <c r="L921" s="11">
        <v>46054</v>
      </c>
      <c r="M921" s="23">
        <f>YEAR(Таблица1[[#This Row],[Дата отчета]])</f>
        <v>2026</v>
      </c>
    </row>
    <row r="922" spans="1:13" x14ac:dyDescent="0.25">
      <c r="A922" t="s">
        <v>12</v>
      </c>
      <c r="B922" t="s">
        <v>297</v>
      </c>
      <c r="C922" t="s">
        <v>343</v>
      </c>
      <c r="D922" t="s">
        <v>344</v>
      </c>
      <c r="E922" t="s">
        <v>345</v>
      </c>
      <c r="F922" s="20">
        <v>1310</v>
      </c>
      <c r="I922" s="11">
        <f t="shared" si="3"/>
        <v>45919</v>
      </c>
      <c r="J922" s="12">
        <f t="shared" si="4"/>
        <v>135</v>
      </c>
      <c r="K922" t="str">
        <f t="shared" si="5"/>
        <v>121-180</v>
      </c>
      <c r="L922" s="11">
        <v>46054</v>
      </c>
      <c r="M922" s="23">
        <f>YEAR(Таблица1[[#This Row],[Дата отчета]])</f>
        <v>2026</v>
      </c>
    </row>
    <row r="923" spans="1:13" x14ac:dyDescent="0.25">
      <c r="A923" t="s">
        <v>12</v>
      </c>
      <c r="B923" t="s">
        <v>297</v>
      </c>
      <c r="C923" t="s">
        <v>346</v>
      </c>
      <c r="D923" t="s">
        <v>347</v>
      </c>
      <c r="E923" t="s">
        <v>51</v>
      </c>
      <c r="F923" s="20">
        <v>21872</v>
      </c>
      <c r="I923" s="11">
        <f t="shared" si="3"/>
        <v>45939</v>
      </c>
      <c r="J923" s="12">
        <f t="shared" si="4"/>
        <v>115</v>
      </c>
      <c r="K923" t="str">
        <f t="shared" si="5"/>
        <v>91-120</v>
      </c>
      <c r="L923" s="11">
        <v>46054</v>
      </c>
      <c r="M923" s="23">
        <f>YEAR(Таблица1[[#This Row],[Дата отчета]])</f>
        <v>2026</v>
      </c>
    </row>
    <row r="924" spans="1:13" x14ac:dyDescent="0.25">
      <c r="A924" t="s">
        <v>12</v>
      </c>
      <c r="B924" t="s">
        <v>297</v>
      </c>
      <c r="C924" t="s">
        <v>351</v>
      </c>
      <c r="D924" t="s">
        <v>352</v>
      </c>
      <c r="E924" t="s">
        <v>353</v>
      </c>
      <c r="F924" s="20">
        <v>2373</v>
      </c>
      <c r="I924" s="11">
        <f t="shared" si="3"/>
        <v>45957</v>
      </c>
      <c r="J924" s="12">
        <f t="shared" si="4"/>
        <v>97</v>
      </c>
      <c r="K924" t="str">
        <f t="shared" si="5"/>
        <v>91-120</v>
      </c>
      <c r="L924" s="11">
        <v>46054</v>
      </c>
      <c r="M924" s="23">
        <f>YEAR(Таблица1[[#This Row],[Дата отчета]])</f>
        <v>2026</v>
      </c>
    </row>
    <row r="925" spans="1:13" x14ac:dyDescent="0.25">
      <c r="A925" t="s">
        <v>12</v>
      </c>
      <c r="B925" t="s">
        <v>297</v>
      </c>
      <c r="C925" t="s">
        <v>354</v>
      </c>
      <c r="D925" t="s">
        <v>355</v>
      </c>
      <c r="E925" t="s">
        <v>31</v>
      </c>
      <c r="F925" s="20">
        <v>943</v>
      </c>
      <c r="I925" s="11">
        <f t="shared" si="3"/>
        <v>46015</v>
      </c>
      <c r="J925" s="12">
        <f t="shared" si="4"/>
        <v>39</v>
      </c>
      <c r="K925" t="str">
        <f t="shared" si="5"/>
        <v>31-90</v>
      </c>
      <c r="L925" s="11">
        <v>46054</v>
      </c>
      <c r="M925" s="23">
        <f>YEAR(Таблица1[[#This Row],[Дата отчета]])</f>
        <v>2026</v>
      </c>
    </row>
    <row r="926" spans="1:13" x14ac:dyDescent="0.25">
      <c r="A926" t="s">
        <v>12</v>
      </c>
      <c r="B926" t="s">
        <v>297</v>
      </c>
      <c r="C926" t="s">
        <v>356</v>
      </c>
      <c r="D926" t="s">
        <v>357</v>
      </c>
      <c r="E926" t="s">
        <v>51</v>
      </c>
      <c r="F926" s="20">
        <v>279</v>
      </c>
      <c r="I926" s="11">
        <f t="shared" si="3"/>
        <v>45939</v>
      </c>
      <c r="J926" s="12">
        <f t="shared" si="4"/>
        <v>115</v>
      </c>
      <c r="K926" t="str">
        <f t="shared" si="5"/>
        <v>91-120</v>
      </c>
      <c r="L926" s="11">
        <v>46054</v>
      </c>
      <c r="M926" s="23">
        <f>YEAR(Таблица1[[#This Row],[Дата отчета]])</f>
        <v>2026</v>
      </c>
    </row>
    <row r="927" spans="1:13" x14ac:dyDescent="0.25">
      <c r="A927" t="s">
        <v>12</v>
      </c>
      <c r="B927" t="s">
        <v>297</v>
      </c>
      <c r="C927" t="s">
        <v>370</v>
      </c>
      <c r="D927" t="s">
        <v>371</v>
      </c>
      <c r="E927" t="s">
        <v>169</v>
      </c>
      <c r="F927" s="20">
        <v>105441</v>
      </c>
      <c r="I927" s="11">
        <f t="shared" si="3"/>
        <v>46050</v>
      </c>
      <c r="J927" s="12">
        <f t="shared" si="4"/>
        <v>4</v>
      </c>
      <c r="K927" t="str">
        <f t="shared" si="5"/>
        <v>0-30</v>
      </c>
      <c r="L927" s="11">
        <v>46054</v>
      </c>
      <c r="M927" s="23">
        <f>YEAR(Таблица1[[#This Row],[Дата отчета]])</f>
        <v>2026</v>
      </c>
    </row>
    <row r="928" spans="1:13" x14ac:dyDescent="0.25">
      <c r="A928" t="s">
        <v>12</v>
      </c>
      <c r="B928" t="s">
        <v>297</v>
      </c>
      <c r="C928" t="s">
        <v>374</v>
      </c>
      <c r="D928" t="s">
        <v>375</v>
      </c>
      <c r="E928" t="s">
        <v>35</v>
      </c>
      <c r="F928" s="20">
        <v>33606</v>
      </c>
      <c r="I928" s="11">
        <f t="shared" si="3"/>
        <v>46036</v>
      </c>
      <c r="J928" s="12">
        <f t="shared" si="4"/>
        <v>18</v>
      </c>
      <c r="K928" t="str">
        <f t="shared" si="5"/>
        <v>0-30</v>
      </c>
      <c r="L928" s="11">
        <v>46054</v>
      </c>
      <c r="M928" s="23">
        <f>YEAR(Таблица1[[#This Row],[Дата отчета]])</f>
        <v>2026</v>
      </c>
    </row>
    <row r="929" spans="1:14" x14ac:dyDescent="0.25">
      <c r="A929" t="s">
        <v>12</v>
      </c>
      <c r="B929" t="s">
        <v>297</v>
      </c>
      <c r="C929" t="s">
        <v>376</v>
      </c>
      <c r="D929" t="s">
        <v>377</v>
      </c>
      <c r="E929" t="s">
        <v>127</v>
      </c>
      <c r="F929" s="20">
        <v>1331</v>
      </c>
      <c r="I929" s="11">
        <f t="shared" si="3"/>
        <v>46037</v>
      </c>
      <c r="J929" s="12">
        <f t="shared" si="4"/>
        <v>17</v>
      </c>
      <c r="K929" t="str">
        <f t="shared" si="5"/>
        <v>0-30</v>
      </c>
      <c r="L929" s="11">
        <v>46054</v>
      </c>
      <c r="M929" s="23">
        <f>YEAR(Таблица1[[#This Row],[Дата отчета]])</f>
        <v>2026</v>
      </c>
    </row>
    <row r="930" spans="1:14" x14ac:dyDescent="0.25">
      <c r="A930" t="s">
        <v>12</v>
      </c>
      <c r="B930" t="s">
        <v>378</v>
      </c>
      <c r="C930" t="s">
        <v>970</v>
      </c>
      <c r="D930" t="s">
        <v>380</v>
      </c>
      <c r="E930" t="s">
        <v>75</v>
      </c>
      <c r="F930" s="20">
        <v>728811</v>
      </c>
      <c r="I930" s="11">
        <f t="shared" si="3"/>
        <v>46016</v>
      </c>
      <c r="J930" s="12">
        <f t="shared" si="4"/>
        <v>38</v>
      </c>
      <c r="K930" t="str">
        <f t="shared" si="5"/>
        <v>31-90</v>
      </c>
      <c r="L930" s="11">
        <v>46054</v>
      </c>
      <c r="M930" s="23">
        <f>YEAR(Таблица1[[#This Row],[Дата отчета]])</f>
        <v>2026</v>
      </c>
    </row>
    <row r="931" spans="1:14" x14ac:dyDescent="0.25">
      <c r="A931" t="s">
        <v>12</v>
      </c>
      <c r="B931" t="s">
        <v>389</v>
      </c>
      <c r="C931" t="s">
        <v>390</v>
      </c>
      <c r="D931" t="s">
        <v>391</v>
      </c>
      <c r="E931" t="s">
        <v>392</v>
      </c>
      <c r="F931" s="20">
        <v>97121</v>
      </c>
      <c r="I931" s="11">
        <f t="shared" si="3"/>
        <v>45952</v>
      </c>
      <c r="J931" s="12">
        <f t="shared" si="4"/>
        <v>102</v>
      </c>
      <c r="K931" t="str">
        <f t="shared" si="5"/>
        <v>91-120</v>
      </c>
      <c r="L931" s="11">
        <v>46054</v>
      </c>
      <c r="M931" s="23">
        <f>YEAR(Таблица1[[#This Row],[Дата отчета]])</f>
        <v>2026</v>
      </c>
    </row>
    <row r="932" spans="1:14" x14ac:dyDescent="0.25">
      <c r="A932" t="s">
        <v>12</v>
      </c>
      <c r="B932" t="s">
        <v>402</v>
      </c>
      <c r="C932" t="s">
        <v>403</v>
      </c>
      <c r="D932" t="s">
        <v>404</v>
      </c>
      <c r="E932" t="s">
        <v>405</v>
      </c>
      <c r="F932" s="20">
        <v>6881.46</v>
      </c>
      <c r="I932" s="11">
        <f t="shared" si="3"/>
        <v>44773</v>
      </c>
      <c r="J932" s="12">
        <f t="shared" si="4"/>
        <v>1281</v>
      </c>
      <c r="K932" t="str">
        <f t="shared" si="5"/>
        <v>&gt;360</v>
      </c>
      <c r="L932" s="11">
        <v>46054</v>
      </c>
      <c r="M932" s="23">
        <f>YEAR(Таблица1[[#This Row],[Дата отчета]])</f>
        <v>2026</v>
      </c>
      <c r="N932" s="7" t="s">
        <v>4538</v>
      </c>
    </row>
    <row r="933" spans="1:14" x14ac:dyDescent="0.25">
      <c r="A933" t="s">
        <v>12</v>
      </c>
      <c r="B933" t="s">
        <v>402</v>
      </c>
      <c r="C933" t="s">
        <v>406</v>
      </c>
      <c r="D933" t="s">
        <v>407</v>
      </c>
      <c r="E933" t="s">
        <v>408</v>
      </c>
      <c r="F933" s="20">
        <v>6883200</v>
      </c>
      <c r="I933" s="11">
        <f t="shared" si="3"/>
        <v>46010</v>
      </c>
      <c r="J933" s="12">
        <f t="shared" si="4"/>
        <v>44</v>
      </c>
      <c r="K933" t="str">
        <f t="shared" si="5"/>
        <v>31-90</v>
      </c>
      <c r="L933" s="11">
        <v>46054</v>
      </c>
      <c r="M933" s="23">
        <f>YEAR(Таблица1[[#This Row],[Дата отчета]])</f>
        <v>2026</v>
      </c>
    </row>
    <row r="934" spans="1:14" x14ac:dyDescent="0.25">
      <c r="A934" t="s">
        <v>12</v>
      </c>
      <c r="B934" t="s">
        <v>412</v>
      </c>
      <c r="C934" t="s">
        <v>413</v>
      </c>
      <c r="D934" t="s">
        <v>414</v>
      </c>
      <c r="E934" t="s">
        <v>415</v>
      </c>
      <c r="F934" s="20">
        <v>0.04</v>
      </c>
      <c r="I934" s="11">
        <f t="shared" si="3"/>
        <v>45833</v>
      </c>
      <c r="J934" s="12">
        <f t="shared" si="4"/>
        <v>221</v>
      </c>
      <c r="K934" t="str">
        <f t="shared" si="5"/>
        <v>181-270</v>
      </c>
      <c r="L934" s="11">
        <v>46054</v>
      </c>
      <c r="M934" s="23">
        <f>YEAR(Таблица1[[#This Row],[Дата отчета]])</f>
        <v>2026</v>
      </c>
    </row>
    <row r="935" spans="1:14" x14ac:dyDescent="0.25">
      <c r="A935" t="s">
        <v>12</v>
      </c>
      <c r="B935" t="s">
        <v>416</v>
      </c>
      <c r="C935" t="s">
        <v>417</v>
      </c>
      <c r="D935" t="s">
        <v>418</v>
      </c>
      <c r="E935" t="s">
        <v>419</v>
      </c>
      <c r="F935" s="20">
        <v>5478</v>
      </c>
      <c r="I935" s="11">
        <f t="shared" si="3"/>
        <v>45883</v>
      </c>
      <c r="J935" s="12">
        <f t="shared" si="4"/>
        <v>171</v>
      </c>
      <c r="K935" t="str">
        <f t="shared" si="5"/>
        <v>121-180</v>
      </c>
      <c r="L935" s="11">
        <v>46054</v>
      </c>
      <c r="M935" s="23">
        <f>YEAR(Таблица1[[#This Row],[Дата отчета]])</f>
        <v>2026</v>
      </c>
    </row>
    <row r="936" spans="1:14" x14ac:dyDescent="0.25">
      <c r="A936" t="s">
        <v>12</v>
      </c>
      <c r="B936" t="s">
        <v>416</v>
      </c>
      <c r="C936" t="s">
        <v>1174</v>
      </c>
      <c r="D936" t="s">
        <v>1175</v>
      </c>
      <c r="E936" t="s">
        <v>422</v>
      </c>
      <c r="F936" s="20">
        <v>12205</v>
      </c>
      <c r="I936" s="11">
        <f t="shared" si="3"/>
        <v>45972</v>
      </c>
      <c r="J936" s="12">
        <f t="shared" si="4"/>
        <v>82</v>
      </c>
      <c r="K936" t="str">
        <f t="shared" si="5"/>
        <v>31-90</v>
      </c>
      <c r="L936" s="11">
        <v>46054</v>
      </c>
      <c r="M936" s="23">
        <f>YEAR(Таблица1[[#This Row],[Дата отчета]])</f>
        <v>2026</v>
      </c>
    </row>
    <row r="937" spans="1:14" x14ac:dyDescent="0.25">
      <c r="A937" t="s">
        <v>12</v>
      </c>
      <c r="B937" t="s">
        <v>416</v>
      </c>
      <c r="C937" t="s">
        <v>420</v>
      </c>
      <c r="D937" t="s">
        <v>421</v>
      </c>
      <c r="E937" t="s">
        <v>422</v>
      </c>
      <c r="F937" s="20">
        <v>11518</v>
      </c>
      <c r="I937" s="11">
        <f t="shared" si="3"/>
        <v>45972</v>
      </c>
      <c r="J937" s="12">
        <f t="shared" si="4"/>
        <v>82</v>
      </c>
      <c r="K937" t="str">
        <f t="shared" si="5"/>
        <v>31-90</v>
      </c>
      <c r="L937" s="11">
        <v>46054</v>
      </c>
      <c r="M937" s="23">
        <f>YEAR(Таблица1[[#This Row],[Дата отчета]])</f>
        <v>2026</v>
      </c>
    </row>
    <row r="938" spans="1:14" x14ac:dyDescent="0.25">
      <c r="A938" t="s">
        <v>12</v>
      </c>
      <c r="B938" t="s">
        <v>416</v>
      </c>
      <c r="C938" t="s">
        <v>423</v>
      </c>
      <c r="D938" t="s">
        <v>424</v>
      </c>
      <c r="E938" t="s">
        <v>422</v>
      </c>
      <c r="F938" s="20">
        <v>65989</v>
      </c>
      <c r="I938" s="11">
        <f t="shared" si="3"/>
        <v>45972</v>
      </c>
      <c r="J938" s="12">
        <f t="shared" si="4"/>
        <v>82</v>
      </c>
      <c r="K938" t="str">
        <f t="shared" si="5"/>
        <v>31-90</v>
      </c>
      <c r="L938" s="11">
        <v>46054</v>
      </c>
      <c r="M938" s="23">
        <f>YEAR(Таблица1[[#This Row],[Дата отчета]])</f>
        <v>2026</v>
      </c>
    </row>
    <row r="939" spans="1:14" x14ac:dyDescent="0.25">
      <c r="A939" t="s">
        <v>12</v>
      </c>
      <c r="B939" t="s">
        <v>425</v>
      </c>
      <c r="C939" t="s">
        <v>426</v>
      </c>
      <c r="D939" t="s">
        <v>427</v>
      </c>
      <c r="E939" t="s">
        <v>415</v>
      </c>
      <c r="F939" s="20">
        <v>52500</v>
      </c>
      <c r="I939" s="11">
        <f t="shared" si="3"/>
        <v>45833</v>
      </c>
      <c r="J939" s="12">
        <f t="shared" si="4"/>
        <v>221</v>
      </c>
      <c r="K939" t="str">
        <f t="shared" si="5"/>
        <v>181-270</v>
      </c>
      <c r="L939" s="11">
        <v>46054</v>
      </c>
      <c r="M939" s="23">
        <f>YEAR(Таблица1[[#This Row],[Дата отчета]])</f>
        <v>2026</v>
      </c>
    </row>
    <row r="940" spans="1:14" x14ac:dyDescent="0.25">
      <c r="A940" t="s">
        <v>12</v>
      </c>
      <c r="B940" t="s">
        <v>425</v>
      </c>
      <c r="C940" t="s">
        <v>426</v>
      </c>
      <c r="D940" t="s">
        <v>428</v>
      </c>
      <c r="E940" t="s">
        <v>429</v>
      </c>
      <c r="F940" s="20">
        <v>297500</v>
      </c>
      <c r="I940" s="11">
        <f t="shared" si="3"/>
        <v>45897</v>
      </c>
      <c r="J940" s="12">
        <f t="shared" si="4"/>
        <v>157</v>
      </c>
      <c r="K940" t="str">
        <f t="shared" si="5"/>
        <v>121-180</v>
      </c>
      <c r="L940" s="11">
        <v>46054</v>
      </c>
      <c r="M940" s="23">
        <f>YEAR(Таблица1[[#This Row],[Дата отчета]])</f>
        <v>2026</v>
      </c>
    </row>
    <row r="941" spans="1:14" x14ac:dyDescent="0.25">
      <c r="A941" t="s">
        <v>12</v>
      </c>
      <c r="B941" t="s">
        <v>1176</v>
      </c>
      <c r="C941" t="s">
        <v>1177</v>
      </c>
      <c r="D941" t="s">
        <v>1178</v>
      </c>
      <c r="E941" t="s">
        <v>635</v>
      </c>
      <c r="F941" s="20">
        <v>207900</v>
      </c>
      <c r="I941" s="11">
        <f t="shared" si="3"/>
        <v>45910</v>
      </c>
      <c r="J941" s="12">
        <f t="shared" si="4"/>
        <v>144</v>
      </c>
      <c r="K941" t="str">
        <f t="shared" si="5"/>
        <v>121-180</v>
      </c>
      <c r="L941" s="11">
        <v>46054</v>
      </c>
      <c r="M941" s="23">
        <f>YEAR(Таблица1[[#This Row],[Дата отчета]])</f>
        <v>2026</v>
      </c>
    </row>
    <row r="942" spans="1:14" x14ac:dyDescent="0.25">
      <c r="A942" t="s">
        <v>12</v>
      </c>
      <c r="B942" t="s">
        <v>1176</v>
      </c>
      <c r="C942" t="s">
        <v>1177</v>
      </c>
      <c r="D942" t="s">
        <v>1179</v>
      </c>
      <c r="E942" t="s">
        <v>462</v>
      </c>
      <c r="F942" s="20">
        <v>207900</v>
      </c>
      <c r="I942" s="11">
        <f t="shared" si="3"/>
        <v>45945</v>
      </c>
      <c r="J942" s="12">
        <f t="shared" si="4"/>
        <v>109</v>
      </c>
      <c r="K942" t="str">
        <f t="shared" si="5"/>
        <v>91-120</v>
      </c>
      <c r="L942" s="11">
        <v>46054</v>
      </c>
      <c r="M942" s="23">
        <f>YEAR(Таблица1[[#This Row],[Дата отчета]])</f>
        <v>2026</v>
      </c>
    </row>
    <row r="943" spans="1:14" x14ac:dyDescent="0.25">
      <c r="A943" t="s">
        <v>12</v>
      </c>
      <c r="B943" t="s">
        <v>434</v>
      </c>
      <c r="C943" t="s">
        <v>437</v>
      </c>
      <c r="D943" t="s">
        <v>438</v>
      </c>
      <c r="E943" t="s">
        <v>422</v>
      </c>
      <c r="F943" s="20">
        <v>40216000</v>
      </c>
      <c r="I943" s="11">
        <f t="shared" si="3"/>
        <v>45972</v>
      </c>
      <c r="J943" s="12">
        <f t="shared" si="4"/>
        <v>82</v>
      </c>
      <c r="K943" t="str">
        <f t="shared" si="5"/>
        <v>31-90</v>
      </c>
      <c r="L943" s="11">
        <v>46054</v>
      </c>
      <c r="M943" s="23">
        <f>YEAR(Таблица1[[#This Row],[Дата отчета]])</f>
        <v>2026</v>
      </c>
    </row>
    <row r="944" spans="1:14" x14ac:dyDescent="0.25">
      <c r="A944" t="s">
        <v>12</v>
      </c>
      <c r="B944" t="s">
        <v>441</v>
      </c>
      <c r="C944" t="s">
        <v>442</v>
      </c>
      <c r="D944" t="s">
        <v>443</v>
      </c>
      <c r="E944" t="s">
        <v>75</v>
      </c>
      <c r="F944" s="20">
        <v>13872940.5</v>
      </c>
      <c r="I944" s="11">
        <f t="shared" si="3"/>
        <v>46016</v>
      </c>
      <c r="J944" s="12">
        <f t="shared" si="4"/>
        <v>38</v>
      </c>
      <c r="K944" t="str">
        <f t="shared" si="5"/>
        <v>31-90</v>
      </c>
      <c r="L944" s="11">
        <v>46054</v>
      </c>
      <c r="M944" s="23">
        <f>YEAR(Таблица1[[#This Row],[Дата отчета]])</f>
        <v>2026</v>
      </c>
    </row>
    <row r="945" spans="1:14" x14ac:dyDescent="0.25">
      <c r="A945" t="s">
        <v>12</v>
      </c>
      <c r="B945" t="s">
        <v>445</v>
      </c>
      <c r="C945" t="s">
        <v>446</v>
      </c>
      <c r="D945" t="s">
        <v>447</v>
      </c>
      <c r="E945" t="s">
        <v>45</v>
      </c>
      <c r="F945" s="20">
        <v>168000</v>
      </c>
      <c r="I945" s="11">
        <f t="shared" si="3"/>
        <v>45938</v>
      </c>
      <c r="J945" s="12">
        <f t="shared" si="4"/>
        <v>116</v>
      </c>
      <c r="K945" t="str">
        <f t="shared" si="5"/>
        <v>91-120</v>
      </c>
      <c r="L945" s="11">
        <v>46054</v>
      </c>
      <c r="M945" s="23">
        <f>YEAR(Таблица1[[#This Row],[Дата отчета]])</f>
        <v>2026</v>
      </c>
    </row>
    <row r="946" spans="1:14" x14ac:dyDescent="0.25">
      <c r="A946" t="s">
        <v>12</v>
      </c>
      <c r="B946" t="s">
        <v>448</v>
      </c>
      <c r="C946" t="s">
        <v>449</v>
      </c>
      <c r="D946" t="s">
        <v>450</v>
      </c>
      <c r="E946" t="s">
        <v>451</v>
      </c>
      <c r="F946" s="20">
        <v>7941</v>
      </c>
      <c r="I946" s="11">
        <f t="shared" si="3"/>
        <v>45884</v>
      </c>
      <c r="J946" s="12">
        <f t="shared" si="4"/>
        <v>170</v>
      </c>
      <c r="K946" t="str">
        <f t="shared" si="5"/>
        <v>121-180</v>
      </c>
      <c r="L946" s="11">
        <v>46054</v>
      </c>
      <c r="M946" s="23">
        <f>YEAR(Таблица1[[#This Row],[Дата отчета]])</f>
        <v>2026</v>
      </c>
    </row>
    <row r="947" spans="1:14" x14ac:dyDescent="0.25">
      <c r="A947" t="s">
        <v>12</v>
      </c>
      <c r="B947" t="s">
        <v>456</v>
      </c>
      <c r="C947" t="s">
        <v>457</v>
      </c>
      <c r="D947" t="s">
        <v>458</v>
      </c>
      <c r="E947" t="s">
        <v>459</v>
      </c>
      <c r="F947" s="20">
        <v>5500</v>
      </c>
      <c r="I947" s="11">
        <f t="shared" si="3"/>
        <v>45195</v>
      </c>
      <c r="J947" s="12">
        <f t="shared" si="4"/>
        <v>859</v>
      </c>
      <c r="K947" t="str">
        <f t="shared" si="5"/>
        <v>&gt;360</v>
      </c>
      <c r="L947" s="11">
        <v>46054</v>
      </c>
      <c r="M947" s="23">
        <f>YEAR(Таблица1[[#This Row],[Дата отчета]])</f>
        <v>2026</v>
      </c>
    </row>
    <row r="948" spans="1:14" x14ac:dyDescent="0.25">
      <c r="A948" t="s">
        <v>12</v>
      </c>
      <c r="B948" t="s">
        <v>456</v>
      </c>
      <c r="C948" t="s">
        <v>460</v>
      </c>
      <c r="D948" t="s">
        <v>461</v>
      </c>
      <c r="E948" t="s">
        <v>462</v>
      </c>
      <c r="F948" s="20">
        <v>102545</v>
      </c>
      <c r="I948" s="11">
        <f t="shared" si="3"/>
        <v>45945</v>
      </c>
      <c r="J948" s="12">
        <f t="shared" si="4"/>
        <v>109</v>
      </c>
      <c r="K948" t="str">
        <f t="shared" si="5"/>
        <v>91-120</v>
      </c>
      <c r="L948" s="11">
        <v>46054</v>
      </c>
      <c r="M948" s="23">
        <f>YEAR(Таблица1[[#This Row],[Дата отчета]])</f>
        <v>2026</v>
      </c>
    </row>
    <row r="949" spans="1:14" x14ac:dyDescent="0.25">
      <c r="A949" t="s">
        <v>12</v>
      </c>
      <c r="B949" t="s">
        <v>463</v>
      </c>
      <c r="C949" t="s">
        <v>464</v>
      </c>
      <c r="D949" t="s">
        <v>465</v>
      </c>
      <c r="E949" t="s">
        <v>466</v>
      </c>
      <c r="F949" s="20">
        <v>2760000</v>
      </c>
      <c r="I949" s="11">
        <f t="shared" si="3"/>
        <v>45986</v>
      </c>
      <c r="J949" s="12">
        <f t="shared" si="4"/>
        <v>68</v>
      </c>
      <c r="K949" t="str">
        <f t="shared" si="5"/>
        <v>31-90</v>
      </c>
      <c r="L949" s="11">
        <v>46054</v>
      </c>
      <c r="M949" s="23">
        <f>YEAR(Таблица1[[#This Row],[Дата отчета]])</f>
        <v>2026</v>
      </c>
    </row>
    <row r="950" spans="1:14" x14ac:dyDescent="0.25">
      <c r="A950" t="s">
        <v>12</v>
      </c>
      <c r="B950" t="s">
        <v>467</v>
      </c>
      <c r="C950" t="s">
        <v>468</v>
      </c>
      <c r="D950" t="s">
        <v>469</v>
      </c>
      <c r="E950" t="s">
        <v>470</v>
      </c>
      <c r="F950" s="20">
        <v>2000</v>
      </c>
      <c r="I950" s="11">
        <f t="shared" si="3"/>
        <v>44551</v>
      </c>
      <c r="J950" s="12">
        <f t="shared" si="4"/>
        <v>1503</v>
      </c>
      <c r="K950" t="str">
        <f t="shared" si="5"/>
        <v>&gt;360</v>
      </c>
      <c r="L950" s="11">
        <v>46054</v>
      </c>
      <c r="M950" s="23">
        <f>YEAR(Таблица1[[#This Row],[Дата отчета]])</f>
        <v>2026</v>
      </c>
    </row>
    <row r="951" spans="1:14" x14ac:dyDescent="0.25">
      <c r="A951" t="s">
        <v>12</v>
      </c>
      <c r="B951" t="s">
        <v>471</v>
      </c>
      <c r="C951" t="s">
        <v>472</v>
      </c>
      <c r="D951" t="s">
        <v>473</v>
      </c>
      <c r="E951" t="s">
        <v>429</v>
      </c>
      <c r="F951" s="20">
        <v>25866</v>
      </c>
      <c r="I951" s="11">
        <f t="shared" si="3"/>
        <v>45897</v>
      </c>
      <c r="J951" s="12">
        <f t="shared" si="4"/>
        <v>157</v>
      </c>
      <c r="K951" t="str">
        <f t="shared" si="5"/>
        <v>121-180</v>
      </c>
      <c r="L951" s="11">
        <v>46054</v>
      </c>
      <c r="M951" s="23">
        <f>YEAR(Таблица1[[#This Row],[Дата отчета]])</f>
        <v>2026</v>
      </c>
    </row>
    <row r="952" spans="1:14" x14ac:dyDescent="0.25">
      <c r="A952" t="s">
        <v>12</v>
      </c>
      <c r="B952" t="s">
        <v>474</v>
      </c>
      <c r="C952" t="s">
        <v>475</v>
      </c>
      <c r="D952" t="s">
        <v>476</v>
      </c>
      <c r="E952" t="s">
        <v>477</v>
      </c>
      <c r="F952" s="20">
        <v>300</v>
      </c>
      <c r="I952" s="11">
        <f t="shared" si="3"/>
        <v>45401</v>
      </c>
      <c r="J952" s="12">
        <f t="shared" si="4"/>
        <v>653</v>
      </c>
      <c r="K952" t="str">
        <f t="shared" si="5"/>
        <v>&gt;360</v>
      </c>
      <c r="L952" s="11">
        <v>46054</v>
      </c>
      <c r="M952" s="23">
        <f>YEAR(Таблица1[[#This Row],[Дата отчета]])</f>
        <v>2026</v>
      </c>
    </row>
    <row r="953" spans="1:14" x14ac:dyDescent="0.25">
      <c r="A953" t="s">
        <v>12</v>
      </c>
      <c r="B953" t="s">
        <v>478</v>
      </c>
      <c r="C953" t="s">
        <v>479</v>
      </c>
      <c r="D953" t="s">
        <v>480</v>
      </c>
      <c r="E953" t="s">
        <v>75</v>
      </c>
      <c r="F953" s="20">
        <v>6293600</v>
      </c>
      <c r="I953" s="11">
        <f t="shared" si="3"/>
        <v>46016</v>
      </c>
      <c r="J953" s="12">
        <f t="shared" si="4"/>
        <v>38</v>
      </c>
      <c r="K953" t="str">
        <f t="shared" si="5"/>
        <v>31-90</v>
      </c>
      <c r="L953" s="11">
        <v>46054</v>
      </c>
      <c r="M953" s="23">
        <f>YEAR(Таблица1[[#This Row],[Дата отчета]])</f>
        <v>2026</v>
      </c>
    </row>
    <row r="954" spans="1:14" x14ac:dyDescent="0.25">
      <c r="A954" t="s">
        <v>12</v>
      </c>
      <c r="B954" t="s">
        <v>481</v>
      </c>
      <c r="C954" t="s">
        <v>482</v>
      </c>
      <c r="D954" t="s">
        <v>483</v>
      </c>
      <c r="E954" t="s">
        <v>70</v>
      </c>
      <c r="F954" s="20">
        <v>0.02</v>
      </c>
      <c r="I954" s="11">
        <f t="shared" si="3"/>
        <v>45979</v>
      </c>
      <c r="J954" s="12">
        <f t="shared" si="4"/>
        <v>75</v>
      </c>
      <c r="K954" t="str">
        <f t="shared" si="5"/>
        <v>31-90</v>
      </c>
      <c r="L954" s="11">
        <v>46054</v>
      </c>
      <c r="M954" s="23">
        <f>YEAR(Таблица1[[#This Row],[Дата отчета]])</f>
        <v>2026</v>
      </c>
    </row>
    <row r="955" spans="1:14" x14ac:dyDescent="0.25">
      <c r="A955" t="s">
        <v>12</v>
      </c>
      <c r="B955" t="s">
        <v>481</v>
      </c>
      <c r="C955" t="s">
        <v>484</v>
      </c>
      <c r="D955" t="s">
        <v>485</v>
      </c>
      <c r="E955" t="s">
        <v>486</v>
      </c>
      <c r="F955" s="20">
        <v>0.01</v>
      </c>
      <c r="I955" s="11">
        <f t="shared" si="3"/>
        <v>45848</v>
      </c>
      <c r="J955" s="12">
        <f t="shared" si="4"/>
        <v>206</v>
      </c>
      <c r="K955" t="str">
        <f t="shared" si="5"/>
        <v>181-270</v>
      </c>
      <c r="L955" s="11">
        <v>46054</v>
      </c>
      <c r="M955" s="23">
        <f>YEAR(Таблица1[[#This Row],[Дата отчета]])</f>
        <v>2026</v>
      </c>
    </row>
    <row r="956" spans="1:14" x14ac:dyDescent="0.25">
      <c r="A956" t="s">
        <v>12</v>
      </c>
      <c r="B956" t="s">
        <v>487</v>
      </c>
      <c r="C956" t="s">
        <v>488</v>
      </c>
      <c r="D956" t="s">
        <v>489</v>
      </c>
      <c r="E956" t="s">
        <v>490</v>
      </c>
      <c r="F956" s="20">
        <v>299500</v>
      </c>
      <c r="I956" s="11">
        <f t="shared" si="3"/>
        <v>45631</v>
      </c>
      <c r="J956" s="12">
        <f t="shared" si="4"/>
        <v>423</v>
      </c>
      <c r="K956" t="str">
        <f t="shared" si="5"/>
        <v>&gt;360</v>
      </c>
      <c r="L956" s="11">
        <v>46054</v>
      </c>
      <c r="M956" s="23">
        <f>YEAR(Таблица1[[#This Row],[Дата отчета]])</f>
        <v>2026</v>
      </c>
      <c r="N956" s="7" t="s">
        <v>4554</v>
      </c>
    </row>
    <row r="957" spans="1:14" x14ac:dyDescent="0.25">
      <c r="A957" t="s">
        <v>12</v>
      </c>
      <c r="B957" t="s">
        <v>494</v>
      </c>
      <c r="C957" t="s">
        <v>495</v>
      </c>
      <c r="D957" t="s">
        <v>496</v>
      </c>
      <c r="E957" t="s">
        <v>497</v>
      </c>
      <c r="F957" s="20">
        <v>23544</v>
      </c>
      <c r="I957" s="11">
        <f t="shared" si="3"/>
        <v>45875</v>
      </c>
      <c r="J957" s="12">
        <f t="shared" si="4"/>
        <v>179</v>
      </c>
      <c r="K957" t="str">
        <f t="shared" si="5"/>
        <v>121-180</v>
      </c>
      <c r="L957" s="11">
        <v>46054</v>
      </c>
      <c r="M957" s="23">
        <f>YEAR(Таблица1[[#This Row],[Дата отчета]])</f>
        <v>2026</v>
      </c>
    </row>
    <row r="958" spans="1:14" x14ac:dyDescent="0.25">
      <c r="A958" t="s">
        <v>12</v>
      </c>
      <c r="B958" t="s">
        <v>498</v>
      </c>
      <c r="C958" t="s">
        <v>499</v>
      </c>
      <c r="D958" t="s">
        <v>500</v>
      </c>
      <c r="E958" t="s">
        <v>501</v>
      </c>
      <c r="F958" s="20">
        <v>28000</v>
      </c>
      <c r="I958" s="11">
        <f t="shared" si="3"/>
        <v>45940</v>
      </c>
      <c r="J958" s="12">
        <f t="shared" si="4"/>
        <v>114</v>
      </c>
      <c r="K958" t="str">
        <f t="shared" si="5"/>
        <v>91-120</v>
      </c>
      <c r="L958" s="11">
        <v>46054</v>
      </c>
      <c r="M958" s="23">
        <f>YEAR(Таблица1[[#This Row],[Дата отчета]])</f>
        <v>2026</v>
      </c>
    </row>
    <row r="959" spans="1:14" x14ac:dyDescent="0.25">
      <c r="A959" t="s">
        <v>12</v>
      </c>
      <c r="B959" t="s">
        <v>502</v>
      </c>
      <c r="C959" t="s">
        <v>503</v>
      </c>
      <c r="D959" t="s">
        <v>504</v>
      </c>
      <c r="E959" t="s">
        <v>505</v>
      </c>
      <c r="F959" s="20">
        <v>1334.4</v>
      </c>
      <c r="I959" s="11">
        <f t="shared" ref="I959:I1022" si="6">E959*1</f>
        <v>45587</v>
      </c>
      <c r="J959" s="12">
        <f t="shared" ref="J959:J1022" si="7">L959-I959</f>
        <v>467</v>
      </c>
      <c r="K959" t="str">
        <f t="shared" ref="K959:K1022" si="8">IF(J959&lt;=30,"0-30",IF(J959&lt;=90,"31-90",IF(J959&lt;=120,"91-120",IF(J959&lt;=180,"121-180",IF(J959&lt;=270,"181-270",IF(J959&lt;=360,"271-360","&gt;360"))))))</f>
        <v>&gt;360</v>
      </c>
      <c r="L959" s="11">
        <v>46054</v>
      </c>
      <c r="M959" s="23">
        <f>YEAR(Таблица1[[#This Row],[Дата отчета]])</f>
        <v>2026</v>
      </c>
      <c r="N959" s="7" t="s">
        <v>4538</v>
      </c>
    </row>
    <row r="960" spans="1:14" x14ac:dyDescent="0.25">
      <c r="A960" t="s">
        <v>12</v>
      </c>
      <c r="B960" t="s">
        <v>502</v>
      </c>
      <c r="C960" t="s">
        <v>506</v>
      </c>
      <c r="D960" t="s">
        <v>507</v>
      </c>
      <c r="E960" t="s">
        <v>508</v>
      </c>
      <c r="F960" s="20">
        <v>6990</v>
      </c>
      <c r="I960" s="11">
        <f t="shared" si="6"/>
        <v>45593</v>
      </c>
      <c r="J960" s="12">
        <f t="shared" si="7"/>
        <v>461</v>
      </c>
      <c r="K960" t="str">
        <f t="shared" si="8"/>
        <v>&gt;360</v>
      </c>
      <c r="L960" s="11">
        <v>46054</v>
      </c>
      <c r="M960" s="23">
        <f>YEAR(Таблица1[[#This Row],[Дата отчета]])</f>
        <v>2026</v>
      </c>
      <c r="N960" s="7" t="s">
        <v>4538</v>
      </c>
    </row>
    <row r="961" spans="1:14" x14ac:dyDescent="0.25">
      <c r="A961" t="s">
        <v>12</v>
      </c>
      <c r="B961" t="s">
        <v>509</v>
      </c>
      <c r="C961" t="s">
        <v>510</v>
      </c>
      <c r="D961" t="s">
        <v>511</v>
      </c>
      <c r="E961" t="s">
        <v>70</v>
      </c>
      <c r="F961" s="20">
        <v>300000</v>
      </c>
      <c r="I961" s="11">
        <f t="shared" si="6"/>
        <v>45979</v>
      </c>
      <c r="J961" s="12">
        <f t="shared" si="7"/>
        <v>75</v>
      </c>
      <c r="K961" t="str">
        <f t="shared" si="8"/>
        <v>31-90</v>
      </c>
      <c r="L961" s="11">
        <v>46054</v>
      </c>
      <c r="M961" s="23">
        <f>YEAR(Таблица1[[#This Row],[Дата отчета]])</f>
        <v>2026</v>
      </c>
    </row>
    <row r="962" spans="1:14" x14ac:dyDescent="0.25">
      <c r="A962" t="s">
        <v>12</v>
      </c>
      <c r="B962" t="s">
        <v>512</v>
      </c>
      <c r="C962" t="s">
        <v>513</v>
      </c>
      <c r="D962" t="s">
        <v>514</v>
      </c>
      <c r="E962" t="s">
        <v>183</v>
      </c>
      <c r="F962" s="20">
        <v>24500</v>
      </c>
      <c r="I962" s="11">
        <f t="shared" si="6"/>
        <v>45817</v>
      </c>
      <c r="J962" s="12">
        <f t="shared" si="7"/>
        <v>237</v>
      </c>
      <c r="K962" t="str">
        <f t="shared" si="8"/>
        <v>181-270</v>
      </c>
      <c r="L962" s="11">
        <v>46054</v>
      </c>
      <c r="M962" s="23">
        <f>YEAR(Таблица1[[#This Row],[Дата отчета]])</f>
        <v>2026</v>
      </c>
    </row>
    <row r="963" spans="1:14" x14ac:dyDescent="0.25">
      <c r="A963" t="s">
        <v>12</v>
      </c>
      <c r="B963" t="s">
        <v>512</v>
      </c>
      <c r="C963" t="s">
        <v>515</v>
      </c>
      <c r="D963" t="s">
        <v>516</v>
      </c>
      <c r="E963" t="s">
        <v>517</v>
      </c>
      <c r="F963" s="20">
        <v>58485</v>
      </c>
      <c r="I963" s="11">
        <f t="shared" si="6"/>
        <v>45797</v>
      </c>
      <c r="J963" s="12">
        <f t="shared" si="7"/>
        <v>257</v>
      </c>
      <c r="K963" t="str">
        <f t="shared" si="8"/>
        <v>181-270</v>
      </c>
      <c r="L963" s="11">
        <v>46054</v>
      </c>
      <c r="M963" s="23">
        <f>YEAR(Таблица1[[#This Row],[Дата отчета]])</f>
        <v>2026</v>
      </c>
    </row>
    <row r="964" spans="1:14" x14ac:dyDescent="0.25">
      <c r="A964" t="s">
        <v>12</v>
      </c>
      <c r="B964" t="s">
        <v>512</v>
      </c>
      <c r="C964" t="s">
        <v>518</v>
      </c>
      <c r="D964" t="s">
        <v>519</v>
      </c>
      <c r="E964" t="s">
        <v>520</v>
      </c>
      <c r="F964" s="20">
        <v>2690</v>
      </c>
      <c r="I964" s="11">
        <f t="shared" si="6"/>
        <v>45811</v>
      </c>
      <c r="J964" s="12">
        <f t="shared" si="7"/>
        <v>243</v>
      </c>
      <c r="K964" t="str">
        <f t="shared" si="8"/>
        <v>181-270</v>
      </c>
      <c r="L964" s="11">
        <v>46054</v>
      </c>
      <c r="M964" s="23">
        <f>YEAR(Таблица1[[#This Row],[Дата отчета]])</f>
        <v>2026</v>
      </c>
    </row>
    <row r="965" spans="1:14" x14ac:dyDescent="0.25">
      <c r="A965" t="s">
        <v>12</v>
      </c>
      <c r="B965" t="s">
        <v>512</v>
      </c>
      <c r="C965" t="s">
        <v>521</v>
      </c>
      <c r="D965" t="s">
        <v>522</v>
      </c>
      <c r="E965" t="s">
        <v>83</v>
      </c>
      <c r="F965" s="20">
        <v>16020</v>
      </c>
      <c r="I965" s="11">
        <f t="shared" si="6"/>
        <v>45852</v>
      </c>
      <c r="J965" s="12">
        <f t="shared" si="7"/>
        <v>202</v>
      </c>
      <c r="K965" t="str">
        <f t="shared" si="8"/>
        <v>181-270</v>
      </c>
      <c r="L965" s="11">
        <v>46054</v>
      </c>
      <c r="M965" s="23">
        <f>YEAR(Таблица1[[#This Row],[Дата отчета]])</f>
        <v>2026</v>
      </c>
    </row>
    <row r="966" spans="1:14" x14ac:dyDescent="0.25">
      <c r="A966" t="s">
        <v>12</v>
      </c>
      <c r="B966" t="s">
        <v>512</v>
      </c>
      <c r="C966" t="s">
        <v>523</v>
      </c>
      <c r="D966" t="s">
        <v>524</v>
      </c>
      <c r="E966" t="s">
        <v>525</v>
      </c>
      <c r="F966" s="20">
        <v>29748</v>
      </c>
      <c r="I966" s="11">
        <f t="shared" si="6"/>
        <v>45954</v>
      </c>
      <c r="J966" s="12">
        <f t="shared" si="7"/>
        <v>100</v>
      </c>
      <c r="K966" t="str">
        <f t="shared" si="8"/>
        <v>91-120</v>
      </c>
      <c r="L966" s="11">
        <v>46054</v>
      </c>
      <c r="M966" s="23">
        <f>YEAR(Таблица1[[#This Row],[Дата отчета]])</f>
        <v>2026</v>
      </c>
    </row>
    <row r="967" spans="1:14" x14ac:dyDescent="0.25">
      <c r="A967" t="s">
        <v>12</v>
      </c>
      <c r="B967" t="s">
        <v>526</v>
      </c>
      <c r="C967" t="s">
        <v>269</v>
      </c>
      <c r="D967" t="s">
        <v>527</v>
      </c>
      <c r="E967" t="s">
        <v>528</v>
      </c>
      <c r="F967" s="20">
        <v>3135726.34</v>
      </c>
      <c r="I967" s="11">
        <f t="shared" si="6"/>
        <v>45985</v>
      </c>
      <c r="J967" s="12">
        <f t="shared" si="7"/>
        <v>69</v>
      </c>
      <c r="K967" t="str">
        <f t="shared" si="8"/>
        <v>31-90</v>
      </c>
      <c r="L967" s="11">
        <v>46054</v>
      </c>
      <c r="M967" s="23">
        <f>YEAR(Таблица1[[#This Row],[Дата отчета]])</f>
        <v>2026</v>
      </c>
    </row>
    <row r="968" spans="1:14" x14ac:dyDescent="0.25">
      <c r="A968" t="s">
        <v>12</v>
      </c>
      <c r="B968" t="s">
        <v>529</v>
      </c>
      <c r="C968" t="s">
        <v>530</v>
      </c>
      <c r="D968" t="s">
        <v>531</v>
      </c>
      <c r="E968" t="s">
        <v>532</v>
      </c>
      <c r="F968" s="20">
        <v>5900</v>
      </c>
      <c r="I968" s="11">
        <f t="shared" si="6"/>
        <v>45813</v>
      </c>
      <c r="J968" s="12">
        <f t="shared" si="7"/>
        <v>241</v>
      </c>
      <c r="K968" t="str">
        <f t="shared" si="8"/>
        <v>181-270</v>
      </c>
      <c r="L968" s="11">
        <v>46054</v>
      </c>
      <c r="M968" s="23">
        <f>YEAR(Таблица1[[#This Row],[Дата отчета]])</f>
        <v>2026</v>
      </c>
    </row>
    <row r="969" spans="1:14" x14ac:dyDescent="0.25">
      <c r="A969" t="s">
        <v>12</v>
      </c>
      <c r="B969" t="s">
        <v>529</v>
      </c>
      <c r="C969" t="s">
        <v>533</v>
      </c>
      <c r="D969" t="s">
        <v>534</v>
      </c>
      <c r="E969" t="s">
        <v>535</v>
      </c>
      <c r="F969" s="20">
        <v>76000</v>
      </c>
      <c r="I969" s="11">
        <f t="shared" si="6"/>
        <v>45796</v>
      </c>
      <c r="J969" s="12">
        <f t="shared" si="7"/>
        <v>258</v>
      </c>
      <c r="K969" t="str">
        <f t="shared" si="8"/>
        <v>181-270</v>
      </c>
      <c r="L969" s="11">
        <v>46054</v>
      </c>
      <c r="M969" s="23">
        <f>YEAR(Таблица1[[#This Row],[Дата отчета]])</f>
        <v>2026</v>
      </c>
    </row>
    <row r="970" spans="1:14" x14ac:dyDescent="0.25">
      <c r="A970" t="s">
        <v>12</v>
      </c>
      <c r="B970" t="s">
        <v>536</v>
      </c>
      <c r="C970" t="s">
        <v>537</v>
      </c>
      <c r="D970" t="s">
        <v>538</v>
      </c>
      <c r="E970" t="s">
        <v>91</v>
      </c>
      <c r="F970" s="20">
        <v>9000</v>
      </c>
      <c r="I970" s="11">
        <f t="shared" si="6"/>
        <v>45723</v>
      </c>
      <c r="J970" s="12">
        <f t="shared" si="7"/>
        <v>331</v>
      </c>
      <c r="K970" t="str">
        <f t="shared" si="8"/>
        <v>271-360</v>
      </c>
      <c r="L970" s="11">
        <v>46054</v>
      </c>
      <c r="M970" s="23">
        <f>YEAR(Таблица1[[#This Row],[Дата отчета]])</f>
        <v>2026</v>
      </c>
      <c r="N970" s="2" t="s">
        <v>807</v>
      </c>
    </row>
    <row r="971" spans="1:14" x14ac:dyDescent="0.25">
      <c r="A971" t="s">
        <v>12</v>
      </c>
      <c r="B971" t="s">
        <v>539</v>
      </c>
      <c r="C971" t="s">
        <v>540</v>
      </c>
      <c r="D971" t="s">
        <v>541</v>
      </c>
      <c r="E971" t="s">
        <v>87</v>
      </c>
      <c r="F971" s="20">
        <v>23320</v>
      </c>
      <c r="I971" s="11">
        <f t="shared" si="6"/>
        <v>46020</v>
      </c>
      <c r="J971" s="12">
        <f t="shared" si="7"/>
        <v>34</v>
      </c>
      <c r="K971" t="str">
        <f t="shared" si="8"/>
        <v>31-90</v>
      </c>
      <c r="L971" s="11">
        <v>46054</v>
      </c>
      <c r="M971" s="23">
        <f>YEAR(Таблица1[[#This Row],[Дата отчета]])</f>
        <v>2026</v>
      </c>
    </row>
    <row r="972" spans="1:14" x14ac:dyDescent="0.25">
      <c r="A972" t="s">
        <v>12</v>
      </c>
      <c r="B972" t="s">
        <v>539</v>
      </c>
      <c r="C972" t="s">
        <v>542</v>
      </c>
      <c r="D972" t="s">
        <v>543</v>
      </c>
      <c r="E972" t="s">
        <v>392</v>
      </c>
      <c r="F972" s="20">
        <v>427500</v>
      </c>
      <c r="I972" s="11">
        <f t="shared" si="6"/>
        <v>45952</v>
      </c>
      <c r="J972" s="12">
        <f t="shared" si="7"/>
        <v>102</v>
      </c>
      <c r="K972" t="str">
        <f t="shared" si="8"/>
        <v>91-120</v>
      </c>
      <c r="L972" s="11">
        <v>46054</v>
      </c>
      <c r="M972" s="23">
        <f>YEAR(Таблица1[[#This Row],[Дата отчета]])</f>
        <v>2026</v>
      </c>
    </row>
    <row r="973" spans="1:14" x14ac:dyDescent="0.25">
      <c r="A973" t="s">
        <v>12</v>
      </c>
      <c r="B973" t="s">
        <v>544</v>
      </c>
      <c r="C973" t="s">
        <v>545</v>
      </c>
      <c r="D973" t="s">
        <v>546</v>
      </c>
      <c r="E973" t="s">
        <v>528</v>
      </c>
      <c r="F973" s="20">
        <v>5088000</v>
      </c>
      <c r="I973" s="11">
        <f t="shared" si="6"/>
        <v>45985</v>
      </c>
      <c r="J973" s="12">
        <f t="shared" si="7"/>
        <v>69</v>
      </c>
      <c r="K973" t="str">
        <f t="shared" si="8"/>
        <v>31-90</v>
      </c>
      <c r="L973" s="11">
        <v>46054</v>
      </c>
      <c r="M973" s="23">
        <f>YEAR(Таблица1[[#This Row],[Дата отчета]])</f>
        <v>2026</v>
      </c>
    </row>
    <row r="974" spans="1:14" x14ac:dyDescent="0.25">
      <c r="A974" t="s">
        <v>12</v>
      </c>
      <c r="B974" t="s">
        <v>544</v>
      </c>
      <c r="C974" t="s">
        <v>547</v>
      </c>
      <c r="D974" t="s">
        <v>548</v>
      </c>
      <c r="E974" t="s">
        <v>528</v>
      </c>
      <c r="F974" s="20">
        <v>4563000</v>
      </c>
      <c r="I974" s="11">
        <f t="shared" si="6"/>
        <v>45985</v>
      </c>
      <c r="J974" s="12">
        <f t="shared" si="7"/>
        <v>69</v>
      </c>
      <c r="K974" t="str">
        <f t="shared" si="8"/>
        <v>31-90</v>
      </c>
      <c r="L974" s="11">
        <v>46054</v>
      </c>
      <c r="M974" s="23">
        <f>YEAR(Таблица1[[#This Row],[Дата отчета]])</f>
        <v>2026</v>
      </c>
    </row>
    <row r="975" spans="1:14" x14ac:dyDescent="0.25">
      <c r="A975" t="s">
        <v>12</v>
      </c>
      <c r="B975" t="s">
        <v>544</v>
      </c>
      <c r="C975" t="s">
        <v>549</v>
      </c>
      <c r="D975" t="s">
        <v>550</v>
      </c>
      <c r="E975" t="s">
        <v>528</v>
      </c>
      <c r="F975" s="20">
        <v>492000</v>
      </c>
      <c r="I975" s="11">
        <f t="shared" si="6"/>
        <v>45985</v>
      </c>
      <c r="J975" s="12">
        <f t="shared" si="7"/>
        <v>69</v>
      </c>
      <c r="K975" t="str">
        <f t="shared" si="8"/>
        <v>31-90</v>
      </c>
      <c r="L975" s="11">
        <v>46054</v>
      </c>
      <c r="M975" s="23">
        <f>YEAR(Таблица1[[#This Row],[Дата отчета]])</f>
        <v>2026</v>
      </c>
    </row>
    <row r="976" spans="1:14" x14ac:dyDescent="0.25">
      <c r="A976" t="s">
        <v>12</v>
      </c>
      <c r="B976" t="s">
        <v>544</v>
      </c>
      <c r="C976" t="s">
        <v>551</v>
      </c>
      <c r="D976" t="s">
        <v>552</v>
      </c>
      <c r="E976" t="s">
        <v>528</v>
      </c>
      <c r="F976" s="20">
        <v>8808000</v>
      </c>
      <c r="I976" s="11">
        <f t="shared" si="6"/>
        <v>45985</v>
      </c>
      <c r="J976" s="12">
        <f t="shared" si="7"/>
        <v>69</v>
      </c>
      <c r="K976" t="str">
        <f t="shared" si="8"/>
        <v>31-90</v>
      </c>
      <c r="L976" s="11">
        <v>46054</v>
      </c>
      <c r="M976" s="23">
        <f>YEAR(Таблица1[[#This Row],[Дата отчета]])</f>
        <v>2026</v>
      </c>
    </row>
    <row r="977" spans="1:13" x14ac:dyDescent="0.25">
      <c r="A977" t="s">
        <v>12</v>
      </c>
      <c r="B977" t="s">
        <v>1180</v>
      </c>
      <c r="C977" t="s">
        <v>1181</v>
      </c>
      <c r="D977" t="s">
        <v>1182</v>
      </c>
      <c r="E977" t="s">
        <v>422</v>
      </c>
      <c r="F977" s="20">
        <v>19446.7</v>
      </c>
      <c r="I977" s="11">
        <f t="shared" si="6"/>
        <v>45972</v>
      </c>
      <c r="J977" s="12">
        <f t="shared" si="7"/>
        <v>82</v>
      </c>
      <c r="K977" t="str">
        <f t="shared" si="8"/>
        <v>31-90</v>
      </c>
      <c r="L977" s="11">
        <v>46054</v>
      </c>
      <c r="M977" s="23">
        <f>YEAR(Таблица1[[#This Row],[Дата отчета]])</f>
        <v>2026</v>
      </c>
    </row>
    <row r="978" spans="1:13" x14ac:dyDescent="0.25">
      <c r="A978" t="s">
        <v>12</v>
      </c>
      <c r="B978" t="s">
        <v>557</v>
      </c>
      <c r="C978" t="s">
        <v>558</v>
      </c>
      <c r="D978" t="s">
        <v>559</v>
      </c>
      <c r="E978" t="s">
        <v>560</v>
      </c>
      <c r="F978" s="20">
        <v>39502.11</v>
      </c>
      <c r="I978" s="11">
        <f t="shared" si="6"/>
        <v>45805</v>
      </c>
      <c r="J978" s="12">
        <f t="shared" si="7"/>
        <v>249</v>
      </c>
      <c r="K978" t="str">
        <f t="shared" si="8"/>
        <v>181-270</v>
      </c>
      <c r="L978" s="11">
        <v>46054</v>
      </c>
      <c r="M978" s="23">
        <f>YEAR(Таблица1[[#This Row],[Дата отчета]])</f>
        <v>2026</v>
      </c>
    </row>
    <row r="979" spans="1:13" x14ac:dyDescent="0.25">
      <c r="A979" t="s">
        <v>12</v>
      </c>
      <c r="B979" t="s">
        <v>561</v>
      </c>
      <c r="C979" t="s">
        <v>562</v>
      </c>
      <c r="D979" t="s">
        <v>563</v>
      </c>
      <c r="E979" t="s">
        <v>31</v>
      </c>
      <c r="F979" s="20">
        <v>59150000</v>
      </c>
      <c r="I979" s="11">
        <f t="shared" si="6"/>
        <v>46015</v>
      </c>
      <c r="J979" s="12">
        <f t="shared" si="7"/>
        <v>39</v>
      </c>
      <c r="K979" t="str">
        <f t="shared" si="8"/>
        <v>31-90</v>
      </c>
      <c r="L979" s="11">
        <v>46054</v>
      </c>
      <c r="M979" s="23">
        <f>YEAR(Таблица1[[#This Row],[Дата отчета]])</f>
        <v>2026</v>
      </c>
    </row>
    <row r="980" spans="1:13" x14ac:dyDescent="0.25">
      <c r="A980" t="s">
        <v>12</v>
      </c>
      <c r="B980" t="s">
        <v>561</v>
      </c>
      <c r="C980" t="s">
        <v>564</v>
      </c>
      <c r="D980" t="s">
        <v>565</v>
      </c>
      <c r="E980" t="s">
        <v>204</v>
      </c>
      <c r="F980" s="20">
        <v>31.2</v>
      </c>
      <c r="I980" s="11">
        <f t="shared" si="6"/>
        <v>45481</v>
      </c>
      <c r="J980" s="12">
        <f t="shared" si="7"/>
        <v>573</v>
      </c>
      <c r="K980" t="str">
        <f t="shared" si="8"/>
        <v>&gt;360</v>
      </c>
      <c r="L980" s="11">
        <v>46054</v>
      </c>
      <c r="M980" s="23">
        <f>YEAR(Таблица1[[#This Row],[Дата отчета]])</f>
        <v>2026</v>
      </c>
    </row>
    <row r="981" spans="1:13" x14ac:dyDescent="0.25">
      <c r="A981" t="s">
        <v>12</v>
      </c>
      <c r="B981" t="s">
        <v>561</v>
      </c>
      <c r="C981" t="s">
        <v>564</v>
      </c>
      <c r="D981" t="s">
        <v>566</v>
      </c>
      <c r="E981" t="s">
        <v>204</v>
      </c>
      <c r="F981" s="20">
        <v>995281.85</v>
      </c>
      <c r="I981" s="11">
        <f t="shared" si="6"/>
        <v>45481</v>
      </c>
      <c r="J981" s="12">
        <f t="shared" si="7"/>
        <v>573</v>
      </c>
      <c r="K981" t="str">
        <f t="shared" si="8"/>
        <v>&gt;360</v>
      </c>
      <c r="L981" s="11">
        <v>46054</v>
      </c>
      <c r="M981" s="23">
        <f>YEAR(Таблица1[[#This Row],[Дата отчета]])</f>
        <v>2026</v>
      </c>
    </row>
    <row r="982" spans="1:13" x14ac:dyDescent="0.25">
      <c r="A982" t="s">
        <v>12</v>
      </c>
      <c r="B982" t="s">
        <v>561</v>
      </c>
      <c r="C982" t="s">
        <v>564</v>
      </c>
      <c r="D982" t="s">
        <v>567</v>
      </c>
      <c r="E982" t="s">
        <v>568</v>
      </c>
      <c r="F982" s="20">
        <v>395493.5</v>
      </c>
      <c r="I982" s="11">
        <f t="shared" si="6"/>
        <v>45527</v>
      </c>
      <c r="J982" s="12">
        <f t="shared" si="7"/>
        <v>527</v>
      </c>
      <c r="K982" t="str">
        <f t="shared" si="8"/>
        <v>&gt;360</v>
      </c>
      <c r="L982" s="11">
        <v>46054</v>
      </c>
      <c r="M982" s="23">
        <f>YEAR(Таблица1[[#This Row],[Дата отчета]])</f>
        <v>2026</v>
      </c>
    </row>
    <row r="983" spans="1:13" x14ac:dyDescent="0.25">
      <c r="A983" t="s">
        <v>12</v>
      </c>
      <c r="B983" t="s">
        <v>561</v>
      </c>
      <c r="C983" t="s">
        <v>569</v>
      </c>
      <c r="D983" t="s">
        <v>570</v>
      </c>
      <c r="E983" t="s">
        <v>571</v>
      </c>
      <c r="F983" s="20">
        <v>969720.57</v>
      </c>
      <c r="I983" s="11">
        <f t="shared" si="6"/>
        <v>45951</v>
      </c>
      <c r="J983" s="12">
        <f t="shared" si="7"/>
        <v>103</v>
      </c>
      <c r="K983" t="str">
        <f t="shared" si="8"/>
        <v>91-120</v>
      </c>
      <c r="L983" s="11">
        <v>46054</v>
      </c>
      <c r="M983" s="23">
        <f>YEAR(Таблица1[[#This Row],[Дата отчета]])</f>
        <v>2026</v>
      </c>
    </row>
    <row r="984" spans="1:13" x14ac:dyDescent="0.25">
      <c r="A984" t="s">
        <v>12</v>
      </c>
      <c r="B984" t="s">
        <v>561</v>
      </c>
      <c r="C984" t="s">
        <v>569</v>
      </c>
      <c r="D984" t="s">
        <v>572</v>
      </c>
      <c r="E984" t="s">
        <v>525</v>
      </c>
      <c r="F984" s="20">
        <v>389696.13</v>
      </c>
      <c r="I984" s="11">
        <f t="shared" si="6"/>
        <v>45954</v>
      </c>
      <c r="J984" s="12">
        <f t="shared" si="7"/>
        <v>100</v>
      </c>
      <c r="K984" t="str">
        <f t="shared" si="8"/>
        <v>91-120</v>
      </c>
      <c r="L984" s="11">
        <v>46054</v>
      </c>
      <c r="M984" s="23">
        <f>YEAR(Таблица1[[#This Row],[Дата отчета]])</f>
        <v>2026</v>
      </c>
    </row>
    <row r="985" spans="1:13" x14ac:dyDescent="0.25">
      <c r="A985" t="s">
        <v>12</v>
      </c>
      <c r="B985" t="s">
        <v>561</v>
      </c>
      <c r="C985" t="s">
        <v>569</v>
      </c>
      <c r="D985" t="s">
        <v>573</v>
      </c>
      <c r="E985" t="s">
        <v>525</v>
      </c>
      <c r="F985" s="20">
        <v>1002946.15</v>
      </c>
      <c r="I985" s="11">
        <f t="shared" si="6"/>
        <v>45954</v>
      </c>
      <c r="J985" s="12">
        <f t="shared" si="7"/>
        <v>100</v>
      </c>
      <c r="K985" t="str">
        <f t="shared" si="8"/>
        <v>91-120</v>
      </c>
      <c r="L985" s="11">
        <v>46054</v>
      </c>
      <c r="M985" s="23">
        <f>YEAR(Таблица1[[#This Row],[Дата отчета]])</f>
        <v>2026</v>
      </c>
    </row>
    <row r="986" spans="1:13" x14ac:dyDescent="0.25">
      <c r="A986" t="s">
        <v>12</v>
      </c>
      <c r="B986" t="s">
        <v>561</v>
      </c>
      <c r="C986" t="s">
        <v>583</v>
      </c>
      <c r="D986" t="s">
        <v>584</v>
      </c>
      <c r="E986" t="s">
        <v>106</v>
      </c>
      <c r="F986" s="20">
        <v>3536597.4</v>
      </c>
      <c r="I986" s="11">
        <f t="shared" si="6"/>
        <v>46017</v>
      </c>
      <c r="J986" s="12">
        <f t="shared" si="7"/>
        <v>37</v>
      </c>
      <c r="K986" t="str">
        <f t="shared" si="8"/>
        <v>31-90</v>
      </c>
      <c r="L986" s="11">
        <v>46054</v>
      </c>
      <c r="M986" s="23">
        <f>YEAR(Таблица1[[#This Row],[Дата отчета]])</f>
        <v>2026</v>
      </c>
    </row>
    <row r="987" spans="1:13" x14ac:dyDescent="0.25">
      <c r="A987" t="s">
        <v>12</v>
      </c>
      <c r="B987" t="s">
        <v>561</v>
      </c>
      <c r="C987" t="s">
        <v>585</v>
      </c>
      <c r="D987" t="s">
        <v>586</v>
      </c>
      <c r="E987" t="s">
        <v>106</v>
      </c>
      <c r="F987" s="20">
        <v>1857916.08</v>
      </c>
      <c r="I987" s="11">
        <f t="shared" si="6"/>
        <v>46017</v>
      </c>
      <c r="J987" s="12">
        <f t="shared" si="7"/>
        <v>37</v>
      </c>
      <c r="K987" t="str">
        <f t="shared" si="8"/>
        <v>31-90</v>
      </c>
      <c r="L987" s="11">
        <v>46054</v>
      </c>
      <c r="M987" s="23">
        <f>YEAR(Таблица1[[#This Row],[Дата отчета]])</f>
        <v>2026</v>
      </c>
    </row>
    <row r="988" spans="1:13" x14ac:dyDescent="0.25">
      <c r="A988" t="s">
        <v>12</v>
      </c>
      <c r="B988" t="s">
        <v>561</v>
      </c>
      <c r="C988" t="s">
        <v>587</v>
      </c>
      <c r="D988" t="s">
        <v>588</v>
      </c>
      <c r="E988" t="s">
        <v>408</v>
      </c>
      <c r="F988" s="20">
        <v>4806964.25</v>
      </c>
      <c r="I988" s="11">
        <f t="shared" si="6"/>
        <v>46010</v>
      </c>
      <c r="J988" s="12">
        <f t="shared" si="7"/>
        <v>44</v>
      </c>
      <c r="K988" t="str">
        <f t="shared" si="8"/>
        <v>31-90</v>
      </c>
      <c r="L988" s="11">
        <v>46054</v>
      </c>
      <c r="M988" s="23">
        <f>YEAR(Таблица1[[#This Row],[Дата отчета]])</f>
        <v>2026</v>
      </c>
    </row>
    <row r="989" spans="1:13" x14ac:dyDescent="0.25">
      <c r="A989" t="s">
        <v>12</v>
      </c>
      <c r="B989" t="s">
        <v>589</v>
      </c>
      <c r="C989" t="s">
        <v>590</v>
      </c>
      <c r="D989" t="s">
        <v>591</v>
      </c>
      <c r="E989" t="s">
        <v>592</v>
      </c>
      <c r="F989" s="20">
        <v>1480.72</v>
      </c>
      <c r="I989" s="11">
        <f t="shared" si="6"/>
        <v>45966</v>
      </c>
      <c r="J989" s="12">
        <f t="shared" si="7"/>
        <v>88</v>
      </c>
      <c r="K989" t="str">
        <f t="shared" si="8"/>
        <v>31-90</v>
      </c>
      <c r="L989" s="11">
        <v>46054</v>
      </c>
      <c r="M989" s="23">
        <f>YEAR(Таблица1[[#This Row],[Дата отчета]])</f>
        <v>2026</v>
      </c>
    </row>
    <row r="990" spans="1:13" x14ac:dyDescent="0.25">
      <c r="A990" t="s">
        <v>12</v>
      </c>
      <c r="B990" t="s">
        <v>589</v>
      </c>
      <c r="C990" t="s">
        <v>594</v>
      </c>
      <c r="D990" t="s">
        <v>1183</v>
      </c>
      <c r="E990" t="s">
        <v>592</v>
      </c>
      <c r="F990" s="20">
        <v>538.94000000000005</v>
      </c>
      <c r="I990" s="11">
        <f t="shared" si="6"/>
        <v>45966</v>
      </c>
      <c r="J990" s="12">
        <f t="shared" si="7"/>
        <v>88</v>
      </c>
      <c r="K990" t="str">
        <f t="shared" si="8"/>
        <v>31-90</v>
      </c>
      <c r="L990" s="11">
        <v>46054</v>
      </c>
      <c r="M990" s="23">
        <f>YEAR(Таблица1[[#This Row],[Дата отчета]])</f>
        <v>2026</v>
      </c>
    </row>
    <row r="991" spans="1:13" x14ac:dyDescent="0.25">
      <c r="A991" t="s">
        <v>12</v>
      </c>
      <c r="B991" t="s">
        <v>589</v>
      </c>
      <c r="C991" t="s">
        <v>596</v>
      </c>
      <c r="D991" t="s">
        <v>1184</v>
      </c>
      <c r="E991" t="s">
        <v>606</v>
      </c>
      <c r="F991" s="20">
        <v>6206.65</v>
      </c>
      <c r="I991" s="11">
        <f t="shared" si="6"/>
        <v>45873</v>
      </c>
      <c r="J991" s="12">
        <f t="shared" si="7"/>
        <v>181</v>
      </c>
      <c r="K991" t="str">
        <f t="shared" si="8"/>
        <v>181-270</v>
      </c>
      <c r="L991" s="11">
        <v>46054</v>
      </c>
      <c r="M991" s="23">
        <f>YEAR(Таблица1[[#This Row],[Дата отчета]])</f>
        <v>2026</v>
      </c>
    </row>
    <row r="992" spans="1:13" x14ac:dyDescent="0.25">
      <c r="A992" t="s">
        <v>12</v>
      </c>
      <c r="B992" t="s">
        <v>589</v>
      </c>
      <c r="C992" t="s">
        <v>596</v>
      </c>
      <c r="D992" t="s">
        <v>1185</v>
      </c>
      <c r="E992" t="s">
        <v>592</v>
      </c>
      <c r="F992" s="20">
        <v>5000</v>
      </c>
      <c r="I992" s="11">
        <f t="shared" si="6"/>
        <v>45966</v>
      </c>
      <c r="J992" s="12">
        <f t="shared" si="7"/>
        <v>88</v>
      </c>
      <c r="K992" t="str">
        <f t="shared" si="8"/>
        <v>31-90</v>
      </c>
      <c r="L992" s="11">
        <v>46054</v>
      </c>
      <c r="M992" s="23">
        <f>YEAR(Таблица1[[#This Row],[Дата отчета]])</f>
        <v>2026</v>
      </c>
    </row>
    <row r="993" spans="1:13" x14ac:dyDescent="0.25">
      <c r="A993" t="s">
        <v>12</v>
      </c>
      <c r="B993" t="s">
        <v>589</v>
      </c>
      <c r="C993" t="s">
        <v>598</v>
      </c>
      <c r="D993" t="s">
        <v>599</v>
      </c>
      <c r="E993" t="s">
        <v>600</v>
      </c>
      <c r="F993" s="20">
        <v>45.91</v>
      </c>
      <c r="I993" s="11">
        <f t="shared" si="6"/>
        <v>43560</v>
      </c>
      <c r="J993" s="12">
        <f t="shared" si="7"/>
        <v>2494</v>
      </c>
      <c r="K993" t="str">
        <f t="shared" si="8"/>
        <v>&gt;360</v>
      </c>
      <c r="L993" s="11">
        <v>46054</v>
      </c>
      <c r="M993" s="23">
        <f>YEAR(Таблица1[[#This Row],[Дата отчета]])</f>
        <v>2026</v>
      </c>
    </row>
    <row r="994" spans="1:13" x14ac:dyDescent="0.25">
      <c r="A994" t="s">
        <v>12</v>
      </c>
      <c r="B994" t="s">
        <v>589</v>
      </c>
      <c r="C994" t="s">
        <v>601</v>
      </c>
      <c r="D994" t="s">
        <v>602</v>
      </c>
      <c r="E994" t="s">
        <v>592</v>
      </c>
      <c r="F994" s="20">
        <v>3032.56</v>
      </c>
      <c r="I994" s="11">
        <f t="shared" si="6"/>
        <v>45966</v>
      </c>
      <c r="J994" s="12">
        <f t="shared" si="7"/>
        <v>88</v>
      </c>
      <c r="K994" t="str">
        <f t="shared" si="8"/>
        <v>31-90</v>
      </c>
      <c r="L994" s="11">
        <v>46054</v>
      </c>
      <c r="M994" s="23">
        <f>YEAR(Таблица1[[#This Row],[Дата отчета]])</f>
        <v>2026</v>
      </c>
    </row>
    <row r="995" spans="1:13" x14ac:dyDescent="0.25">
      <c r="A995" t="s">
        <v>12</v>
      </c>
      <c r="B995" t="s">
        <v>589</v>
      </c>
      <c r="C995" t="s">
        <v>604</v>
      </c>
      <c r="D995" t="s">
        <v>605</v>
      </c>
      <c r="E995" t="s">
        <v>606</v>
      </c>
      <c r="F995" s="20">
        <v>358.13</v>
      </c>
      <c r="I995" s="11">
        <f t="shared" si="6"/>
        <v>45873</v>
      </c>
      <c r="J995" s="12">
        <f t="shared" si="7"/>
        <v>181</v>
      </c>
      <c r="K995" t="str">
        <f t="shared" si="8"/>
        <v>181-270</v>
      </c>
      <c r="L995" s="11">
        <v>46054</v>
      </c>
      <c r="M995" s="23">
        <f>YEAR(Таблица1[[#This Row],[Дата отчета]])</f>
        <v>2026</v>
      </c>
    </row>
    <row r="996" spans="1:13" x14ac:dyDescent="0.25">
      <c r="A996" t="s">
        <v>12</v>
      </c>
      <c r="B996" t="s">
        <v>589</v>
      </c>
      <c r="C996" t="s">
        <v>607</v>
      </c>
      <c r="D996" t="s">
        <v>608</v>
      </c>
      <c r="E996" t="s">
        <v>609</v>
      </c>
      <c r="F996" s="20">
        <v>771.25</v>
      </c>
      <c r="I996" s="11">
        <f t="shared" si="6"/>
        <v>45233</v>
      </c>
      <c r="J996" s="12">
        <f t="shared" si="7"/>
        <v>821</v>
      </c>
      <c r="K996" t="str">
        <f t="shared" si="8"/>
        <v>&gt;360</v>
      </c>
      <c r="L996" s="11">
        <v>46054</v>
      </c>
      <c r="M996" s="23">
        <f>YEAR(Таблица1[[#This Row],[Дата отчета]])</f>
        <v>2026</v>
      </c>
    </row>
    <row r="997" spans="1:13" x14ac:dyDescent="0.25">
      <c r="A997" t="s">
        <v>12</v>
      </c>
      <c r="B997" t="s">
        <v>589</v>
      </c>
      <c r="C997" t="s">
        <v>607</v>
      </c>
      <c r="D997" t="s">
        <v>610</v>
      </c>
      <c r="E997" t="s">
        <v>611</v>
      </c>
      <c r="F997" s="20">
        <v>500</v>
      </c>
      <c r="I997" s="11">
        <f t="shared" si="6"/>
        <v>45335</v>
      </c>
      <c r="J997" s="12">
        <f t="shared" si="7"/>
        <v>719</v>
      </c>
      <c r="K997" t="str">
        <f t="shared" si="8"/>
        <v>&gt;360</v>
      </c>
      <c r="L997" s="11">
        <v>46054</v>
      </c>
      <c r="M997" s="23">
        <f>YEAR(Таблица1[[#This Row],[Дата отчета]])</f>
        <v>2026</v>
      </c>
    </row>
    <row r="998" spans="1:13" x14ac:dyDescent="0.25">
      <c r="A998" t="s">
        <v>12</v>
      </c>
      <c r="B998" t="s">
        <v>589</v>
      </c>
      <c r="C998" t="s">
        <v>612</v>
      </c>
      <c r="D998" t="s">
        <v>613</v>
      </c>
      <c r="E998" t="s">
        <v>592</v>
      </c>
      <c r="F998" s="20">
        <v>3268.17</v>
      </c>
      <c r="I998" s="11">
        <f t="shared" si="6"/>
        <v>45966</v>
      </c>
      <c r="J998" s="12">
        <f t="shared" si="7"/>
        <v>88</v>
      </c>
      <c r="K998" t="str">
        <f t="shared" si="8"/>
        <v>31-90</v>
      </c>
      <c r="L998" s="11">
        <v>46054</v>
      </c>
      <c r="M998" s="23">
        <f>YEAR(Таблица1[[#This Row],[Дата отчета]])</f>
        <v>2026</v>
      </c>
    </row>
    <row r="999" spans="1:13" x14ac:dyDescent="0.25">
      <c r="A999" t="s">
        <v>12</v>
      </c>
      <c r="B999" t="s">
        <v>589</v>
      </c>
      <c r="C999" t="s">
        <v>615</v>
      </c>
      <c r="D999" t="s">
        <v>616</v>
      </c>
      <c r="E999" t="s">
        <v>617</v>
      </c>
      <c r="F999" s="20">
        <v>127.6</v>
      </c>
      <c r="I999" s="11">
        <f t="shared" si="6"/>
        <v>42468</v>
      </c>
      <c r="J999" s="12">
        <f t="shared" si="7"/>
        <v>3586</v>
      </c>
      <c r="K999" t="str">
        <f t="shared" si="8"/>
        <v>&gt;360</v>
      </c>
      <c r="L999" s="11">
        <v>46054</v>
      </c>
      <c r="M999" s="23">
        <f>YEAR(Таблица1[[#This Row],[Дата отчета]])</f>
        <v>2026</v>
      </c>
    </row>
    <row r="1000" spans="1:13" x14ac:dyDescent="0.25">
      <c r="A1000" t="s">
        <v>12</v>
      </c>
      <c r="B1000" t="s">
        <v>589</v>
      </c>
      <c r="C1000" t="s">
        <v>615</v>
      </c>
      <c r="D1000" t="s">
        <v>618</v>
      </c>
      <c r="E1000" t="s">
        <v>619</v>
      </c>
      <c r="F1000" s="20">
        <v>430</v>
      </c>
      <c r="I1000" s="11">
        <f t="shared" si="6"/>
        <v>42501</v>
      </c>
      <c r="J1000" s="12">
        <f t="shared" si="7"/>
        <v>3553</v>
      </c>
      <c r="K1000" t="str">
        <f t="shared" si="8"/>
        <v>&gt;360</v>
      </c>
      <c r="L1000" s="11">
        <v>46054</v>
      </c>
      <c r="M1000" s="23">
        <f>YEAR(Таблица1[[#This Row],[Дата отчета]])</f>
        <v>2026</v>
      </c>
    </row>
    <row r="1001" spans="1:13" x14ac:dyDescent="0.25">
      <c r="A1001" t="s">
        <v>12</v>
      </c>
      <c r="B1001" t="s">
        <v>589</v>
      </c>
      <c r="C1001" t="s">
        <v>615</v>
      </c>
      <c r="D1001" t="s">
        <v>620</v>
      </c>
      <c r="E1001" t="s">
        <v>621</v>
      </c>
      <c r="F1001" s="20">
        <v>0.01</v>
      </c>
      <c r="I1001" s="11">
        <f t="shared" si="6"/>
        <v>43817</v>
      </c>
      <c r="J1001" s="12">
        <f t="shared" si="7"/>
        <v>2237</v>
      </c>
      <c r="K1001" t="str">
        <f t="shared" si="8"/>
        <v>&gt;360</v>
      </c>
      <c r="L1001" s="11">
        <v>46054</v>
      </c>
      <c r="M1001" s="23">
        <f>YEAR(Таблица1[[#This Row],[Дата отчета]])</f>
        <v>2026</v>
      </c>
    </row>
    <row r="1002" spans="1:13" x14ac:dyDescent="0.25">
      <c r="A1002" t="s">
        <v>12</v>
      </c>
      <c r="B1002" t="s">
        <v>589</v>
      </c>
      <c r="C1002" t="s">
        <v>622</v>
      </c>
      <c r="F1002" s="20">
        <v>68.27</v>
      </c>
      <c r="I1002" s="11">
        <f t="shared" si="6"/>
        <v>0</v>
      </c>
      <c r="J1002" s="12">
        <f t="shared" si="7"/>
        <v>46054</v>
      </c>
      <c r="K1002" t="str">
        <f t="shared" si="8"/>
        <v>&gt;360</v>
      </c>
      <c r="L1002" s="11">
        <v>46054</v>
      </c>
      <c r="M1002" s="23">
        <f>YEAR(Таблица1[[#This Row],[Дата отчета]])</f>
        <v>2026</v>
      </c>
    </row>
    <row r="1003" spans="1:13" x14ac:dyDescent="0.25">
      <c r="A1003" t="s">
        <v>12</v>
      </c>
      <c r="B1003" t="s">
        <v>589</v>
      </c>
      <c r="C1003" t="s">
        <v>623</v>
      </c>
      <c r="D1003" t="s">
        <v>624</v>
      </c>
      <c r="E1003" t="s">
        <v>625</v>
      </c>
      <c r="F1003" s="20">
        <v>799.94</v>
      </c>
      <c r="I1003" s="11">
        <f t="shared" si="6"/>
        <v>42429</v>
      </c>
      <c r="J1003" s="12">
        <f t="shared" si="7"/>
        <v>3625</v>
      </c>
      <c r="K1003" t="str">
        <f t="shared" si="8"/>
        <v>&gt;360</v>
      </c>
      <c r="L1003" s="11">
        <v>46054</v>
      </c>
      <c r="M1003" s="23">
        <f>YEAR(Таблица1[[#This Row],[Дата отчета]])</f>
        <v>2026</v>
      </c>
    </row>
    <row r="1004" spans="1:13" x14ac:dyDescent="0.25">
      <c r="A1004" t="s">
        <v>12</v>
      </c>
      <c r="B1004" t="s">
        <v>589</v>
      </c>
      <c r="C1004" t="s">
        <v>626</v>
      </c>
      <c r="D1004" t="s">
        <v>627</v>
      </c>
      <c r="E1004" t="s">
        <v>606</v>
      </c>
      <c r="F1004" s="20">
        <v>4710.0600000000004</v>
      </c>
      <c r="I1004" s="11">
        <f t="shared" si="6"/>
        <v>45873</v>
      </c>
      <c r="J1004" s="12">
        <f t="shared" si="7"/>
        <v>181</v>
      </c>
      <c r="K1004" t="str">
        <f t="shared" si="8"/>
        <v>181-270</v>
      </c>
      <c r="L1004" s="11">
        <v>46054</v>
      </c>
      <c r="M1004" s="23">
        <f>YEAR(Таблица1[[#This Row],[Дата отчета]])</f>
        <v>2026</v>
      </c>
    </row>
    <row r="1005" spans="1:13" x14ac:dyDescent="0.25">
      <c r="A1005" t="s">
        <v>12</v>
      </c>
      <c r="B1005" t="s">
        <v>589</v>
      </c>
      <c r="C1005" t="s">
        <v>626</v>
      </c>
      <c r="D1005" t="s">
        <v>628</v>
      </c>
      <c r="E1005" t="s">
        <v>592</v>
      </c>
      <c r="F1005" s="20">
        <v>5000</v>
      </c>
      <c r="I1005" s="11">
        <f t="shared" si="6"/>
        <v>45966</v>
      </c>
      <c r="J1005" s="12">
        <f t="shared" si="7"/>
        <v>88</v>
      </c>
      <c r="K1005" t="str">
        <f t="shared" si="8"/>
        <v>31-90</v>
      </c>
      <c r="L1005" s="11">
        <v>46054</v>
      </c>
      <c r="M1005" s="23">
        <f>YEAR(Таблица1[[#This Row],[Дата отчета]])</f>
        <v>2026</v>
      </c>
    </row>
    <row r="1006" spans="1:13" x14ac:dyDescent="0.25">
      <c r="A1006" t="s">
        <v>12</v>
      </c>
      <c r="B1006" t="s">
        <v>589</v>
      </c>
      <c r="C1006" t="s">
        <v>630</v>
      </c>
      <c r="D1006" t="s">
        <v>631</v>
      </c>
      <c r="E1006" t="s">
        <v>528</v>
      </c>
      <c r="F1006" s="20">
        <v>800</v>
      </c>
      <c r="I1006" s="11">
        <f t="shared" si="6"/>
        <v>45985</v>
      </c>
      <c r="J1006" s="12">
        <f t="shared" si="7"/>
        <v>69</v>
      </c>
      <c r="K1006" t="str">
        <f t="shared" si="8"/>
        <v>31-90</v>
      </c>
      <c r="L1006" s="11">
        <v>46054</v>
      </c>
      <c r="M1006" s="23">
        <f>YEAR(Таблица1[[#This Row],[Дата отчета]])</f>
        <v>2026</v>
      </c>
    </row>
    <row r="1007" spans="1:13" x14ac:dyDescent="0.25">
      <c r="A1007" t="s">
        <v>12</v>
      </c>
      <c r="B1007" t="s">
        <v>632</v>
      </c>
      <c r="C1007" t="s">
        <v>633</v>
      </c>
      <c r="D1007" t="s">
        <v>634</v>
      </c>
      <c r="E1007" t="s">
        <v>635</v>
      </c>
      <c r="F1007" s="20">
        <v>45000</v>
      </c>
      <c r="I1007" s="11">
        <f t="shared" si="6"/>
        <v>45910</v>
      </c>
      <c r="J1007" s="12">
        <f t="shared" si="7"/>
        <v>144</v>
      </c>
      <c r="K1007" t="str">
        <f t="shared" si="8"/>
        <v>121-180</v>
      </c>
      <c r="L1007" s="11">
        <v>46054</v>
      </c>
      <c r="M1007" s="23">
        <f>YEAR(Таблица1[[#This Row],[Дата отчета]])</f>
        <v>2026</v>
      </c>
    </row>
    <row r="1008" spans="1:13" x14ac:dyDescent="0.25">
      <c r="A1008" t="s">
        <v>12</v>
      </c>
      <c r="B1008" t="s">
        <v>1186</v>
      </c>
      <c r="C1008" t="s">
        <v>1187</v>
      </c>
      <c r="D1008" t="s">
        <v>1188</v>
      </c>
      <c r="E1008" t="s">
        <v>339</v>
      </c>
      <c r="F1008" s="20">
        <v>170820</v>
      </c>
      <c r="I1008" s="11">
        <f t="shared" si="6"/>
        <v>45867</v>
      </c>
      <c r="J1008" s="12">
        <f t="shared" si="7"/>
        <v>187</v>
      </c>
      <c r="K1008" t="str">
        <f t="shared" si="8"/>
        <v>181-270</v>
      </c>
      <c r="L1008" s="11">
        <v>46054</v>
      </c>
      <c r="M1008" s="23">
        <f>YEAR(Таблица1[[#This Row],[Дата отчета]])</f>
        <v>2026</v>
      </c>
    </row>
    <row r="1009" spans="1:13" x14ac:dyDescent="0.25">
      <c r="A1009" t="s">
        <v>12</v>
      </c>
      <c r="B1009" t="s">
        <v>636</v>
      </c>
      <c r="C1009" t="s">
        <v>637</v>
      </c>
      <c r="D1009" t="s">
        <v>638</v>
      </c>
      <c r="E1009" t="s">
        <v>75</v>
      </c>
      <c r="F1009" s="20">
        <v>411323.77</v>
      </c>
      <c r="I1009" s="11">
        <f t="shared" si="6"/>
        <v>46016</v>
      </c>
      <c r="J1009" s="12">
        <f t="shared" si="7"/>
        <v>38</v>
      </c>
      <c r="K1009" t="str">
        <f t="shared" si="8"/>
        <v>31-90</v>
      </c>
      <c r="L1009" s="11">
        <v>46054</v>
      </c>
      <c r="M1009" s="23">
        <f>YEAR(Таблица1[[#This Row],[Дата отчета]])</f>
        <v>2026</v>
      </c>
    </row>
    <row r="1010" spans="1:13" x14ac:dyDescent="0.25">
      <c r="A1010" t="s">
        <v>12</v>
      </c>
      <c r="B1010" t="s">
        <v>645</v>
      </c>
      <c r="C1010" t="s">
        <v>646</v>
      </c>
      <c r="D1010" t="s">
        <v>647</v>
      </c>
      <c r="E1010" t="s">
        <v>26</v>
      </c>
      <c r="F1010" s="20">
        <v>9237364.1999999993</v>
      </c>
      <c r="I1010" s="11">
        <f t="shared" si="6"/>
        <v>46044</v>
      </c>
      <c r="J1010" s="12">
        <f t="shared" si="7"/>
        <v>10</v>
      </c>
      <c r="K1010" t="str">
        <f t="shared" si="8"/>
        <v>0-30</v>
      </c>
      <c r="L1010" s="11">
        <v>46054</v>
      </c>
      <c r="M1010" s="23">
        <f>YEAR(Таблица1[[#This Row],[Дата отчета]])</f>
        <v>2026</v>
      </c>
    </row>
    <row r="1011" spans="1:13" x14ac:dyDescent="0.25">
      <c r="A1011" t="s">
        <v>12</v>
      </c>
      <c r="B1011" t="s">
        <v>645</v>
      </c>
      <c r="C1011" t="s">
        <v>650</v>
      </c>
      <c r="D1011" t="s">
        <v>651</v>
      </c>
      <c r="E1011" t="s">
        <v>652</v>
      </c>
      <c r="F1011" s="20">
        <v>456108</v>
      </c>
      <c r="I1011" s="11">
        <f t="shared" si="6"/>
        <v>45971</v>
      </c>
      <c r="J1011" s="12">
        <f t="shared" si="7"/>
        <v>83</v>
      </c>
      <c r="K1011" t="str">
        <f t="shared" si="8"/>
        <v>31-90</v>
      </c>
      <c r="L1011" s="11">
        <v>46054</v>
      </c>
      <c r="M1011" s="23">
        <f>YEAR(Таблица1[[#This Row],[Дата отчета]])</f>
        <v>2026</v>
      </c>
    </row>
    <row r="1012" spans="1:13" x14ac:dyDescent="0.25">
      <c r="A1012" t="s">
        <v>12</v>
      </c>
      <c r="B1012" t="s">
        <v>1189</v>
      </c>
      <c r="C1012" t="s">
        <v>1190</v>
      </c>
      <c r="D1012" t="s">
        <v>1191</v>
      </c>
      <c r="E1012" t="s">
        <v>21</v>
      </c>
      <c r="F1012" s="20">
        <v>1088160</v>
      </c>
      <c r="I1012" s="11">
        <f t="shared" si="6"/>
        <v>45953</v>
      </c>
      <c r="J1012" s="12">
        <f t="shared" si="7"/>
        <v>101</v>
      </c>
      <c r="K1012" t="str">
        <f t="shared" si="8"/>
        <v>91-120</v>
      </c>
      <c r="L1012" s="11">
        <v>46054</v>
      </c>
      <c r="M1012" s="23">
        <f>YEAR(Таблица1[[#This Row],[Дата отчета]])</f>
        <v>2026</v>
      </c>
    </row>
    <row r="1013" spans="1:13" x14ac:dyDescent="0.25">
      <c r="A1013" t="s">
        <v>12</v>
      </c>
      <c r="B1013" t="s">
        <v>1189</v>
      </c>
      <c r="C1013" t="s">
        <v>1190</v>
      </c>
      <c r="D1013" t="s">
        <v>1192</v>
      </c>
      <c r="E1013" t="s">
        <v>1193</v>
      </c>
      <c r="F1013" s="20">
        <v>1088160</v>
      </c>
      <c r="I1013" s="11">
        <f t="shared" si="6"/>
        <v>45974</v>
      </c>
      <c r="J1013" s="12">
        <f t="shared" si="7"/>
        <v>80</v>
      </c>
      <c r="K1013" t="str">
        <f t="shared" si="8"/>
        <v>31-90</v>
      </c>
      <c r="L1013" s="11">
        <v>46054</v>
      </c>
      <c r="M1013" s="23">
        <f>YEAR(Таблица1[[#This Row],[Дата отчета]])</f>
        <v>2026</v>
      </c>
    </row>
    <row r="1014" spans="1:13" x14ac:dyDescent="0.25">
      <c r="A1014" t="s">
        <v>12</v>
      </c>
      <c r="B1014" t="s">
        <v>653</v>
      </c>
      <c r="C1014" t="s">
        <v>654</v>
      </c>
      <c r="D1014" t="s">
        <v>655</v>
      </c>
      <c r="E1014" t="s">
        <v>656</v>
      </c>
      <c r="F1014" s="20">
        <v>2210602</v>
      </c>
      <c r="I1014" s="11">
        <f t="shared" si="6"/>
        <v>46052</v>
      </c>
      <c r="J1014" s="12">
        <f t="shared" si="7"/>
        <v>2</v>
      </c>
      <c r="K1014" t="str">
        <f t="shared" si="8"/>
        <v>0-30</v>
      </c>
      <c r="L1014" s="11">
        <v>46054</v>
      </c>
      <c r="M1014" s="23">
        <f>YEAR(Таблица1[[#This Row],[Дата отчета]])</f>
        <v>2026</v>
      </c>
    </row>
    <row r="1015" spans="1:13" x14ac:dyDescent="0.25">
      <c r="A1015" t="s">
        <v>12</v>
      </c>
      <c r="B1015" t="s">
        <v>659</v>
      </c>
      <c r="C1015" t="s">
        <v>660</v>
      </c>
      <c r="D1015" t="s">
        <v>661</v>
      </c>
      <c r="E1015" t="s">
        <v>662</v>
      </c>
      <c r="F1015" s="20">
        <v>7568</v>
      </c>
      <c r="I1015" s="11">
        <f t="shared" si="6"/>
        <v>45932</v>
      </c>
      <c r="J1015" s="12">
        <f t="shared" si="7"/>
        <v>122</v>
      </c>
      <c r="K1015" t="str">
        <f t="shared" si="8"/>
        <v>121-180</v>
      </c>
      <c r="L1015" s="11">
        <v>46054</v>
      </c>
      <c r="M1015" s="23">
        <f>YEAR(Таблица1[[#This Row],[Дата отчета]])</f>
        <v>2026</v>
      </c>
    </row>
    <row r="1016" spans="1:13" x14ac:dyDescent="0.25">
      <c r="A1016" t="s">
        <v>12</v>
      </c>
      <c r="B1016" t="s">
        <v>663</v>
      </c>
      <c r="C1016" t="s">
        <v>664</v>
      </c>
      <c r="D1016" t="s">
        <v>665</v>
      </c>
      <c r="E1016" t="s">
        <v>70</v>
      </c>
      <c r="F1016" s="20">
        <v>9550</v>
      </c>
      <c r="I1016" s="11">
        <f t="shared" si="6"/>
        <v>45979</v>
      </c>
      <c r="J1016" s="12">
        <f t="shared" si="7"/>
        <v>75</v>
      </c>
      <c r="K1016" t="str">
        <f t="shared" si="8"/>
        <v>31-90</v>
      </c>
      <c r="L1016" s="11">
        <v>46054</v>
      </c>
      <c r="M1016" s="23">
        <f>YEAR(Таблица1[[#This Row],[Дата отчета]])</f>
        <v>2026</v>
      </c>
    </row>
    <row r="1017" spans="1:13" x14ac:dyDescent="0.25">
      <c r="A1017" t="s">
        <v>12</v>
      </c>
      <c r="B1017" t="s">
        <v>666</v>
      </c>
      <c r="C1017" t="s">
        <v>667</v>
      </c>
      <c r="D1017" t="s">
        <v>668</v>
      </c>
      <c r="E1017" t="s">
        <v>669</v>
      </c>
      <c r="F1017" s="20">
        <v>25035</v>
      </c>
      <c r="I1017" s="11">
        <f t="shared" si="6"/>
        <v>45930</v>
      </c>
      <c r="J1017" s="12">
        <f t="shared" si="7"/>
        <v>124</v>
      </c>
      <c r="K1017" t="str">
        <f t="shared" si="8"/>
        <v>121-180</v>
      </c>
      <c r="L1017" s="11">
        <v>46054</v>
      </c>
      <c r="M1017" s="23">
        <f>YEAR(Таблица1[[#This Row],[Дата отчета]])</f>
        <v>2026</v>
      </c>
    </row>
    <row r="1018" spans="1:13" x14ac:dyDescent="0.25">
      <c r="A1018" t="s">
        <v>12</v>
      </c>
      <c r="B1018" t="s">
        <v>670</v>
      </c>
      <c r="C1018" t="s">
        <v>671</v>
      </c>
      <c r="D1018" t="s">
        <v>672</v>
      </c>
      <c r="E1018" t="s">
        <v>673</v>
      </c>
      <c r="F1018" s="20">
        <v>114.79</v>
      </c>
      <c r="I1018" s="11">
        <f t="shared" si="6"/>
        <v>45775</v>
      </c>
      <c r="J1018" s="12">
        <f t="shared" si="7"/>
        <v>279</v>
      </c>
      <c r="K1018" t="str">
        <f t="shared" si="8"/>
        <v>271-360</v>
      </c>
      <c r="L1018" s="11">
        <v>46054</v>
      </c>
      <c r="M1018" s="23">
        <f>YEAR(Таблица1[[#This Row],[Дата отчета]])</f>
        <v>2026</v>
      </c>
    </row>
    <row r="1019" spans="1:13" x14ac:dyDescent="0.25">
      <c r="A1019" t="s">
        <v>12</v>
      </c>
      <c r="B1019" t="s">
        <v>677</v>
      </c>
      <c r="C1019" t="s">
        <v>678</v>
      </c>
      <c r="D1019" t="s">
        <v>679</v>
      </c>
      <c r="E1019" t="s">
        <v>239</v>
      </c>
      <c r="F1019" s="20">
        <v>0.01</v>
      </c>
      <c r="I1019" s="11">
        <f t="shared" si="6"/>
        <v>45996</v>
      </c>
      <c r="J1019" s="12">
        <f t="shared" si="7"/>
        <v>58</v>
      </c>
      <c r="K1019" t="str">
        <f t="shared" si="8"/>
        <v>31-90</v>
      </c>
      <c r="L1019" s="11">
        <v>46054</v>
      </c>
      <c r="M1019" s="23">
        <f>YEAR(Таблица1[[#This Row],[Дата отчета]])</f>
        <v>2026</v>
      </c>
    </row>
    <row r="1020" spans="1:13" x14ac:dyDescent="0.25">
      <c r="A1020" t="s">
        <v>12</v>
      </c>
      <c r="B1020" t="s">
        <v>680</v>
      </c>
      <c r="C1020" t="s">
        <v>681</v>
      </c>
      <c r="D1020" t="s">
        <v>682</v>
      </c>
      <c r="E1020" t="s">
        <v>683</v>
      </c>
      <c r="F1020" s="20">
        <v>51478.94</v>
      </c>
      <c r="I1020" s="11">
        <f t="shared" si="6"/>
        <v>45748</v>
      </c>
      <c r="J1020" s="12">
        <f t="shared" si="7"/>
        <v>306</v>
      </c>
      <c r="K1020" t="str">
        <f t="shared" si="8"/>
        <v>271-360</v>
      </c>
      <c r="L1020" s="11">
        <v>46054</v>
      </c>
      <c r="M1020" s="23">
        <f>YEAR(Таблица1[[#This Row],[Дата отчета]])</f>
        <v>2026</v>
      </c>
    </row>
    <row r="1021" spans="1:13" x14ac:dyDescent="0.25">
      <c r="A1021" t="s">
        <v>12</v>
      </c>
      <c r="B1021" t="s">
        <v>684</v>
      </c>
      <c r="C1021" t="s">
        <v>685</v>
      </c>
      <c r="D1021" t="s">
        <v>686</v>
      </c>
      <c r="E1021" t="s">
        <v>687</v>
      </c>
      <c r="F1021" s="20">
        <v>469639.56</v>
      </c>
      <c r="I1021" s="11">
        <f t="shared" si="6"/>
        <v>45771</v>
      </c>
      <c r="J1021" s="12">
        <f t="shared" si="7"/>
        <v>283</v>
      </c>
      <c r="K1021" t="str">
        <f t="shared" si="8"/>
        <v>271-360</v>
      </c>
      <c r="L1021" s="11">
        <v>46054</v>
      </c>
      <c r="M1021" s="23">
        <f>YEAR(Таблица1[[#This Row],[Дата отчета]])</f>
        <v>2026</v>
      </c>
    </row>
    <row r="1022" spans="1:13" x14ac:dyDescent="0.25">
      <c r="A1022" t="s">
        <v>12</v>
      </c>
      <c r="B1022" t="s">
        <v>684</v>
      </c>
      <c r="C1022" t="s">
        <v>688</v>
      </c>
      <c r="D1022" t="s">
        <v>1194</v>
      </c>
      <c r="E1022" t="s">
        <v>890</v>
      </c>
      <c r="F1022" s="20">
        <v>590584.65</v>
      </c>
      <c r="I1022" s="11">
        <f t="shared" si="6"/>
        <v>45894</v>
      </c>
      <c r="J1022" s="12">
        <f t="shared" si="7"/>
        <v>160</v>
      </c>
      <c r="K1022" t="str">
        <f t="shared" si="8"/>
        <v>121-180</v>
      </c>
      <c r="L1022" s="11">
        <v>46054</v>
      </c>
      <c r="M1022" s="23">
        <f>YEAR(Таблица1[[#This Row],[Дата отчета]])</f>
        <v>2026</v>
      </c>
    </row>
    <row r="1023" spans="1:13" x14ac:dyDescent="0.25">
      <c r="A1023" t="s">
        <v>12</v>
      </c>
      <c r="B1023" t="s">
        <v>684</v>
      </c>
      <c r="C1023" t="s">
        <v>688</v>
      </c>
      <c r="D1023" t="s">
        <v>1195</v>
      </c>
      <c r="E1023" t="s">
        <v>140</v>
      </c>
      <c r="F1023" s="20">
        <v>750186.92</v>
      </c>
      <c r="I1023" s="11">
        <f t="shared" ref="I1023:I1086" si="9">E1023*1</f>
        <v>45917</v>
      </c>
      <c r="J1023" s="12">
        <f t="shared" ref="J1023:J1086" si="10">L1023-I1023</f>
        <v>137</v>
      </c>
      <c r="K1023" t="str">
        <f t="shared" ref="K1023:K1086" si="11">IF(J1023&lt;=30,"0-30",IF(J1023&lt;=90,"31-90",IF(J1023&lt;=120,"91-120",IF(J1023&lt;=180,"121-180",IF(J1023&lt;=270,"181-270",IF(J1023&lt;=360,"271-360","&gt;360"))))))</f>
        <v>121-180</v>
      </c>
      <c r="L1023" s="11">
        <v>46054</v>
      </c>
      <c r="M1023" s="23">
        <f>YEAR(Таблица1[[#This Row],[Дата отчета]])</f>
        <v>2026</v>
      </c>
    </row>
    <row r="1024" spans="1:13" x14ac:dyDescent="0.25">
      <c r="A1024" t="s">
        <v>12</v>
      </c>
      <c r="B1024" t="s">
        <v>684</v>
      </c>
      <c r="C1024" t="s">
        <v>688</v>
      </c>
      <c r="D1024" t="s">
        <v>689</v>
      </c>
      <c r="E1024" t="s">
        <v>690</v>
      </c>
      <c r="F1024" s="20">
        <v>1449154.95</v>
      </c>
      <c r="I1024" s="11">
        <f t="shared" si="9"/>
        <v>45958</v>
      </c>
      <c r="J1024" s="12">
        <f t="shared" si="10"/>
        <v>96</v>
      </c>
      <c r="K1024" t="str">
        <f t="shared" si="11"/>
        <v>91-120</v>
      </c>
      <c r="L1024" s="11">
        <v>46054</v>
      </c>
      <c r="M1024" s="23">
        <f>YEAR(Таблица1[[#This Row],[Дата отчета]])</f>
        <v>2026</v>
      </c>
    </row>
    <row r="1025" spans="1:15" x14ac:dyDescent="0.25">
      <c r="A1025" t="s">
        <v>12</v>
      </c>
      <c r="B1025" t="s">
        <v>684</v>
      </c>
      <c r="C1025" t="s">
        <v>688</v>
      </c>
      <c r="D1025" t="s">
        <v>691</v>
      </c>
      <c r="E1025" t="s">
        <v>692</v>
      </c>
      <c r="F1025" s="20">
        <v>623307.19999999995</v>
      </c>
      <c r="I1025" s="11">
        <f t="shared" si="9"/>
        <v>45982</v>
      </c>
      <c r="J1025" s="12">
        <f t="shared" si="10"/>
        <v>72</v>
      </c>
      <c r="K1025" t="str">
        <f t="shared" si="11"/>
        <v>31-90</v>
      </c>
      <c r="L1025" s="11">
        <v>46054</v>
      </c>
      <c r="M1025" s="23">
        <f>YEAR(Таблица1[[#This Row],[Дата отчета]])</f>
        <v>2026</v>
      </c>
    </row>
    <row r="1026" spans="1:15" x14ac:dyDescent="0.25">
      <c r="A1026" t="s">
        <v>12</v>
      </c>
      <c r="B1026" t="s">
        <v>684</v>
      </c>
      <c r="C1026" t="s">
        <v>693</v>
      </c>
      <c r="D1026" t="s">
        <v>694</v>
      </c>
      <c r="E1026" t="s">
        <v>156</v>
      </c>
      <c r="F1026" s="20">
        <v>662388</v>
      </c>
      <c r="I1026" s="11">
        <f t="shared" si="9"/>
        <v>46051</v>
      </c>
      <c r="J1026" s="12">
        <f t="shared" si="10"/>
        <v>3</v>
      </c>
      <c r="K1026" t="str">
        <f t="shared" si="11"/>
        <v>0-30</v>
      </c>
      <c r="L1026" s="11">
        <v>46054</v>
      </c>
      <c r="M1026" s="23">
        <f>YEAR(Таблица1[[#This Row],[Дата отчета]])</f>
        <v>2026</v>
      </c>
    </row>
    <row r="1027" spans="1:15" x14ac:dyDescent="0.25">
      <c r="A1027" t="s">
        <v>12</v>
      </c>
      <c r="B1027" t="s">
        <v>684</v>
      </c>
      <c r="C1027" t="s">
        <v>695</v>
      </c>
      <c r="D1027" t="s">
        <v>696</v>
      </c>
      <c r="E1027" t="s">
        <v>218</v>
      </c>
      <c r="F1027" s="20">
        <v>140313</v>
      </c>
      <c r="I1027" s="11">
        <f t="shared" si="9"/>
        <v>45947</v>
      </c>
      <c r="J1027" s="12">
        <f t="shared" si="10"/>
        <v>107</v>
      </c>
      <c r="K1027" t="str">
        <f t="shared" si="11"/>
        <v>91-120</v>
      </c>
      <c r="L1027" s="11">
        <v>46054</v>
      </c>
      <c r="M1027" s="23">
        <f>YEAR(Таблица1[[#This Row],[Дата отчета]])</f>
        <v>2026</v>
      </c>
    </row>
    <row r="1028" spans="1:15" x14ac:dyDescent="0.25">
      <c r="A1028" t="s">
        <v>12</v>
      </c>
      <c r="B1028" t="s">
        <v>684</v>
      </c>
      <c r="C1028" t="s">
        <v>697</v>
      </c>
      <c r="D1028" t="s">
        <v>698</v>
      </c>
      <c r="E1028" t="s">
        <v>699</v>
      </c>
      <c r="F1028" s="20">
        <v>172161</v>
      </c>
      <c r="I1028" s="11">
        <f t="shared" si="9"/>
        <v>45218</v>
      </c>
      <c r="J1028" s="12">
        <f t="shared" si="10"/>
        <v>836</v>
      </c>
      <c r="K1028" t="str">
        <f t="shared" si="11"/>
        <v>&gt;360</v>
      </c>
      <c r="L1028" s="11">
        <v>46054</v>
      </c>
      <c r="M1028" s="23">
        <f>YEAR(Таблица1[[#This Row],[Дата отчета]])</f>
        <v>2026</v>
      </c>
      <c r="N1028" s="2" t="s">
        <v>4535</v>
      </c>
    </row>
    <row r="1029" spans="1:15" x14ac:dyDescent="0.25">
      <c r="A1029" t="s">
        <v>12</v>
      </c>
      <c r="B1029" t="s">
        <v>684</v>
      </c>
      <c r="C1029" t="s">
        <v>700</v>
      </c>
      <c r="D1029" t="s">
        <v>701</v>
      </c>
      <c r="E1029" t="s">
        <v>702</v>
      </c>
      <c r="F1029" s="20">
        <v>1192763</v>
      </c>
      <c r="I1029" s="11">
        <f t="shared" si="9"/>
        <v>45943</v>
      </c>
      <c r="J1029" s="12">
        <f t="shared" si="10"/>
        <v>111</v>
      </c>
      <c r="K1029" t="str">
        <f t="shared" si="11"/>
        <v>91-120</v>
      </c>
      <c r="L1029" s="11">
        <v>46054</v>
      </c>
      <c r="M1029" s="23">
        <f>YEAR(Таблица1[[#This Row],[Дата отчета]])</f>
        <v>2026</v>
      </c>
    </row>
    <row r="1030" spans="1:15" x14ac:dyDescent="0.25">
      <c r="A1030" t="s">
        <v>12</v>
      </c>
      <c r="B1030" t="s">
        <v>684</v>
      </c>
      <c r="C1030" t="s">
        <v>1196</v>
      </c>
      <c r="D1030" t="s">
        <v>1197</v>
      </c>
      <c r="E1030" t="s">
        <v>841</v>
      </c>
      <c r="F1030" s="20">
        <v>28590</v>
      </c>
      <c r="I1030" s="11">
        <f t="shared" si="9"/>
        <v>45925</v>
      </c>
      <c r="J1030" s="12">
        <f t="shared" si="10"/>
        <v>129</v>
      </c>
      <c r="K1030" t="str">
        <f t="shared" si="11"/>
        <v>121-180</v>
      </c>
      <c r="L1030" s="11">
        <v>46054</v>
      </c>
      <c r="M1030" s="23">
        <f>YEAR(Таблица1[[#This Row],[Дата отчета]])</f>
        <v>2026</v>
      </c>
    </row>
    <row r="1031" spans="1:15" x14ac:dyDescent="0.25">
      <c r="A1031" t="s">
        <v>12</v>
      </c>
      <c r="B1031" t="s">
        <v>684</v>
      </c>
      <c r="C1031" t="s">
        <v>703</v>
      </c>
      <c r="D1031" t="s">
        <v>704</v>
      </c>
      <c r="E1031" t="s">
        <v>702</v>
      </c>
      <c r="F1031" s="20">
        <v>546480</v>
      </c>
      <c r="I1031" s="11">
        <f t="shared" si="9"/>
        <v>45943</v>
      </c>
      <c r="J1031" s="12">
        <f t="shared" si="10"/>
        <v>111</v>
      </c>
      <c r="K1031" t="str">
        <f t="shared" si="11"/>
        <v>91-120</v>
      </c>
      <c r="L1031" s="11">
        <v>46054</v>
      </c>
      <c r="M1031" s="23">
        <f>YEAR(Таблица1[[#This Row],[Дата отчета]])</f>
        <v>2026</v>
      </c>
    </row>
    <row r="1032" spans="1:15" x14ac:dyDescent="0.25">
      <c r="A1032" t="s">
        <v>12</v>
      </c>
      <c r="B1032" t="s">
        <v>705</v>
      </c>
      <c r="C1032" t="s">
        <v>706</v>
      </c>
      <c r="D1032" t="s">
        <v>707</v>
      </c>
      <c r="E1032" t="s">
        <v>70</v>
      </c>
      <c r="F1032" s="20">
        <v>876000</v>
      </c>
      <c r="I1032" s="11">
        <f t="shared" si="9"/>
        <v>45979</v>
      </c>
      <c r="J1032" s="12">
        <f t="shared" si="10"/>
        <v>75</v>
      </c>
      <c r="K1032" t="str">
        <f t="shared" si="11"/>
        <v>31-90</v>
      </c>
      <c r="L1032" s="11">
        <v>46054</v>
      </c>
      <c r="M1032" s="23">
        <f>YEAR(Таблица1[[#This Row],[Дата отчета]])</f>
        <v>2026</v>
      </c>
    </row>
    <row r="1033" spans="1:15" x14ac:dyDescent="0.25">
      <c r="A1033" t="s">
        <v>12</v>
      </c>
      <c r="B1033" t="s">
        <v>712</v>
      </c>
      <c r="C1033" t="s">
        <v>713</v>
      </c>
      <c r="D1033" t="s">
        <v>714</v>
      </c>
      <c r="E1033" t="s">
        <v>57</v>
      </c>
      <c r="F1033" s="20">
        <v>500000</v>
      </c>
      <c r="I1033" s="11">
        <f t="shared" si="9"/>
        <v>46043</v>
      </c>
      <c r="J1033" s="12">
        <f t="shared" si="10"/>
        <v>11</v>
      </c>
      <c r="K1033" t="str">
        <f t="shared" si="11"/>
        <v>0-30</v>
      </c>
      <c r="L1033" s="11">
        <v>46054</v>
      </c>
      <c r="M1033" s="23">
        <f>YEAR(Таблица1[[#This Row],[Дата отчета]])</f>
        <v>2026</v>
      </c>
    </row>
    <row r="1034" spans="1:15" x14ac:dyDescent="0.25">
      <c r="A1034" t="s">
        <v>12</v>
      </c>
      <c r="B1034" t="s">
        <v>715</v>
      </c>
      <c r="C1034" t="s">
        <v>716</v>
      </c>
      <c r="D1034" t="s">
        <v>717</v>
      </c>
      <c r="E1034" t="s">
        <v>718</v>
      </c>
      <c r="F1034" s="20">
        <v>161919248.72</v>
      </c>
      <c r="I1034" s="11">
        <f t="shared" si="9"/>
        <v>45999</v>
      </c>
      <c r="J1034" s="12">
        <f t="shared" si="10"/>
        <v>55</v>
      </c>
      <c r="K1034" t="str">
        <f t="shared" si="11"/>
        <v>31-90</v>
      </c>
      <c r="L1034" s="11">
        <v>46054</v>
      </c>
      <c r="M1034" s="23">
        <f>YEAR(Таблица1[[#This Row],[Дата отчета]])</f>
        <v>2026</v>
      </c>
    </row>
    <row r="1035" spans="1:15" x14ac:dyDescent="0.25">
      <c r="A1035" t="s">
        <v>12</v>
      </c>
      <c r="B1035" t="s">
        <v>719</v>
      </c>
      <c r="C1035" t="s">
        <v>720</v>
      </c>
      <c r="D1035" t="s">
        <v>721</v>
      </c>
      <c r="E1035" t="s">
        <v>113</v>
      </c>
      <c r="F1035" s="20">
        <v>236250</v>
      </c>
      <c r="I1035" s="11">
        <f t="shared" si="9"/>
        <v>46009</v>
      </c>
      <c r="J1035" s="12">
        <f t="shared" si="10"/>
        <v>45</v>
      </c>
      <c r="K1035" t="str">
        <f t="shared" si="11"/>
        <v>31-90</v>
      </c>
      <c r="L1035" s="11">
        <v>46054</v>
      </c>
      <c r="M1035" s="23">
        <f>YEAR(Таблица1[[#This Row],[Дата отчета]])</f>
        <v>2026</v>
      </c>
      <c r="O1035" s="8">
        <v>46099</v>
      </c>
    </row>
    <row r="1036" spans="1:15" x14ac:dyDescent="0.25">
      <c r="A1036" t="s">
        <v>12</v>
      </c>
      <c r="B1036" t="s">
        <v>719</v>
      </c>
      <c r="C1036" t="s">
        <v>722</v>
      </c>
      <c r="D1036" t="s">
        <v>723</v>
      </c>
      <c r="E1036" t="s">
        <v>183</v>
      </c>
      <c r="F1036" s="20">
        <v>1181250</v>
      </c>
      <c r="I1036" s="11">
        <f t="shared" si="9"/>
        <v>45817</v>
      </c>
      <c r="J1036" s="12">
        <f t="shared" si="10"/>
        <v>237</v>
      </c>
      <c r="K1036" t="str">
        <f t="shared" si="11"/>
        <v>181-270</v>
      </c>
      <c r="L1036" s="11">
        <v>46054</v>
      </c>
      <c r="M1036" s="23">
        <f>YEAR(Таблица1[[#This Row],[Дата отчета]])</f>
        <v>2026</v>
      </c>
      <c r="O1036" s="8">
        <v>46099</v>
      </c>
    </row>
    <row r="1037" spans="1:15" x14ac:dyDescent="0.25">
      <c r="A1037" t="s">
        <v>12</v>
      </c>
      <c r="B1037" t="s">
        <v>719</v>
      </c>
      <c r="C1037" t="s">
        <v>722</v>
      </c>
      <c r="D1037" t="s">
        <v>724</v>
      </c>
      <c r="E1037" t="s">
        <v>725</v>
      </c>
      <c r="F1037" s="20">
        <v>236250</v>
      </c>
      <c r="I1037" s="11">
        <f t="shared" si="9"/>
        <v>46002</v>
      </c>
      <c r="J1037" s="12">
        <f t="shared" si="10"/>
        <v>52</v>
      </c>
      <c r="K1037" t="str">
        <f t="shared" si="11"/>
        <v>31-90</v>
      </c>
      <c r="L1037" s="11">
        <v>46054</v>
      </c>
      <c r="M1037" s="23">
        <f>YEAR(Таблица1[[#This Row],[Дата отчета]])</f>
        <v>2026</v>
      </c>
      <c r="O1037" s="8">
        <v>46099</v>
      </c>
    </row>
    <row r="1038" spans="1:15" x14ac:dyDescent="0.25">
      <c r="A1038" t="s">
        <v>12</v>
      </c>
      <c r="B1038" t="s">
        <v>726</v>
      </c>
      <c r="C1038" t="s">
        <v>727</v>
      </c>
      <c r="D1038" t="s">
        <v>728</v>
      </c>
      <c r="E1038" t="s">
        <v>729</v>
      </c>
      <c r="F1038" s="20">
        <v>6869.56</v>
      </c>
      <c r="I1038" s="11">
        <f t="shared" si="9"/>
        <v>45799</v>
      </c>
      <c r="J1038" s="12">
        <f t="shared" si="10"/>
        <v>255</v>
      </c>
      <c r="K1038" t="str">
        <f t="shared" si="11"/>
        <v>181-270</v>
      </c>
      <c r="L1038" s="11">
        <v>46054</v>
      </c>
      <c r="M1038" s="23">
        <f>YEAR(Таблица1[[#This Row],[Дата отчета]])</f>
        <v>2026</v>
      </c>
      <c r="N1038" s="2" t="s">
        <v>807</v>
      </c>
    </row>
    <row r="1039" spans="1:15" x14ac:dyDescent="0.25">
      <c r="A1039" t="s">
        <v>12</v>
      </c>
      <c r="B1039" t="s">
        <v>726</v>
      </c>
      <c r="C1039" t="s">
        <v>730</v>
      </c>
      <c r="D1039" t="s">
        <v>731</v>
      </c>
      <c r="E1039" t="s">
        <v>535</v>
      </c>
      <c r="F1039" s="20">
        <v>16930</v>
      </c>
      <c r="I1039" s="11">
        <f t="shared" si="9"/>
        <v>45796</v>
      </c>
      <c r="J1039" s="12">
        <f t="shared" si="10"/>
        <v>258</v>
      </c>
      <c r="K1039" t="str">
        <f t="shared" si="11"/>
        <v>181-270</v>
      </c>
      <c r="L1039" s="11">
        <v>46054</v>
      </c>
      <c r="M1039" s="23">
        <f>YEAR(Таблица1[[#This Row],[Дата отчета]])</f>
        <v>2026</v>
      </c>
      <c r="N1039" s="2" t="s">
        <v>807</v>
      </c>
    </row>
    <row r="1040" spans="1:15" x14ac:dyDescent="0.25">
      <c r="A1040" t="s">
        <v>12</v>
      </c>
      <c r="B1040" t="s">
        <v>726</v>
      </c>
      <c r="C1040" t="s">
        <v>732</v>
      </c>
      <c r="D1040" t="s">
        <v>733</v>
      </c>
      <c r="E1040" t="s">
        <v>734</v>
      </c>
      <c r="F1040" s="20">
        <v>2163.48</v>
      </c>
      <c r="I1040" s="11">
        <f t="shared" si="9"/>
        <v>45541</v>
      </c>
      <c r="J1040" s="12">
        <f t="shared" si="10"/>
        <v>513</v>
      </c>
      <c r="K1040" t="str">
        <f t="shared" si="11"/>
        <v>&gt;360</v>
      </c>
      <c r="L1040" s="11">
        <v>46054</v>
      </c>
      <c r="M1040" s="23">
        <f>YEAR(Таблица1[[#This Row],[Дата отчета]])</f>
        <v>2026</v>
      </c>
      <c r="N1040" s="2" t="s">
        <v>807</v>
      </c>
    </row>
    <row r="1041" spans="1:14" x14ac:dyDescent="0.25">
      <c r="A1041" t="s">
        <v>12</v>
      </c>
      <c r="B1041" t="s">
        <v>726</v>
      </c>
      <c r="C1041" t="s">
        <v>735</v>
      </c>
      <c r="D1041" t="s">
        <v>736</v>
      </c>
      <c r="E1041" t="s">
        <v>247</v>
      </c>
      <c r="F1041" s="20">
        <v>35983.96</v>
      </c>
      <c r="I1041" s="11">
        <f t="shared" si="9"/>
        <v>45798</v>
      </c>
      <c r="J1041" s="12">
        <f t="shared" si="10"/>
        <v>256</v>
      </c>
      <c r="K1041" t="str">
        <f t="shared" si="11"/>
        <v>181-270</v>
      </c>
      <c r="L1041" s="11">
        <v>46054</v>
      </c>
      <c r="M1041" s="23">
        <f>YEAR(Таблица1[[#This Row],[Дата отчета]])</f>
        <v>2026</v>
      </c>
      <c r="N1041" s="2" t="s">
        <v>807</v>
      </c>
    </row>
    <row r="1042" spans="1:14" x14ac:dyDescent="0.25">
      <c r="A1042" t="s">
        <v>12</v>
      </c>
      <c r="B1042" t="s">
        <v>726</v>
      </c>
      <c r="C1042" t="s">
        <v>737</v>
      </c>
      <c r="D1042" t="s">
        <v>738</v>
      </c>
      <c r="E1042" t="s">
        <v>739</v>
      </c>
      <c r="F1042" s="20">
        <v>3413.74</v>
      </c>
      <c r="I1042" s="11">
        <f t="shared" si="9"/>
        <v>45839</v>
      </c>
      <c r="J1042" s="12">
        <f t="shared" si="10"/>
        <v>215</v>
      </c>
      <c r="K1042" t="str">
        <f t="shared" si="11"/>
        <v>181-270</v>
      </c>
      <c r="L1042" s="11">
        <v>46054</v>
      </c>
      <c r="M1042" s="23">
        <f>YEAR(Таблица1[[#This Row],[Дата отчета]])</f>
        <v>2026</v>
      </c>
      <c r="N1042" s="2" t="s">
        <v>807</v>
      </c>
    </row>
    <row r="1043" spans="1:14" x14ac:dyDescent="0.25">
      <c r="A1043" t="s">
        <v>12</v>
      </c>
      <c r="B1043" t="s">
        <v>740</v>
      </c>
      <c r="C1043" t="s">
        <v>970</v>
      </c>
      <c r="D1043" t="s">
        <v>742</v>
      </c>
      <c r="E1043" t="s">
        <v>75</v>
      </c>
      <c r="F1043" s="20">
        <v>2223000</v>
      </c>
      <c r="I1043" s="11">
        <f t="shared" si="9"/>
        <v>46016</v>
      </c>
      <c r="J1043" s="12">
        <f t="shared" si="10"/>
        <v>38</v>
      </c>
      <c r="K1043" t="str">
        <f t="shared" si="11"/>
        <v>31-90</v>
      </c>
      <c r="L1043" s="11">
        <v>46054</v>
      </c>
      <c r="M1043" s="23">
        <f>YEAR(Таблица1[[#This Row],[Дата отчета]])</f>
        <v>2026</v>
      </c>
    </row>
    <row r="1044" spans="1:14" x14ac:dyDescent="0.25">
      <c r="A1044" t="s">
        <v>12</v>
      </c>
      <c r="B1044" t="s">
        <v>745</v>
      </c>
      <c r="C1044" t="s">
        <v>746</v>
      </c>
      <c r="D1044" t="s">
        <v>747</v>
      </c>
      <c r="E1044" t="s">
        <v>748</v>
      </c>
      <c r="F1044" s="20">
        <v>2798.49</v>
      </c>
      <c r="I1044" s="11">
        <f t="shared" si="9"/>
        <v>45580</v>
      </c>
      <c r="J1044" s="12">
        <f t="shared" si="10"/>
        <v>474</v>
      </c>
      <c r="K1044" t="str">
        <f t="shared" si="11"/>
        <v>&gt;360</v>
      </c>
      <c r="L1044" s="11">
        <v>46054</v>
      </c>
      <c r="M1044" s="23">
        <f>YEAR(Таблица1[[#This Row],[Дата отчета]])</f>
        <v>2026</v>
      </c>
    </row>
    <row r="1045" spans="1:14" x14ac:dyDescent="0.25">
      <c r="A1045" t="s">
        <v>12</v>
      </c>
      <c r="B1045" t="s">
        <v>758</v>
      </c>
      <c r="C1045" t="s">
        <v>759</v>
      </c>
      <c r="D1045" t="s">
        <v>760</v>
      </c>
      <c r="E1045" t="s">
        <v>761</v>
      </c>
      <c r="F1045" s="20">
        <v>0.3</v>
      </c>
      <c r="I1045" s="11">
        <f t="shared" si="9"/>
        <v>45803</v>
      </c>
      <c r="J1045" s="12">
        <f t="shared" si="10"/>
        <v>251</v>
      </c>
      <c r="K1045" t="str">
        <f t="shared" si="11"/>
        <v>181-270</v>
      </c>
      <c r="L1045" s="11">
        <v>46054</v>
      </c>
      <c r="M1045" s="23">
        <f>YEAR(Таблица1[[#This Row],[Дата отчета]])</f>
        <v>2026</v>
      </c>
    </row>
    <row r="1046" spans="1:14" x14ac:dyDescent="0.25">
      <c r="A1046" t="s">
        <v>12</v>
      </c>
      <c r="B1046" t="s">
        <v>762</v>
      </c>
      <c r="C1046" t="s">
        <v>763</v>
      </c>
      <c r="D1046" t="s">
        <v>764</v>
      </c>
      <c r="E1046" t="s">
        <v>765</v>
      </c>
      <c r="F1046" s="20">
        <v>74670</v>
      </c>
      <c r="I1046" s="11">
        <f t="shared" si="9"/>
        <v>45751</v>
      </c>
      <c r="J1046" s="12">
        <f t="shared" si="10"/>
        <v>303</v>
      </c>
      <c r="K1046" t="str">
        <f t="shared" si="11"/>
        <v>271-360</v>
      </c>
      <c r="L1046" s="11">
        <v>46054</v>
      </c>
      <c r="M1046" s="23">
        <f>YEAR(Таблица1[[#This Row],[Дата отчета]])</f>
        <v>2026</v>
      </c>
      <c r="N1046" s="7"/>
    </row>
    <row r="1047" spans="1:14" x14ac:dyDescent="0.25">
      <c r="A1047" t="s">
        <v>12</v>
      </c>
      <c r="B1047" t="s">
        <v>766</v>
      </c>
      <c r="C1047" t="s">
        <v>767</v>
      </c>
      <c r="D1047" t="s">
        <v>768</v>
      </c>
      <c r="E1047" t="s">
        <v>769</v>
      </c>
      <c r="F1047" s="20">
        <v>163072</v>
      </c>
      <c r="I1047" s="11">
        <f t="shared" si="9"/>
        <v>45825</v>
      </c>
      <c r="J1047" s="12">
        <f t="shared" si="10"/>
        <v>229</v>
      </c>
      <c r="K1047" t="str">
        <f t="shared" si="11"/>
        <v>181-270</v>
      </c>
      <c r="L1047" s="11">
        <v>46054</v>
      </c>
      <c r="M1047" s="23">
        <f>YEAR(Таблица1[[#This Row],[Дата отчета]])</f>
        <v>2026</v>
      </c>
      <c r="N1047" s="2" t="s">
        <v>4538</v>
      </c>
    </row>
    <row r="1048" spans="1:14" x14ac:dyDescent="0.25">
      <c r="A1048" t="s">
        <v>12</v>
      </c>
      <c r="B1048" t="s">
        <v>770</v>
      </c>
      <c r="C1048" t="s">
        <v>771</v>
      </c>
      <c r="D1048" t="s">
        <v>772</v>
      </c>
      <c r="E1048" t="s">
        <v>773</v>
      </c>
      <c r="F1048" s="20">
        <v>11240</v>
      </c>
      <c r="I1048" s="11">
        <f t="shared" si="9"/>
        <v>45888</v>
      </c>
      <c r="J1048" s="12">
        <f t="shared" si="10"/>
        <v>166</v>
      </c>
      <c r="K1048" t="str">
        <f t="shared" si="11"/>
        <v>121-180</v>
      </c>
      <c r="L1048" s="11">
        <v>46054</v>
      </c>
      <c r="M1048" s="23">
        <f>YEAR(Таблица1[[#This Row],[Дата отчета]])</f>
        <v>2026</v>
      </c>
    </row>
    <row r="1049" spans="1:14" x14ac:dyDescent="0.25">
      <c r="A1049" t="s">
        <v>12</v>
      </c>
      <c r="B1049" t="s">
        <v>774</v>
      </c>
      <c r="C1049" t="s">
        <v>775</v>
      </c>
      <c r="D1049" t="s">
        <v>776</v>
      </c>
      <c r="E1049" t="s">
        <v>725</v>
      </c>
      <c r="F1049" s="20">
        <v>460100</v>
      </c>
      <c r="I1049" s="11">
        <f t="shared" si="9"/>
        <v>46002</v>
      </c>
      <c r="J1049" s="12">
        <f t="shared" si="10"/>
        <v>52</v>
      </c>
      <c r="K1049" t="str">
        <f t="shared" si="11"/>
        <v>31-90</v>
      </c>
      <c r="L1049" s="11">
        <v>46054</v>
      </c>
      <c r="M1049" s="23">
        <f>YEAR(Таблица1[[#This Row],[Дата отчета]])</f>
        <v>2026</v>
      </c>
    </row>
    <row r="1050" spans="1:14" x14ac:dyDescent="0.25">
      <c r="A1050" t="s">
        <v>12</v>
      </c>
      <c r="B1050" t="s">
        <v>1198</v>
      </c>
      <c r="C1050" t="s">
        <v>1199</v>
      </c>
      <c r="D1050" t="s">
        <v>1200</v>
      </c>
      <c r="E1050" t="s">
        <v>1086</v>
      </c>
      <c r="F1050" s="20">
        <v>205088</v>
      </c>
      <c r="I1050" s="11">
        <f t="shared" si="9"/>
        <v>45847</v>
      </c>
      <c r="J1050" s="12">
        <f t="shared" si="10"/>
        <v>207</v>
      </c>
      <c r="K1050" t="str">
        <f t="shared" si="11"/>
        <v>181-270</v>
      </c>
      <c r="L1050" s="11">
        <v>46054</v>
      </c>
      <c r="M1050" s="23">
        <f>YEAR(Таблица1[[#This Row],[Дата отчета]])</f>
        <v>2026</v>
      </c>
    </row>
    <row r="1051" spans="1:14" x14ac:dyDescent="0.25">
      <c r="A1051" t="s">
        <v>12</v>
      </c>
      <c r="B1051" t="s">
        <v>777</v>
      </c>
      <c r="C1051" t="s">
        <v>778</v>
      </c>
      <c r="D1051" t="s">
        <v>779</v>
      </c>
      <c r="E1051" t="s">
        <v>780</v>
      </c>
      <c r="F1051" s="20">
        <v>196.02</v>
      </c>
      <c r="I1051" s="11">
        <f t="shared" si="9"/>
        <v>44868</v>
      </c>
      <c r="J1051" s="12">
        <f t="shared" si="10"/>
        <v>1186</v>
      </c>
      <c r="K1051" t="str">
        <f t="shared" si="11"/>
        <v>&gt;360</v>
      </c>
      <c r="L1051" s="11">
        <v>46054</v>
      </c>
      <c r="M1051" s="23">
        <f>YEAR(Таблица1[[#This Row],[Дата отчета]])</f>
        <v>2026</v>
      </c>
      <c r="N1051" s="2" t="s">
        <v>807</v>
      </c>
    </row>
    <row r="1052" spans="1:14" x14ac:dyDescent="0.25">
      <c r="A1052" t="s">
        <v>12</v>
      </c>
      <c r="B1052" t="s">
        <v>784</v>
      </c>
      <c r="C1052" t="s">
        <v>791</v>
      </c>
      <c r="D1052" t="s">
        <v>792</v>
      </c>
      <c r="E1052" t="s">
        <v>345</v>
      </c>
      <c r="F1052" s="20">
        <v>60000</v>
      </c>
      <c r="I1052" s="11">
        <f t="shared" si="9"/>
        <v>45919</v>
      </c>
      <c r="J1052" s="12">
        <f t="shared" si="10"/>
        <v>135</v>
      </c>
      <c r="K1052" t="str">
        <f t="shared" si="11"/>
        <v>121-180</v>
      </c>
      <c r="L1052" s="11">
        <v>46054</v>
      </c>
      <c r="M1052" s="23">
        <f>YEAR(Таблица1[[#This Row],[Дата отчета]])</f>
        <v>2026</v>
      </c>
    </row>
    <row r="1053" spans="1:14" x14ac:dyDescent="0.25">
      <c r="A1053" t="s">
        <v>12</v>
      </c>
      <c r="B1053" t="s">
        <v>793</v>
      </c>
      <c r="C1053" t="s">
        <v>794</v>
      </c>
      <c r="D1053" t="s">
        <v>795</v>
      </c>
      <c r="E1053" t="s">
        <v>796</v>
      </c>
      <c r="F1053" s="20">
        <v>650</v>
      </c>
      <c r="I1053" s="11">
        <f t="shared" si="9"/>
        <v>44889</v>
      </c>
      <c r="J1053" s="12">
        <f t="shared" si="10"/>
        <v>1165</v>
      </c>
      <c r="K1053" t="str">
        <f t="shared" si="11"/>
        <v>&gt;360</v>
      </c>
      <c r="L1053" s="11">
        <v>46054</v>
      </c>
      <c r="M1053" s="23">
        <f>YEAR(Таблица1[[#This Row],[Дата отчета]])</f>
        <v>2026</v>
      </c>
      <c r="N1053" s="2" t="s">
        <v>807</v>
      </c>
    </row>
    <row r="1054" spans="1:14" x14ac:dyDescent="0.25">
      <c r="A1054" t="s">
        <v>12</v>
      </c>
      <c r="B1054" t="s">
        <v>797</v>
      </c>
      <c r="C1054" t="s">
        <v>798</v>
      </c>
      <c r="D1054" t="s">
        <v>799</v>
      </c>
      <c r="E1054" t="s">
        <v>800</v>
      </c>
      <c r="F1054" s="20">
        <v>427887.5</v>
      </c>
      <c r="I1054" s="11">
        <f t="shared" si="9"/>
        <v>45993</v>
      </c>
      <c r="J1054" s="12">
        <f t="shared" si="10"/>
        <v>61</v>
      </c>
      <c r="K1054" t="str">
        <f t="shared" si="11"/>
        <v>31-90</v>
      </c>
      <c r="L1054" s="11">
        <v>46054</v>
      </c>
      <c r="M1054" s="23">
        <f>YEAR(Таблица1[[#This Row],[Дата отчета]])</f>
        <v>2026</v>
      </c>
    </row>
    <row r="1055" spans="1:14" x14ac:dyDescent="0.25">
      <c r="A1055" t="s">
        <v>12</v>
      </c>
      <c r="B1055" t="s">
        <v>801</v>
      </c>
      <c r="C1055" t="s">
        <v>802</v>
      </c>
      <c r="D1055" t="s">
        <v>803</v>
      </c>
      <c r="E1055" t="s">
        <v>161</v>
      </c>
      <c r="F1055" s="20">
        <v>1117.75</v>
      </c>
      <c r="I1055" s="11">
        <f t="shared" si="9"/>
        <v>45890</v>
      </c>
      <c r="J1055" s="12">
        <f t="shared" si="10"/>
        <v>164</v>
      </c>
      <c r="K1055" t="str">
        <f t="shared" si="11"/>
        <v>121-180</v>
      </c>
      <c r="L1055" s="11">
        <v>46054</v>
      </c>
      <c r="M1055" s="23">
        <f>YEAR(Таблица1[[#This Row],[Дата отчета]])</f>
        <v>2026</v>
      </c>
    </row>
    <row r="1056" spans="1:14" x14ac:dyDescent="0.25">
      <c r="A1056" t="s">
        <v>12</v>
      </c>
      <c r="B1056" t="s">
        <v>804</v>
      </c>
      <c r="C1056" t="s">
        <v>805</v>
      </c>
      <c r="D1056" t="s">
        <v>806</v>
      </c>
      <c r="E1056" t="s">
        <v>276</v>
      </c>
      <c r="F1056" s="20">
        <v>8840</v>
      </c>
      <c r="I1056" s="11">
        <f t="shared" si="9"/>
        <v>45827</v>
      </c>
      <c r="J1056" s="12">
        <f t="shared" si="10"/>
        <v>227</v>
      </c>
      <c r="K1056" t="str">
        <f t="shared" si="11"/>
        <v>181-270</v>
      </c>
      <c r="L1056" s="11">
        <v>46054</v>
      </c>
      <c r="M1056" s="23">
        <f>YEAR(Таблица1[[#This Row],[Дата отчета]])</f>
        <v>2026</v>
      </c>
    </row>
    <row r="1057" spans="1:14" x14ac:dyDescent="0.25">
      <c r="A1057" t="s">
        <v>12</v>
      </c>
      <c r="B1057" t="s">
        <v>804</v>
      </c>
      <c r="C1057" t="s">
        <v>819</v>
      </c>
      <c r="D1057" t="s">
        <v>820</v>
      </c>
      <c r="E1057" t="s">
        <v>821</v>
      </c>
      <c r="F1057" s="20">
        <v>56500</v>
      </c>
      <c r="I1057" s="11">
        <f t="shared" si="9"/>
        <v>45924</v>
      </c>
      <c r="J1057" s="12">
        <f t="shared" si="10"/>
        <v>130</v>
      </c>
      <c r="K1057" t="str">
        <f t="shared" si="11"/>
        <v>121-180</v>
      </c>
      <c r="L1057" s="11">
        <v>46054</v>
      </c>
      <c r="M1057" s="23">
        <f>YEAR(Таблица1[[#This Row],[Дата отчета]])</f>
        <v>2026</v>
      </c>
    </row>
    <row r="1058" spans="1:14" x14ac:dyDescent="0.25">
      <c r="A1058" t="s">
        <v>12</v>
      </c>
      <c r="B1058" t="s">
        <v>804</v>
      </c>
      <c r="C1058" t="s">
        <v>822</v>
      </c>
      <c r="D1058" t="s">
        <v>823</v>
      </c>
      <c r="E1058" t="s">
        <v>824</v>
      </c>
      <c r="F1058" s="20">
        <v>500000</v>
      </c>
      <c r="I1058" s="11">
        <f t="shared" si="9"/>
        <v>45975</v>
      </c>
      <c r="J1058" s="12">
        <f t="shared" si="10"/>
        <v>79</v>
      </c>
      <c r="K1058" t="str">
        <f t="shared" si="11"/>
        <v>31-90</v>
      </c>
      <c r="L1058" s="11">
        <v>46054</v>
      </c>
      <c r="M1058" s="23">
        <f>YEAR(Таблица1[[#This Row],[Дата отчета]])</f>
        <v>2026</v>
      </c>
    </row>
    <row r="1059" spans="1:14" x14ac:dyDescent="0.25">
      <c r="A1059" t="s">
        <v>12</v>
      </c>
      <c r="B1059" t="s">
        <v>804</v>
      </c>
      <c r="C1059" t="s">
        <v>825</v>
      </c>
      <c r="D1059" t="s">
        <v>826</v>
      </c>
      <c r="E1059" t="s">
        <v>827</v>
      </c>
      <c r="F1059" s="20">
        <v>132000</v>
      </c>
      <c r="I1059" s="11">
        <f t="shared" si="9"/>
        <v>45981</v>
      </c>
      <c r="J1059" s="12">
        <f t="shared" si="10"/>
        <v>73</v>
      </c>
      <c r="K1059" t="str">
        <f t="shared" si="11"/>
        <v>31-90</v>
      </c>
      <c r="L1059" s="11">
        <v>46054</v>
      </c>
      <c r="M1059" s="23">
        <f>YEAR(Таблица1[[#This Row],[Дата отчета]])</f>
        <v>2026</v>
      </c>
    </row>
    <row r="1060" spans="1:14" x14ac:dyDescent="0.25">
      <c r="A1060" t="s">
        <v>12</v>
      </c>
      <c r="B1060" t="s">
        <v>804</v>
      </c>
      <c r="C1060" t="s">
        <v>828</v>
      </c>
      <c r="D1060" t="s">
        <v>829</v>
      </c>
      <c r="E1060" t="s">
        <v>830</v>
      </c>
      <c r="F1060" s="20">
        <v>36000</v>
      </c>
      <c r="I1060" s="11">
        <f t="shared" si="9"/>
        <v>46006</v>
      </c>
      <c r="J1060" s="12">
        <f t="shared" si="10"/>
        <v>48</v>
      </c>
      <c r="K1060" t="str">
        <f t="shared" si="11"/>
        <v>31-90</v>
      </c>
      <c r="L1060" s="11">
        <v>46054</v>
      </c>
      <c r="M1060" s="23">
        <f>YEAR(Таблица1[[#This Row],[Дата отчета]])</f>
        <v>2026</v>
      </c>
    </row>
    <row r="1061" spans="1:14" x14ac:dyDescent="0.25">
      <c r="A1061" t="s">
        <v>12</v>
      </c>
      <c r="B1061" t="s">
        <v>831</v>
      </c>
      <c r="C1061" t="s">
        <v>832</v>
      </c>
      <c r="D1061" t="s">
        <v>833</v>
      </c>
      <c r="E1061" t="s">
        <v>834</v>
      </c>
      <c r="F1061" s="20">
        <v>1.8</v>
      </c>
      <c r="I1061" s="11">
        <f t="shared" si="9"/>
        <v>45824</v>
      </c>
      <c r="J1061" s="12">
        <f t="shared" si="10"/>
        <v>230</v>
      </c>
      <c r="K1061" t="str">
        <f t="shared" si="11"/>
        <v>181-270</v>
      </c>
      <c r="L1061" s="11">
        <v>46054</v>
      </c>
      <c r="M1061" s="23">
        <f>YEAR(Таблица1[[#This Row],[Дата отчета]])</f>
        <v>2026</v>
      </c>
    </row>
    <row r="1062" spans="1:14" x14ac:dyDescent="0.25">
      <c r="A1062" t="s">
        <v>12</v>
      </c>
      <c r="B1062" t="s">
        <v>838</v>
      </c>
      <c r="C1062" t="s">
        <v>839</v>
      </c>
      <c r="D1062" t="s">
        <v>840</v>
      </c>
      <c r="E1062" t="s">
        <v>841</v>
      </c>
      <c r="F1062" s="20">
        <v>21420</v>
      </c>
      <c r="I1062" s="11">
        <f t="shared" si="9"/>
        <v>45925</v>
      </c>
      <c r="J1062" s="12">
        <f t="shared" si="10"/>
        <v>129</v>
      </c>
      <c r="K1062" t="str">
        <f t="shared" si="11"/>
        <v>121-180</v>
      </c>
      <c r="L1062" s="11">
        <v>46054</v>
      </c>
      <c r="M1062" s="23">
        <f>YEAR(Таблица1[[#This Row],[Дата отчета]])</f>
        <v>2026</v>
      </c>
    </row>
    <row r="1063" spans="1:14" x14ac:dyDescent="0.25">
      <c r="A1063" t="s">
        <v>12</v>
      </c>
      <c r="B1063" t="s">
        <v>838</v>
      </c>
      <c r="C1063" t="s">
        <v>842</v>
      </c>
      <c r="D1063" t="s">
        <v>843</v>
      </c>
      <c r="E1063" t="s">
        <v>841</v>
      </c>
      <c r="F1063" s="20">
        <v>26000</v>
      </c>
      <c r="I1063" s="11">
        <f t="shared" si="9"/>
        <v>45925</v>
      </c>
      <c r="J1063" s="12">
        <f t="shared" si="10"/>
        <v>129</v>
      </c>
      <c r="K1063" t="str">
        <f t="shared" si="11"/>
        <v>121-180</v>
      </c>
      <c r="L1063" s="11">
        <v>46054</v>
      </c>
      <c r="M1063" s="23">
        <f>YEAR(Таблица1[[#This Row],[Дата отчета]])</f>
        <v>2026</v>
      </c>
    </row>
    <row r="1064" spans="1:14" x14ac:dyDescent="0.25">
      <c r="A1064" t="s">
        <v>12</v>
      </c>
      <c r="B1064" t="s">
        <v>844</v>
      </c>
      <c r="C1064" t="s">
        <v>845</v>
      </c>
      <c r="D1064" t="s">
        <v>846</v>
      </c>
      <c r="E1064" t="s">
        <v>847</v>
      </c>
      <c r="F1064" s="20">
        <v>11834</v>
      </c>
      <c r="I1064" s="11">
        <f t="shared" si="9"/>
        <v>45200</v>
      </c>
      <c r="J1064" s="12">
        <f t="shared" si="10"/>
        <v>854</v>
      </c>
      <c r="K1064" t="str">
        <f t="shared" si="11"/>
        <v>&gt;360</v>
      </c>
      <c r="L1064" s="11">
        <v>46054</v>
      </c>
      <c r="M1064" s="23">
        <f>YEAR(Таблица1[[#This Row],[Дата отчета]])</f>
        <v>2026</v>
      </c>
      <c r="N1064" s="2" t="s">
        <v>807</v>
      </c>
    </row>
    <row r="1065" spans="1:14" x14ac:dyDescent="0.25">
      <c r="A1065" t="s">
        <v>12</v>
      </c>
      <c r="B1065" t="s">
        <v>851</v>
      </c>
      <c r="C1065" t="s">
        <v>852</v>
      </c>
      <c r="D1065" t="s">
        <v>853</v>
      </c>
      <c r="E1065" t="s">
        <v>169</v>
      </c>
      <c r="F1065" s="20">
        <v>157500</v>
      </c>
      <c r="I1065" s="11">
        <f t="shared" si="9"/>
        <v>46050</v>
      </c>
      <c r="J1065" s="12">
        <f t="shared" si="10"/>
        <v>4</v>
      </c>
      <c r="K1065" t="str">
        <f t="shared" si="11"/>
        <v>0-30</v>
      </c>
      <c r="L1065" s="11">
        <v>46054</v>
      </c>
      <c r="M1065" s="23">
        <f>YEAR(Таблица1[[#This Row],[Дата отчета]])</f>
        <v>2026</v>
      </c>
    </row>
    <row r="1066" spans="1:14" x14ac:dyDescent="0.25">
      <c r="A1066" t="s">
        <v>12</v>
      </c>
      <c r="B1066" t="s">
        <v>854</v>
      </c>
      <c r="C1066" t="s">
        <v>855</v>
      </c>
      <c r="D1066" t="s">
        <v>856</v>
      </c>
      <c r="E1066" t="s">
        <v>773</v>
      </c>
      <c r="F1066" s="20">
        <v>3000</v>
      </c>
      <c r="I1066" s="11">
        <f t="shared" si="9"/>
        <v>45888</v>
      </c>
      <c r="J1066" s="12">
        <f t="shared" si="10"/>
        <v>166</v>
      </c>
      <c r="K1066" t="str">
        <f t="shared" si="11"/>
        <v>121-180</v>
      </c>
      <c r="L1066" s="11">
        <v>46054</v>
      </c>
      <c r="M1066" s="23">
        <f>YEAR(Таблица1[[#This Row],[Дата отчета]])</f>
        <v>2026</v>
      </c>
    </row>
    <row r="1067" spans="1:14" x14ac:dyDescent="0.25">
      <c r="A1067" t="s">
        <v>12</v>
      </c>
      <c r="B1067" t="s">
        <v>854</v>
      </c>
      <c r="C1067" t="s">
        <v>857</v>
      </c>
      <c r="D1067" t="s">
        <v>858</v>
      </c>
      <c r="E1067" t="s">
        <v>859</v>
      </c>
      <c r="F1067" s="20">
        <v>9250</v>
      </c>
      <c r="I1067" s="11">
        <f t="shared" si="9"/>
        <v>45110</v>
      </c>
      <c r="J1067" s="12">
        <f t="shared" si="10"/>
        <v>944</v>
      </c>
      <c r="K1067" t="str">
        <f t="shared" si="11"/>
        <v>&gt;360</v>
      </c>
      <c r="L1067" s="11">
        <v>46054</v>
      </c>
      <c r="M1067" s="23">
        <f>YEAR(Таблица1[[#This Row],[Дата отчета]])</f>
        <v>2026</v>
      </c>
      <c r="N1067" s="2" t="s">
        <v>807</v>
      </c>
    </row>
    <row r="1068" spans="1:14" x14ac:dyDescent="0.25">
      <c r="A1068" t="s">
        <v>12</v>
      </c>
      <c r="B1068" t="s">
        <v>854</v>
      </c>
      <c r="C1068" t="s">
        <v>860</v>
      </c>
      <c r="D1068" t="s">
        <v>861</v>
      </c>
      <c r="E1068" t="s">
        <v>862</v>
      </c>
      <c r="F1068" s="20">
        <v>4996</v>
      </c>
      <c r="I1068" s="11">
        <f t="shared" si="9"/>
        <v>45187</v>
      </c>
      <c r="J1068" s="12">
        <f t="shared" si="10"/>
        <v>867</v>
      </c>
      <c r="K1068" t="str">
        <f t="shared" si="11"/>
        <v>&gt;360</v>
      </c>
      <c r="L1068" s="11">
        <v>46054</v>
      </c>
      <c r="M1068" s="23">
        <f>YEAR(Таблица1[[#This Row],[Дата отчета]])</f>
        <v>2026</v>
      </c>
      <c r="N1068" s="2" t="s">
        <v>807</v>
      </c>
    </row>
    <row r="1069" spans="1:14" x14ac:dyDescent="0.25">
      <c r="A1069" t="s">
        <v>12</v>
      </c>
      <c r="B1069" t="s">
        <v>854</v>
      </c>
      <c r="C1069" t="s">
        <v>863</v>
      </c>
      <c r="D1069" t="s">
        <v>864</v>
      </c>
      <c r="E1069" t="s">
        <v>865</v>
      </c>
      <c r="F1069" s="20">
        <v>3100</v>
      </c>
      <c r="I1069" s="11">
        <f t="shared" si="9"/>
        <v>45456</v>
      </c>
      <c r="J1069" s="12">
        <f t="shared" si="10"/>
        <v>598</v>
      </c>
      <c r="K1069" t="str">
        <f t="shared" si="11"/>
        <v>&gt;360</v>
      </c>
      <c r="L1069" s="11">
        <v>46054</v>
      </c>
      <c r="M1069" s="23">
        <f>YEAR(Таблица1[[#This Row],[Дата отчета]])</f>
        <v>2026</v>
      </c>
      <c r="N1069" s="2" t="s">
        <v>807</v>
      </c>
    </row>
    <row r="1070" spans="1:14" x14ac:dyDescent="0.25">
      <c r="A1070" t="s">
        <v>12</v>
      </c>
      <c r="B1070" t="s">
        <v>854</v>
      </c>
      <c r="C1070" t="s">
        <v>866</v>
      </c>
      <c r="D1070" t="s">
        <v>867</v>
      </c>
      <c r="E1070" t="s">
        <v>868</v>
      </c>
      <c r="F1070" s="20">
        <v>2640</v>
      </c>
      <c r="I1070" s="11">
        <f t="shared" si="9"/>
        <v>45252</v>
      </c>
      <c r="J1070" s="12">
        <f t="shared" si="10"/>
        <v>802</v>
      </c>
      <c r="K1070" t="str">
        <f t="shared" si="11"/>
        <v>&gt;360</v>
      </c>
      <c r="L1070" s="11">
        <v>46054</v>
      </c>
      <c r="M1070" s="23">
        <f>YEAR(Таблица1[[#This Row],[Дата отчета]])</f>
        <v>2026</v>
      </c>
      <c r="N1070" s="2" t="s">
        <v>807</v>
      </c>
    </row>
    <row r="1071" spans="1:14" x14ac:dyDescent="0.25">
      <c r="A1071" t="s">
        <v>12</v>
      </c>
      <c r="B1071" t="s">
        <v>854</v>
      </c>
      <c r="C1071" t="s">
        <v>883</v>
      </c>
      <c r="D1071" t="s">
        <v>884</v>
      </c>
      <c r="E1071" t="s">
        <v>885</v>
      </c>
      <c r="F1071" s="20">
        <v>22290</v>
      </c>
      <c r="I1071" s="11">
        <f t="shared" si="9"/>
        <v>45783</v>
      </c>
      <c r="J1071" s="12">
        <f t="shared" si="10"/>
        <v>271</v>
      </c>
      <c r="K1071" t="str">
        <f t="shared" si="11"/>
        <v>271-360</v>
      </c>
      <c r="L1071" s="11">
        <v>46054</v>
      </c>
      <c r="M1071" s="23">
        <f>YEAR(Таблица1[[#This Row],[Дата отчета]])</f>
        <v>2026</v>
      </c>
      <c r="N1071" s="2" t="s">
        <v>807</v>
      </c>
    </row>
    <row r="1072" spans="1:14" x14ac:dyDescent="0.25">
      <c r="A1072" t="s">
        <v>12</v>
      </c>
      <c r="B1072" t="s">
        <v>854</v>
      </c>
      <c r="C1072" t="s">
        <v>883</v>
      </c>
      <c r="D1072" t="s">
        <v>886</v>
      </c>
      <c r="E1072" t="s">
        <v>669</v>
      </c>
      <c r="F1072" s="20">
        <v>2000</v>
      </c>
      <c r="I1072" s="11">
        <f t="shared" si="9"/>
        <v>45930</v>
      </c>
      <c r="J1072" s="12">
        <f t="shared" si="10"/>
        <v>124</v>
      </c>
      <c r="K1072" t="str">
        <f t="shared" si="11"/>
        <v>121-180</v>
      </c>
      <c r="L1072" s="11">
        <v>46054</v>
      </c>
      <c r="M1072" s="23">
        <f>YEAR(Таблица1[[#This Row],[Дата отчета]])</f>
        <v>2026</v>
      </c>
    </row>
    <row r="1073" spans="1:14" x14ac:dyDescent="0.25">
      <c r="A1073" t="s">
        <v>12</v>
      </c>
      <c r="B1073" t="s">
        <v>854</v>
      </c>
      <c r="C1073" t="s">
        <v>883</v>
      </c>
      <c r="D1073" t="s">
        <v>887</v>
      </c>
      <c r="E1073" t="s">
        <v>231</v>
      </c>
      <c r="F1073" s="20">
        <v>4100</v>
      </c>
      <c r="I1073" s="11">
        <f t="shared" si="9"/>
        <v>45992</v>
      </c>
      <c r="J1073" s="12">
        <f t="shared" si="10"/>
        <v>62</v>
      </c>
      <c r="K1073" t="str">
        <f t="shared" si="11"/>
        <v>31-90</v>
      </c>
      <c r="L1073" s="11">
        <v>46054</v>
      </c>
      <c r="M1073" s="23">
        <f>YEAR(Таблица1[[#This Row],[Дата отчета]])</f>
        <v>2026</v>
      </c>
    </row>
    <row r="1074" spans="1:14" x14ac:dyDescent="0.25">
      <c r="A1074" t="s">
        <v>12</v>
      </c>
      <c r="B1074" t="s">
        <v>854</v>
      </c>
      <c r="C1074" t="s">
        <v>888</v>
      </c>
      <c r="D1074" t="s">
        <v>889</v>
      </c>
      <c r="E1074" t="s">
        <v>890</v>
      </c>
      <c r="F1074" s="20">
        <v>3000</v>
      </c>
      <c r="I1074" s="11">
        <f t="shared" si="9"/>
        <v>45894</v>
      </c>
      <c r="J1074" s="12">
        <f t="shared" si="10"/>
        <v>160</v>
      </c>
      <c r="K1074" t="str">
        <f t="shared" si="11"/>
        <v>121-180</v>
      </c>
      <c r="L1074" s="11">
        <v>46054</v>
      </c>
      <c r="M1074" s="23">
        <f>YEAR(Таблица1[[#This Row],[Дата отчета]])</f>
        <v>2026</v>
      </c>
    </row>
    <row r="1075" spans="1:14" x14ac:dyDescent="0.25">
      <c r="A1075" t="s">
        <v>12</v>
      </c>
      <c r="B1075" t="s">
        <v>854</v>
      </c>
      <c r="C1075" t="s">
        <v>891</v>
      </c>
      <c r="D1075" t="s">
        <v>892</v>
      </c>
      <c r="E1075" t="s">
        <v>893</v>
      </c>
      <c r="F1075" s="20">
        <v>29300</v>
      </c>
      <c r="I1075" s="11">
        <f t="shared" si="9"/>
        <v>45898</v>
      </c>
      <c r="J1075" s="12">
        <f t="shared" si="10"/>
        <v>156</v>
      </c>
      <c r="K1075" t="str">
        <f t="shared" si="11"/>
        <v>121-180</v>
      </c>
      <c r="L1075" s="11">
        <v>46054</v>
      </c>
      <c r="M1075" s="23">
        <f>YEAR(Таблица1[[#This Row],[Дата отчета]])</f>
        <v>2026</v>
      </c>
    </row>
    <row r="1076" spans="1:14" x14ac:dyDescent="0.25">
      <c r="A1076" t="s">
        <v>12</v>
      </c>
      <c r="B1076" t="s">
        <v>854</v>
      </c>
      <c r="C1076" t="s">
        <v>1201</v>
      </c>
      <c r="D1076" t="s">
        <v>1202</v>
      </c>
      <c r="E1076" t="s">
        <v>669</v>
      </c>
      <c r="F1076" s="20">
        <v>7108</v>
      </c>
      <c r="I1076" s="11">
        <f t="shared" si="9"/>
        <v>45930</v>
      </c>
      <c r="J1076" s="12">
        <f t="shared" si="10"/>
        <v>124</v>
      </c>
      <c r="K1076" t="str">
        <f t="shared" si="11"/>
        <v>121-180</v>
      </c>
      <c r="L1076" s="11">
        <v>46054</v>
      </c>
      <c r="M1076" s="23">
        <f>YEAR(Таблица1[[#This Row],[Дата отчета]])</f>
        <v>2026</v>
      </c>
    </row>
    <row r="1077" spans="1:14" x14ac:dyDescent="0.25">
      <c r="A1077" t="s">
        <v>12</v>
      </c>
      <c r="B1077" t="s">
        <v>894</v>
      </c>
      <c r="C1077" t="s">
        <v>895</v>
      </c>
      <c r="D1077" t="s">
        <v>896</v>
      </c>
      <c r="E1077" t="s">
        <v>897</v>
      </c>
      <c r="F1077" s="20">
        <v>2400</v>
      </c>
      <c r="I1077" s="11">
        <f t="shared" si="9"/>
        <v>45022</v>
      </c>
      <c r="J1077" s="12">
        <f t="shared" si="10"/>
        <v>1032</v>
      </c>
      <c r="K1077" t="str">
        <f t="shared" si="11"/>
        <v>&gt;360</v>
      </c>
      <c r="L1077" s="11">
        <v>46054</v>
      </c>
      <c r="M1077" s="23">
        <f>YEAR(Таблица1[[#This Row],[Дата отчета]])</f>
        <v>2026</v>
      </c>
      <c r="N1077" s="2" t="s">
        <v>807</v>
      </c>
    </row>
    <row r="1078" spans="1:14" x14ac:dyDescent="0.25">
      <c r="A1078" t="s">
        <v>12</v>
      </c>
      <c r="B1078" t="s">
        <v>894</v>
      </c>
      <c r="C1078" t="s">
        <v>898</v>
      </c>
      <c r="D1078" t="s">
        <v>899</v>
      </c>
      <c r="E1078" t="s">
        <v>900</v>
      </c>
      <c r="F1078" s="20">
        <v>22029</v>
      </c>
      <c r="I1078" s="11">
        <f t="shared" si="9"/>
        <v>45203</v>
      </c>
      <c r="J1078" s="12">
        <f t="shared" si="10"/>
        <v>851</v>
      </c>
      <c r="K1078" t="str">
        <f t="shared" si="11"/>
        <v>&gt;360</v>
      </c>
      <c r="L1078" s="11">
        <v>46054</v>
      </c>
      <c r="M1078" s="23">
        <f>YEAR(Таблица1[[#This Row],[Дата отчета]])</f>
        <v>2026</v>
      </c>
      <c r="N1078" s="2" t="s">
        <v>807</v>
      </c>
    </row>
    <row r="1079" spans="1:14" x14ac:dyDescent="0.25">
      <c r="A1079" t="s">
        <v>12</v>
      </c>
      <c r="B1079" t="s">
        <v>901</v>
      </c>
      <c r="C1079" t="s">
        <v>775</v>
      </c>
      <c r="D1079" t="s">
        <v>902</v>
      </c>
      <c r="E1079" t="s">
        <v>903</v>
      </c>
      <c r="F1079" s="20">
        <v>270</v>
      </c>
      <c r="I1079" s="11">
        <f t="shared" si="9"/>
        <v>43679</v>
      </c>
      <c r="J1079" s="12">
        <f t="shared" si="10"/>
        <v>2375</v>
      </c>
      <c r="K1079" t="str">
        <f t="shared" si="11"/>
        <v>&gt;360</v>
      </c>
      <c r="L1079" s="11">
        <v>46054</v>
      </c>
      <c r="M1079" s="23">
        <f>YEAR(Таблица1[[#This Row],[Дата отчета]])</f>
        <v>2026</v>
      </c>
      <c r="N1079" s="2" t="s">
        <v>807</v>
      </c>
    </row>
    <row r="1080" spans="1:14" x14ac:dyDescent="0.25">
      <c r="A1080" t="s">
        <v>12</v>
      </c>
      <c r="B1080" t="s">
        <v>904</v>
      </c>
      <c r="C1080" t="s">
        <v>905</v>
      </c>
      <c r="D1080" t="s">
        <v>906</v>
      </c>
      <c r="E1080" t="s">
        <v>907</v>
      </c>
      <c r="F1080" s="20">
        <v>479100</v>
      </c>
      <c r="I1080" s="11">
        <f t="shared" si="9"/>
        <v>45909</v>
      </c>
      <c r="J1080" s="12">
        <f t="shared" si="10"/>
        <v>145</v>
      </c>
      <c r="K1080" t="str">
        <f t="shared" si="11"/>
        <v>121-180</v>
      </c>
      <c r="L1080" s="11">
        <v>46054</v>
      </c>
      <c r="M1080" s="23">
        <f>YEAR(Таблица1[[#This Row],[Дата отчета]])</f>
        <v>2026</v>
      </c>
    </row>
    <row r="1081" spans="1:14" x14ac:dyDescent="0.25">
      <c r="A1081" t="s">
        <v>12</v>
      </c>
      <c r="B1081" t="s">
        <v>904</v>
      </c>
      <c r="C1081" t="s">
        <v>908</v>
      </c>
      <c r="D1081" t="s">
        <v>909</v>
      </c>
      <c r="E1081" t="s">
        <v>702</v>
      </c>
      <c r="F1081" s="20">
        <v>855000</v>
      </c>
      <c r="I1081" s="11">
        <f t="shared" si="9"/>
        <v>45943</v>
      </c>
      <c r="J1081" s="12">
        <f t="shared" si="10"/>
        <v>111</v>
      </c>
      <c r="K1081" t="str">
        <f t="shared" si="11"/>
        <v>91-120</v>
      </c>
      <c r="L1081" s="11">
        <v>46054</v>
      </c>
      <c r="M1081" s="23">
        <f>YEAR(Таблица1[[#This Row],[Дата отчета]])</f>
        <v>2026</v>
      </c>
    </row>
    <row r="1082" spans="1:14" x14ac:dyDescent="0.25">
      <c r="A1082" t="s">
        <v>12</v>
      </c>
      <c r="B1082" t="s">
        <v>904</v>
      </c>
      <c r="C1082" t="s">
        <v>910</v>
      </c>
      <c r="D1082" t="s">
        <v>911</v>
      </c>
      <c r="E1082" t="s">
        <v>169</v>
      </c>
      <c r="F1082" s="20">
        <v>4479987</v>
      </c>
      <c r="I1082" s="11">
        <f t="shared" si="9"/>
        <v>46050</v>
      </c>
      <c r="J1082" s="12">
        <f t="shared" si="10"/>
        <v>4</v>
      </c>
      <c r="K1082" t="str">
        <f t="shared" si="11"/>
        <v>0-30</v>
      </c>
      <c r="L1082" s="11">
        <v>46054</v>
      </c>
      <c r="M1082" s="23">
        <f>YEAR(Таблица1[[#This Row],[Дата отчета]])</f>
        <v>2026</v>
      </c>
    </row>
    <row r="1083" spans="1:14" x14ac:dyDescent="0.25">
      <c r="A1083" t="s">
        <v>12</v>
      </c>
      <c r="B1083" t="s">
        <v>912</v>
      </c>
      <c r="C1083" t="s">
        <v>913</v>
      </c>
      <c r="D1083" t="s">
        <v>914</v>
      </c>
      <c r="E1083" t="s">
        <v>156</v>
      </c>
      <c r="F1083" s="20">
        <v>207200</v>
      </c>
      <c r="I1083" s="11">
        <f t="shared" si="9"/>
        <v>46051</v>
      </c>
      <c r="J1083" s="12">
        <f t="shared" si="10"/>
        <v>3</v>
      </c>
      <c r="K1083" t="str">
        <f t="shared" si="11"/>
        <v>0-30</v>
      </c>
      <c r="L1083" s="11">
        <v>46054</v>
      </c>
      <c r="M1083" s="23">
        <f>YEAR(Таблица1[[#This Row],[Дата отчета]])</f>
        <v>2026</v>
      </c>
    </row>
    <row r="1084" spans="1:14" x14ac:dyDescent="0.25">
      <c r="A1084" t="s">
        <v>12</v>
      </c>
      <c r="B1084" t="s">
        <v>915</v>
      </c>
      <c r="C1084" t="s">
        <v>916</v>
      </c>
      <c r="D1084" t="s">
        <v>917</v>
      </c>
      <c r="E1084" t="s">
        <v>571</v>
      </c>
      <c r="F1084" s="20">
        <v>380000</v>
      </c>
      <c r="I1084" s="11">
        <f t="shared" si="9"/>
        <v>45951</v>
      </c>
      <c r="J1084" s="12">
        <f t="shared" si="10"/>
        <v>103</v>
      </c>
      <c r="K1084" t="str">
        <f t="shared" si="11"/>
        <v>91-120</v>
      </c>
      <c r="L1084" s="11">
        <v>46054</v>
      </c>
      <c r="M1084" s="23">
        <f>YEAR(Таблица1[[#This Row],[Дата отчета]])</f>
        <v>2026</v>
      </c>
    </row>
    <row r="1085" spans="1:14" x14ac:dyDescent="0.25">
      <c r="A1085" t="s">
        <v>12</v>
      </c>
      <c r="B1085" t="s">
        <v>915</v>
      </c>
      <c r="C1085" t="s">
        <v>918</v>
      </c>
      <c r="D1085" t="s">
        <v>919</v>
      </c>
      <c r="E1085" t="s">
        <v>920</v>
      </c>
      <c r="F1085" s="20">
        <v>37500</v>
      </c>
      <c r="I1085" s="11">
        <f t="shared" si="9"/>
        <v>45392</v>
      </c>
      <c r="J1085" s="12">
        <f t="shared" si="10"/>
        <v>662</v>
      </c>
      <c r="K1085" t="str">
        <f t="shared" si="11"/>
        <v>&gt;360</v>
      </c>
      <c r="L1085" s="11">
        <v>46054</v>
      </c>
      <c r="M1085" s="23">
        <f>YEAR(Таблица1[[#This Row],[Дата отчета]])</f>
        <v>2026</v>
      </c>
      <c r="N1085" s="2" t="s">
        <v>4538</v>
      </c>
    </row>
    <row r="1086" spans="1:14" x14ac:dyDescent="0.25">
      <c r="A1086" t="s">
        <v>12</v>
      </c>
      <c r="B1086" t="s">
        <v>915</v>
      </c>
      <c r="C1086" t="s">
        <v>923</v>
      </c>
      <c r="D1086" t="s">
        <v>924</v>
      </c>
      <c r="E1086" t="s">
        <v>725</v>
      </c>
      <c r="F1086" s="20">
        <v>10495159.01</v>
      </c>
      <c r="I1086" s="11">
        <f t="shared" si="9"/>
        <v>46002</v>
      </c>
      <c r="J1086" s="12">
        <f t="shared" si="10"/>
        <v>52</v>
      </c>
      <c r="K1086" t="str">
        <f t="shared" si="11"/>
        <v>31-90</v>
      </c>
      <c r="L1086" s="11">
        <v>46054</v>
      </c>
      <c r="M1086" s="23">
        <f>YEAR(Таблица1[[#This Row],[Дата отчета]])</f>
        <v>2026</v>
      </c>
    </row>
    <row r="1087" spans="1:14" x14ac:dyDescent="0.25">
      <c r="A1087" t="s">
        <v>12</v>
      </c>
      <c r="B1087" t="s">
        <v>925</v>
      </c>
      <c r="C1087" t="s">
        <v>926</v>
      </c>
      <c r="D1087" t="s">
        <v>927</v>
      </c>
      <c r="E1087" t="s">
        <v>662</v>
      </c>
      <c r="F1087" s="20">
        <v>700232.5</v>
      </c>
      <c r="I1087" s="11">
        <f t="shared" ref="I1087:I1150" si="12">E1087*1</f>
        <v>45932</v>
      </c>
      <c r="J1087" s="12">
        <f t="shared" ref="J1087:J1150" si="13">L1087-I1087</f>
        <v>122</v>
      </c>
      <c r="K1087" t="str">
        <f t="shared" ref="K1087:K1150" si="14">IF(J1087&lt;=30,"0-30",IF(J1087&lt;=90,"31-90",IF(J1087&lt;=120,"91-120",IF(J1087&lt;=180,"121-180",IF(J1087&lt;=270,"181-270",IF(J1087&lt;=360,"271-360","&gt;360"))))))</f>
        <v>121-180</v>
      </c>
      <c r="L1087" s="11">
        <v>46054</v>
      </c>
      <c r="M1087" s="23">
        <f>YEAR(Таблица1[[#This Row],[Дата отчета]])</f>
        <v>2026</v>
      </c>
    </row>
    <row r="1088" spans="1:14" x14ac:dyDescent="0.25">
      <c r="A1088" t="s">
        <v>12</v>
      </c>
      <c r="B1088" t="s">
        <v>925</v>
      </c>
      <c r="C1088" t="s">
        <v>926</v>
      </c>
      <c r="D1088" t="s">
        <v>928</v>
      </c>
      <c r="E1088" t="s">
        <v>929</v>
      </c>
      <c r="F1088" s="20">
        <v>700232.5</v>
      </c>
      <c r="I1088" s="11">
        <f t="shared" si="12"/>
        <v>46007</v>
      </c>
      <c r="J1088" s="12">
        <f t="shared" si="13"/>
        <v>47</v>
      </c>
      <c r="K1088" t="str">
        <f t="shared" si="14"/>
        <v>31-90</v>
      </c>
      <c r="L1088" s="11">
        <v>46054</v>
      </c>
      <c r="M1088" s="23">
        <f>YEAR(Таблица1[[#This Row],[Дата отчета]])</f>
        <v>2026</v>
      </c>
    </row>
    <row r="1089" spans="1:14" x14ac:dyDescent="0.25">
      <c r="A1089" t="s">
        <v>12</v>
      </c>
      <c r="B1089" t="s">
        <v>925</v>
      </c>
      <c r="C1089" t="s">
        <v>926</v>
      </c>
      <c r="D1089" t="s">
        <v>930</v>
      </c>
      <c r="E1089" t="s">
        <v>254</v>
      </c>
      <c r="F1089" s="20">
        <v>1017148</v>
      </c>
      <c r="I1089" s="11">
        <f t="shared" si="12"/>
        <v>46048</v>
      </c>
      <c r="J1089" s="12">
        <f t="shared" si="13"/>
        <v>6</v>
      </c>
      <c r="K1089" t="str">
        <f t="shared" si="14"/>
        <v>0-30</v>
      </c>
      <c r="L1089" s="11">
        <v>46054</v>
      </c>
      <c r="M1089" s="23">
        <f>YEAR(Таблица1[[#This Row],[Дата отчета]])</f>
        <v>2026</v>
      </c>
    </row>
    <row r="1090" spans="1:14" x14ac:dyDescent="0.25">
      <c r="A1090" t="s">
        <v>12</v>
      </c>
      <c r="B1090" t="s">
        <v>931</v>
      </c>
      <c r="C1090" t="s">
        <v>932</v>
      </c>
      <c r="D1090" t="s">
        <v>933</v>
      </c>
      <c r="E1090" t="s">
        <v>656</v>
      </c>
      <c r="F1090" s="20">
        <v>585500</v>
      </c>
      <c r="I1090" s="11">
        <f t="shared" si="12"/>
        <v>46052</v>
      </c>
      <c r="J1090" s="12">
        <f t="shared" si="13"/>
        <v>2</v>
      </c>
      <c r="K1090" t="str">
        <f t="shared" si="14"/>
        <v>0-30</v>
      </c>
      <c r="L1090" s="11">
        <v>46054</v>
      </c>
      <c r="M1090" s="23">
        <f>YEAR(Таблица1[[#This Row],[Дата отчета]])</f>
        <v>2026</v>
      </c>
    </row>
    <row r="1091" spans="1:14" x14ac:dyDescent="0.25">
      <c r="A1091" t="s">
        <v>12</v>
      </c>
      <c r="B1091" t="s">
        <v>935</v>
      </c>
      <c r="C1091" t="s">
        <v>1203</v>
      </c>
      <c r="D1091" t="s">
        <v>1204</v>
      </c>
      <c r="E1091" t="s">
        <v>100</v>
      </c>
      <c r="F1091" s="20">
        <v>42000</v>
      </c>
      <c r="I1091" s="11">
        <f t="shared" si="12"/>
        <v>45905</v>
      </c>
      <c r="J1091" s="12">
        <f t="shared" si="13"/>
        <v>149</v>
      </c>
      <c r="K1091" t="str">
        <f t="shared" si="14"/>
        <v>121-180</v>
      </c>
      <c r="L1091" s="11">
        <v>46054</v>
      </c>
      <c r="M1091" s="23">
        <f>YEAR(Таблица1[[#This Row],[Дата отчета]])</f>
        <v>2026</v>
      </c>
    </row>
    <row r="1092" spans="1:14" x14ac:dyDescent="0.25">
      <c r="A1092" t="s">
        <v>12</v>
      </c>
      <c r="B1092" t="s">
        <v>935</v>
      </c>
      <c r="C1092" t="s">
        <v>936</v>
      </c>
      <c r="D1092" t="s">
        <v>937</v>
      </c>
      <c r="E1092" t="s">
        <v>841</v>
      </c>
      <c r="F1092" s="20">
        <v>67040</v>
      </c>
      <c r="I1092" s="11">
        <f t="shared" si="12"/>
        <v>45925</v>
      </c>
      <c r="J1092" s="12">
        <f t="shared" si="13"/>
        <v>129</v>
      </c>
      <c r="K1092" t="str">
        <f t="shared" si="14"/>
        <v>121-180</v>
      </c>
      <c r="L1092" s="11">
        <v>46054</v>
      </c>
      <c r="M1092" s="23">
        <f>YEAR(Таблица1[[#This Row],[Дата отчета]])</f>
        <v>2026</v>
      </c>
    </row>
    <row r="1093" spans="1:14" x14ac:dyDescent="0.25">
      <c r="A1093" t="s">
        <v>12</v>
      </c>
      <c r="B1093" t="s">
        <v>935</v>
      </c>
      <c r="C1093" t="s">
        <v>1205</v>
      </c>
      <c r="D1093" t="s">
        <v>1206</v>
      </c>
      <c r="E1093" t="s">
        <v>1207</v>
      </c>
      <c r="F1093" s="20">
        <v>2000</v>
      </c>
      <c r="I1093" s="11">
        <f t="shared" si="12"/>
        <v>45926</v>
      </c>
      <c r="J1093" s="12">
        <f t="shared" si="13"/>
        <v>128</v>
      </c>
      <c r="K1093" t="str">
        <f t="shared" si="14"/>
        <v>121-180</v>
      </c>
      <c r="L1093" s="11">
        <v>46054</v>
      </c>
      <c r="M1093" s="23">
        <f>YEAR(Таблица1[[#This Row],[Дата отчета]])</f>
        <v>2026</v>
      </c>
    </row>
    <row r="1094" spans="1:14" x14ac:dyDescent="0.25">
      <c r="A1094" t="s">
        <v>12</v>
      </c>
      <c r="B1094" t="s">
        <v>935</v>
      </c>
      <c r="C1094" t="s">
        <v>938</v>
      </c>
      <c r="D1094" t="s">
        <v>939</v>
      </c>
      <c r="E1094" t="s">
        <v>131</v>
      </c>
      <c r="F1094" s="20">
        <v>424000</v>
      </c>
      <c r="I1094" s="11">
        <f t="shared" si="12"/>
        <v>45931</v>
      </c>
      <c r="J1094" s="12">
        <f t="shared" si="13"/>
        <v>123</v>
      </c>
      <c r="K1094" t="str">
        <f t="shared" si="14"/>
        <v>121-180</v>
      </c>
      <c r="L1094" s="11">
        <v>46054</v>
      </c>
      <c r="M1094" s="23">
        <f>YEAR(Таблица1[[#This Row],[Дата отчета]])</f>
        <v>2026</v>
      </c>
    </row>
    <row r="1095" spans="1:14" x14ac:dyDescent="0.25">
      <c r="A1095" t="s">
        <v>12</v>
      </c>
      <c r="B1095" t="s">
        <v>935</v>
      </c>
      <c r="C1095" t="s">
        <v>1208</v>
      </c>
      <c r="D1095" t="s">
        <v>1209</v>
      </c>
      <c r="E1095" t="s">
        <v>662</v>
      </c>
      <c r="F1095" s="20">
        <v>62000</v>
      </c>
      <c r="I1095" s="11">
        <f t="shared" si="12"/>
        <v>45932</v>
      </c>
      <c r="J1095" s="12">
        <f t="shared" si="13"/>
        <v>122</v>
      </c>
      <c r="K1095" t="str">
        <f t="shared" si="14"/>
        <v>121-180</v>
      </c>
      <c r="L1095" s="11">
        <v>46054</v>
      </c>
      <c r="M1095" s="23">
        <f>YEAR(Таблица1[[#This Row],[Дата отчета]])</f>
        <v>2026</v>
      </c>
    </row>
    <row r="1096" spans="1:14" x14ac:dyDescent="0.25">
      <c r="A1096" t="s">
        <v>12</v>
      </c>
      <c r="B1096" t="s">
        <v>935</v>
      </c>
      <c r="C1096" t="s">
        <v>1210</v>
      </c>
      <c r="D1096" t="s">
        <v>1211</v>
      </c>
      <c r="E1096" t="s">
        <v>292</v>
      </c>
      <c r="F1096" s="20">
        <v>34750</v>
      </c>
      <c r="I1096" s="11">
        <f t="shared" si="12"/>
        <v>45933</v>
      </c>
      <c r="J1096" s="12">
        <f t="shared" si="13"/>
        <v>121</v>
      </c>
      <c r="K1096" t="str">
        <f t="shared" si="14"/>
        <v>121-180</v>
      </c>
      <c r="L1096" s="11">
        <v>46054</v>
      </c>
      <c r="M1096" s="23">
        <f>YEAR(Таблица1[[#This Row],[Дата отчета]])</f>
        <v>2026</v>
      </c>
    </row>
    <row r="1097" spans="1:14" x14ac:dyDescent="0.25">
      <c r="A1097" t="s">
        <v>12</v>
      </c>
      <c r="B1097" t="s">
        <v>935</v>
      </c>
      <c r="C1097" t="s">
        <v>940</v>
      </c>
      <c r="D1097" t="s">
        <v>941</v>
      </c>
      <c r="E1097" t="s">
        <v>254</v>
      </c>
      <c r="F1097" s="20">
        <v>91850</v>
      </c>
      <c r="I1097" s="11">
        <f t="shared" si="12"/>
        <v>46048</v>
      </c>
      <c r="J1097" s="12">
        <f t="shared" si="13"/>
        <v>6</v>
      </c>
      <c r="K1097" t="str">
        <f t="shared" si="14"/>
        <v>0-30</v>
      </c>
      <c r="L1097" s="11">
        <v>46054</v>
      </c>
      <c r="M1097" s="23">
        <f>YEAR(Таблица1[[#This Row],[Дата отчета]])</f>
        <v>2026</v>
      </c>
    </row>
    <row r="1098" spans="1:14" x14ac:dyDescent="0.25">
      <c r="A1098" t="s">
        <v>12</v>
      </c>
      <c r="B1098" t="s">
        <v>935</v>
      </c>
      <c r="C1098" t="s">
        <v>942</v>
      </c>
      <c r="D1098" t="s">
        <v>943</v>
      </c>
      <c r="E1098" t="s">
        <v>944</v>
      </c>
      <c r="F1098" s="20">
        <v>14000</v>
      </c>
      <c r="I1098" s="11">
        <f t="shared" si="12"/>
        <v>45749</v>
      </c>
      <c r="J1098" s="12">
        <f t="shared" si="13"/>
        <v>305</v>
      </c>
      <c r="K1098" t="str">
        <f t="shared" si="14"/>
        <v>271-360</v>
      </c>
      <c r="L1098" s="11">
        <v>46054</v>
      </c>
      <c r="M1098" s="23">
        <f>YEAR(Таблица1[[#This Row],[Дата отчета]])</f>
        <v>2026</v>
      </c>
      <c r="N1098" s="7" t="s">
        <v>4538</v>
      </c>
    </row>
    <row r="1099" spans="1:14" x14ac:dyDescent="0.25">
      <c r="A1099" t="s">
        <v>12</v>
      </c>
      <c r="B1099" t="s">
        <v>945</v>
      </c>
      <c r="C1099" t="s">
        <v>946</v>
      </c>
      <c r="D1099" t="s">
        <v>947</v>
      </c>
      <c r="E1099" t="s">
        <v>79</v>
      </c>
      <c r="F1099" s="20">
        <v>2000</v>
      </c>
      <c r="I1099" s="11">
        <f t="shared" si="12"/>
        <v>45980</v>
      </c>
      <c r="J1099" s="12">
        <f t="shared" si="13"/>
        <v>74</v>
      </c>
      <c r="K1099" t="str">
        <f t="shared" si="14"/>
        <v>31-90</v>
      </c>
      <c r="L1099" s="11">
        <v>46054</v>
      </c>
      <c r="M1099" s="23">
        <f>YEAR(Таблица1[[#This Row],[Дата отчета]])</f>
        <v>2026</v>
      </c>
    </row>
    <row r="1100" spans="1:14" x14ac:dyDescent="0.25">
      <c r="A1100" t="s">
        <v>12</v>
      </c>
      <c r="B1100" t="s">
        <v>953</v>
      </c>
      <c r="C1100" t="s">
        <v>954</v>
      </c>
      <c r="D1100" t="s">
        <v>955</v>
      </c>
      <c r="E1100" t="s">
        <v>156</v>
      </c>
      <c r="F1100" s="20">
        <v>3115745.29</v>
      </c>
      <c r="I1100" s="11">
        <f t="shared" si="12"/>
        <v>46051</v>
      </c>
      <c r="J1100" s="12">
        <f t="shared" si="13"/>
        <v>3</v>
      </c>
      <c r="K1100" t="str">
        <f t="shared" si="14"/>
        <v>0-30</v>
      </c>
      <c r="L1100" s="11">
        <v>46054</v>
      </c>
      <c r="M1100" s="23">
        <f>YEAR(Таблица1[[#This Row],[Дата отчета]])</f>
        <v>2026</v>
      </c>
    </row>
    <row r="1101" spans="1:14" x14ac:dyDescent="0.25">
      <c r="A1101" t="s">
        <v>12</v>
      </c>
      <c r="B1101" t="s">
        <v>1212</v>
      </c>
      <c r="C1101" t="s">
        <v>1213</v>
      </c>
      <c r="D1101" t="s">
        <v>1214</v>
      </c>
      <c r="E1101" t="s">
        <v>635</v>
      </c>
      <c r="F1101" s="20">
        <v>5852650</v>
      </c>
      <c r="I1101" s="11">
        <f t="shared" si="12"/>
        <v>45910</v>
      </c>
      <c r="J1101" s="12">
        <f t="shared" si="13"/>
        <v>144</v>
      </c>
      <c r="K1101" t="str">
        <f t="shared" si="14"/>
        <v>121-180</v>
      </c>
      <c r="L1101" s="11">
        <v>46054</v>
      </c>
      <c r="M1101" s="23">
        <f>YEAR(Таблица1[[#This Row],[Дата отчета]])</f>
        <v>2026</v>
      </c>
    </row>
    <row r="1102" spans="1:14" x14ac:dyDescent="0.25">
      <c r="A1102" t="s">
        <v>12</v>
      </c>
      <c r="B1102" t="s">
        <v>1212</v>
      </c>
      <c r="C1102" t="s">
        <v>1213</v>
      </c>
      <c r="D1102" t="s">
        <v>1215</v>
      </c>
      <c r="E1102" t="s">
        <v>571</v>
      </c>
      <c r="F1102" s="20">
        <v>5852650</v>
      </c>
      <c r="I1102" s="11">
        <f t="shared" si="12"/>
        <v>45951</v>
      </c>
      <c r="J1102" s="12">
        <f t="shared" si="13"/>
        <v>103</v>
      </c>
      <c r="K1102" t="str">
        <f t="shared" si="14"/>
        <v>91-120</v>
      </c>
      <c r="L1102" s="11">
        <v>46054</v>
      </c>
      <c r="M1102" s="23">
        <f>YEAR(Таблица1[[#This Row],[Дата отчета]])</f>
        <v>2026</v>
      </c>
    </row>
    <row r="1103" spans="1:14" x14ac:dyDescent="0.25">
      <c r="A1103" t="s">
        <v>12</v>
      </c>
      <c r="B1103" t="s">
        <v>962</v>
      </c>
      <c r="C1103" t="s">
        <v>963</v>
      </c>
      <c r="D1103" t="s">
        <v>964</v>
      </c>
      <c r="E1103" t="s">
        <v>656</v>
      </c>
      <c r="F1103" s="20">
        <v>561194</v>
      </c>
      <c r="I1103" s="11">
        <f t="shared" si="12"/>
        <v>46052</v>
      </c>
      <c r="J1103" s="12">
        <f t="shared" si="13"/>
        <v>2</v>
      </c>
      <c r="K1103" t="str">
        <f t="shared" si="14"/>
        <v>0-30</v>
      </c>
      <c r="L1103" s="11">
        <v>46054</v>
      </c>
      <c r="M1103" s="23">
        <f>YEAR(Таблица1[[#This Row],[Дата отчета]])</f>
        <v>2026</v>
      </c>
    </row>
    <row r="1104" spans="1:14" x14ac:dyDescent="0.25">
      <c r="A1104" t="s">
        <v>12</v>
      </c>
      <c r="B1104" t="s">
        <v>965</v>
      </c>
      <c r="C1104" t="s">
        <v>966</v>
      </c>
      <c r="D1104" t="s">
        <v>967</v>
      </c>
      <c r="E1104" t="s">
        <v>968</v>
      </c>
      <c r="F1104" s="20">
        <v>252667.4</v>
      </c>
      <c r="I1104" s="11">
        <f t="shared" si="12"/>
        <v>45729</v>
      </c>
      <c r="J1104" s="12">
        <f t="shared" si="13"/>
        <v>325</v>
      </c>
      <c r="K1104" t="str">
        <f t="shared" si="14"/>
        <v>271-360</v>
      </c>
      <c r="L1104" s="11">
        <v>46054</v>
      </c>
      <c r="M1104" s="23">
        <f>YEAR(Таблица1[[#This Row],[Дата отчета]])</f>
        <v>2026</v>
      </c>
      <c r="N1104" s="7" t="s">
        <v>4536</v>
      </c>
    </row>
    <row r="1105" spans="1:16" x14ac:dyDescent="0.25">
      <c r="A1105" t="s">
        <v>12</v>
      </c>
      <c r="B1105" t="s">
        <v>969</v>
      </c>
      <c r="C1105" t="s">
        <v>970</v>
      </c>
      <c r="F1105" s="20">
        <v>200000</v>
      </c>
      <c r="I1105" s="11">
        <f t="shared" si="12"/>
        <v>0</v>
      </c>
      <c r="J1105" s="12">
        <f t="shared" si="13"/>
        <v>46054</v>
      </c>
      <c r="K1105" t="str">
        <f t="shared" si="14"/>
        <v>&gt;360</v>
      </c>
      <c r="L1105" s="11">
        <v>46054</v>
      </c>
      <c r="M1105" s="23">
        <f>YEAR(Таблица1[[#This Row],[Дата отчета]])</f>
        <v>2026</v>
      </c>
      <c r="N1105" s="2"/>
      <c r="P1105" s="2" t="s">
        <v>4546</v>
      </c>
    </row>
    <row r="1106" spans="1:16" x14ac:dyDescent="0.25">
      <c r="A1106" t="s">
        <v>12</v>
      </c>
      <c r="B1106" t="s">
        <v>971</v>
      </c>
      <c r="C1106" t="s">
        <v>972</v>
      </c>
      <c r="D1106" t="s">
        <v>973</v>
      </c>
      <c r="E1106" t="s">
        <v>592</v>
      </c>
      <c r="F1106" s="20">
        <v>225706.72</v>
      </c>
      <c r="I1106" s="11">
        <f t="shared" si="12"/>
        <v>45966</v>
      </c>
      <c r="J1106" s="12">
        <f t="shared" si="13"/>
        <v>88</v>
      </c>
      <c r="K1106" t="str">
        <f t="shared" si="14"/>
        <v>31-90</v>
      </c>
      <c r="L1106" s="11">
        <v>46054</v>
      </c>
      <c r="M1106" s="23">
        <f>YEAR(Таблица1[[#This Row],[Дата отчета]])</f>
        <v>2026</v>
      </c>
    </row>
    <row r="1107" spans="1:16" x14ac:dyDescent="0.25">
      <c r="A1107" t="s">
        <v>12</v>
      </c>
      <c r="B1107" t="s">
        <v>971</v>
      </c>
      <c r="C1107" t="s">
        <v>974</v>
      </c>
      <c r="D1107" t="s">
        <v>975</v>
      </c>
      <c r="E1107" t="s">
        <v>592</v>
      </c>
      <c r="F1107" s="20">
        <v>154485.6</v>
      </c>
      <c r="I1107" s="11">
        <f t="shared" si="12"/>
        <v>45966</v>
      </c>
      <c r="J1107" s="12">
        <f t="shared" si="13"/>
        <v>88</v>
      </c>
      <c r="K1107" t="str">
        <f t="shared" si="14"/>
        <v>31-90</v>
      </c>
      <c r="L1107" s="11">
        <v>46054</v>
      </c>
      <c r="M1107" s="23">
        <f>YEAR(Таблица1[[#This Row],[Дата отчета]])</f>
        <v>2026</v>
      </c>
    </row>
    <row r="1108" spans="1:16" x14ac:dyDescent="0.25">
      <c r="A1108" t="s">
        <v>12</v>
      </c>
      <c r="B1108" t="s">
        <v>976</v>
      </c>
      <c r="C1108" t="s">
        <v>977</v>
      </c>
      <c r="D1108" t="s">
        <v>978</v>
      </c>
      <c r="E1108" t="s">
        <v>979</v>
      </c>
      <c r="F1108" s="20">
        <v>2403856.33</v>
      </c>
      <c r="I1108" s="11">
        <f t="shared" si="12"/>
        <v>46049</v>
      </c>
      <c r="J1108" s="12">
        <f t="shared" si="13"/>
        <v>5</v>
      </c>
      <c r="K1108" t="str">
        <f t="shared" si="14"/>
        <v>0-30</v>
      </c>
      <c r="L1108" s="11">
        <v>46054</v>
      </c>
      <c r="M1108" s="23">
        <f>YEAR(Таблица1[[#This Row],[Дата отчета]])</f>
        <v>2026</v>
      </c>
    </row>
    <row r="1109" spans="1:16" x14ac:dyDescent="0.25">
      <c r="A1109" t="s">
        <v>12</v>
      </c>
      <c r="B1109" t="s">
        <v>980</v>
      </c>
      <c r="C1109" t="s">
        <v>981</v>
      </c>
      <c r="D1109" t="s">
        <v>982</v>
      </c>
      <c r="E1109" t="s">
        <v>983</v>
      </c>
      <c r="F1109" s="20">
        <v>31000</v>
      </c>
      <c r="I1109" s="11">
        <f t="shared" si="12"/>
        <v>45755</v>
      </c>
      <c r="J1109" s="12">
        <f t="shared" si="13"/>
        <v>299</v>
      </c>
      <c r="K1109" t="str">
        <f t="shared" si="14"/>
        <v>271-360</v>
      </c>
      <c r="L1109" s="11">
        <v>46054</v>
      </c>
      <c r="M1109" s="23">
        <f>YEAR(Таблица1[[#This Row],[Дата отчета]])</f>
        <v>2026</v>
      </c>
      <c r="N1109" s="2" t="s">
        <v>807</v>
      </c>
    </row>
    <row r="1110" spans="1:16" x14ac:dyDescent="0.25">
      <c r="A1110" t="s">
        <v>12</v>
      </c>
      <c r="B1110" t="s">
        <v>984</v>
      </c>
      <c r="C1110" t="s">
        <v>985</v>
      </c>
      <c r="D1110" t="s">
        <v>986</v>
      </c>
      <c r="E1110" t="s">
        <v>987</v>
      </c>
      <c r="F1110" s="20">
        <v>32000</v>
      </c>
      <c r="I1110" s="11">
        <f t="shared" si="12"/>
        <v>45747</v>
      </c>
      <c r="J1110" s="12">
        <f t="shared" si="13"/>
        <v>307</v>
      </c>
      <c r="K1110" t="str">
        <f t="shared" si="14"/>
        <v>271-360</v>
      </c>
      <c r="L1110" s="11">
        <v>46054</v>
      </c>
      <c r="M1110" s="23">
        <f>YEAR(Таблица1[[#This Row],[Дата отчета]])</f>
        <v>2026</v>
      </c>
      <c r="N1110" s="2" t="s">
        <v>807</v>
      </c>
    </row>
    <row r="1111" spans="1:16" x14ac:dyDescent="0.25">
      <c r="A1111" t="s">
        <v>12</v>
      </c>
      <c r="B1111" t="s">
        <v>988</v>
      </c>
      <c r="C1111" t="s">
        <v>989</v>
      </c>
      <c r="D1111" t="s">
        <v>990</v>
      </c>
      <c r="E1111" t="s">
        <v>140</v>
      </c>
      <c r="F1111" s="20">
        <v>214283.5</v>
      </c>
      <c r="I1111" s="11">
        <f t="shared" si="12"/>
        <v>45917</v>
      </c>
      <c r="J1111" s="12">
        <f t="shared" si="13"/>
        <v>137</v>
      </c>
      <c r="K1111" t="str">
        <f t="shared" si="14"/>
        <v>121-180</v>
      </c>
      <c r="L1111" s="11">
        <v>46054</v>
      </c>
      <c r="M1111" s="23">
        <f>YEAR(Таблица1[[#This Row],[Дата отчета]])</f>
        <v>2026</v>
      </c>
    </row>
    <row r="1112" spans="1:16" x14ac:dyDescent="0.25">
      <c r="A1112" t="s">
        <v>12</v>
      </c>
      <c r="B1112" t="s">
        <v>991</v>
      </c>
      <c r="C1112" t="s">
        <v>992</v>
      </c>
      <c r="D1112" t="s">
        <v>993</v>
      </c>
      <c r="E1112" t="s">
        <v>994</v>
      </c>
      <c r="F1112" s="20">
        <v>20740</v>
      </c>
      <c r="I1112" s="11">
        <f t="shared" si="12"/>
        <v>45741</v>
      </c>
      <c r="J1112" s="12">
        <f t="shared" si="13"/>
        <v>313</v>
      </c>
      <c r="K1112" t="str">
        <f t="shared" si="14"/>
        <v>271-360</v>
      </c>
      <c r="L1112" s="11">
        <v>46054</v>
      </c>
      <c r="M1112" s="23">
        <f>YEAR(Таблица1[[#This Row],[Дата отчета]])</f>
        <v>2026</v>
      </c>
      <c r="N1112" s="7" t="s">
        <v>4538</v>
      </c>
    </row>
    <row r="1113" spans="1:16" x14ac:dyDescent="0.25">
      <c r="A1113" t="s">
        <v>12</v>
      </c>
      <c r="B1113" t="s">
        <v>995</v>
      </c>
      <c r="C1113" t="s">
        <v>996</v>
      </c>
      <c r="D1113" t="s">
        <v>997</v>
      </c>
      <c r="E1113" t="s">
        <v>998</v>
      </c>
      <c r="F1113" s="20">
        <v>401.24</v>
      </c>
      <c r="I1113" s="11">
        <f t="shared" si="12"/>
        <v>45534</v>
      </c>
      <c r="J1113" s="12">
        <f t="shared" si="13"/>
        <v>520</v>
      </c>
      <c r="K1113" t="str">
        <f t="shared" si="14"/>
        <v>&gt;360</v>
      </c>
      <c r="L1113" s="11">
        <v>46054</v>
      </c>
      <c r="M1113" s="23">
        <f>YEAR(Таблица1[[#This Row],[Дата отчета]])</f>
        <v>2026</v>
      </c>
      <c r="N1113" s="7" t="s">
        <v>4536</v>
      </c>
      <c r="P1113" s="2" t="s">
        <v>4552</v>
      </c>
    </row>
    <row r="1114" spans="1:16" x14ac:dyDescent="0.25">
      <c r="A1114" t="s">
        <v>12</v>
      </c>
      <c r="B1114" t="s">
        <v>995</v>
      </c>
      <c r="C1114" t="s">
        <v>999</v>
      </c>
      <c r="D1114" t="s">
        <v>1000</v>
      </c>
      <c r="E1114" t="s">
        <v>1001</v>
      </c>
      <c r="F1114" s="20">
        <v>4012.33</v>
      </c>
      <c r="I1114" s="11">
        <f t="shared" si="12"/>
        <v>45573</v>
      </c>
      <c r="J1114" s="12">
        <f t="shared" si="13"/>
        <v>481</v>
      </c>
      <c r="K1114" t="str">
        <f t="shared" si="14"/>
        <v>&gt;360</v>
      </c>
      <c r="L1114" s="11">
        <v>46054</v>
      </c>
      <c r="M1114" s="23">
        <f>YEAR(Таблица1[[#This Row],[Дата отчета]])</f>
        <v>2026</v>
      </c>
      <c r="N1114" s="7" t="s">
        <v>4536</v>
      </c>
      <c r="P1114" s="2" t="s">
        <v>4552</v>
      </c>
    </row>
    <row r="1115" spans="1:16" x14ac:dyDescent="0.25">
      <c r="A1115" t="s">
        <v>12</v>
      </c>
      <c r="B1115" t="s">
        <v>1216</v>
      </c>
      <c r="C1115" t="s">
        <v>1217</v>
      </c>
      <c r="D1115" t="s">
        <v>1218</v>
      </c>
      <c r="E1115" t="s">
        <v>669</v>
      </c>
      <c r="F1115" s="20">
        <v>10500</v>
      </c>
      <c r="I1115" s="11">
        <f t="shared" si="12"/>
        <v>45930</v>
      </c>
      <c r="J1115" s="12">
        <f t="shared" si="13"/>
        <v>124</v>
      </c>
      <c r="K1115" t="str">
        <f t="shared" si="14"/>
        <v>121-180</v>
      </c>
      <c r="L1115" s="11">
        <v>46054</v>
      </c>
      <c r="M1115" s="23">
        <f>YEAR(Таблица1[[#This Row],[Дата отчета]])</f>
        <v>2026</v>
      </c>
    </row>
    <row r="1116" spans="1:16" x14ac:dyDescent="0.25">
      <c r="A1116" t="s">
        <v>12</v>
      </c>
      <c r="B1116" t="s">
        <v>1002</v>
      </c>
      <c r="C1116" t="s">
        <v>1003</v>
      </c>
      <c r="D1116" t="s">
        <v>1004</v>
      </c>
      <c r="E1116" t="s">
        <v>156</v>
      </c>
      <c r="F1116" s="20">
        <v>298776</v>
      </c>
      <c r="I1116" s="11">
        <f t="shared" si="12"/>
        <v>46051</v>
      </c>
      <c r="J1116" s="12">
        <f t="shared" si="13"/>
        <v>3</v>
      </c>
      <c r="K1116" t="str">
        <f t="shared" si="14"/>
        <v>0-30</v>
      </c>
      <c r="L1116" s="11">
        <v>46054</v>
      </c>
      <c r="M1116" s="23">
        <f>YEAR(Таблица1[[#This Row],[Дата отчета]])</f>
        <v>2026</v>
      </c>
    </row>
    <row r="1117" spans="1:16" x14ac:dyDescent="0.25">
      <c r="A1117" t="s">
        <v>12</v>
      </c>
      <c r="B1117" t="s">
        <v>1005</v>
      </c>
      <c r="C1117" t="s">
        <v>1219</v>
      </c>
      <c r="D1117" t="s">
        <v>1220</v>
      </c>
      <c r="E1117" t="s">
        <v>994</v>
      </c>
      <c r="F1117" s="20">
        <v>4658</v>
      </c>
      <c r="I1117" s="11">
        <f t="shared" si="12"/>
        <v>45741</v>
      </c>
      <c r="J1117" s="12">
        <f t="shared" si="13"/>
        <v>313</v>
      </c>
      <c r="K1117" t="str">
        <f t="shared" si="14"/>
        <v>271-360</v>
      </c>
      <c r="L1117" s="11">
        <v>46054</v>
      </c>
      <c r="M1117" s="23">
        <f>YEAR(Таблица1[[#This Row],[Дата отчета]])</f>
        <v>2026</v>
      </c>
    </row>
    <row r="1118" spans="1:16" x14ac:dyDescent="0.25">
      <c r="A1118" t="s">
        <v>12</v>
      </c>
      <c r="B1118" t="s">
        <v>1008</v>
      </c>
      <c r="C1118" t="s">
        <v>775</v>
      </c>
      <c r="D1118" t="s">
        <v>1009</v>
      </c>
      <c r="E1118" t="s">
        <v>1010</v>
      </c>
      <c r="F1118" s="20">
        <v>0.1</v>
      </c>
      <c r="I1118" s="11">
        <f t="shared" si="12"/>
        <v>45519</v>
      </c>
      <c r="J1118" s="12">
        <f t="shared" si="13"/>
        <v>535</v>
      </c>
      <c r="K1118" t="str">
        <f t="shared" si="14"/>
        <v>&gt;360</v>
      </c>
      <c r="L1118" s="11">
        <v>46054</v>
      </c>
      <c r="M1118" s="23">
        <f>YEAR(Таблица1[[#This Row],[Дата отчета]])</f>
        <v>2026</v>
      </c>
    </row>
    <row r="1119" spans="1:16" x14ac:dyDescent="0.25">
      <c r="A1119" t="s">
        <v>12</v>
      </c>
      <c r="B1119" t="s">
        <v>1011</v>
      </c>
      <c r="C1119" t="s">
        <v>1012</v>
      </c>
      <c r="D1119" t="s">
        <v>1013</v>
      </c>
      <c r="E1119" t="s">
        <v>1014</v>
      </c>
      <c r="F1119" s="20">
        <v>0.01</v>
      </c>
      <c r="I1119" s="11">
        <f t="shared" si="12"/>
        <v>45224</v>
      </c>
      <c r="J1119" s="12">
        <f t="shared" si="13"/>
        <v>830</v>
      </c>
      <c r="K1119" t="str">
        <f t="shared" si="14"/>
        <v>&gt;360</v>
      </c>
      <c r="L1119" s="11">
        <v>46054</v>
      </c>
      <c r="M1119" s="23">
        <f>YEAR(Таблица1[[#This Row],[Дата отчета]])</f>
        <v>2026</v>
      </c>
    </row>
    <row r="1120" spans="1:16" x14ac:dyDescent="0.25">
      <c r="A1120" t="s">
        <v>12</v>
      </c>
      <c r="B1120" t="s">
        <v>1011</v>
      </c>
      <c r="C1120" t="s">
        <v>1015</v>
      </c>
      <c r="D1120" t="s">
        <v>1016</v>
      </c>
      <c r="E1120" t="s">
        <v>123</v>
      </c>
      <c r="F1120" s="20">
        <v>12461.79</v>
      </c>
      <c r="I1120" s="11">
        <f t="shared" si="12"/>
        <v>45782</v>
      </c>
      <c r="J1120" s="12">
        <f t="shared" si="13"/>
        <v>272</v>
      </c>
      <c r="K1120" t="str">
        <f t="shared" si="14"/>
        <v>271-360</v>
      </c>
      <c r="L1120" s="11">
        <v>46054</v>
      </c>
      <c r="M1120" s="23">
        <f>YEAR(Таблица1[[#This Row],[Дата отчета]])</f>
        <v>2026</v>
      </c>
      <c r="N1120" s="7" t="s">
        <v>4536</v>
      </c>
      <c r="P1120" s="2" t="s">
        <v>4552</v>
      </c>
    </row>
    <row r="1121" spans="1:16" x14ac:dyDescent="0.25">
      <c r="A1121" t="s">
        <v>12</v>
      </c>
      <c r="B1121" t="s">
        <v>1020</v>
      </c>
      <c r="C1121" t="s">
        <v>1021</v>
      </c>
      <c r="D1121" t="s">
        <v>1022</v>
      </c>
      <c r="E1121" t="s">
        <v>1023</v>
      </c>
      <c r="F1121" s="20">
        <v>47400</v>
      </c>
      <c r="I1121" s="11">
        <f t="shared" si="12"/>
        <v>45728</v>
      </c>
      <c r="J1121" s="12">
        <f t="shared" si="13"/>
        <v>326</v>
      </c>
      <c r="K1121" t="str">
        <f t="shared" si="14"/>
        <v>271-360</v>
      </c>
      <c r="L1121" s="11">
        <v>46054</v>
      </c>
      <c r="M1121" s="23">
        <f>YEAR(Таблица1[[#This Row],[Дата отчета]])</f>
        <v>2026</v>
      </c>
      <c r="N1121" s="2" t="s">
        <v>4553</v>
      </c>
      <c r="P1121" s="2"/>
    </row>
    <row r="1122" spans="1:16" x14ac:dyDescent="0.25">
      <c r="A1122" t="s">
        <v>12</v>
      </c>
      <c r="B1122" t="s">
        <v>1024</v>
      </c>
      <c r="C1122" t="s">
        <v>1025</v>
      </c>
      <c r="D1122" t="s">
        <v>1026</v>
      </c>
      <c r="E1122" t="s">
        <v>1027</v>
      </c>
      <c r="F1122" s="20">
        <v>22500</v>
      </c>
      <c r="I1122" s="11">
        <f t="shared" si="12"/>
        <v>45896</v>
      </c>
      <c r="J1122" s="12">
        <f t="shared" si="13"/>
        <v>158</v>
      </c>
      <c r="K1122" t="str">
        <f t="shared" si="14"/>
        <v>121-180</v>
      </c>
      <c r="L1122" s="11">
        <v>46054</v>
      </c>
      <c r="M1122" s="23">
        <f>YEAR(Таблица1[[#This Row],[Дата отчета]])</f>
        <v>2026</v>
      </c>
    </row>
    <row r="1123" spans="1:16" x14ac:dyDescent="0.25">
      <c r="A1123" t="s">
        <v>12</v>
      </c>
      <c r="B1123" t="s">
        <v>1028</v>
      </c>
      <c r="C1123" t="s">
        <v>1029</v>
      </c>
      <c r="D1123" t="s">
        <v>1030</v>
      </c>
      <c r="E1123" t="s">
        <v>1031</v>
      </c>
      <c r="F1123" s="20">
        <v>60000</v>
      </c>
      <c r="I1123" s="11">
        <f t="shared" si="12"/>
        <v>45812</v>
      </c>
      <c r="J1123" s="12">
        <f t="shared" si="13"/>
        <v>242</v>
      </c>
      <c r="K1123" t="str">
        <f t="shared" si="14"/>
        <v>181-270</v>
      </c>
      <c r="L1123" s="11">
        <v>46054</v>
      </c>
      <c r="M1123" s="23">
        <f>YEAR(Таблица1[[#This Row],[Дата отчета]])</f>
        <v>2026</v>
      </c>
      <c r="N1123" s="2" t="s">
        <v>807</v>
      </c>
    </row>
    <row r="1124" spans="1:16" x14ac:dyDescent="0.25">
      <c r="A1124" t="s">
        <v>12</v>
      </c>
      <c r="B1124" t="s">
        <v>1028</v>
      </c>
      <c r="C1124" t="s">
        <v>1029</v>
      </c>
      <c r="D1124" t="s">
        <v>1032</v>
      </c>
      <c r="E1124" t="s">
        <v>528</v>
      </c>
      <c r="F1124" s="20">
        <v>140000</v>
      </c>
      <c r="I1124" s="11">
        <f t="shared" si="12"/>
        <v>45985</v>
      </c>
      <c r="J1124" s="12">
        <f t="shared" si="13"/>
        <v>69</v>
      </c>
      <c r="K1124" t="str">
        <f t="shared" si="14"/>
        <v>31-90</v>
      </c>
      <c r="L1124" s="11">
        <v>46054</v>
      </c>
      <c r="M1124" s="23">
        <f>YEAR(Таблица1[[#This Row],[Дата отчета]])</f>
        <v>2026</v>
      </c>
    </row>
    <row r="1125" spans="1:16" x14ac:dyDescent="0.25">
      <c r="A1125" t="s">
        <v>12</v>
      </c>
      <c r="B1125" t="s">
        <v>1028</v>
      </c>
      <c r="C1125" t="s">
        <v>1033</v>
      </c>
      <c r="D1125" t="s">
        <v>1034</v>
      </c>
      <c r="E1125" t="s">
        <v>1031</v>
      </c>
      <c r="F1125" s="20">
        <v>40500</v>
      </c>
      <c r="I1125" s="11">
        <f t="shared" si="12"/>
        <v>45812</v>
      </c>
      <c r="J1125" s="12">
        <f t="shared" si="13"/>
        <v>242</v>
      </c>
      <c r="K1125" t="str">
        <f t="shared" si="14"/>
        <v>181-270</v>
      </c>
      <c r="L1125" s="11">
        <v>46054</v>
      </c>
      <c r="M1125" s="23">
        <f>YEAR(Таблица1[[#This Row],[Дата отчета]])</f>
        <v>2026</v>
      </c>
      <c r="N1125" s="2" t="s">
        <v>807</v>
      </c>
    </row>
    <row r="1126" spans="1:16" x14ac:dyDescent="0.25">
      <c r="A1126" t="s">
        <v>12</v>
      </c>
      <c r="B1126" t="s">
        <v>1028</v>
      </c>
      <c r="C1126" t="s">
        <v>1033</v>
      </c>
      <c r="D1126" t="s">
        <v>1035</v>
      </c>
      <c r="E1126" t="s">
        <v>218</v>
      </c>
      <c r="F1126" s="20">
        <v>74250</v>
      </c>
      <c r="I1126" s="11">
        <f t="shared" si="12"/>
        <v>45947</v>
      </c>
      <c r="J1126" s="12">
        <f t="shared" si="13"/>
        <v>107</v>
      </c>
      <c r="K1126" t="str">
        <f t="shared" si="14"/>
        <v>91-120</v>
      </c>
      <c r="L1126" s="11">
        <v>46054</v>
      </c>
      <c r="M1126" s="23">
        <f>YEAR(Таблица1[[#This Row],[Дата отчета]])</f>
        <v>2026</v>
      </c>
    </row>
    <row r="1127" spans="1:16" x14ac:dyDescent="0.25">
      <c r="A1127" t="s">
        <v>12</v>
      </c>
      <c r="B1127" t="s">
        <v>1028</v>
      </c>
      <c r="C1127" t="s">
        <v>1033</v>
      </c>
      <c r="D1127" t="s">
        <v>1036</v>
      </c>
      <c r="E1127" t="s">
        <v>528</v>
      </c>
      <c r="F1127" s="20">
        <v>20250</v>
      </c>
      <c r="I1127" s="11">
        <f t="shared" si="12"/>
        <v>45985</v>
      </c>
      <c r="J1127" s="12">
        <f t="shared" si="13"/>
        <v>69</v>
      </c>
      <c r="K1127" t="str">
        <f t="shared" si="14"/>
        <v>31-90</v>
      </c>
      <c r="L1127" s="11">
        <v>46054</v>
      </c>
      <c r="M1127" s="23">
        <f>YEAR(Таблица1[[#This Row],[Дата отчета]])</f>
        <v>2026</v>
      </c>
    </row>
    <row r="1128" spans="1:16" x14ac:dyDescent="0.25">
      <c r="A1128" t="s">
        <v>12</v>
      </c>
      <c r="B1128" t="s">
        <v>1028</v>
      </c>
      <c r="C1128" t="s">
        <v>1037</v>
      </c>
      <c r="D1128" t="s">
        <v>1038</v>
      </c>
      <c r="E1128" t="s">
        <v>1039</v>
      </c>
      <c r="F1128" s="20">
        <v>90000</v>
      </c>
      <c r="I1128" s="11">
        <f t="shared" si="12"/>
        <v>45831</v>
      </c>
      <c r="J1128" s="12">
        <f t="shared" si="13"/>
        <v>223</v>
      </c>
      <c r="K1128" t="str">
        <f t="shared" si="14"/>
        <v>181-270</v>
      </c>
      <c r="L1128" s="11">
        <v>46054</v>
      </c>
      <c r="M1128" s="23">
        <f>YEAR(Таблица1[[#This Row],[Дата отчета]])</f>
        <v>2026</v>
      </c>
      <c r="N1128" s="2" t="s">
        <v>807</v>
      </c>
    </row>
    <row r="1129" spans="1:16" x14ac:dyDescent="0.25">
      <c r="A1129" t="s">
        <v>12</v>
      </c>
      <c r="B1129" t="s">
        <v>1028</v>
      </c>
      <c r="C1129" t="s">
        <v>1037</v>
      </c>
      <c r="D1129" t="s">
        <v>1040</v>
      </c>
      <c r="E1129" t="s">
        <v>466</v>
      </c>
      <c r="F1129" s="20">
        <v>165000</v>
      </c>
      <c r="I1129" s="11">
        <f t="shared" si="12"/>
        <v>45986</v>
      </c>
      <c r="J1129" s="12">
        <f t="shared" si="13"/>
        <v>68</v>
      </c>
      <c r="K1129" t="str">
        <f t="shared" si="14"/>
        <v>31-90</v>
      </c>
      <c r="L1129" s="11">
        <v>46054</v>
      </c>
      <c r="M1129" s="23">
        <f>YEAR(Таблица1[[#This Row],[Дата отчета]])</f>
        <v>2026</v>
      </c>
    </row>
    <row r="1130" spans="1:16" x14ac:dyDescent="0.25">
      <c r="A1130" t="s">
        <v>12</v>
      </c>
      <c r="B1130" t="s">
        <v>1028</v>
      </c>
      <c r="C1130" t="s">
        <v>1041</v>
      </c>
      <c r="D1130" t="s">
        <v>1042</v>
      </c>
      <c r="E1130" t="s">
        <v>1039</v>
      </c>
      <c r="F1130" s="20">
        <v>84000</v>
      </c>
      <c r="I1130" s="11">
        <f t="shared" si="12"/>
        <v>45831</v>
      </c>
      <c r="J1130" s="12">
        <f t="shared" si="13"/>
        <v>223</v>
      </c>
      <c r="K1130" t="str">
        <f t="shared" si="14"/>
        <v>181-270</v>
      </c>
      <c r="L1130" s="11">
        <v>46054</v>
      </c>
      <c r="M1130" s="23">
        <f>YEAR(Таблица1[[#This Row],[Дата отчета]])</f>
        <v>2026</v>
      </c>
      <c r="N1130" s="2" t="s">
        <v>807</v>
      </c>
    </row>
    <row r="1131" spans="1:16" x14ac:dyDescent="0.25">
      <c r="A1131" t="s">
        <v>12</v>
      </c>
      <c r="B1131" t="s">
        <v>1043</v>
      </c>
      <c r="C1131" t="s">
        <v>1044</v>
      </c>
      <c r="D1131" t="s">
        <v>1045</v>
      </c>
      <c r="E1131" t="s">
        <v>769</v>
      </c>
      <c r="F1131" s="20">
        <v>1165</v>
      </c>
      <c r="I1131" s="11">
        <f t="shared" si="12"/>
        <v>45825</v>
      </c>
      <c r="J1131" s="12">
        <f t="shared" si="13"/>
        <v>229</v>
      </c>
      <c r="K1131" t="str">
        <f t="shared" si="14"/>
        <v>181-270</v>
      </c>
      <c r="L1131" s="11">
        <v>46054</v>
      </c>
      <c r="M1131" s="23">
        <f>YEAR(Таблица1[[#This Row],[Дата отчета]])</f>
        <v>2026</v>
      </c>
      <c r="N1131" s="7" t="s">
        <v>4536</v>
      </c>
    </row>
    <row r="1132" spans="1:16" x14ac:dyDescent="0.25">
      <c r="A1132" t="s">
        <v>12</v>
      </c>
      <c r="B1132" t="s">
        <v>1046</v>
      </c>
      <c r="C1132" t="s">
        <v>1047</v>
      </c>
      <c r="D1132" t="s">
        <v>1048</v>
      </c>
      <c r="E1132" t="s">
        <v>1049</v>
      </c>
      <c r="F1132" s="20">
        <v>9000</v>
      </c>
      <c r="I1132" s="11">
        <f t="shared" si="12"/>
        <v>45861</v>
      </c>
      <c r="J1132" s="12">
        <f t="shared" si="13"/>
        <v>193</v>
      </c>
      <c r="K1132" t="str">
        <f t="shared" si="14"/>
        <v>181-270</v>
      </c>
      <c r="L1132" s="11">
        <v>46054</v>
      </c>
      <c r="M1132" s="23">
        <f>YEAR(Таблица1[[#This Row],[Дата отчета]])</f>
        <v>2026</v>
      </c>
      <c r="N1132" s="2" t="s">
        <v>807</v>
      </c>
    </row>
    <row r="1133" spans="1:16" x14ac:dyDescent="0.25">
      <c r="A1133" t="s">
        <v>12</v>
      </c>
      <c r="B1133" t="s">
        <v>1050</v>
      </c>
      <c r="C1133" t="s">
        <v>1051</v>
      </c>
      <c r="D1133" t="s">
        <v>1052</v>
      </c>
      <c r="E1133" t="s">
        <v>683</v>
      </c>
      <c r="F1133" s="20">
        <v>86800</v>
      </c>
      <c r="I1133" s="11">
        <f t="shared" si="12"/>
        <v>45748</v>
      </c>
      <c r="J1133" s="12">
        <f t="shared" si="13"/>
        <v>306</v>
      </c>
      <c r="K1133" t="str">
        <f t="shared" si="14"/>
        <v>271-360</v>
      </c>
      <c r="L1133" s="11">
        <v>46054</v>
      </c>
      <c r="M1133" s="23">
        <f>YEAR(Таблица1[[#This Row],[Дата отчета]])</f>
        <v>2026</v>
      </c>
      <c r="N1133" s="2" t="s">
        <v>807</v>
      </c>
    </row>
    <row r="1134" spans="1:16" x14ac:dyDescent="0.25">
      <c r="A1134" t="s">
        <v>12</v>
      </c>
      <c r="B1134" t="s">
        <v>1053</v>
      </c>
      <c r="C1134" t="s">
        <v>1054</v>
      </c>
      <c r="D1134" t="s">
        <v>1055</v>
      </c>
      <c r="E1134" t="s">
        <v>239</v>
      </c>
      <c r="F1134" s="20">
        <v>10000000</v>
      </c>
      <c r="I1134" s="11">
        <f t="shared" si="12"/>
        <v>45996</v>
      </c>
      <c r="J1134" s="12">
        <f t="shared" si="13"/>
        <v>58</v>
      </c>
      <c r="K1134" t="str">
        <f t="shared" si="14"/>
        <v>31-90</v>
      </c>
      <c r="L1134" s="11">
        <v>46054</v>
      </c>
      <c r="M1134" s="23">
        <f>YEAR(Таблица1[[#This Row],[Дата отчета]])</f>
        <v>2026</v>
      </c>
    </row>
    <row r="1135" spans="1:16" x14ac:dyDescent="0.25">
      <c r="A1135" t="s">
        <v>12</v>
      </c>
      <c r="B1135" t="s">
        <v>1060</v>
      </c>
      <c r="C1135" t="s">
        <v>1061</v>
      </c>
      <c r="D1135" t="s">
        <v>1062</v>
      </c>
      <c r="E1135" t="s">
        <v>127</v>
      </c>
      <c r="F1135" s="20">
        <v>819000</v>
      </c>
      <c r="I1135" s="11">
        <f t="shared" si="12"/>
        <v>46037</v>
      </c>
      <c r="J1135" s="12">
        <f t="shared" si="13"/>
        <v>17</v>
      </c>
      <c r="K1135" t="str">
        <f t="shared" si="14"/>
        <v>0-30</v>
      </c>
      <c r="L1135" s="11">
        <v>46054</v>
      </c>
      <c r="M1135" s="23">
        <f>YEAR(Таблица1[[#This Row],[Дата отчета]])</f>
        <v>2026</v>
      </c>
    </row>
    <row r="1136" spans="1:16" x14ac:dyDescent="0.25">
      <c r="A1136" t="s">
        <v>12</v>
      </c>
      <c r="B1136" t="s">
        <v>1063</v>
      </c>
      <c r="C1136" t="s">
        <v>1064</v>
      </c>
      <c r="D1136" t="s">
        <v>1065</v>
      </c>
      <c r="E1136" t="s">
        <v>51</v>
      </c>
      <c r="F1136" s="20">
        <v>244320</v>
      </c>
      <c r="I1136" s="11">
        <f t="shared" si="12"/>
        <v>45939</v>
      </c>
      <c r="J1136" s="12">
        <f t="shared" si="13"/>
        <v>115</v>
      </c>
      <c r="K1136" t="str">
        <f t="shared" si="14"/>
        <v>91-120</v>
      </c>
      <c r="L1136" s="11">
        <v>46054</v>
      </c>
      <c r="M1136" s="23">
        <f>YEAR(Таблица1[[#This Row],[Дата отчета]])</f>
        <v>2026</v>
      </c>
    </row>
    <row r="1137" spans="1:15" x14ac:dyDescent="0.25">
      <c r="A1137" t="s">
        <v>12</v>
      </c>
      <c r="B1137" t="s">
        <v>1066</v>
      </c>
      <c r="C1137" t="s">
        <v>269</v>
      </c>
      <c r="D1137" t="s">
        <v>1067</v>
      </c>
      <c r="E1137" t="s">
        <v>528</v>
      </c>
      <c r="F1137" s="20">
        <v>3630</v>
      </c>
      <c r="I1137" s="11">
        <f t="shared" si="12"/>
        <v>45985</v>
      </c>
      <c r="J1137" s="12">
        <f t="shared" si="13"/>
        <v>69</v>
      </c>
      <c r="K1137" t="str">
        <f t="shared" si="14"/>
        <v>31-90</v>
      </c>
      <c r="L1137" s="11">
        <v>46054</v>
      </c>
      <c r="M1137" s="23">
        <f>YEAR(Таблица1[[#This Row],[Дата отчета]])</f>
        <v>2026</v>
      </c>
    </row>
    <row r="1138" spans="1:15" x14ac:dyDescent="0.25">
      <c r="A1138" t="s">
        <v>12</v>
      </c>
      <c r="B1138" t="s">
        <v>1068</v>
      </c>
      <c r="C1138" t="s">
        <v>1069</v>
      </c>
      <c r="D1138" t="s">
        <v>1070</v>
      </c>
      <c r="E1138" t="s">
        <v>1071</v>
      </c>
      <c r="F1138" s="20">
        <v>4</v>
      </c>
      <c r="I1138" s="11">
        <f t="shared" si="12"/>
        <v>44860</v>
      </c>
      <c r="J1138" s="12">
        <f t="shared" si="13"/>
        <v>1194</v>
      </c>
      <c r="K1138" t="str">
        <f t="shared" si="14"/>
        <v>&gt;360</v>
      </c>
      <c r="L1138" s="11">
        <v>46054</v>
      </c>
      <c r="M1138" s="23">
        <f>YEAR(Таблица1[[#This Row],[Дата отчета]])</f>
        <v>2026</v>
      </c>
    </row>
    <row r="1139" spans="1:15" x14ac:dyDescent="0.25">
      <c r="A1139" t="s">
        <v>12</v>
      </c>
      <c r="B1139" t="s">
        <v>1073</v>
      </c>
      <c r="C1139" t="s">
        <v>1074</v>
      </c>
      <c r="D1139" t="s">
        <v>1075</v>
      </c>
      <c r="E1139" t="s">
        <v>161</v>
      </c>
      <c r="F1139" s="20">
        <v>11631.14</v>
      </c>
      <c r="I1139" s="11">
        <f t="shared" si="12"/>
        <v>45890</v>
      </c>
      <c r="J1139" s="12">
        <f t="shared" si="13"/>
        <v>164</v>
      </c>
      <c r="K1139" t="str">
        <f t="shared" si="14"/>
        <v>121-180</v>
      </c>
      <c r="L1139" s="11">
        <v>46054</v>
      </c>
      <c r="M1139" s="23">
        <f>YEAR(Таблица1[[#This Row],[Дата отчета]])</f>
        <v>2026</v>
      </c>
    </row>
    <row r="1140" spans="1:15" x14ac:dyDescent="0.25">
      <c r="A1140" t="s">
        <v>12</v>
      </c>
      <c r="B1140" t="s">
        <v>1076</v>
      </c>
      <c r="C1140" t="s">
        <v>1077</v>
      </c>
      <c r="D1140" t="s">
        <v>1078</v>
      </c>
      <c r="E1140" t="s">
        <v>841</v>
      </c>
      <c r="F1140" s="20">
        <v>73305.17</v>
      </c>
      <c r="I1140" s="11">
        <f t="shared" si="12"/>
        <v>45925</v>
      </c>
      <c r="J1140" s="12">
        <f t="shared" si="13"/>
        <v>129</v>
      </c>
      <c r="K1140" t="str">
        <f t="shared" si="14"/>
        <v>121-180</v>
      </c>
      <c r="L1140" s="11">
        <v>46054</v>
      </c>
      <c r="M1140" s="23">
        <f>YEAR(Таблица1[[#This Row],[Дата отчета]])</f>
        <v>2026</v>
      </c>
    </row>
    <row r="1141" spans="1:15" x14ac:dyDescent="0.25">
      <c r="A1141" t="s">
        <v>12</v>
      </c>
      <c r="B1141" t="s">
        <v>1079</v>
      </c>
      <c r="C1141" t="s">
        <v>1080</v>
      </c>
      <c r="D1141" t="s">
        <v>1081</v>
      </c>
      <c r="E1141" t="s">
        <v>96</v>
      </c>
      <c r="F1141" s="20">
        <v>96000</v>
      </c>
      <c r="I1141" s="11">
        <f t="shared" si="12"/>
        <v>45876</v>
      </c>
      <c r="J1141" s="12">
        <f t="shared" si="13"/>
        <v>178</v>
      </c>
      <c r="K1141" t="str">
        <f t="shared" si="14"/>
        <v>121-180</v>
      </c>
      <c r="L1141" s="11">
        <v>46054</v>
      </c>
      <c r="M1141" s="23">
        <f>YEAR(Таблица1[[#This Row],[Дата отчета]])</f>
        <v>2026</v>
      </c>
    </row>
    <row r="1142" spans="1:15" x14ac:dyDescent="0.25">
      <c r="A1142" t="s">
        <v>1082</v>
      </c>
      <c r="B1142" t="s">
        <v>1083</v>
      </c>
      <c r="C1142" t="s">
        <v>1084</v>
      </c>
      <c r="D1142" t="s">
        <v>1085</v>
      </c>
      <c r="E1142" t="s">
        <v>1086</v>
      </c>
      <c r="F1142" s="20">
        <v>126099.22</v>
      </c>
      <c r="I1142" s="11">
        <f t="shared" si="12"/>
        <v>45847</v>
      </c>
      <c r="J1142" s="12">
        <f t="shared" si="13"/>
        <v>207</v>
      </c>
      <c r="K1142" t="str">
        <f t="shared" si="14"/>
        <v>181-270</v>
      </c>
      <c r="L1142" s="11">
        <v>46054</v>
      </c>
      <c r="M1142" s="23">
        <f>YEAR(Таблица1[[#This Row],[Дата отчета]])</f>
        <v>2026</v>
      </c>
    </row>
    <row r="1143" spans="1:15" x14ac:dyDescent="0.25">
      <c r="A1143" t="s">
        <v>1082</v>
      </c>
      <c r="B1143" t="s">
        <v>1087</v>
      </c>
      <c r="C1143" t="s">
        <v>1088</v>
      </c>
      <c r="D1143" t="s">
        <v>1089</v>
      </c>
      <c r="E1143" t="s">
        <v>35</v>
      </c>
      <c r="F1143" s="20">
        <v>2819920.72</v>
      </c>
      <c r="I1143" s="11">
        <f t="shared" si="12"/>
        <v>46036</v>
      </c>
      <c r="J1143" s="12">
        <f t="shared" si="13"/>
        <v>18</v>
      </c>
      <c r="K1143" t="str">
        <f t="shared" si="14"/>
        <v>0-30</v>
      </c>
      <c r="L1143" s="11">
        <v>46054</v>
      </c>
      <c r="M1143" s="23">
        <f>YEAR(Таблица1[[#This Row],[Дата отчета]])</f>
        <v>2026</v>
      </c>
    </row>
    <row r="1144" spans="1:15" x14ac:dyDescent="0.25">
      <c r="A1144" t="s">
        <v>1082</v>
      </c>
      <c r="B1144" t="s">
        <v>1087</v>
      </c>
      <c r="C1144" t="s">
        <v>1090</v>
      </c>
      <c r="D1144" t="s">
        <v>1091</v>
      </c>
      <c r="E1144" t="s">
        <v>1092</v>
      </c>
      <c r="F1144" s="20">
        <v>35421.75</v>
      </c>
      <c r="I1144" s="11">
        <f t="shared" si="12"/>
        <v>45554</v>
      </c>
      <c r="J1144" s="12">
        <f t="shared" si="13"/>
        <v>500</v>
      </c>
      <c r="K1144" t="str">
        <f t="shared" si="14"/>
        <v>&gt;360</v>
      </c>
      <c r="L1144" s="11">
        <v>46054</v>
      </c>
      <c r="M1144" s="23">
        <f>YEAR(Таблица1[[#This Row],[Дата отчета]])</f>
        <v>2026</v>
      </c>
      <c r="N1144" s="7" t="s">
        <v>4535</v>
      </c>
      <c r="O1144" s="24"/>
    </row>
    <row r="1145" spans="1:15" x14ac:dyDescent="0.25">
      <c r="A1145" t="s">
        <v>1082</v>
      </c>
      <c r="B1145" t="s">
        <v>271</v>
      </c>
      <c r="C1145" t="s">
        <v>1093</v>
      </c>
      <c r="D1145" t="s">
        <v>1094</v>
      </c>
      <c r="E1145" t="s">
        <v>841</v>
      </c>
      <c r="F1145" s="20">
        <v>4103412.84</v>
      </c>
      <c r="I1145" s="11">
        <f t="shared" si="12"/>
        <v>45925</v>
      </c>
      <c r="J1145" s="12">
        <f t="shared" si="13"/>
        <v>129</v>
      </c>
      <c r="K1145" t="str">
        <f t="shared" si="14"/>
        <v>121-180</v>
      </c>
      <c r="L1145" s="11">
        <v>46054</v>
      </c>
      <c r="M1145" s="23">
        <f>YEAR(Таблица1[[#This Row],[Дата отчета]])</f>
        <v>2026</v>
      </c>
    </row>
    <row r="1146" spans="1:15" x14ac:dyDescent="0.25">
      <c r="A1146" t="s">
        <v>1082</v>
      </c>
      <c r="B1146" t="s">
        <v>271</v>
      </c>
      <c r="C1146" t="s">
        <v>1095</v>
      </c>
      <c r="D1146" t="s">
        <v>1096</v>
      </c>
      <c r="E1146" t="s">
        <v>571</v>
      </c>
      <c r="F1146" s="20">
        <v>81774.75</v>
      </c>
      <c r="I1146" s="11">
        <f t="shared" si="12"/>
        <v>45951</v>
      </c>
      <c r="J1146" s="12">
        <f t="shared" si="13"/>
        <v>103</v>
      </c>
      <c r="K1146" t="str">
        <f t="shared" si="14"/>
        <v>91-120</v>
      </c>
      <c r="L1146" s="11">
        <v>46054</v>
      </c>
      <c r="M1146" s="23">
        <f>YEAR(Таблица1[[#This Row],[Дата отчета]])</f>
        <v>2026</v>
      </c>
    </row>
    <row r="1147" spans="1:15" x14ac:dyDescent="0.25">
      <c r="A1147" t="s">
        <v>1082</v>
      </c>
      <c r="B1147" t="s">
        <v>271</v>
      </c>
      <c r="C1147" t="s">
        <v>1095</v>
      </c>
      <c r="D1147" t="s">
        <v>1097</v>
      </c>
      <c r="E1147" t="s">
        <v>571</v>
      </c>
      <c r="F1147" s="20">
        <v>381299.85</v>
      </c>
      <c r="I1147" s="11">
        <f t="shared" si="12"/>
        <v>45951</v>
      </c>
      <c r="J1147" s="12">
        <f t="shared" si="13"/>
        <v>103</v>
      </c>
      <c r="K1147" t="str">
        <f t="shared" si="14"/>
        <v>91-120</v>
      </c>
      <c r="L1147" s="11">
        <v>46054</v>
      </c>
      <c r="M1147" s="23">
        <f>YEAR(Таблица1[[#This Row],[Дата отчета]])</f>
        <v>2026</v>
      </c>
    </row>
    <row r="1148" spans="1:15" x14ac:dyDescent="0.25">
      <c r="A1148" t="s">
        <v>1082</v>
      </c>
      <c r="B1148" t="s">
        <v>271</v>
      </c>
      <c r="C1148" t="s">
        <v>1095</v>
      </c>
      <c r="D1148" t="s">
        <v>1098</v>
      </c>
      <c r="E1148" t="s">
        <v>827</v>
      </c>
      <c r="F1148" s="20">
        <v>242292.07</v>
      </c>
      <c r="I1148" s="11">
        <f t="shared" si="12"/>
        <v>45981</v>
      </c>
      <c r="J1148" s="12">
        <f t="shared" si="13"/>
        <v>73</v>
      </c>
      <c r="K1148" t="str">
        <f t="shared" si="14"/>
        <v>31-90</v>
      </c>
      <c r="L1148" s="11">
        <v>46054</v>
      </c>
      <c r="M1148" s="23">
        <f>YEAR(Таблица1[[#This Row],[Дата отчета]])</f>
        <v>2026</v>
      </c>
    </row>
    <row r="1149" spans="1:15" x14ac:dyDescent="0.25">
      <c r="A1149" t="s">
        <v>1082</v>
      </c>
      <c r="B1149" t="s">
        <v>271</v>
      </c>
      <c r="C1149" t="s">
        <v>1095</v>
      </c>
      <c r="D1149" t="s">
        <v>1099</v>
      </c>
      <c r="E1149" t="s">
        <v>692</v>
      </c>
      <c r="F1149" s="20">
        <v>9195.39</v>
      </c>
      <c r="I1149" s="11">
        <f t="shared" si="12"/>
        <v>45982</v>
      </c>
      <c r="J1149" s="12">
        <f t="shared" si="13"/>
        <v>72</v>
      </c>
      <c r="K1149" t="str">
        <f t="shared" si="14"/>
        <v>31-90</v>
      </c>
      <c r="L1149" s="11">
        <v>46054</v>
      </c>
      <c r="M1149" s="23">
        <f>YEAR(Таблица1[[#This Row],[Дата отчета]])</f>
        <v>2026</v>
      </c>
    </row>
    <row r="1150" spans="1:15" x14ac:dyDescent="0.25">
      <c r="A1150" t="s">
        <v>1082</v>
      </c>
      <c r="B1150" t="s">
        <v>271</v>
      </c>
      <c r="C1150" t="s">
        <v>1095</v>
      </c>
      <c r="D1150" t="s">
        <v>1100</v>
      </c>
      <c r="E1150" t="s">
        <v>692</v>
      </c>
      <c r="F1150" s="20">
        <v>96959.25</v>
      </c>
      <c r="I1150" s="11">
        <f t="shared" si="12"/>
        <v>45982</v>
      </c>
      <c r="J1150" s="12">
        <f t="shared" si="13"/>
        <v>72</v>
      </c>
      <c r="K1150" t="str">
        <f t="shared" si="14"/>
        <v>31-90</v>
      </c>
      <c r="L1150" s="11">
        <v>46054</v>
      </c>
      <c r="M1150" s="23">
        <f>YEAR(Таблица1[[#This Row],[Дата отчета]])</f>
        <v>2026</v>
      </c>
    </row>
    <row r="1151" spans="1:15" x14ac:dyDescent="0.25">
      <c r="A1151" t="s">
        <v>1082</v>
      </c>
      <c r="B1151" t="s">
        <v>271</v>
      </c>
      <c r="C1151" t="s">
        <v>1103</v>
      </c>
      <c r="D1151" t="s">
        <v>1104</v>
      </c>
      <c r="E1151" t="s">
        <v>51</v>
      </c>
      <c r="F1151" s="20">
        <v>17940.52</v>
      </c>
      <c r="I1151" s="11">
        <f t="shared" ref="I1151:I1166" si="15">E1151*1</f>
        <v>45939</v>
      </c>
      <c r="J1151" s="12">
        <f t="shared" ref="J1151:J1166" si="16">L1151-I1151</f>
        <v>115</v>
      </c>
      <c r="K1151" t="str">
        <f t="shared" ref="K1151:K1214" si="17">IF(J1151&lt;=30,"0-30",IF(J1151&lt;=90,"31-90",IF(J1151&lt;=120,"91-120",IF(J1151&lt;=180,"121-180",IF(J1151&lt;=270,"181-270",IF(J1151&lt;=360,"271-360","&gt;360"))))))</f>
        <v>91-120</v>
      </c>
      <c r="L1151" s="11">
        <v>46054</v>
      </c>
      <c r="M1151" s="23">
        <f>YEAR(Таблица1[[#This Row],[Дата отчета]])</f>
        <v>2026</v>
      </c>
    </row>
    <row r="1152" spans="1:15" x14ac:dyDescent="0.25">
      <c r="A1152" t="s">
        <v>1082</v>
      </c>
      <c r="B1152" t="s">
        <v>271</v>
      </c>
      <c r="C1152" t="s">
        <v>1105</v>
      </c>
      <c r="D1152" t="s">
        <v>1106</v>
      </c>
      <c r="E1152" t="s">
        <v>75</v>
      </c>
      <c r="F1152" s="20">
        <v>42558293.729999997</v>
      </c>
      <c r="I1152" s="11">
        <f t="shared" si="15"/>
        <v>46016</v>
      </c>
      <c r="J1152" s="12">
        <f t="shared" si="16"/>
        <v>38</v>
      </c>
      <c r="K1152" t="str">
        <f t="shared" si="17"/>
        <v>31-90</v>
      </c>
      <c r="L1152" s="11">
        <v>46054</v>
      </c>
      <c r="M1152" s="23">
        <f>YEAR(Таблица1[[#This Row],[Дата отчета]])</f>
        <v>2026</v>
      </c>
    </row>
    <row r="1153" spans="1:13" x14ac:dyDescent="0.25">
      <c r="A1153" t="s">
        <v>1082</v>
      </c>
      <c r="B1153" t="s">
        <v>561</v>
      </c>
      <c r="C1153" t="s">
        <v>1107</v>
      </c>
      <c r="D1153" t="s">
        <v>1108</v>
      </c>
      <c r="E1153" t="s">
        <v>231</v>
      </c>
      <c r="F1153" s="20">
        <v>100541017.20999999</v>
      </c>
      <c r="I1153" s="11">
        <f t="shared" si="15"/>
        <v>45992</v>
      </c>
      <c r="J1153" s="12">
        <f t="shared" si="16"/>
        <v>62</v>
      </c>
      <c r="K1153" t="str">
        <f t="shared" si="17"/>
        <v>31-90</v>
      </c>
      <c r="L1153" s="11">
        <v>46054</v>
      </c>
      <c r="M1153" s="23">
        <f>YEAR(Таблица1[[#This Row],[Дата отчета]])</f>
        <v>2026</v>
      </c>
    </row>
    <row r="1154" spans="1:13" x14ac:dyDescent="0.25">
      <c r="A1154" t="s">
        <v>1082</v>
      </c>
      <c r="B1154" t="s">
        <v>561</v>
      </c>
      <c r="C1154" t="s">
        <v>1111</v>
      </c>
      <c r="D1154" t="s">
        <v>1112</v>
      </c>
      <c r="E1154" t="s">
        <v>1113</v>
      </c>
      <c r="F1154" s="20">
        <v>4.22</v>
      </c>
      <c r="I1154" s="11">
        <f t="shared" si="15"/>
        <v>45737</v>
      </c>
      <c r="J1154" s="12">
        <f t="shared" si="16"/>
        <v>317</v>
      </c>
      <c r="K1154" t="str">
        <f t="shared" si="17"/>
        <v>271-360</v>
      </c>
      <c r="L1154" s="11">
        <v>46054</v>
      </c>
      <c r="M1154" s="23">
        <f>YEAR(Таблица1[[#This Row],[Дата отчета]])</f>
        <v>2026</v>
      </c>
    </row>
    <row r="1155" spans="1:13" x14ac:dyDescent="0.25">
      <c r="A1155" t="s">
        <v>1082</v>
      </c>
      <c r="B1155" t="s">
        <v>561</v>
      </c>
      <c r="C1155" t="s">
        <v>1114</v>
      </c>
      <c r="D1155" t="s">
        <v>1115</v>
      </c>
      <c r="E1155" t="s">
        <v>824</v>
      </c>
      <c r="F1155" s="20">
        <v>19041986.25</v>
      </c>
      <c r="I1155" s="11">
        <f t="shared" si="15"/>
        <v>45975</v>
      </c>
      <c r="J1155" s="12">
        <f t="shared" si="16"/>
        <v>79</v>
      </c>
      <c r="K1155" t="str">
        <f t="shared" si="17"/>
        <v>31-90</v>
      </c>
      <c r="L1155" s="11">
        <v>46054</v>
      </c>
      <c r="M1155" s="23">
        <f>YEAR(Таблица1[[#This Row],[Дата отчета]])</f>
        <v>2026</v>
      </c>
    </row>
    <row r="1156" spans="1:13" x14ac:dyDescent="0.25">
      <c r="A1156" t="s">
        <v>1082</v>
      </c>
      <c r="B1156" t="s">
        <v>561</v>
      </c>
      <c r="C1156" t="s">
        <v>1116</v>
      </c>
      <c r="D1156" t="s">
        <v>1117</v>
      </c>
      <c r="E1156" t="s">
        <v>332</v>
      </c>
      <c r="F1156" s="20">
        <v>832127.38</v>
      </c>
      <c r="I1156" s="11">
        <f t="shared" si="15"/>
        <v>45936</v>
      </c>
      <c r="J1156" s="12">
        <f t="shared" si="16"/>
        <v>118</v>
      </c>
      <c r="K1156" t="str">
        <f t="shared" si="17"/>
        <v>91-120</v>
      </c>
      <c r="L1156" s="11">
        <v>46054</v>
      </c>
      <c r="M1156" s="23">
        <f>YEAR(Таблица1[[#This Row],[Дата отчета]])</f>
        <v>2026</v>
      </c>
    </row>
    <row r="1157" spans="1:13" x14ac:dyDescent="0.25">
      <c r="A1157" t="s">
        <v>1082</v>
      </c>
      <c r="B1157" t="s">
        <v>561</v>
      </c>
      <c r="C1157" t="s">
        <v>1118</v>
      </c>
      <c r="D1157" t="s">
        <v>1119</v>
      </c>
      <c r="E1157" t="s">
        <v>1120</v>
      </c>
      <c r="F1157" s="20">
        <v>19608750</v>
      </c>
      <c r="I1157" s="11">
        <f t="shared" si="15"/>
        <v>45937</v>
      </c>
      <c r="J1157" s="12">
        <f t="shared" si="16"/>
        <v>117</v>
      </c>
      <c r="K1157" t="str">
        <f t="shared" si="17"/>
        <v>91-120</v>
      </c>
      <c r="L1157" s="11">
        <v>46054</v>
      </c>
      <c r="M1157" s="23">
        <f>YEAR(Таблица1[[#This Row],[Дата отчета]])</f>
        <v>2026</v>
      </c>
    </row>
    <row r="1158" spans="1:13" x14ac:dyDescent="0.25">
      <c r="A1158" t="s">
        <v>1082</v>
      </c>
      <c r="B1158" t="s">
        <v>561</v>
      </c>
      <c r="C1158" t="s">
        <v>1121</v>
      </c>
      <c r="D1158" t="s">
        <v>1122</v>
      </c>
      <c r="E1158" t="s">
        <v>1123</v>
      </c>
      <c r="F1158" s="20">
        <v>8521724.8000000007</v>
      </c>
      <c r="I1158" s="11">
        <f t="shared" si="15"/>
        <v>45944</v>
      </c>
      <c r="J1158" s="12">
        <f t="shared" si="16"/>
        <v>110</v>
      </c>
      <c r="K1158" t="str">
        <f t="shared" si="17"/>
        <v>91-120</v>
      </c>
      <c r="L1158" s="11">
        <v>46054</v>
      </c>
      <c r="M1158" s="23">
        <f>YEAR(Таблица1[[#This Row],[Дата отчета]])</f>
        <v>2026</v>
      </c>
    </row>
    <row r="1159" spans="1:13" x14ac:dyDescent="0.25">
      <c r="A1159" t="s">
        <v>1082</v>
      </c>
      <c r="B1159" t="s">
        <v>561</v>
      </c>
      <c r="C1159" t="s">
        <v>1124</v>
      </c>
      <c r="D1159" t="s">
        <v>1125</v>
      </c>
      <c r="E1159" t="s">
        <v>1123</v>
      </c>
      <c r="F1159" s="20">
        <v>565552.64000000001</v>
      </c>
      <c r="I1159" s="11">
        <f t="shared" si="15"/>
        <v>45944</v>
      </c>
      <c r="J1159" s="12">
        <f t="shared" si="16"/>
        <v>110</v>
      </c>
      <c r="K1159" t="str">
        <f t="shared" si="17"/>
        <v>91-120</v>
      </c>
      <c r="L1159" s="11">
        <v>46054</v>
      </c>
      <c r="M1159" s="23">
        <f>YEAR(Таблица1[[#This Row],[Дата отчета]])</f>
        <v>2026</v>
      </c>
    </row>
    <row r="1160" spans="1:13" x14ac:dyDescent="0.25">
      <c r="A1160" t="s">
        <v>1082</v>
      </c>
      <c r="B1160" t="s">
        <v>1126</v>
      </c>
      <c r="C1160" t="s">
        <v>1127</v>
      </c>
      <c r="D1160" t="s">
        <v>1128</v>
      </c>
      <c r="E1160" t="s">
        <v>31</v>
      </c>
      <c r="F1160" s="20">
        <v>595854</v>
      </c>
      <c r="I1160" s="11">
        <f t="shared" si="15"/>
        <v>46015</v>
      </c>
      <c r="J1160" s="12">
        <f t="shared" si="16"/>
        <v>39</v>
      </c>
      <c r="K1160" t="str">
        <f t="shared" si="17"/>
        <v>31-90</v>
      </c>
      <c r="L1160" s="11">
        <v>46054</v>
      </c>
      <c r="M1160" s="23">
        <f>YEAR(Таблица1[[#This Row],[Дата отчета]])</f>
        <v>2026</v>
      </c>
    </row>
    <row r="1161" spans="1:13" x14ac:dyDescent="0.25">
      <c r="A1161" t="s">
        <v>1082</v>
      </c>
      <c r="B1161" t="s">
        <v>1126</v>
      </c>
      <c r="C1161" t="s">
        <v>1127</v>
      </c>
      <c r="D1161" t="s">
        <v>1129</v>
      </c>
      <c r="E1161" t="s">
        <v>75</v>
      </c>
      <c r="F1161" s="20">
        <v>3400245.12</v>
      </c>
      <c r="I1161" s="11">
        <f t="shared" si="15"/>
        <v>46016</v>
      </c>
      <c r="J1161" s="12">
        <f t="shared" si="16"/>
        <v>38</v>
      </c>
      <c r="K1161" t="str">
        <f t="shared" si="17"/>
        <v>31-90</v>
      </c>
      <c r="L1161" s="11">
        <v>46054</v>
      </c>
      <c r="M1161" s="23">
        <f>YEAR(Таблица1[[#This Row],[Дата отчета]])</f>
        <v>2026</v>
      </c>
    </row>
    <row r="1162" spans="1:13" x14ac:dyDescent="0.25">
      <c r="A1162" t="s">
        <v>1082</v>
      </c>
      <c r="B1162" t="s">
        <v>766</v>
      </c>
      <c r="C1162" t="s">
        <v>1133</v>
      </c>
      <c r="D1162" t="s">
        <v>1134</v>
      </c>
      <c r="E1162" t="s">
        <v>979</v>
      </c>
      <c r="F1162" s="20">
        <v>15252049.66</v>
      </c>
      <c r="I1162" s="11">
        <f t="shared" si="15"/>
        <v>46049</v>
      </c>
      <c r="J1162" s="12">
        <f t="shared" si="16"/>
        <v>5</v>
      </c>
      <c r="K1162" t="str">
        <f t="shared" si="17"/>
        <v>0-30</v>
      </c>
      <c r="L1162" s="11">
        <v>46054</v>
      </c>
      <c r="M1162" s="23">
        <f>YEAR(Таблица1[[#This Row],[Дата отчета]])</f>
        <v>2026</v>
      </c>
    </row>
    <row r="1163" spans="1:13" x14ac:dyDescent="0.25">
      <c r="A1163" t="s">
        <v>1082</v>
      </c>
      <c r="B1163" t="s">
        <v>1136</v>
      </c>
      <c r="C1163" t="s">
        <v>1137</v>
      </c>
      <c r="D1163" t="s">
        <v>1138</v>
      </c>
      <c r="E1163" t="s">
        <v>251</v>
      </c>
      <c r="F1163" s="20">
        <v>2080992</v>
      </c>
      <c r="I1163" s="11">
        <f t="shared" si="15"/>
        <v>46038</v>
      </c>
      <c r="J1163" s="12">
        <f t="shared" si="16"/>
        <v>16</v>
      </c>
      <c r="K1163" t="str">
        <f t="shared" si="17"/>
        <v>0-30</v>
      </c>
      <c r="L1163" s="11">
        <v>46054</v>
      </c>
      <c r="M1163" s="23">
        <f>YEAR(Таблица1[[#This Row],[Дата отчета]])</f>
        <v>2026</v>
      </c>
    </row>
    <row r="1164" spans="1:13" x14ac:dyDescent="0.25">
      <c r="A1164" t="s">
        <v>1082</v>
      </c>
      <c r="B1164" t="s">
        <v>1136</v>
      </c>
      <c r="C1164" t="s">
        <v>1139</v>
      </c>
      <c r="D1164" t="s">
        <v>1140</v>
      </c>
      <c r="E1164" t="s">
        <v>251</v>
      </c>
      <c r="F1164" s="20">
        <v>2080992</v>
      </c>
      <c r="I1164" s="11">
        <f t="shared" si="15"/>
        <v>46038</v>
      </c>
      <c r="J1164" s="12">
        <f t="shared" si="16"/>
        <v>16</v>
      </c>
      <c r="K1164" t="str">
        <f t="shared" si="17"/>
        <v>0-30</v>
      </c>
      <c r="L1164" s="11">
        <v>46054</v>
      </c>
      <c r="M1164" s="23">
        <f>YEAR(Таблица1[[#This Row],[Дата отчета]])</f>
        <v>2026</v>
      </c>
    </row>
    <row r="1165" spans="1:13" x14ac:dyDescent="0.25">
      <c r="A1165" t="s">
        <v>1082</v>
      </c>
      <c r="B1165" t="s">
        <v>1136</v>
      </c>
      <c r="C1165" t="s">
        <v>1141</v>
      </c>
      <c r="D1165" t="s">
        <v>1142</v>
      </c>
      <c r="E1165" t="s">
        <v>251</v>
      </c>
      <c r="F1165" s="20">
        <v>1978905.6000000001</v>
      </c>
      <c r="I1165" s="11">
        <f t="shared" si="15"/>
        <v>46038</v>
      </c>
      <c r="J1165" s="12">
        <f t="shared" si="16"/>
        <v>16</v>
      </c>
      <c r="K1165" t="str">
        <f t="shared" si="17"/>
        <v>0-30</v>
      </c>
      <c r="L1165" s="11">
        <v>46054</v>
      </c>
      <c r="M1165" s="23">
        <f>YEAR(Таблица1[[#This Row],[Дата отчета]])</f>
        <v>2026</v>
      </c>
    </row>
    <row r="1166" spans="1:13" x14ac:dyDescent="0.25">
      <c r="A1166" t="s">
        <v>1082</v>
      </c>
      <c r="B1166" t="s">
        <v>915</v>
      </c>
      <c r="C1166" t="s">
        <v>1143</v>
      </c>
      <c r="D1166" t="s">
        <v>1144</v>
      </c>
      <c r="E1166" t="s">
        <v>1145</v>
      </c>
      <c r="F1166" s="20">
        <v>948672.83</v>
      </c>
      <c r="I1166" s="11">
        <f t="shared" si="15"/>
        <v>46021</v>
      </c>
      <c r="J1166" s="12">
        <f t="shared" si="16"/>
        <v>33</v>
      </c>
      <c r="K1166" t="str">
        <f t="shared" si="17"/>
        <v>31-90</v>
      </c>
      <c r="L1166" s="11">
        <v>46054</v>
      </c>
      <c r="M1166" s="23">
        <f>YEAR(Таблица1[[#This Row],[Дата отчета]])</f>
        <v>2026</v>
      </c>
    </row>
    <row r="1167" spans="1:13" x14ac:dyDescent="0.25">
      <c r="A1167" t="s">
        <v>12</v>
      </c>
      <c r="B1167" t="s">
        <v>18</v>
      </c>
      <c r="C1167" t="s">
        <v>19</v>
      </c>
      <c r="D1167" t="s">
        <v>20</v>
      </c>
      <c r="E1167" t="s">
        <v>21</v>
      </c>
      <c r="F1167" s="20">
        <v>17000</v>
      </c>
      <c r="I1167" s="11">
        <f t="shared" ref="I1167" si="18">E1167*1</f>
        <v>45953</v>
      </c>
      <c r="J1167" s="12">
        <f t="shared" ref="J1167" si="19">L1167-I1167</f>
        <v>70</v>
      </c>
      <c r="K1167" t="str">
        <f t="shared" si="17"/>
        <v>31-90</v>
      </c>
      <c r="L1167" s="11">
        <v>46023</v>
      </c>
      <c r="M1167" s="23">
        <f>YEAR(Таблица1[[#This Row],[Дата отчета]])</f>
        <v>2026</v>
      </c>
    </row>
    <row r="1168" spans="1:13" x14ac:dyDescent="0.25">
      <c r="A1168" t="s">
        <v>12</v>
      </c>
      <c r="B1168" t="s">
        <v>28</v>
      </c>
      <c r="C1168" t="s">
        <v>29</v>
      </c>
      <c r="D1168" t="s">
        <v>30</v>
      </c>
      <c r="E1168" t="s">
        <v>31</v>
      </c>
      <c r="F1168" s="20">
        <v>11000000</v>
      </c>
      <c r="I1168" s="11">
        <f t="shared" ref="I1168:I1231" si="20">E1168*1</f>
        <v>46015</v>
      </c>
      <c r="J1168" s="12">
        <f t="shared" ref="J1168:J1231" si="21">L1168-I1168</f>
        <v>8</v>
      </c>
      <c r="K1168" t="str">
        <f t="shared" si="17"/>
        <v>0-30</v>
      </c>
      <c r="L1168" s="11">
        <v>46023</v>
      </c>
      <c r="M1168" s="23">
        <f>YEAR(Таблица1[[#This Row],[Дата отчета]])</f>
        <v>2026</v>
      </c>
    </row>
    <row r="1169" spans="1:15" x14ac:dyDescent="0.25">
      <c r="A1169" t="s">
        <v>12</v>
      </c>
      <c r="B1169" t="s">
        <v>42</v>
      </c>
      <c r="C1169" t="s">
        <v>43</v>
      </c>
      <c r="D1169" t="s">
        <v>44</v>
      </c>
      <c r="E1169" t="s">
        <v>45</v>
      </c>
      <c r="F1169" s="20">
        <v>30900000</v>
      </c>
      <c r="I1169" s="11">
        <f t="shared" si="20"/>
        <v>45938</v>
      </c>
      <c r="J1169" s="12">
        <f t="shared" si="21"/>
        <v>85</v>
      </c>
      <c r="K1169" t="str">
        <f t="shared" si="17"/>
        <v>31-90</v>
      </c>
      <c r="L1169" s="11">
        <v>46023</v>
      </c>
      <c r="M1169" s="23">
        <f>YEAR(Таблица1[[#This Row],[Дата отчета]])</f>
        <v>2026</v>
      </c>
    </row>
    <row r="1170" spans="1:15" x14ac:dyDescent="0.25">
      <c r="A1170" t="s">
        <v>12</v>
      </c>
      <c r="B1170" t="s">
        <v>42</v>
      </c>
      <c r="C1170" t="s">
        <v>49</v>
      </c>
      <c r="D1170" t="s">
        <v>50</v>
      </c>
      <c r="E1170" t="s">
        <v>51</v>
      </c>
      <c r="F1170" s="20">
        <v>603882</v>
      </c>
      <c r="I1170" s="11">
        <f t="shared" si="20"/>
        <v>45939</v>
      </c>
      <c r="J1170" s="12">
        <f t="shared" si="21"/>
        <v>84</v>
      </c>
      <c r="K1170" t="str">
        <f t="shared" si="17"/>
        <v>31-90</v>
      </c>
      <c r="L1170" s="11">
        <v>46023</v>
      </c>
      <c r="M1170" s="23">
        <f>YEAR(Таблица1[[#This Row],[Дата отчета]])</f>
        <v>2026</v>
      </c>
    </row>
    <row r="1171" spans="1:15" x14ac:dyDescent="0.25">
      <c r="A1171" t="s">
        <v>12</v>
      </c>
      <c r="B1171" t="s">
        <v>52</v>
      </c>
      <c r="C1171" t="s">
        <v>64</v>
      </c>
      <c r="D1171" t="s">
        <v>65</v>
      </c>
      <c r="E1171" t="s">
        <v>66</v>
      </c>
      <c r="F1171" s="20">
        <v>75000</v>
      </c>
      <c r="I1171" s="11">
        <f t="shared" si="20"/>
        <v>45895</v>
      </c>
      <c r="J1171" s="12">
        <f t="shared" si="21"/>
        <v>128</v>
      </c>
      <c r="K1171" t="str">
        <f t="shared" si="17"/>
        <v>121-180</v>
      </c>
      <c r="L1171" s="11">
        <v>46023</v>
      </c>
      <c r="M1171" s="23">
        <f>YEAR(Таблица1[[#This Row],[Дата отчета]])</f>
        <v>2026</v>
      </c>
    </row>
    <row r="1172" spans="1:15" x14ac:dyDescent="0.25">
      <c r="A1172" t="s">
        <v>12</v>
      </c>
      <c r="B1172" t="s">
        <v>52</v>
      </c>
      <c r="C1172" t="s">
        <v>68</v>
      </c>
      <c r="D1172" t="s">
        <v>69</v>
      </c>
      <c r="E1172" t="s">
        <v>70</v>
      </c>
      <c r="F1172" s="20">
        <v>661131</v>
      </c>
      <c r="I1172" s="11">
        <f t="shared" si="20"/>
        <v>45979</v>
      </c>
      <c r="J1172" s="12">
        <f t="shared" si="21"/>
        <v>44</v>
      </c>
      <c r="K1172" t="str">
        <f t="shared" si="17"/>
        <v>31-90</v>
      </c>
      <c r="L1172" s="11">
        <v>46023</v>
      </c>
      <c r="M1172" s="23">
        <f>YEAR(Таблица1[[#This Row],[Дата отчета]])</f>
        <v>2026</v>
      </c>
    </row>
    <row r="1173" spans="1:15" x14ac:dyDescent="0.25">
      <c r="A1173" t="s">
        <v>12</v>
      </c>
      <c r="B1173" t="s">
        <v>52</v>
      </c>
      <c r="C1173" t="s">
        <v>1149</v>
      </c>
      <c r="D1173" t="s">
        <v>1150</v>
      </c>
      <c r="E1173" t="s">
        <v>332</v>
      </c>
      <c r="F1173" s="20">
        <v>4754</v>
      </c>
      <c r="I1173" s="11">
        <f t="shared" si="20"/>
        <v>45936</v>
      </c>
      <c r="J1173" s="12">
        <f t="shared" si="21"/>
        <v>87</v>
      </c>
      <c r="K1173" t="str">
        <f t="shared" si="17"/>
        <v>31-90</v>
      </c>
      <c r="L1173" s="11">
        <v>46023</v>
      </c>
      <c r="M1173" s="23">
        <f>YEAR(Таблица1[[#This Row],[Дата отчета]])</f>
        <v>2026</v>
      </c>
    </row>
    <row r="1174" spans="1:15" x14ac:dyDescent="0.25">
      <c r="A1174" t="s">
        <v>12</v>
      </c>
      <c r="B1174" t="s">
        <v>13</v>
      </c>
      <c r="C1174" t="s">
        <v>14</v>
      </c>
      <c r="D1174" t="s">
        <v>15</v>
      </c>
      <c r="E1174" t="s">
        <v>16</v>
      </c>
      <c r="F1174" s="20">
        <v>0.01</v>
      </c>
      <c r="I1174" s="11">
        <f t="shared" si="20"/>
        <v>45051</v>
      </c>
      <c r="J1174" s="12">
        <f t="shared" si="21"/>
        <v>972</v>
      </c>
      <c r="K1174" t="str">
        <f t="shared" si="17"/>
        <v>&gt;360</v>
      </c>
      <c r="L1174" s="11">
        <v>46023</v>
      </c>
      <c r="M1174" s="23">
        <f>YEAR(Таблица1[[#This Row],[Дата отчета]])</f>
        <v>2026</v>
      </c>
    </row>
    <row r="1175" spans="1:15" x14ac:dyDescent="0.25">
      <c r="A1175" t="s">
        <v>12</v>
      </c>
      <c r="B1175" t="s">
        <v>72</v>
      </c>
      <c r="C1175" t="s">
        <v>73</v>
      </c>
      <c r="D1175" t="s">
        <v>74</v>
      </c>
      <c r="E1175" t="s">
        <v>75</v>
      </c>
      <c r="F1175" s="20">
        <v>28800000</v>
      </c>
      <c r="I1175" s="11">
        <f t="shared" si="20"/>
        <v>46016</v>
      </c>
      <c r="J1175" s="12">
        <f t="shared" si="21"/>
        <v>7</v>
      </c>
      <c r="K1175" t="str">
        <f t="shared" si="17"/>
        <v>0-30</v>
      </c>
      <c r="L1175" s="11">
        <v>46023</v>
      </c>
      <c r="M1175" s="23">
        <f>YEAR(Таблица1[[#This Row],[Дата отчета]])</f>
        <v>2026</v>
      </c>
    </row>
    <row r="1176" spans="1:15" x14ac:dyDescent="0.25">
      <c r="A1176" t="s">
        <v>12</v>
      </c>
      <c r="B1176" t="s">
        <v>76</v>
      </c>
      <c r="C1176" t="s">
        <v>77</v>
      </c>
      <c r="D1176" t="s">
        <v>78</v>
      </c>
      <c r="E1176" t="s">
        <v>79</v>
      </c>
      <c r="F1176" s="20">
        <v>1984080</v>
      </c>
      <c r="I1176" s="11">
        <f t="shared" si="20"/>
        <v>45980</v>
      </c>
      <c r="J1176" s="12">
        <f t="shared" si="21"/>
        <v>43</v>
      </c>
      <c r="K1176" t="str">
        <f t="shared" si="17"/>
        <v>31-90</v>
      </c>
      <c r="L1176" s="11">
        <v>46023</v>
      </c>
      <c r="M1176" s="23">
        <f>YEAR(Таблица1[[#This Row],[Дата отчета]])</f>
        <v>2026</v>
      </c>
    </row>
    <row r="1177" spans="1:15" x14ac:dyDescent="0.25">
      <c r="A1177" t="s">
        <v>12</v>
      </c>
      <c r="B1177" t="s">
        <v>80</v>
      </c>
      <c r="C1177" t="s">
        <v>81</v>
      </c>
      <c r="D1177" t="s">
        <v>82</v>
      </c>
      <c r="E1177" t="s">
        <v>83</v>
      </c>
      <c r="F1177" s="20">
        <v>4985</v>
      </c>
      <c r="I1177" s="11">
        <f t="shared" si="20"/>
        <v>45852</v>
      </c>
      <c r="J1177" s="12">
        <f t="shared" si="21"/>
        <v>171</v>
      </c>
      <c r="K1177" t="str">
        <f t="shared" si="17"/>
        <v>121-180</v>
      </c>
      <c r="L1177" s="11">
        <v>46023</v>
      </c>
      <c r="M1177" s="23">
        <f>YEAR(Таблица1[[#This Row],[Дата отчета]])</f>
        <v>2026</v>
      </c>
    </row>
    <row r="1178" spans="1:15" x14ac:dyDescent="0.25">
      <c r="A1178" t="s">
        <v>12</v>
      </c>
      <c r="B1178" t="s">
        <v>84</v>
      </c>
      <c r="C1178" t="s">
        <v>85</v>
      </c>
      <c r="D1178" t="s">
        <v>86</v>
      </c>
      <c r="E1178" t="s">
        <v>87</v>
      </c>
      <c r="F1178" s="20">
        <v>124374672.66</v>
      </c>
      <c r="I1178" s="11">
        <f t="shared" si="20"/>
        <v>46020</v>
      </c>
      <c r="J1178" s="12">
        <f t="shared" si="21"/>
        <v>3</v>
      </c>
      <c r="K1178" t="str">
        <f t="shared" si="17"/>
        <v>0-30</v>
      </c>
      <c r="L1178" s="11">
        <v>46023</v>
      </c>
      <c r="M1178" s="23">
        <f>YEAR(Таблица1[[#This Row],[Дата отчета]])</f>
        <v>2026</v>
      </c>
    </row>
    <row r="1179" spans="1:15" x14ac:dyDescent="0.25">
      <c r="A1179" t="s">
        <v>12</v>
      </c>
      <c r="B1179" t="s">
        <v>88</v>
      </c>
      <c r="C1179" t="s">
        <v>89</v>
      </c>
      <c r="D1179" t="s">
        <v>90</v>
      </c>
      <c r="E1179" t="s">
        <v>91</v>
      </c>
      <c r="F1179" s="20">
        <v>198000</v>
      </c>
      <c r="I1179" s="11">
        <f t="shared" si="20"/>
        <v>45723</v>
      </c>
      <c r="J1179" s="12">
        <f t="shared" si="21"/>
        <v>300</v>
      </c>
      <c r="K1179" t="str">
        <f t="shared" si="17"/>
        <v>271-360</v>
      </c>
      <c r="L1179" s="11">
        <v>46023</v>
      </c>
      <c r="M1179" s="23">
        <f>YEAR(Таблица1[[#This Row],[Дата отчета]])</f>
        <v>2026</v>
      </c>
      <c r="N1179" s="30" t="s">
        <v>4537</v>
      </c>
      <c r="O1179" s="30"/>
    </row>
    <row r="1180" spans="1:15" x14ac:dyDescent="0.25">
      <c r="A1180" t="s">
        <v>12</v>
      </c>
      <c r="B1180" t="s">
        <v>93</v>
      </c>
      <c r="C1180" t="s">
        <v>94</v>
      </c>
      <c r="D1180" t="s">
        <v>95</v>
      </c>
      <c r="E1180" t="s">
        <v>96</v>
      </c>
      <c r="F1180" s="20">
        <v>17955.38</v>
      </c>
      <c r="I1180" s="11">
        <f t="shared" si="20"/>
        <v>45876</v>
      </c>
      <c r="J1180" s="12">
        <f t="shared" si="21"/>
        <v>147</v>
      </c>
      <c r="K1180" t="str">
        <f t="shared" si="17"/>
        <v>121-180</v>
      </c>
      <c r="L1180" s="11">
        <v>46023</v>
      </c>
      <c r="M1180" s="23">
        <f>YEAR(Таблица1[[#This Row],[Дата отчета]])</f>
        <v>2026</v>
      </c>
      <c r="N1180" s="7" t="s">
        <v>4538</v>
      </c>
      <c r="O1180" s="24"/>
    </row>
    <row r="1181" spans="1:15" x14ac:dyDescent="0.25">
      <c r="A1181" t="s">
        <v>12</v>
      </c>
      <c r="B1181" t="s">
        <v>93</v>
      </c>
      <c r="C1181" t="s">
        <v>97</v>
      </c>
      <c r="D1181" t="s">
        <v>98</v>
      </c>
      <c r="E1181" t="s">
        <v>96</v>
      </c>
      <c r="F1181" s="20">
        <v>67008.2</v>
      </c>
      <c r="I1181" s="11">
        <f t="shared" si="20"/>
        <v>45876</v>
      </c>
      <c r="J1181" s="12">
        <f t="shared" si="21"/>
        <v>147</v>
      </c>
      <c r="K1181" t="str">
        <f t="shared" si="17"/>
        <v>121-180</v>
      </c>
      <c r="L1181" s="11">
        <v>46023</v>
      </c>
      <c r="M1181" s="23">
        <f>YEAR(Таблица1[[#This Row],[Дата отчета]])</f>
        <v>2026</v>
      </c>
      <c r="N1181" s="2" t="s">
        <v>4538</v>
      </c>
      <c r="O1181" s="31"/>
    </row>
    <row r="1182" spans="1:15" x14ac:dyDescent="0.25">
      <c r="A1182" t="s">
        <v>12</v>
      </c>
      <c r="B1182" t="s">
        <v>93</v>
      </c>
      <c r="C1182" t="s">
        <v>97</v>
      </c>
      <c r="D1182" t="s">
        <v>99</v>
      </c>
      <c r="E1182" t="s">
        <v>100</v>
      </c>
      <c r="F1182" s="20">
        <v>8599.8700000000008</v>
      </c>
      <c r="I1182" s="11">
        <f t="shared" si="20"/>
        <v>45905</v>
      </c>
      <c r="J1182" s="12">
        <f t="shared" si="21"/>
        <v>118</v>
      </c>
      <c r="K1182" t="str">
        <f t="shared" si="17"/>
        <v>91-120</v>
      </c>
      <c r="L1182" s="11">
        <v>46023</v>
      </c>
      <c r="M1182" s="23">
        <f>YEAR(Таблица1[[#This Row],[Дата отчета]])</f>
        <v>2026</v>
      </c>
      <c r="N1182" s="2" t="s">
        <v>4538</v>
      </c>
      <c r="O1182" s="31"/>
    </row>
    <row r="1183" spans="1:15" x14ac:dyDescent="0.25">
      <c r="A1183" t="s">
        <v>12</v>
      </c>
      <c r="B1183" t="s">
        <v>101</v>
      </c>
      <c r="C1183" t="s">
        <v>104</v>
      </c>
      <c r="D1183" t="s">
        <v>105</v>
      </c>
      <c r="E1183" t="s">
        <v>106</v>
      </c>
      <c r="F1183" s="20">
        <v>1833304</v>
      </c>
      <c r="I1183" s="11">
        <f t="shared" si="20"/>
        <v>46017</v>
      </c>
      <c r="J1183" s="12">
        <f t="shared" si="21"/>
        <v>6</v>
      </c>
      <c r="K1183" t="str">
        <f t="shared" si="17"/>
        <v>0-30</v>
      </c>
      <c r="L1183" s="11">
        <v>46023</v>
      </c>
      <c r="M1183" s="23">
        <f>YEAR(Таблица1[[#This Row],[Дата отчета]])</f>
        <v>2026</v>
      </c>
      <c r="N1183" s="7"/>
      <c r="O1183" s="24"/>
    </row>
    <row r="1184" spans="1:15" x14ac:dyDescent="0.25">
      <c r="A1184" t="s">
        <v>12</v>
      </c>
      <c r="B1184" t="s">
        <v>1154</v>
      </c>
      <c r="C1184" t="s">
        <v>1155</v>
      </c>
      <c r="D1184" t="s">
        <v>1156</v>
      </c>
      <c r="E1184" t="s">
        <v>525</v>
      </c>
      <c r="F1184" s="20">
        <v>11000</v>
      </c>
      <c r="I1184" s="11">
        <f t="shared" si="20"/>
        <v>45954</v>
      </c>
      <c r="J1184" s="12">
        <f t="shared" si="21"/>
        <v>69</v>
      </c>
      <c r="K1184" t="str">
        <f t="shared" si="17"/>
        <v>31-90</v>
      </c>
      <c r="L1184" s="11">
        <v>46023</v>
      </c>
      <c r="M1184" s="23">
        <f>YEAR(Таблица1[[#This Row],[Дата отчета]])</f>
        <v>2026</v>
      </c>
    </row>
    <row r="1185" spans="1:16" x14ac:dyDescent="0.25">
      <c r="A1185" t="s">
        <v>12</v>
      </c>
      <c r="B1185" t="s">
        <v>110</v>
      </c>
      <c r="C1185" t="s">
        <v>111</v>
      </c>
      <c r="D1185" t="s">
        <v>112</v>
      </c>
      <c r="E1185" t="s">
        <v>113</v>
      </c>
      <c r="F1185" s="20">
        <v>613440</v>
      </c>
      <c r="I1185" s="11">
        <f t="shared" si="20"/>
        <v>46009</v>
      </c>
      <c r="J1185" s="12">
        <f t="shared" si="21"/>
        <v>14</v>
      </c>
      <c r="K1185" t="str">
        <f t="shared" si="17"/>
        <v>0-30</v>
      </c>
      <c r="L1185" s="11">
        <v>46023</v>
      </c>
      <c r="M1185" s="23">
        <f>YEAR(Таблица1[[#This Row],[Дата отчета]])</f>
        <v>2026</v>
      </c>
    </row>
    <row r="1186" spans="1:16" x14ac:dyDescent="0.25">
      <c r="A1186" t="s">
        <v>12</v>
      </c>
      <c r="B1186" t="s">
        <v>117</v>
      </c>
      <c r="C1186" t="s">
        <v>118</v>
      </c>
      <c r="D1186" t="s">
        <v>119</v>
      </c>
      <c r="E1186" t="s">
        <v>70</v>
      </c>
      <c r="F1186" s="20">
        <v>350000</v>
      </c>
      <c r="I1186" s="11">
        <f t="shared" si="20"/>
        <v>45979</v>
      </c>
      <c r="J1186" s="12">
        <f t="shared" si="21"/>
        <v>44</v>
      </c>
      <c r="K1186" t="str">
        <f t="shared" si="17"/>
        <v>31-90</v>
      </c>
      <c r="L1186" s="11">
        <v>46023</v>
      </c>
      <c r="M1186" s="23">
        <f>YEAR(Таблица1[[#This Row],[Дата отчета]])</f>
        <v>2026</v>
      </c>
    </row>
    <row r="1187" spans="1:16" x14ac:dyDescent="0.25">
      <c r="A1187" t="s">
        <v>12</v>
      </c>
      <c r="B1187" t="s">
        <v>120</v>
      </c>
      <c r="C1187" t="s">
        <v>121</v>
      </c>
      <c r="D1187" t="s">
        <v>122</v>
      </c>
      <c r="E1187" t="s">
        <v>123</v>
      </c>
      <c r="F1187" s="20">
        <v>691600</v>
      </c>
      <c r="I1187" s="11">
        <f t="shared" si="20"/>
        <v>45782</v>
      </c>
      <c r="J1187" s="12">
        <f t="shared" si="21"/>
        <v>241</v>
      </c>
      <c r="K1187" t="str">
        <f t="shared" si="17"/>
        <v>181-270</v>
      </c>
      <c r="L1187" s="11">
        <v>46023</v>
      </c>
      <c r="M1187" s="23">
        <f>YEAR(Таблица1[[#This Row],[Дата отчета]])</f>
        <v>2026</v>
      </c>
      <c r="N1187" s="2" t="s">
        <v>4541</v>
      </c>
      <c r="O1187" s="31"/>
    </row>
    <row r="1188" spans="1:16" x14ac:dyDescent="0.25">
      <c r="A1188" t="s">
        <v>12</v>
      </c>
      <c r="B1188" t="s">
        <v>128</v>
      </c>
      <c r="C1188" t="s">
        <v>129</v>
      </c>
      <c r="D1188" t="s">
        <v>130</v>
      </c>
      <c r="E1188" t="s">
        <v>131</v>
      </c>
      <c r="F1188" s="20">
        <v>400000</v>
      </c>
      <c r="I1188" s="11">
        <f t="shared" si="20"/>
        <v>45931</v>
      </c>
      <c r="J1188" s="12">
        <f t="shared" si="21"/>
        <v>92</v>
      </c>
      <c r="K1188" t="str">
        <f t="shared" si="17"/>
        <v>91-120</v>
      </c>
      <c r="L1188" s="11">
        <v>46023</v>
      </c>
      <c r="M1188" s="23">
        <f>YEAR(Таблица1[[#This Row],[Дата отчета]])</f>
        <v>2026</v>
      </c>
      <c r="N1188" s="2" t="s">
        <v>4544</v>
      </c>
      <c r="O1188" s="8">
        <v>45981</v>
      </c>
      <c r="P1188" s="2" t="s">
        <v>4546</v>
      </c>
    </row>
    <row r="1189" spans="1:16" x14ac:dyDescent="0.25">
      <c r="A1189" t="s">
        <v>12</v>
      </c>
      <c r="B1189" t="s">
        <v>128</v>
      </c>
      <c r="C1189" t="s">
        <v>132</v>
      </c>
      <c r="D1189" t="s">
        <v>133</v>
      </c>
      <c r="E1189" t="s">
        <v>134</v>
      </c>
      <c r="F1189" s="20">
        <v>1600000</v>
      </c>
      <c r="I1189" s="11">
        <f t="shared" si="20"/>
        <v>45856</v>
      </c>
      <c r="J1189" s="12">
        <f t="shared" si="21"/>
        <v>167</v>
      </c>
      <c r="K1189" t="str">
        <f t="shared" si="17"/>
        <v>121-180</v>
      </c>
      <c r="L1189" s="11">
        <v>46023</v>
      </c>
      <c r="M1189" s="23">
        <f>YEAR(Таблица1[[#This Row],[Дата отчета]])</f>
        <v>2026</v>
      </c>
      <c r="N1189" s="2" t="s">
        <v>4543</v>
      </c>
      <c r="O1189" s="8">
        <v>46068</v>
      </c>
      <c r="P1189" s="2" t="s">
        <v>4546</v>
      </c>
    </row>
    <row r="1190" spans="1:16" x14ac:dyDescent="0.25">
      <c r="A1190" t="s">
        <v>12</v>
      </c>
      <c r="B1190" t="s">
        <v>128</v>
      </c>
      <c r="C1190" t="s">
        <v>132</v>
      </c>
      <c r="D1190" t="s">
        <v>135</v>
      </c>
      <c r="E1190" t="s">
        <v>106</v>
      </c>
      <c r="F1190" s="20">
        <v>1200000</v>
      </c>
      <c r="I1190" s="11">
        <f t="shared" si="20"/>
        <v>46017</v>
      </c>
      <c r="J1190" s="12">
        <f t="shared" si="21"/>
        <v>6</v>
      </c>
      <c r="K1190" t="str">
        <f t="shared" si="17"/>
        <v>0-30</v>
      </c>
      <c r="L1190" s="11">
        <v>46023</v>
      </c>
      <c r="M1190" s="23">
        <f>YEAR(Таблица1[[#This Row],[Дата отчета]])</f>
        <v>2026</v>
      </c>
      <c r="N1190" s="2"/>
      <c r="O1190" s="8"/>
      <c r="P1190" s="2"/>
    </row>
    <row r="1191" spans="1:16" x14ac:dyDescent="0.25">
      <c r="A1191" t="s">
        <v>12</v>
      </c>
      <c r="B1191" t="s">
        <v>128</v>
      </c>
      <c r="C1191" t="s">
        <v>136</v>
      </c>
      <c r="D1191" t="s">
        <v>137</v>
      </c>
      <c r="E1191" t="s">
        <v>131</v>
      </c>
      <c r="F1191" s="20">
        <v>400000</v>
      </c>
      <c r="I1191" s="11">
        <f t="shared" si="20"/>
        <v>45931</v>
      </c>
      <c r="J1191" s="12">
        <f t="shared" si="21"/>
        <v>92</v>
      </c>
      <c r="K1191" t="str">
        <f t="shared" si="17"/>
        <v>91-120</v>
      </c>
      <c r="L1191" s="11">
        <v>46023</v>
      </c>
      <c r="M1191" s="23">
        <f>YEAR(Таблица1[[#This Row],[Дата отчета]])</f>
        <v>2026</v>
      </c>
      <c r="N1191" s="2" t="s">
        <v>4544</v>
      </c>
      <c r="O1191" s="8">
        <v>45981</v>
      </c>
      <c r="P1191" s="2" t="s">
        <v>4546</v>
      </c>
    </row>
    <row r="1192" spans="1:16" x14ac:dyDescent="0.25">
      <c r="A1192" t="s">
        <v>12</v>
      </c>
      <c r="B1192" t="s">
        <v>128</v>
      </c>
      <c r="C1192" t="s">
        <v>138</v>
      </c>
      <c r="D1192" t="s">
        <v>139</v>
      </c>
      <c r="E1192" t="s">
        <v>140</v>
      </c>
      <c r="F1192" s="20">
        <v>250000</v>
      </c>
      <c r="I1192" s="11">
        <f t="shared" si="20"/>
        <v>45917</v>
      </c>
      <c r="J1192" s="12">
        <f t="shared" si="21"/>
        <v>106</v>
      </c>
      <c r="K1192" t="str">
        <f t="shared" si="17"/>
        <v>91-120</v>
      </c>
      <c r="L1192" s="11">
        <v>46023</v>
      </c>
      <c r="M1192" s="23">
        <f>YEAR(Таблица1[[#This Row],[Дата отчета]])</f>
        <v>2026</v>
      </c>
      <c r="N1192" s="2" t="s">
        <v>4544</v>
      </c>
      <c r="O1192" s="3">
        <v>45986</v>
      </c>
      <c r="P1192" s="2" t="s">
        <v>4546</v>
      </c>
    </row>
    <row r="1193" spans="1:16" x14ac:dyDescent="0.25">
      <c r="A1193" t="s">
        <v>12</v>
      </c>
      <c r="B1193" t="s">
        <v>128</v>
      </c>
      <c r="C1193" t="s">
        <v>141</v>
      </c>
      <c r="D1193" t="s">
        <v>142</v>
      </c>
      <c r="E1193" t="s">
        <v>140</v>
      </c>
      <c r="F1193" s="20">
        <v>250000</v>
      </c>
      <c r="I1193" s="11">
        <f t="shared" si="20"/>
        <v>45917</v>
      </c>
      <c r="J1193" s="12">
        <f t="shared" si="21"/>
        <v>106</v>
      </c>
      <c r="K1193" t="str">
        <f t="shared" si="17"/>
        <v>91-120</v>
      </c>
      <c r="L1193" s="11">
        <v>46023</v>
      </c>
      <c r="M1193" s="23">
        <f>YEAR(Таблица1[[#This Row],[Дата отчета]])</f>
        <v>2026</v>
      </c>
      <c r="N1193" s="2" t="s">
        <v>4544</v>
      </c>
      <c r="O1193" s="8">
        <v>45986</v>
      </c>
      <c r="P1193" s="2" t="s">
        <v>4546</v>
      </c>
    </row>
    <row r="1194" spans="1:16" x14ac:dyDescent="0.25">
      <c r="A1194" t="s">
        <v>12</v>
      </c>
      <c r="B1194" t="s">
        <v>143</v>
      </c>
      <c r="C1194" t="s">
        <v>144</v>
      </c>
      <c r="D1194" t="s">
        <v>145</v>
      </c>
      <c r="E1194" t="s">
        <v>146</v>
      </c>
      <c r="F1194" s="20">
        <v>7000</v>
      </c>
      <c r="I1194" s="11">
        <f t="shared" si="20"/>
        <v>45838</v>
      </c>
      <c r="J1194" s="12">
        <f t="shared" si="21"/>
        <v>185</v>
      </c>
      <c r="K1194" t="str">
        <f t="shared" si="17"/>
        <v>181-270</v>
      </c>
      <c r="L1194" s="11">
        <v>46023</v>
      </c>
      <c r="M1194" s="23">
        <f>YEAR(Таблица1[[#This Row],[Дата отчета]])</f>
        <v>2026</v>
      </c>
      <c r="N1194" s="2" t="s">
        <v>807</v>
      </c>
    </row>
    <row r="1195" spans="1:16" x14ac:dyDescent="0.25">
      <c r="A1195" t="s">
        <v>12</v>
      </c>
      <c r="B1195" t="s">
        <v>158</v>
      </c>
      <c r="C1195" t="s">
        <v>159</v>
      </c>
      <c r="D1195" t="s">
        <v>160</v>
      </c>
      <c r="E1195" t="s">
        <v>161</v>
      </c>
      <c r="F1195" s="20">
        <v>52154.400000000001</v>
      </c>
      <c r="I1195" s="11">
        <f t="shared" si="20"/>
        <v>45890</v>
      </c>
      <c r="J1195" s="12">
        <f t="shared" si="21"/>
        <v>133</v>
      </c>
      <c r="K1195" t="str">
        <f t="shared" si="17"/>
        <v>121-180</v>
      </c>
      <c r="L1195" s="11">
        <v>46023</v>
      </c>
      <c r="M1195" s="23">
        <f>YEAR(Таблица1[[#This Row],[Дата отчета]])</f>
        <v>2026</v>
      </c>
    </row>
    <row r="1196" spans="1:16" x14ac:dyDescent="0.25">
      <c r="A1196" t="s">
        <v>12</v>
      </c>
      <c r="B1196" t="s">
        <v>1157</v>
      </c>
      <c r="C1196" t="s">
        <v>1158</v>
      </c>
      <c r="D1196" t="s">
        <v>1159</v>
      </c>
      <c r="E1196" t="s">
        <v>1160</v>
      </c>
      <c r="F1196" s="20">
        <v>750000</v>
      </c>
      <c r="I1196" s="11">
        <f t="shared" si="20"/>
        <v>46008</v>
      </c>
      <c r="J1196" s="12">
        <f t="shared" si="21"/>
        <v>15</v>
      </c>
      <c r="K1196" t="str">
        <f t="shared" si="17"/>
        <v>0-30</v>
      </c>
      <c r="L1196" s="11">
        <v>46023</v>
      </c>
      <c r="M1196" s="23">
        <f>YEAR(Таблица1[[#This Row],[Дата отчета]])</f>
        <v>2026</v>
      </c>
    </row>
    <row r="1197" spans="1:16" x14ac:dyDescent="0.25">
      <c r="A1197" t="s">
        <v>12</v>
      </c>
      <c r="B1197" t="s">
        <v>172</v>
      </c>
      <c r="C1197" t="s">
        <v>173</v>
      </c>
      <c r="D1197" t="s">
        <v>174</v>
      </c>
      <c r="E1197" t="s">
        <v>175</v>
      </c>
      <c r="F1197" s="20">
        <v>12630</v>
      </c>
      <c r="I1197" s="11">
        <f t="shared" si="20"/>
        <v>45399</v>
      </c>
      <c r="J1197" s="12">
        <f t="shared" si="21"/>
        <v>624</v>
      </c>
      <c r="K1197" t="str">
        <f t="shared" si="17"/>
        <v>&gt;360</v>
      </c>
      <c r="L1197" s="11">
        <v>46023</v>
      </c>
      <c r="M1197" s="23">
        <f>YEAR(Таблица1[[#This Row],[Дата отчета]])</f>
        <v>2026</v>
      </c>
      <c r="N1197" s="7" t="s">
        <v>4547</v>
      </c>
    </row>
    <row r="1198" spans="1:16" x14ac:dyDescent="0.25">
      <c r="A1198" t="s">
        <v>12</v>
      </c>
      <c r="B1198" t="s">
        <v>1161</v>
      </c>
      <c r="C1198" t="s">
        <v>1162</v>
      </c>
      <c r="D1198" t="s">
        <v>1163</v>
      </c>
      <c r="E1198" t="s">
        <v>1164</v>
      </c>
      <c r="F1198" s="20">
        <v>496840</v>
      </c>
      <c r="I1198" s="11">
        <f t="shared" si="20"/>
        <v>45912</v>
      </c>
      <c r="J1198" s="12">
        <f t="shared" si="21"/>
        <v>111</v>
      </c>
      <c r="K1198" t="str">
        <f t="shared" si="17"/>
        <v>91-120</v>
      </c>
      <c r="L1198" s="11">
        <v>46023</v>
      </c>
      <c r="M1198" s="23">
        <f>YEAR(Таблица1[[#This Row],[Дата отчета]])</f>
        <v>2026</v>
      </c>
    </row>
    <row r="1199" spans="1:16" x14ac:dyDescent="0.25">
      <c r="A1199" t="s">
        <v>12</v>
      </c>
      <c r="B1199" t="s">
        <v>176</v>
      </c>
      <c r="C1199" t="s">
        <v>177</v>
      </c>
      <c r="D1199" t="s">
        <v>178</v>
      </c>
      <c r="E1199" t="s">
        <v>179</v>
      </c>
      <c r="F1199" s="20">
        <v>92350</v>
      </c>
      <c r="I1199" s="11">
        <f t="shared" si="20"/>
        <v>45987</v>
      </c>
      <c r="J1199" s="12">
        <f t="shared" si="21"/>
        <v>36</v>
      </c>
      <c r="K1199" t="str">
        <f t="shared" si="17"/>
        <v>31-90</v>
      </c>
      <c r="L1199" s="11">
        <v>46023</v>
      </c>
      <c r="M1199" s="23">
        <f>YEAR(Таблица1[[#This Row],[Дата отчета]])</f>
        <v>2026</v>
      </c>
    </row>
    <row r="1200" spans="1:16" x14ac:dyDescent="0.25">
      <c r="A1200" t="s">
        <v>12</v>
      </c>
      <c r="B1200" t="s">
        <v>180</v>
      </c>
      <c r="C1200" t="s">
        <v>181</v>
      </c>
      <c r="D1200" t="s">
        <v>182</v>
      </c>
      <c r="E1200" t="s">
        <v>183</v>
      </c>
      <c r="F1200" s="20">
        <v>14178</v>
      </c>
      <c r="I1200" s="11">
        <f t="shared" si="20"/>
        <v>45817</v>
      </c>
      <c r="J1200" s="12">
        <f t="shared" si="21"/>
        <v>206</v>
      </c>
      <c r="K1200" t="str">
        <f t="shared" si="17"/>
        <v>181-270</v>
      </c>
      <c r="L1200" s="11">
        <v>46023</v>
      </c>
      <c r="M1200" s="23">
        <f>YEAR(Таблица1[[#This Row],[Дата отчета]])</f>
        <v>2026</v>
      </c>
      <c r="N1200" s="7" t="s">
        <v>4538</v>
      </c>
    </row>
    <row r="1201" spans="1:13" x14ac:dyDescent="0.25">
      <c r="A1201" t="s">
        <v>12</v>
      </c>
      <c r="B1201" t="s">
        <v>186</v>
      </c>
      <c r="C1201" t="s">
        <v>187</v>
      </c>
      <c r="D1201" t="s">
        <v>188</v>
      </c>
      <c r="E1201" t="s">
        <v>189</v>
      </c>
      <c r="F1201" s="20">
        <v>6600</v>
      </c>
      <c r="I1201" s="11">
        <f t="shared" si="20"/>
        <v>45471</v>
      </c>
      <c r="J1201" s="12">
        <f t="shared" si="21"/>
        <v>552</v>
      </c>
      <c r="K1201" t="str">
        <f t="shared" si="17"/>
        <v>&gt;360</v>
      </c>
      <c r="L1201" s="11">
        <v>46023</v>
      </c>
      <c r="M1201" s="23">
        <f>YEAR(Таблица1[[#This Row],[Дата отчета]])</f>
        <v>2026</v>
      </c>
    </row>
    <row r="1202" spans="1:13" x14ac:dyDescent="0.25">
      <c r="A1202" t="s">
        <v>12</v>
      </c>
      <c r="B1202" t="s">
        <v>186</v>
      </c>
      <c r="C1202" t="s">
        <v>190</v>
      </c>
      <c r="D1202" t="s">
        <v>191</v>
      </c>
      <c r="E1202" t="s">
        <v>192</v>
      </c>
      <c r="F1202" s="20">
        <v>6600</v>
      </c>
      <c r="I1202" s="11">
        <f t="shared" si="20"/>
        <v>45467</v>
      </c>
      <c r="J1202" s="12">
        <f t="shared" si="21"/>
        <v>556</v>
      </c>
      <c r="K1202" t="str">
        <f t="shared" si="17"/>
        <v>&gt;360</v>
      </c>
      <c r="L1202" s="11">
        <v>46023</v>
      </c>
      <c r="M1202" s="23">
        <f>YEAR(Таблица1[[#This Row],[Дата отчета]])</f>
        <v>2026</v>
      </c>
    </row>
    <row r="1203" spans="1:13" x14ac:dyDescent="0.25">
      <c r="A1203" t="s">
        <v>12</v>
      </c>
      <c r="B1203" t="s">
        <v>186</v>
      </c>
      <c r="C1203" t="s">
        <v>193</v>
      </c>
      <c r="D1203" t="s">
        <v>194</v>
      </c>
      <c r="E1203" t="s">
        <v>195</v>
      </c>
      <c r="F1203" s="20">
        <v>25000</v>
      </c>
      <c r="I1203" s="11">
        <f t="shared" si="20"/>
        <v>45916</v>
      </c>
      <c r="J1203" s="12">
        <f t="shared" si="21"/>
        <v>107</v>
      </c>
      <c r="K1203" t="str">
        <f t="shared" si="17"/>
        <v>91-120</v>
      </c>
      <c r="L1203" s="11">
        <v>46023</v>
      </c>
      <c r="M1203" s="23">
        <f>YEAR(Таблица1[[#This Row],[Дата отчета]])</f>
        <v>2026</v>
      </c>
    </row>
    <row r="1204" spans="1:13" x14ac:dyDescent="0.25">
      <c r="A1204" t="s">
        <v>12</v>
      </c>
      <c r="B1204" t="s">
        <v>186</v>
      </c>
      <c r="C1204" t="s">
        <v>196</v>
      </c>
      <c r="D1204" t="s">
        <v>197</v>
      </c>
      <c r="E1204" t="s">
        <v>198</v>
      </c>
      <c r="F1204" s="20">
        <v>6600</v>
      </c>
      <c r="I1204" s="11">
        <f t="shared" si="20"/>
        <v>45439</v>
      </c>
      <c r="J1204" s="12">
        <f t="shared" si="21"/>
        <v>584</v>
      </c>
      <c r="K1204" t="str">
        <f t="shared" si="17"/>
        <v>&gt;360</v>
      </c>
      <c r="L1204" s="11">
        <v>46023</v>
      </c>
      <c r="M1204" s="23">
        <f>YEAR(Таблица1[[#This Row],[Дата отчета]])</f>
        <v>2026</v>
      </c>
    </row>
    <row r="1205" spans="1:13" x14ac:dyDescent="0.25">
      <c r="A1205" t="s">
        <v>12</v>
      </c>
      <c r="B1205" t="s">
        <v>186</v>
      </c>
      <c r="C1205" t="s">
        <v>199</v>
      </c>
      <c r="D1205" t="s">
        <v>200</v>
      </c>
      <c r="E1205" t="s">
        <v>201</v>
      </c>
      <c r="F1205" s="20">
        <v>6600</v>
      </c>
      <c r="I1205" s="11">
        <f t="shared" si="20"/>
        <v>45800</v>
      </c>
      <c r="J1205" s="12">
        <f t="shared" si="21"/>
        <v>223</v>
      </c>
      <c r="K1205" t="str">
        <f t="shared" si="17"/>
        <v>181-270</v>
      </c>
      <c r="L1205" s="11">
        <v>46023</v>
      </c>
      <c r="M1205" s="23">
        <f>YEAR(Таблица1[[#This Row],[Дата отчета]])</f>
        <v>2026</v>
      </c>
    </row>
    <row r="1206" spans="1:13" x14ac:dyDescent="0.25">
      <c r="A1206" t="s">
        <v>12</v>
      </c>
      <c r="B1206" t="s">
        <v>186</v>
      </c>
      <c r="C1206" t="s">
        <v>202</v>
      </c>
      <c r="D1206" t="s">
        <v>203</v>
      </c>
      <c r="E1206" t="s">
        <v>204</v>
      </c>
      <c r="F1206" s="20">
        <v>25000</v>
      </c>
      <c r="I1206" s="11">
        <f t="shared" si="20"/>
        <v>45481</v>
      </c>
      <c r="J1206" s="12">
        <f t="shared" si="21"/>
        <v>542</v>
      </c>
      <c r="K1206" t="str">
        <f t="shared" si="17"/>
        <v>&gt;360</v>
      </c>
      <c r="L1206" s="11">
        <v>46023</v>
      </c>
      <c r="M1206" s="23">
        <f>YEAR(Таблица1[[#This Row],[Дата отчета]])</f>
        <v>2026</v>
      </c>
    </row>
    <row r="1207" spans="1:13" x14ac:dyDescent="0.25">
      <c r="A1207" t="s">
        <v>12</v>
      </c>
      <c r="B1207" t="s">
        <v>186</v>
      </c>
      <c r="C1207" t="s">
        <v>205</v>
      </c>
      <c r="D1207" t="s">
        <v>206</v>
      </c>
      <c r="E1207" t="s">
        <v>207</v>
      </c>
      <c r="F1207" s="20">
        <v>25000</v>
      </c>
      <c r="I1207" s="11">
        <f t="shared" si="20"/>
        <v>45901</v>
      </c>
      <c r="J1207" s="12">
        <f t="shared" si="21"/>
        <v>122</v>
      </c>
      <c r="K1207" t="str">
        <f t="shared" si="17"/>
        <v>121-180</v>
      </c>
      <c r="L1207" s="11">
        <v>46023</v>
      </c>
      <c r="M1207" s="23">
        <f>YEAR(Таблица1[[#This Row],[Дата отчета]])</f>
        <v>2026</v>
      </c>
    </row>
    <row r="1208" spans="1:13" x14ac:dyDescent="0.25">
      <c r="A1208" t="s">
        <v>12</v>
      </c>
      <c r="B1208" t="s">
        <v>186</v>
      </c>
      <c r="C1208" t="s">
        <v>1165</v>
      </c>
      <c r="D1208" t="s">
        <v>1166</v>
      </c>
      <c r="E1208" t="s">
        <v>1167</v>
      </c>
      <c r="F1208" s="20">
        <v>25000</v>
      </c>
      <c r="I1208" s="11">
        <f t="shared" si="20"/>
        <v>45908</v>
      </c>
      <c r="J1208" s="12">
        <f t="shared" si="21"/>
        <v>115</v>
      </c>
      <c r="K1208" t="str">
        <f t="shared" si="17"/>
        <v>91-120</v>
      </c>
      <c r="L1208" s="11">
        <v>46023</v>
      </c>
      <c r="M1208" s="23">
        <f>YEAR(Таблица1[[#This Row],[Дата отчета]])</f>
        <v>2026</v>
      </c>
    </row>
    <row r="1209" spans="1:13" x14ac:dyDescent="0.25">
      <c r="A1209" t="s">
        <v>12</v>
      </c>
      <c r="B1209" t="s">
        <v>1221</v>
      </c>
      <c r="C1209" t="s">
        <v>1225</v>
      </c>
      <c r="D1209" t="s">
        <v>1238</v>
      </c>
      <c r="E1209" t="s">
        <v>422</v>
      </c>
      <c r="F1209" s="20">
        <v>120000</v>
      </c>
      <c r="I1209" s="11">
        <f t="shared" si="20"/>
        <v>45972</v>
      </c>
      <c r="J1209" s="12">
        <f t="shared" si="21"/>
        <v>51</v>
      </c>
      <c r="K1209" t="str">
        <f t="shared" si="17"/>
        <v>31-90</v>
      </c>
      <c r="L1209" s="11">
        <v>46023</v>
      </c>
      <c r="M1209" s="23">
        <f>YEAR(Таблица1[[#This Row],[Дата отчета]])</f>
        <v>2026</v>
      </c>
    </row>
    <row r="1210" spans="1:13" x14ac:dyDescent="0.25">
      <c r="A1210" t="s">
        <v>12</v>
      </c>
      <c r="B1210" t="s">
        <v>1221</v>
      </c>
      <c r="C1210" t="s">
        <v>1226</v>
      </c>
      <c r="D1210" t="s">
        <v>1239</v>
      </c>
      <c r="E1210" t="s">
        <v>893</v>
      </c>
      <c r="F1210" s="20">
        <v>600000</v>
      </c>
      <c r="I1210" s="11">
        <f t="shared" si="20"/>
        <v>45898</v>
      </c>
      <c r="J1210" s="12">
        <f t="shared" si="21"/>
        <v>125</v>
      </c>
      <c r="K1210" t="str">
        <f t="shared" si="17"/>
        <v>121-180</v>
      </c>
      <c r="L1210" s="11">
        <v>46023</v>
      </c>
      <c r="M1210" s="23">
        <f>YEAR(Таблица1[[#This Row],[Дата отчета]])</f>
        <v>2026</v>
      </c>
    </row>
    <row r="1211" spans="1:13" x14ac:dyDescent="0.25">
      <c r="A1211" t="s">
        <v>12</v>
      </c>
      <c r="B1211" t="s">
        <v>1221</v>
      </c>
      <c r="C1211" t="s">
        <v>1226</v>
      </c>
      <c r="D1211" t="s">
        <v>1240</v>
      </c>
      <c r="E1211" t="s">
        <v>106</v>
      </c>
      <c r="F1211" s="20">
        <v>360000</v>
      </c>
      <c r="I1211" s="11">
        <f t="shared" si="20"/>
        <v>46017</v>
      </c>
      <c r="J1211" s="12">
        <f t="shared" si="21"/>
        <v>6</v>
      </c>
      <c r="K1211" t="str">
        <f t="shared" si="17"/>
        <v>0-30</v>
      </c>
      <c r="L1211" s="11">
        <v>46023</v>
      </c>
      <c r="M1211" s="23">
        <f>YEAR(Таблица1[[#This Row],[Дата отчета]])</f>
        <v>2026</v>
      </c>
    </row>
    <row r="1212" spans="1:13" x14ac:dyDescent="0.25">
      <c r="A1212" t="s">
        <v>12</v>
      </c>
      <c r="B1212" t="s">
        <v>212</v>
      </c>
      <c r="C1212" t="s">
        <v>213</v>
      </c>
      <c r="D1212" t="s">
        <v>214</v>
      </c>
      <c r="E1212" t="s">
        <v>215</v>
      </c>
      <c r="F1212" s="20">
        <v>1750000</v>
      </c>
      <c r="I1212" s="11">
        <f t="shared" si="20"/>
        <v>45929</v>
      </c>
      <c r="J1212" s="12">
        <f t="shared" si="21"/>
        <v>94</v>
      </c>
      <c r="K1212" t="str">
        <f t="shared" si="17"/>
        <v>91-120</v>
      </c>
      <c r="L1212" s="11">
        <v>46023</v>
      </c>
      <c r="M1212" s="23">
        <f>YEAR(Таблица1[[#This Row],[Дата отчета]])</f>
        <v>2026</v>
      </c>
    </row>
    <row r="1213" spans="1:13" x14ac:dyDescent="0.25">
      <c r="A1213" t="s">
        <v>12</v>
      </c>
      <c r="B1213" t="s">
        <v>212</v>
      </c>
      <c r="C1213" t="s">
        <v>216</v>
      </c>
      <c r="D1213" t="s">
        <v>217</v>
      </c>
      <c r="E1213" t="s">
        <v>218</v>
      </c>
      <c r="F1213" s="20">
        <v>1750000</v>
      </c>
      <c r="I1213" s="11">
        <f t="shared" si="20"/>
        <v>45947</v>
      </c>
      <c r="J1213" s="12">
        <f t="shared" si="21"/>
        <v>76</v>
      </c>
      <c r="K1213" t="str">
        <f t="shared" si="17"/>
        <v>31-90</v>
      </c>
      <c r="L1213" s="11">
        <v>46023</v>
      </c>
      <c r="M1213" s="23">
        <f>YEAR(Таблица1[[#This Row],[Дата отчета]])</f>
        <v>2026</v>
      </c>
    </row>
    <row r="1214" spans="1:13" x14ac:dyDescent="0.25">
      <c r="A1214" t="s">
        <v>12</v>
      </c>
      <c r="B1214" t="s">
        <v>212</v>
      </c>
      <c r="C1214" t="s">
        <v>219</v>
      </c>
      <c r="D1214" t="s">
        <v>220</v>
      </c>
      <c r="E1214" t="s">
        <v>215</v>
      </c>
      <c r="F1214" s="20">
        <v>1750000</v>
      </c>
      <c r="I1214" s="11">
        <f t="shared" si="20"/>
        <v>45929</v>
      </c>
      <c r="J1214" s="12">
        <f t="shared" si="21"/>
        <v>94</v>
      </c>
      <c r="K1214" t="str">
        <f t="shared" si="17"/>
        <v>91-120</v>
      </c>
      <c r="L1214" s="11">
        <v>46023</v>
      </c>
      <c r="M1214" s="23">
        <f>YEAR(Таблица1[[#This Row],[Дата отчета]])</f>
        <v>2026</v>
      </c>
    </row>
    <row r="1215" spans="1:13" x14ac:dyDescent="0.25">
      <c r="A1215" t="s">
        <v>12</v>
      </c>
      <c r="B1215" t="s">
        <v>212</v>
      </c>
      <c r="C1215" t="s">
        <v>221</v>
      </c>
      <c r="D1215" t="s">
        <v>222</v>
      </c>
      <c r="E1215" t="s">
        <v>218</v>
      </c>
      <c r="F1215" s="20">
        <v>1750000</v>
      </c>
      <c r="I1215" s="11">
        <f t="shared" si="20"/>
        <v>45947</v>
      </c>
      <c r="J1215" s="12">
        <f t="shared" si="21"/>
        <v>76</v>
      </c>
      <c r="K1215" t="str">
        <f t="shared" ref="K1215:K1278" si="22">IF(J1215&lt;=30,"0-30",IF(J1215&lt;=90,"31-90",IF(J1215&lt;=120,"91-120",IF(J1215&lt;=180,"121-180",IF(J1215&lt;=270,"181-270",IF(J1215&lt;=360,"271-360","&gt;360"))))))</f>
        <v>31-90</v>
      </c>
      <c r="L1215" s="11">
        <v>46023</v>
      </c>
      <c r="M1215" s="23">
        <f>YEAR(Таблица1[[#This Row],[Дата отчета]])</f>
        <v>2026</v>
      </c>
    </row>
    <row r="1216" spans="1:13" x14ac:dyDescent="0.25">
      <c r="A1216" t="s">
        <v>12</v>
      </c>
      <c r="B1216" t="s">
        <v>212</v>
      </c>
      <c r="C1216" t="s">
        <v>223</v>
      </c>
      <c r="D1216" t="s">
        <v>224</v>
      </c>
      <c r="E1216" t="s">
        <v>215</v>
      </c>
      <c r="F1216" s="20">
        <v>1750000</v>
      </c>
      <c r="I1216" s="11">
        <f t="shared" si="20"/>
        <v>45929</v>
      </c>
      <c r="J1216" s="12">
        <f t="shared" si="21"/>
        <v>94</v>
      </c>
      <c r="K1216" t="str">
        <f t="shared" si="22"/>
        <v>91-120</v>
      </c>
      <c r="L1216" s="11">
        <v>46023</v>
      </c>
      <c r="M1216" s="23">
        <f>YEAR(Таблица1[[#This Row],[Дата отчета]])</f>
        <v>2026</v>
      </c>
    </row>
    <row r="1217" spans="1:15" x14ac:dyDescent="0.25">
      <c r="A1217" t="s">
        <v>12</v>
      </c>
      <c r="B1217" t="s">
        <v>228</v>
      </c>
      <c r="C1217" t="s">
        <v>229</v>
      </c>
      <c r="D1217" t="s">
        <v>230</v>
      </c>
      <c r="E1217" t="s">
        <v>231</v>
      </c>
      <c r="F1217" s="20">
        <v>2053117.29</v>
      </c>
      <c r="I1217" s="11">
        <f t="shared" si="20"/>
        <v>45992</v>
      </c>
      <c r="J1217" s="12">
        <f t="shared" si="21"/>
        <v>31</v>
      </c>
      <c r="K1217" t="str">
        <f t="shared" si="22"/>
        <v>31-90</v>
      </c>
      <c r="L1217" s="11">
        <v>46023</v>
      </c>
      <c r="M1217" s="23">
        <f>YEAR(Таблица1[[#This Row],[Дата отчета]])</f>
        <v>2026</v>
      </c>
      <c r="N1217" s="7"/>
      <c r="O1217" s="7"/>
    </row>
    <row r="1218" spans="1:15" x14ac:dyDescent="0.25">
      <c r="A1218" t="s">
        <v>12</v>
      </c>
      <c r="B1218" t="s">
        <v>228</v>
      </c>
      <c r="C1218" t="s">
        <v>233</v>
      </c>
      <c r="D1218" t="s">
        <v>234</v>
      </c>
      <c r="E1218" t="s">
        <v>231</v>
      </c>
      <c r="F1218" s="20">
        <v>1211264.99</v>
      </c>
      <c r="I1218" s="11">
        <f t="shared" si="20"/>
        <v>45992</v>
      </c>
      <c r="J1218" s="12">
        <f t="shared" si="21"/>
        <v>31</v>
      </c>
      <c r="K1218" t="str">
        <f t="shared" si="22"/>
        <v>31-90</v>
      </c>
      <c r="L1218" s="11">
        <v>46023</v>
      </c>
      <c r="M1218" s="23">
        <f>YEAR(Таблица1[[#This Row],[Дата отчета]])</f>
        <v>2026</v>
      </c>
    </row>
    <row r="1219" spans="1:15" x14ac:dyDescent="0.25">
      <c r="A1219" t="s">
        <v>12</v>
      </c>
      <c r="B1219" t="s">
        <v>228</v>
      </c>
      <c r="C1219" t="s">
        <v>236</v>
      </c>
      <c r="D1219" t="s">
        <v>237</v>
      </c>
      <c r="E1219" t="s">
        <v>231</v>
      </c>
      <c r="F1219" s="20">
        <v>512327.6</v>
      </c>
      <c r="I1219" s="11">
        <f t="shared" si="20"/>
        <v>45992</v>
      </c>
      <c r="J1219" s="12">
        <f t="shared" si="21"/>
        <v>31</v>
      </c>
      <c r="K1219" t="str">
        <f t="shared" si="22"/>
        <v>31-90</v>
      </c>
      <c r="L1219" s="11">
        <v>46023</v>
      </c>
      <c r="M1219" s="23">
        <f>YEAR(Таблица1[[#This Row],[Дата отчета]])</f>
        <v>2026</v>
      </c>
    </row>
    <row r="1220" spans="1:15" x14ac:dyDescent="0.25">
      <c r="A1220" t="s">
        <v>12</v>
      </c>
      <c r="B1220" t="s">
        <v>228</v>
      </c>
      <c r="C1220" t="s">
        <v>236</v>
      </c>
      <c r="D1220" t="s">
        <v>238</v>
      </c>
      <c r="E1220" t="s">
        <v>239</v>
      </c>
      <c r="F1220" s="20">
        <v>12000</v>
      </c>
      <c r="I1220" s="11">
        <f t="shared" si="20"/>
        <v>45996</v>
      </c>
      <c r="J1220" s="12">
        <f t="shared" si="21"/>
        <v>27</v>
      </c>
      <c r="K1220" t="str">
        <f t="shared" si="22"/>
        <v>0-30</v>
      </c>
      <c r="L1220" s="11">
        <v>46023</v>
      </c>
      <c r="M1220" s="23">
        <f>YEAR(Таблица1[[#This Row],[Дата отчета]])</f>
        <v>2026</v>
      </c>
    </row>
    <row r="1221" spans="1:15" x14ac:dyDescent="0.25">
      <c r="A1221" t="s">
        <v>12</v>
      </c>
      <c r="B1221" t="s">
        <v>228</v>
      </c>
      <c r="C1221" t="s">
        <v>241</v>
      </c>
      <c r="D1221" t="s">
        <v>242</v>
      </c>
      <c r="E1221" t="s">
        <v>231</v>
      </c>
      <c r="F1221" s="20">
        <v>438338.63</v>
      </c>
      <c r="I1221" s="11">
        <f t="shared" si="20"/>
        <v>45992</v>
      </c>
      <c r="J1221" s="12">
        <f t="shared" si="21"/>
        <v>31</v>
      </c>
      <c r="K1221" t="str">
        <f t="shared" si="22"/>
        <v>31-90</v>
      </c>
      <c r="L1221" s="11">
        <v>46023</v>
      </c>
      <c r="M1221" s="23">
        <f>YEAR(Таблица1[[#This Row],[Дата отчета]])</f>
        <v>2026</v>
      </c>
    </row>
    <row r="1222" spans="1:15" x14ac:dyDescent="0.25">
      <c r="A1222" t="s">
        <v>12</v>
      </c>
      <c r="B1222" t="s">
        <v>244</v>
      </c>
      <c r="C1222" t="s">
        <v>245</v>
      </c>
      <c r="D1222" t="s">
        <v>246</v>
      </c>
      <c r="E1222" t="s">
        <v>247</v>
      </c>
      <c r="F1222" s="20">
        <v>275272</v>
      </c>
      <c r="I1222" s="11">
        <f t="shared" si="20"/>
        <v>45798</v>
      </c>
      <c r="J1222" s="12">
        <f t="shared" si="21"/>
        <v>225</v>
      </c>
      <c r="K1222" t="str">
        <f t="shared" si="22"/>
        <v>181-270</v>
      </c>
      <c r="L1222" s="11">
        <v>46023</v>
      </c>
      <c r="M1222" s="23">
        <f>YEAR(Таблица1[[#This Row],[Дата отчета]])</f>
        <v>2026</v>
      </c>
      <c r="N1222" s="2" t="s">
        <v>4548</v>
      </c>
    </row>
    <row r="1223" spans="1:15" x14ac:dyDescent="0.25">
      <c r="A1223" t="s">
        <v>12</v>
      </c>
      <c r="B1223" t="s">
        <v>271</v>
      </c>
      <c r="C1223" t="s">
        <v>274</v>
      </c>
      <c r="D1223" t="s">
        <v>275</v>
      </c>
      <c r="E1223" t="s">
        <v>276</v>
      </c>
      <c r="F1223" s="20">
        <v>682568</v>
      </c>
      <c r="I1223" s="11">
        <f t="shared" si="20"/>
        <v>45827</v>
      </c>
      <c r="J1223" s="12">
        <f t="shared" si="21"/>
        <v>196</v>
      </c>
      <c r="K1223" t="str">
        <f t="shared" si="22"/>
        <v>181-270</v>
      </c>
      <c r="L1223" s="11">
        <v>46023</v>
      </c>
      <c r="M1223" s="23">
        <f>YEAR(Таблица1[[#This Row],[Дата отчета]])</f>
        <v>2026</v>
      </c>
    </row>
    <row r="1224" spans="1:15" x14ac:dyDescent="0.25">
      <c r="A1224" t="s">
        <v>12</v>
      </c>
      <c r="B1224" t="s">
        <v>271</v>
      </c>
      <c r="C1224" t="s">
        <v>282</v>
      </c>
      <c r="D1224" t="s">
        <v>283</v>
      </c>
      <c r="E1224" t="s">
        <v>284</v>
      </c>
      <c r="F1224" s="20">
        <v>600</v>
      </c>
      <c r="I1224" s="11">
        <f t="shared" si="20"/>
        <v>45398</v>
      </c>
      <c r="J1224" s="12">
        <f t="shared" si="21"/>
        <v>625</v>
      </c>
      <c r="K1224" t="str">
        <f t="shared" si="22"/>
        <v>&gt;360</v>
      </c>
      <c r="L1224" s="11">
        <v>46023</v>
      </c>
      <c r="M1224" s="23">
        <f>YEAR(Таблица1[[#This Row],[Дата отчета]])</f>
        <v>2026</v>
      </c>
    </row>
    <row r="1225" spans="1:15" x14ac:dyDescent="0.25">
      <c r="A1225" t="s">
        <v>12</v>
      </c>
      <c r="B1225" t="s">
        <v>271</v>
      </c>
      <c r="C1225" t="s">
        <v>287</v>
      </c>
      <c r="D1225" t="s">
        <v>288</v>
      </c>
      <c r="E1225" t="s">
        <v>289</v>
      </c>
      <c r="F1225" s="20">
        <v>29963</v>
      </c>
      <c r="I1225" s="11">
        <f t="shared" si="20"/>
        <v>45716</v>
      </c>
      <c r="J1225" s="12">
        <f t="shared" si="21"/>
        <v>307</v>
      </c>
      <c r="K1225" t="str">
        <f t="shared" si="22"/>
        <v>271-360</v>
      </c>
      <c r="L1225" s="11">
        <v>46023</v>
      </c>
      <c r="M1225" s="23">
        <f>YEAR(Таблица1[[#This Row],[Дата отчета]])</f>
        <v>2026</v>
      </c>
      <c r="N1225" s="2" t="s">
        <v>4538</v>
      </c>
    </row>
    <row r="1226" spans="1:15" x14ac:dyDescent="0.25">
      <c r="A1226" t="s">
        <v>12</v>
      </c>
      <c r="B1226" t="s">
        <v>271</v>
      </c>
      <c r="C1226" t="s">
        <v>290</v>
      </c>
      <c r="D1226" t="s">
        <v>291</v>
      </c>
      <c r="E1226" t="s">
        <v>292</v>
      </c>
      <c r="F1226" s="20">
        <v>19600</v>
      </c>
      <c r="I1226" s="11">
        <f t="shared" si="20"/>
        <v>45933</v>
      </c>
      <c r="J1226" s="12">
        <f t="shared" si="21"/>
        <v>90</v>
      </c>
      <c r="K1226" t="str">
        <f t="shared" si="22"/>
        <v>31-90</v>
      </c>
      <c r="L1226" s="11">
        <v>46023</v>
      </c>
      <c r="M1226" s="23">
        <f>YEAR(Таблица1[[#This Row],[Дата отчета]])</f>
        <v>2026</v>
      </c>
    </row>
    <row r="1227" spans="1:15" x14ac:dyDescent="0.25">
      <c r="A1227" t="s">
        <v>12</v>
      </c>
      <c r="B1227" t="s">
        <v>293</v>
      </c>
      <c r="C1227" t="s">
        <v>1168</v>
      </c>
      <c r="D1227" t="s">
        <v>1169</v>
      </c>
      <c r="E1227" t="s">
        <v>1170</v>
      </c>
      <c r="F1227" s="20">
        <v>244800</v>
      </c>
      <c r="I1227" s="11">
        <f t="shared" si="20"/>
        <v>46001</v>
      </c>
      <c r="J1227" s="12">
        <f t="shared" si="21"/>
        <v>22</v>
      </c>
      <c r="K1227" t="str">
        <f t="shared" si="22"/>
        <v>0-30</v>
      </c>
      <c r="L1227" s="11">
        <v>46023</v>
      </c>
      <c r="M1227" s="23">
        <f>YEAR(Таблица1[[#This Row],[Дата отчета]])</f>
        <v>2026</v>
      </c>
    </row>
    <row r="1228" spans="1:15" x14ac:dyDescent="0.25">
      <c r="A1228" t="s">
        <v>12</v>
      </c>
      <c r="B1228" t="s">
        <v>293</v>
      </c>
      <c r="C1228" t="s">
        <v>294</v>
      </c>
      <c r="D1228" t="s">
        <v>295</v>
      </c>
      <c r="E1228" t="s">
        <v>296</v>
      </c>
      <c r="F1228" s="20">
        <v>132000</v>
      </c>
      <c r="I1228" s="11">
        <f t="shared" si="20"/>
        <v>45988</v>
      </c>
      <c r="J1228" s="12">
        <f t="shared" si="21"/>
        <v>35</v>
      </c>
      <c r="K1228" t="str">
        <f t="shared" si="22"/>
        <v>31-90</v>
      </c>
      <c r="L1228" s="11">
        <v>46023</v>
      </c>
      <c r="M1228" s="23">
        <f>YEAR(Таблица1[[#This Row],[Дата отчета]])</f>
        <v>2026</v>
      </c>
    </row>
    <row r="1229" spans="1:15" x14ac:dyDescent="0.25">
      <c r="A1229" t="s">
        <v>12</v>
      </c>
      <c r="B1229" t="s">
        <v>297</v>
      </c>
      <c r="C1229" t="s">
        <v>298</v>
      </c>
      <c r="D1229" t="s">
        <v>299</v>
      </c>
      <c r="E1229" t="s">
        <v>300</v>
      </c>
      <c r="F1229" s="20">
        <v>3959</v>
      </c>
      <c r="I1229" s="11">
        <f t="shared" si="20"/>
        <v>45449</v>
      </c>
      <c r="J1229" s="12">
        <f t="shared" si="21"/>
        <v>574</v>
      </c>
      <c r="K1229" t="str">
        <f t="shared" si="22"/>
        <v>&gt;360</v>
      </c>
      <c r="L1229" s="11">
        <v>46023</v>
      </c>
      <c r="M1229" s="23">
        <f>YEAR(Таблица1[[#This Row],[Дата отчета]])</f>
        <v>2026</v>
      </c>
      <c r="N1229" s="7" t="s">
        <v>4547</v>
      </c>
    </row>
    <row r="1230" spans="1:15" x14ac:dyDescent="0.25">
      <c r="A1230" t="s">
        <v>12</v>
      </c>
      <c r="B1230" t="s">
        <v>297</v>
      </c>
      <c r="C1230" t="s">
        <v>304</v>
      </c>
      <c r="D1230" t="s">
        <v>305</v>
      </c>
      <c r="E1230" t="s">
        <v>87</v>
      </c>
      <c r="F1230" s="20">
        <v>53477</v>
      </c>
      <c r="I1230" s="11">
        <f t="shared" si="20"/>
        <v>46020</v>
      </c>
      <c r="J1230" s="12">
        <f t="shared" si="21"/>
        <v>3</v>
      </c>
      <c r="K1230" t="str">
        <f t="shared" si="22"/>
        <v>0-30</v>
      </c>
      <c r="L1230" s="11">
        <v>46023</v>
      </c>
      <c r="M1230" s="23">
        <f>YEAR(Таблица1[[#This Row],[Дата отчета]])</f>
        <v>2026</v>
      </c>
    </row>
    <row r="1231" spans="1:15" x14ac:dyDescent="0.25">
      <c r="A1231" t="s">
        <v>12</v>
      </c>
      <c r="B1231" t="s">
        <v>297</v>
      </c>
      <c r="C1231" t="s">
        <v>306</v>
      </c>
      <c r="D1231" t="s">
        <v>307</v>
      </c>
      <c r="E1231" t="s">
        <v>79</v>
      </c>
      <c r="F1231" s="20">
        <v>1875</v>
      </c>
      <c r="I1231" s="11">
        <f t="shared" si="20"/>
        <v>45980</v>
      </c>
      <c r="J1231" s="12">
        <f t="shared" si="21"/>
        <v>43</v>
      </c>
      <c r="K1231" t="str">
        <f t="shared" si="22"/>
        <v>31-90</v>
      </c>
      <c r="L1231" s="11">
        <v>46023</v>
      </c>
      <c r="M1231" s="23">
        <f>YEAR(Таблица1[[#This Row],[Дата отчета]])</f>
        <v>2026</v>
      </c>
    </row>
    <row r="1232" spans="1:15" x14ac:dyDescent="0.25">
      <c r="A1232" t="s">
        <v>12</v>
      </c>
      <c r="B1232" t="s">
        <v>297</v>
      </c>
      <c r="C1232" t="s">
        <v>308</v>
      </c>
      <c r="D1232" t="s">
        <v>309</v>
      </c>
      <c r="E1232" t="s">
        <v>296</v>
      </c>
      <c r="F1232" s="20">
        <v>13926</v>
      </c>
      <c r="I1232" s="11">
        <f t="shared" ref="I1232:I1295" si="23">E1232*1</f>
        <v>45988</v>
      </c>
      <c r="J1232" s="12">
        <f t="shared" ref="J1232:J1295" si="24">L1232-I1232</f>
        <v>35</v>
      </c>
      <c r="K1232" t="str">
        <f t="shared" si="22"/>
        <v>31-90</v>
      </c>
      <c r="L1232" s="11">
        <v>46023</v>
      </c>
      <c r="M1232" s="23">
        <f>YEAR(Таблица1[[#This Row],[Дата отчета]])</f>
        <v>2026</v>
      </c>
    </row>
    <row r="1233" spans="1:13" x14ac:dyDescent="0.25">
      <c r="A1233" t="s">
        <v>12</v>
      </c>
      <c r="B1233" t="s">
        <v>297</v>
      </c>
      <c r="C1233" t="s">
        <v>310</v>
      </c>
      <c r="D1233" t="s">
        <v>311</v>
      </c>
      <c r="E1233" t="s">
        <v>312</v>
      </c>
      <c r="F1233" s="20">
        <v>98480</v>
      </c>
      <c r="I1233" s="11">
        <f t="shared" si="23"/>
        <v>45960</v>
      </c>
      <c r="J1233" s="12">
        <f t="shared" si="24"/>
        <v>63</v>
      </c>
      <c r="K1233" t="str">
        <f t="shared" si="22"/>
        <v>31-90</v>
      </c>
      <c r="L1233" s="11">
        <v>46023</v>
      </c>
      <c r="M1233" s="23">
        <f>YEAR(Таблица1[[#This Row],[Дата отчета]])</f>
        <v>2026</v>
      </c>
    </row>
    <row r="1234" spans="1:13" x14ac:dyDescent="0.25">
      <c r="A1234" t="s">
        <v>12</v>
      </c>
      <c r="B1234" t="s">
        <v>297</v>
      </c>
      <c r="C1234" t="s">
        <v>313</v>
      </c>
      <c r="D1234" t="s">
        <v>314</v>
      </c>
      <c r="E1234" t="s">
        <v>315</v>
      </c>
      <c r="F1234" s="20">
        <v>39046</v>
      </c>
      <c r="I1234" s="11">
        <f t="shared" si="23"/>
        <v>45891</v>
      </c>
      <c r="J1234" s="12">
        <f t="shared" si="24"/>
        <v>132</v>
      </c>
      <c r="K1234" t="str">
        <f t="shared" si="22"/>
        <v>121-180</v>
      </c>
      <c r="L1234" s="11">
        <v>46023</v>
      </c>
      <c r="M1234" s="23">
        <f>YEAR(Таблица1[[#This Row],[Дата отчета]])</f>
        <v>2026</v>
      </c>
    </row>
    <row r="1235" spans="1:13" x14ac:dyDescent="0.25">
      <c r="A1235" t="s">
        <v>12</v>
      </c>
      <c r="B1235" t="s">
        <v>297</v>
      </c>
      <c r="C1235" t="s">
        <v>1171</v>
      </c>
      <c r="D1235" t="s">
        <v>1172</v>
      </c>
      <c r="E1235" t="s">
        <v>1173</v>
      </c>
      <c r="F1235" s="20">
        <v>3629</v>
      </c>
      <c r="I1235" s="11">
        <f t="shared" si="23"/>
        <v>45922</v>
      </c>
      <c r="J1235" s="12">
        <f t="shared" si="24"/>
        <v>101</v>
      </c>
      <c r="K1235" t="str">
        <f t="shared" si="22"/>
        <v>91-120</v>
      </c>
      <c r="L1235" s="11">
        <v>46023</v>
      </c>
      <c r="M1235" s="23">
        <f>YEAR(Таблица1[[#This Row],[Дата отчета]])</f>
        <v>2026</v>
      </c>
    </row>
    <row r="1236" spans="1:13" x14ac:dyDescent="0.25">
      <c r="A1236" t="s">
        <v>12</v>
      </c>
      <c r="B1236" t="s">
        <v>297</v>
      </c>
      <c r="C1236" t="s">
        <v>316</v>
      </c>
      <c r="D1236" t="s">
        <v>317</v>
      </c>
      <c r="E1236" t="s">
        <v>318</v>
      </c>
      <c r="F1236" s="20">
        <v>780</v>
      </c>
      <c r="I1236" s="11">
        <f t="shared" si="23"/>
        <v>45845</v>
      </c>
      <c r="J1236" s="12">
        <f t="shared" si="24"/>
        <v>178</v>
      </c>
      <c r="K1236" t="str">
        <f t="shared" si="22"/>
        <v>121-180</v>
      </c>
      <c r="L1236" s="11">
        <v>46023</v>
      </c>
      <c r="M1236" s="23">
        <f>YEAR(Таблица1[[#This Row],[Дата отчета]])</f>
        <v>2026</v>
      </c>
    </row>
    <row r="1237" spans="1:13" x14ac:dyDescent="0.25">
      <c r="A1237" t="s">
        <v>12</v>
      </c>
      <c r="B1237" t="s">
        <v>297</v>
      </c>
      <c r="C1237" t="s">
        <v>319</v>
      </c>
      <c r="D1237" t="s">
        <v>320</v>
      </c>
      <c r="E1237" t="s">
        <v>321</v>
      </c>
      <c r="F1237" s="20">
        <v>2154</v>
      </c>
      <c r="I1237" s="11">
        <f t="shared" si="23"/>
        <v>45880</v>
      </c>
      <c r="J1237" s="12">
        <f t="shared" si="24"/>
        <v>143</v>
      </c>
      <c r="K1237" t="str">
        <f t="shared" si="22"/>
        <v>121-180</v>
      </c>
      <c r="L1237" s="11">
        <v>46023</v>
      </c>
      <c r="M1237" s="23">
        <f>YEAR(Таблица1[[#This Row],[Дата отчета]])</f>
        <v>2026</v>
      </c>
    </row>
    <row r="1238" spans="1:13" x14ac:dyDescent="0.25">
      <c r="A1238" t="s">
        <v>12</v>
      </c>
      <c r="B1238" t="s">
        <v>297</v>
      </c>
      <c r="C1238" t="s">
        <v>322</v>
      </c>
      <c r="D1238" t="s">
        <v>323</v>
      </c>
      <c r="E1238" t="s">
        <v>79</v>
      </c>
      <c r="F1238" s="20">
        <v>1948</v>
      </c>
      <c r="I1238" s="11">
        <f t="shared" si="23"/>
        <v>45980</v>
      </c>
      <c r="J1238" s="12">
        <f t="shared" si="24"/>
        <v>43</v>
      </c>
      <c r="K1238" t="str">
        <f t="shared" si="22"/>
        <v>31-90</v>
      </c>
      <c r="L1238" s="11">
        <v>46023</v>
      </c>
      <c r="M1238" s="23">
        <f>YEAR(Таблица1[[#This Row],[Дата отчета]])</f>
        <v>2026</v>
      </c>
    </row>
    <row r="1239" spans="1:13" x14ac:dyDescent="0.25">
      <c r="A1239" t="s">
        <v>12</v>
      </c>
      <c r="B1239" t="s">
        <v>297</v>
      </c>
      <c r="C1239" t="s">
        <v>324</v>
      </c>
      <c r="D1239" t="s">
        <v>325</v>
      </c>
      <c r="E1239" t="s">
        <v>51</v>
      </c>
      <c r="F1239" s="20">
        <v>3247</v>
      </c>
      <c r="I1239" s="11">
        <f t="shared" si="23"/>
        <v>45939</v>
      </c>
      <c r="J1239" s="12">
        <f t="shared" si="24"/>
        <v>84</v>
      </c>
      <c r="K1239" t="str">
        <f t="shared" si="22"/>
        <v>31-90</v>
      </c>
      <c r="L1239" s="11">
        <v>46023</v>
      </c>
      <c r="M1239" s="23">
        <f>YEAR(Таблица1[[#This Row],[Дата отчета]])</f>
        <v>2026</v>
      </c>
    </row>
    <row r="1240" spans="1:13" x14ac:dyDescent="0.25">
      <c r="A1240" t="s">
        <v>12</v>
      </c>
      <c r="B1240" t="s">
        <v>297</v>
      </c>
      <c r="C1240" t="s">
        <v>326</v>
      </c>
      <c r="D1240" t="s">
        <v>327</v>
      </c>
      <c r="E1240" t="s">
        <v>51</v>
      </c>
      <c r="F1240" s="20">
        <v>12093</v>
      </c>
      <c r="I1240" s="11">
        <f t="shared" si="23"/>
        <v>45939</v>
      </c>
      <c r="J1240" s="12">
        <f t="shared" si="24"/>
        <v>84</v>
      </c>
      <c r="K1240" t="str">
        <f t="shared" si="22"/>
        <v>31-90</v>
      </c>
      <c r="L1240" s="11">
        <v>46023</v>
      </c>
      <c r="M1240" s="23">
        <f>YEAR(Таблица1[[#This Row],[Дата отчета]])</f>
        <v>2026</v>
      </c>
    </row>
    <row r="1241" spans="1:13" x14ac:dyDescent="0.25">
      <c r="A1241" t="s">
        <v>12</v>
      </c>
      <c r="B1241" t="s">
        <v>297</v>
      </c>
      <c r="C1241" t="s">
        <v>328</v>
      </c>
      <c r="D1241" t="s">
        <v>329</v>
      </c>
      <c r="E1241" t="s">
        <v>292</v>
      </c>
      <c r="F1241" s="20">
        <v>113416</v>
      </c>
      <c r="I1241" s="11">
        <f t="shared" si="23"/>
        <v>45933</v>
      </c>
      <c r="J1241" s="12">
        <f t="shared" si="24"/>
        <v>90</v>
      </c>
      <c r="K1241" t="str">
        <f t="shared" si="22"/>
        <v>31-90</v>
      </c>
      <c r="L1241" s="11">
        <v>46023</v>
      </c>
      <c r="M1241" s="23">
        <f>YEAR(Таблица1[[#This Row],[Дата отчета]])</f>
        <v>2026</v>
      </c>
    </row>
    <row r="1242" spans="1:13" x14ac:dyDescent="0.25">
      <c r="A1242" t="s">
        <v>12</v>
      </c>
      <c r="B1242" t="s">
        <v>297</v>
      </c>
      <c r="C1242" t="s">
        <v>330</v>
      </c>
      <c r="D1242" t="s">
        <v>331</v>
      </c>
      <c r="E1242" t="s">
        <v>332</v>
      </c>
      <c r="F1242" s="20">
        <v>279</v>
      </c>
      <c r="I1242" s="11">
        <f t="shared" si="23"/>
        <v>45936</v>
      </c>
      <c r="J1242" s="12">
        <f t="shared" si="24"/>
        <v>87</v>
      </c>
      <c r="K1242" t="str">
        <f t="shared" si="22"/>
        <v>31-90</v>
      </c>
      <c r="L1242" s="11">
        <v>46023</v>
      </c>
      <c r="M1242" s="23">
        <f>YEAR(Таблица1[[#This Row],[Дата отчета]])</f>
        <v>2026</v>
      </c>
    </row>
    <row r="1243" spans="1:13" x14ac:dyDescent="0.25">
      <c r="A1243" t="s">
        <v>12</v>
      </c>
      <c r="B1243" t="s">
        <v>297</v>
      </c>
      <c r="C1243" t="s">
        <v>333</v>
      </c>
      <c r="D1243" t="s">
        <v>334</v>
      </c>
      <c r="E1243" t="s">
        <v>31</v>
      </c>
      <c r="F1243" s="20">
        <v>930</v>
      </c>
      <c r="I1243" s="11">
        <f t="shared" si="23"/>
        <v>46015</v>
      </c>
      <c r="J1243" s="12">
        <f t="shared" si="24"/>
        <v>8</v>
      </c>
      <c r="K1243" t="str">
        <f t="shared" si="22"/>
        <v>0-30</v>
      </c>
      <c r="L1243" s="11">
        <v>46023</v>
      </c>
      <c r="M1243" s="23">
        <f>YEAR(Таблица1[[#This Row],[Дата отчета]])</f>
        <v>2026</v>
      </c>
    </row>
    <row r="1244" spans="1:13" x14ac:dyDescent="0.25">
      <c r="A1244" t="s">
        <v>12</v>
      </c>
      <c r="B1244" t="s">
        <v>297</v>
      </c>
      <c r="C1244" t="s">
        <v>335</v>
      </c>
      <c r="D1244" t="s">
        <v>336</v>
      </c>
      <c r="E1244" t="s">
        <v>31</v>
      </c>
      <c r="F1244" s="20">
        <v>930</v>
      </c>
      <c r="I1244" s="11">
        <f t="shared" si="23"/>
        <v>46015</v>
      </c>
      <c r="J1244" s="12">
        <f t="shared" si="24"/>
        <v>8</v>
      </c>
      <c r="K1244" t="str">
        <f t="shared" si="22"/>
        <v>0-30</v>
      </c>
      <c r="L1244" s="11">
        <v>46023</v>
      </c>
      <c r="M1244" s="23">
        <f>YEAR(Таблица1[[#This Row],[Дата отчета]])</f>
        <v>2026</v>
      </c>
    </row>
    <row r="1245" spans="1:13" x14ac:dyDescent="0.25">
      <c r="A1245" t="s">
        <v>12</v>
      </c>
      <c r="B1245" t="s">
        <v>297</v>
      </c>
      <c r="C1245" t="s">
        <v>337</v>
      </c>
      <c r="D1245" t="s">
        <v>338</v>
      </c>
      <c r="E1245" t="s">
        <v>339</v>
      </c>
      <c r="F1245" s="20">
        <v>1140</v>
      </c>
      <c r="I1245" s="11">
        <f t="shared" si="23"/>
        <v>45867</v>
      </c>
      <c r="J1245" s="12">
        <f t="shared" si="24"/>
        <v>156</v>
      </c>
      <c r="K1245" t="str">
        <f t="shared" si="22"/>
        <v>121-180</v>
      </c>
      <c r="L1245" s="11">
        <v>46023</v>
      </c>
      <c r="M1245" s="23">
        <f>YEAR(Таблица1[[#This Row],[Дата отчета]])</f>
        <v>2026</v>
      </c>
    </row>
    <row r="1246" spans="1:13" x14ac:dyDescent="0.25">
      <c r="A1246" t="s">
        <v>12</v>
      </c>
      <c r="B1246" t="s">
        <v>297</v>
      </c>
      <c r="C1246" t="s">
        <v>340</v>
      </c>
      <c r="D1246" t="s">
        <v>341</v>
      </c>
      <c r="E1246" t="s">
        <v>342</v>
      </c>
      <c r="F1246" s="20">
        <v>14870</v>
      </c>
      <c r="I1246" s="11">
        <f t="shared" si="23"/>
        <v>45959</v>
      </c>
      <c r="J1246" s="12">
        <f t="shared" si="24"/>
        <v>64</v>
      </c>
      <c r="K1246" t="str">
        <f t="shared" si="22"/>
        <v>31-90</v>
      </c>
      <c r="L1246" s="11">
        <v>46023</v>
      </c>
      <c r="M1246" s="23">
        <f>YEAR(Таблица1[[#This Row],[Дата отчета]])</f>
        <v>2026</v>
      </c>
    </row>
    <row r="1247" spans="1:13" x14ac:dyDescent="0.25">
      <c r="A1247" t="s">
        <v>12</v>
      </c>
      <c r="B1247" t="s">
        <v>297</v>
      </c>
      <c r="C1247" t="s">
        <v>343</v>
      </c>
      <c r="D1247" t="s">
        <v>344</v>
      </c>
      <c r="E1247" t="s">
        <v>345</v>
      </c>
      <c r="F1247" s="20">
        <v>1310</v>
      </c>
      <c r="I1247" s="11">
        <f t="shared" si="23"/>
        <v>45919</v>
      </c>
      <c r="J1247" s="12">
        <f t="shared" si="24"/>
        <v>104</v>
      </c>
      <c r="K1247" t="str">
        <f t="shared" si="22"/>
        <v>91-120</v>
      </c>
      <c r="L1247" s="11">
        <v>46023</v>
      </c>
      <c r="M1247" s="23">
        <f>YEAR(Таблица1[[#This Row],[Дата отчета]])</f>
        <v>2026</v>
      </c>
    </row>
    <row r="1248" spans="1:13" x14ac:dyDescent="0.25">
      <c r="A1248" t="s">
        <v>12</v>
      </c>
      <c r="B1248" t="s">
        <v>297</v>
      </c>
      <c r="C1248" t="s">
        <v>346</v>
      </c>
      <c r="D1248" t="s">
        <v>347</v>
      </c>
      <c r="E1248" t="s">
        <v>51</v>
      </c>
      <c r="F1248" s="20">
        <v>21872</v>
      </c>
      <c r="I1248" s="11">
        <f t="shared" si="23"/>
        <v>45939</v>
      </c>
      <c r="J1248" s="12">
        <f t="shared" si="24"/>
        <v>84</v>
      </c>
      <c r="K1248" t="str">
        <f t="shared" si="22"/>
        <v>31-90</v>
      </c>
      <c r="L1248" s="11">
        <v>46023</v>
      </c>
      <c r="M1248" s="23">
        <f>YEAR(Таблица1[[#This Row],[Дата отчета]])</f>
        <v>2026</v>
      </c>
    </row>
    <row r="1249" spans="1:14" x14ac:dyDescent="0.25">
      <c r="A1249" t="s">
        <v>12</v>
      </c>
      <c r="B1249" t="s">
        <v>297</v>
      </c>
      <c r="C1249" t="s">
        <v>351</v>
      </c>
      <c r="D1249" t="s">
        <v>352</v>
      </c>
      <c r="E1249" t="s">
        <v>353</v>
      </c>
      <c r="F1249" s="20">
        <v>2373</v>
      </c>
      <c r="I1249" s="11">
        <f t="shared" si="23"/>
        <v>45957</v>
      </c>
      <c r="J1249" s="12">
        <f t="shared" si="24"/>
        <v>66</v>
      </c>
      <c r="K1249" t="str">
        <f t="shared" si="22"/>
        <v>31-90</v>
      </c>
      <c r="L1249" s="11">
        <v>46023</v>
      </c>
      <c r="M1249" s="23">
        <f>YEAR(Таблица1[[#This Row],[Дата отчета]])</f>
        <v>2026</v>
      </c>
    </row>
    <row r="1250" spans="1:14" x14ac:dyDescent="0.25">
      <c r="A1250" t="s">
        <v>12</v>
      </c>
      <c r="B1250" t="s">
        <v>297</v>
      </c>
      <c r="C1250" t="s">
        <v>354</v>
      </c>
      <c r="D1250" t="s">
        <v>355</v>
      </c>
      <c r="E1250" t="s">
        <v>31</v>
      </c>
      <c r="F1250" s="20">
        <v>943</v>
      </c>
      <c r="I1250" s="11">
        <f t="shared" si="23"/>
        <v>46015</v>
      </c>
      <c r="J1250" s="12">
        <f t="shared" si="24"/>
        <v>8</v>
      </c>
      <c r="K1250" t="str">
        <f t="shared" si="22"/>
        <v>0-30</v>
      </c>
      <c r="L1250" s="11">
        <v>46023</v>
      </c>
      <c r="M1250" s="23">
        <f>YEAR(Таблица1[[#This Row],[Дата отчета]])</f>
        <v>2026</v>
      </c>
    </row>
    <row r="1251" spans="1:14" x14ac:dyDescent="0.25">
      <c r="A1251" t="s">
        <v>12</v>
      </c>
      <c r="B1251" t="s">
        <v>297</v>
      </c>
      <c r="C1251" t="s">
        <v>356</v>
      </c>
      <c r="D1251" t="s">
        <v>357</v>
      </c>
      <c r="E1251" t="s">
        <v>51</v>
      </c>
      <c r="F1251" s="20">
        <v>279</v>
      </c>
      <c r="I1251" s="11">
        <f t="shared" si="23"/>
        <v>45939</v>
      </c>
      <c r="J1251" s="12">
        <f t="shared" si="24"/>
        <v>84</v>
      </c>
      <c r="K1251" t="str">
        <f t="shared" si="22"/>
        <v>31-90</v>
      </c>
      <c r="L1251" s="11">
        <v>46023</v>
      </c>
      <c r="M1251" s="23">
        <f>YEAR(Таблица1[[#This Row],[Дата отчета]])</f>
        <v>2026</v>
      </c>
    </row>
    <row r="1252" spans="1:14" x14ac:dyDescent="0.25">
      <c r="A1252" t="s">
        <v>12</v>
      </c>
      <c r="B1252" t="s">
        <v>378</v>
      </c>
      <c r="C1252" t="s">
        <v>970</v>
      </c>
      <c r="D1252" t="s">
        <v>380</v>
      </c>
      <c r="E1252" t="s">
        <v>75</v>
      </c>
      <c r="F1252" s="20">
        <v>728811</v>
      </c>
      <c r="I1252" s="11">
        <f t="shared" si="23"/>
        <v>46016</v>
      </c>
      <c r="J1252" s="12">
        <f t="shared" si="24"/>
        <v>7</v>
      </c>
      <c r="K1252" t="str">
        <f t="shared" si="22"/>
        <v>0-30</v>
      </c>
      <c r="L1252" s="11">
        <v>46023</v>
      </c>
      <c r="M1252" s="23">
        <f>YEAR(Таблица1[[#This Row],[Дата отчета]])</f>
        <v>2026</v>
      </c>
    </row>
    <row r="1253" spans="1:14" x14ac:dyDescent="0.25">
      <c r="A1253" t="s">
        <v>12</v>
      </c>
      <c r="B1253" t="s">
        <v>1222</v>
      </c>
      <c r="C1253" t="s">
        <v>1227</v>
      </c>
      <c r="D1253" t="s">
        <v>1241</v>
      </c>
      <c r="E1253" t="s">
        <v>769</v>
      </c>
      <c r="F1253" s="20">
        <v>70000</v>
      </c>
      <c r="I1253" s="11">
        <f t="shared" si="23"/>
        <v>45825</v>
      </c>
      <c r="J1253" s="12">
        <f t="shared" si="24"/>
        <v>198</v>
      </c>
      <c r="K1253" t="str">
        <f t="shared" si="22"/>
        <v>181-270</v>
      </c>
      <c r="L1253" s="11">
        <v>46023</v>
      </c>
      <c r="M1253" s="23">
        <f>YEAR(Таблица1[[#This Row],[Дата отчета]])</f>
        <v>2026</v>
      </c>
    </row>
    <row r="1254" spans="1:14" x14ac:dyDescent="0.25">
      <c r="A1254" t="s">
        <v>12</v>
      </c>
      <c r="B1254" t="s">
        <v>1222</v>
      </c>
      <c r="C1254" t="s">
        <v>1227</v>
      </c>
      <c r="D1254" t="s">
        <v>1242</v>
      </c>
      <c r="E1254" t="s">
        <v>1255</v>
      </c>
      <c r="F1254" s="20">
        <v>180000</v>
      </c>
      <c r="I1254" s="11">
        <f t="shared" si="23"/>
        <v>45841</v>
      </c>
      <c r="J1254" s="12">
        <f t="shared" si="24"/>
        <v>182</v>
      </c>
      <c r="K1254" t="str">
        <f t="shared" si="22"/>
        <v>181-270</v>
      </c>
      <c r="L1254" s="11">
        <v>46023</v>
      </c>
      <c r="M1254" s="23">
        <f>YEAR(Таблица1[[#This Row],[Дата отчета]])</f>
        <v>2026</v>
      </c>
    </row>
    <row r="1255" spans="1:14" x14ac:dyDescent="0.25">
      <c r="A1255" t="s">
        <v>12</v>
      </c>
      <c r="B1255" t="s">
        <v>389</v>
      </c>
      <c r="C1255" t="s">
        <v>390</v>
      </c>
      <c r="D1255" t="s">
        <v>391</v>
      </c>
      <c r="E1255" t="s">
        <v>392</v>
      </c>
      <c r="F1255" s="20">
        <v>97121</v>
      </c>
      <c r="I1255" s="11">
        <f t="shared" si="23"/>
        <v>45952</v>
      </c>
      <c r="J1255" s="12">
        <f t="shared" si="24"/>
        <v>71</v>
      </c>
      <c r="K1255" t="str">
        <f t="shared" si="22"/>
        <v>31-90</v>
      </c>
      <c r="L1255" s="11">
        <v>46023</v>
      </c>
      <c r="M1255" s="23">
        <f>YEAR(Таблица1[[#This Row],[Дата отчета]])</f>
        <v>2026</v>
      </c>
    </row>
    <row r="1256" spans="1:14" x14ac:dyDescent="0.25">
      <c r="A1256" t="s">
        <v>12</v>
      </c>
      <c r="B1256" t="s">
        <v>402</v>
      </c>
      <c r="C1256" t="s">
        <v>403</v>
      </c>
      <c r="D1256" t="s">
        <v>404</v>
      </c>
      <c r="E1256" t="s">
        <v>405</v>
      </c>
      <c r="F1256" s="20">
        <v>6881.46</v>
      </c>
      <c r="I1256" s="11">
        <f t="shared" si="23"/>
        <v>44773</v>
      </c>
      <c r="J1256" s="12">
        <f t="shared" si="24"/>
        <v>1250</v>
      </c>
      <c r="K1256" t="str">
        <f t="shared" si="22"/>
        <v>&gt;360</v>
      </c>
      <c r="L1256" s="11">
        <v>46023</v>
      </c>
      <c r="M1256" s="23">
        <f>YEAR(Таблица1[[#This Row],[Дата отчета]])</f>
        <v>2026</v>
      </c>
      <c r="N1256" s="7" t="s">
        <v>4538</v>
      </c>
    </row>
    <row r="1257" spans="1:14" x14ac:dyDescent="0.25">
      <c r="A1257" t="s">
        <v>12</v>
      </c>
      <c r="B1257" t="s">
        <v>402</v>
      </c>
      <c r="C1257" t="s">
        <v>406</v>
      </c>
      <c r="D1257" t="s">
        <v>407</v>
      </c>
      <c r="E1257" t="s">
        <v>408</v>
      </c>
      <c r="F1257" s="20">
        <v>6883200</v>
      </c>
      <c r="I1257" s="11">
        <f t="shared" si="23"/>
        <v>46010</v>
      </c>
      <c r="J1257" s="12">
        <f t="shared" si="24"/>
        <v>13</v>
      </c>
      <c r="K1257" t="str">
        <f t="shared" si="22"/>
        <v>0-30</v>
      </c>
      <c r="L1257" s="11">
        <v>46023</v>
      </c>
      <c r="M1257" s="23">
        <f>YEAR(Таблица1[[#This Row],[Дата отчета]])</f>
        <v>2026</v>
      </c>
    </row>
    <row r="1258" spans="1:14" x14ac:dyDescent="0.25">
      <c r="A1258" t="s">
        <v>12</v>
      </c>
      <c r="B1258" t="s">
        <v>412</v>
      </c>
      <c r="C1258" t="s">
        <v>413</v>
      </c>
      <c r="D1258" t="s">
        <v>414</v>
      </c>
      <c r="E1258" t="s">
        <v>415</v>
      </c>
      <c r="F1258" s="20">
        <v>0.04</v>
      </c>
      <c r="I1258" s="11">
        <f t="shared" si="23"/>
        <v>45833</v>
      </c>
      <c r="J1258" s="12">
        <f t="shared" si="24"/>
        <v>190</v>
      </c>
      <c r="K1258" t="str">
        <f t="shared" si="22"/>
        <v>181-270</v>
      </c>
      <c r="L1258" s="11">
        <v>46023</v>
      </c>
      <c r="M1258" s="23">
        <f>YEAR(Таблица1[[#This Row],[Дата отчета]])</f>
        <v>2026</v>
      </c>
    </row>
    <row r="1259" spans="1:14" x14ac:dyDescent="0.25">
      <c r="A1259" t="s">
        <v>12</v>
      </c>
      <c r="B1259" t="s">
        <v>416</v>
      </c>
      <c r="C1259" t="s">
        <v>417</v>
      </c>
      <c r="D1259" t="s">
        <v>418</v>
      </c>
      <c r="E1259" t="s">
        <v>419</v>
      </c>
      <c r="F1259" s="20">
        <v>5478</v>
      </c>
      <c r="I1259" s="11">
        <f t="shared" si="23"/>
        <v>45883</v>
      </c>
      <c r="J1259" s="12">
        <f t="shared" si="24"/>
        <v>140</v>
      </c>
      <c r="K1259" t="str">
        <f t="shared" si="22"/>
        <v>121-180</v>
      </c>
      <c r="L1259" s="11">
        <v>46023</v>
      </c>
      <c r="M1259" s="23">
        <f>YEAR(Таблица1[[#This Row],[Дата отчета]])</f>
        <v>2026</v>
      </c>
    </row>
    <row r="1260" spans="1:14" x14ac:dyDescent="0.25">
      <c r="A1260" t="s">
        <v>12</v>
      </c>
      <c r="B1260" t="s">
        <v>416</v>
      </c>
      <c r="C1260" t="s">
        <v>1174</v>
      </c>
      <c r="D1260" t="s">
        <v>1175</v>
      </c>
      <c r="E1260" t="s">
        <v>422</v>
      </c>
      <c r="F1260" s="20">
        <v>12205</v>
      </c>
      <c r="I1260" s="11">
        <f t="shared" si="23"/>
        <v>45972</v>
      </c>
      <c r="J1260" s="12">
        <f t="shared" si="24"/>
        <v>51</v>
      </c>
      <c r="K1260" t="str">
        <f t="shared" si="22"/>
        <v>31-90</v>
      </c>
      <c r="L1260" s="11">
        <v>46023</v>
      </c>
      <c r="M1260" s="23">
        <f>YEAR(Таблица1[[#This Row],[Дата отчета]])</f>
        <v>2026</v>
      </c>
    </row>
    <row r="1261" spans="1:14" x14ac:dyDescent="0.25">
      <c r="A1261" t="s">
        <v>12</v>
      </c>
      <c r="B1261" t="s">
        <v>416</v>
      </c>
      <c r="C1261" t="s">
        <v>420</v>
      </c>
      <c r="D1261" t="s">
        <v>421</v>
      </c>
      <c r="E1261" t="s">
        <v>422</v>
      </c>
      <c r="F1261" s="20">
        <v>11518</v>
      </c>
      <c r="I1261" s="11">
        <f t="shared" si="23"/>
        <v>45972</v>
      </c>
      <c r="J1261" s="12">
        <f t="shared" si="24"/>
        <v>51</v>
      </c>
      <c r="K1261" t="str">
        <f t="shared" si="22"/>
        <v>31-90</v>
      </c>
      <c r="L1261" s="11">
        <v>46023</v>
      </c>
      <c r="M1261" s="23">
        <f>YEAR(Таблица1[[#This Row],[Дата отчета]])</f>
        <v>2026</v>
      </c>
    </row>
    <row r="1262" spans="1:14" x14ac:dyDescent="0.25">
      <c r="A1262" t="s">
        <v>12</v>
      </c>
      <c r="B1262" t="s">
        <v>416</v>
      </c>
      <c r="C1262" t="s">
        <v>423</v>
      </c>
      <c r="D1262" t="s">
        <v>424</v>
      </c>
      <c r="E1262" t="s">
        <v>422</v>
      </c>
      <c r="F1262" s="20">
        <v>65989</v>
      </c>
      <c r="I1262" s="11">
        <f t="shared" si="23"/>
        <v>45972</v>
      </c>
      <c r="J1262" s="12">
        <f t="shared" si="24"/>
        <v>51</v>
      </c>
      <c r="K1262" t="str">
        <f t="shared" si="22"/>
        <v>31-90</v>
      </c>
      <c r="L1262" s="11">
        <v>46023</v>
      </c>
      <c r="M1262" s="23">
        <f>YEAR(Таблица1[[#This Row],[Дата отчета]])</f>
        <v>2026</v>
      </c>
    </row>
    <row r="1263" spans="1:14" x14ac:dyDescent="0.25">
      <c r="A1263" t="s">
        <v>12</v>
      </c>
      <c r="B1263" t="s">
        <v>425</v>
      </c>
      <c r="C1263" t="s">
        <v>426</v>
      </c>
      <c r="D1263" t="s">
        <v>427</v>
      </c>
      <c r="E1263" t="s">
        <v>415</v>
      </c>
      <c r="F1263" s="20">
        <v>52500</v>
      </c>
      <c r="I1263" s="11">
        <f t="shared" si="23"/>
        <v>45833</v>
      </c>
      <c r="J1263" s="12">
        <f t="shared" si="24"/>
        <v>190</v>
      </c>
      <c r="K1263" t="str">
        <f t="shared" si="22"/>
        <v>181-270</v>
      </c>
      <c r="L1263" s="11">
        <v>46023</v>
      </c>
      <c r="M1263" s="23">
        <f>YEAR(Таблица1[[#This Row],[Дата отчета]])</f>
        <v>2026</v>
      </c>
    </row>
    <row r="1264" spans="1:14" x14ac:dyDescent="0.25">
      <c r="A1264" t="s">
        <v>12</v>
      </c>
      <c r="B1264" t="s">
        <v>425</v>
      </c>
      <c r="C1264" t="s">
        <v>426</v>
      </c>
      <c r="D1264" t="s">
        <v>428</v>
      </c>
      <c r="E1264" t="s">
        <v>429</v>
      </c>
      <c r="F1264" s="20">
        <v>297500</v>
      </c>
      <c r="I1264" s="11">
        <f t="shared" si="23"/>
        <v>45897</v>
      </c>
      <c r="J1264" s="12">
        <f t="shared" si="24"/>
        <v>126</v>
      </c>
      <c r="K1264" t="str">
        <f t="shared" si="22"/>
        <v>121-180</v>
      </c>
      <c r="L1264" s="11">
        <v>46023</v>
      </c>
      <c r="M1264" s="23">
        <f>YEAR(Таблица1[[#This Row],[Дата отчета]])</f>
        <v>2026</v>
      </c>
    </row>
    <row r="1265" spans="1:13" x14ac:dyDescent="0.25">
      <c r="A1265" t="s">
        <v>12</v>
      </c>
      <c r="B1265" t="s">
        <v>1176</v>
      </c>
      <c r="C1265" t="s">
        <v>1177</v>
      </c>
      <c r="D1265" t="s">
        <v>1178</v>
      </c>
      <c r="E1265" t="s">
        <v>635</v>
      </c>
      <c r="F1265" s="20">
        <v>207900</v>
      </c>
      <c r="I1265" s="11">
        <f t="shared" si="23"/>
        <v>45910</v>
      </c>
      <c r="J1265" s="12">
        <f t="shared" si="24"/>
        <v>113</v>
      </c>
      <c r="K1265" t="str">
        <f t="shared" si="22"/>
        <v>91-120</v>
      </c>
      <c r="L1265" s="11">
        <v>46023</v>
      </c>
      <c r="M1265" s="23">
        <f>YEAR(Таблица1[[#This Row],[Дата отчета]])</f>
        <v>2026</v>
      </c>
    </row>
    <row r="1266" spans="1:13" x14ac:dyDescent="0.25">
      <c r="A1266" t="s">
        <v>12</v>
      </c>
      <c r="B1266" t="s">
        <v>1176</v>
      </c>
      <c r="C1266" t="s">
        <v>1177</v>
      </c>
      <c r="D1266" t="s">
        <v>1179</v>
      </c>
      <c r="E1266" t="s">
        <v>462</v>
      </c>
      <c r="F1266" s="20">
        <v>207900</v>
      </c>
      <c r="I1266" s="11">
        <f t="shared" si="23"/>
        <v>45945</v>
      </c>
      <c r="J1266" s="12">
        <f t="shared" si="24"/>
        <v>78</v>
      </c>
      <c r="K1266" t="str">
        <f t="shared" si="22"/>
        <v>31-90</v>
      </c>
      <c r="L1266" s="11">
        <v>46023</v>
      </c>
      <c r="M1266" s="23">
        <f>YEAR(Таблица1[[#This Row],[Дата отчета]])</f>
        <v>2026</v>
      </c>
    </row>
    <row r="1267" spans="1:13" x14ac:dyDescent="0.25">
      <c r="A1267" t="s">
        <v>12</v>
      </c>
      <c r="B1267" t="s">
        <v>434</v>
      </c>
      <c r="C1267" t="s">
        <v>437</v>
      </c>
      <c r="D1267" t="s">
        <v>438</v>
      </c>
      <c r="E1267" t="s">
        <v>422</v>
      </c>
      <c r="F1267" s="20">
        <v>40216000</v>
      </c>
      <c r="I1267" s="11">
        <f t="shared" si="23"/>
        <v>45972</v>
      </c>
      <c r="J1267" s="12">
        <f t="shared" si="24"/>
        <v>51</v>
      </c>
      <c r="K1267" t="str">
        <f t="shared" si="22"/>
        <v>31-90</v>
      </c>
      <c r="L1267" s="11">
        <v>46023</v>
      </c>
      <c r="M1267" s="23">
        <f>YEAR(Таблица1[[#This Row],[Дата отчета]])</f>
        <v>2026</v>
      </c>
    </row>
    <row r="1268" spans="1:13" x14ac:dyDescent="0.25">
      <c r="A1268" t="s">
        <v>12</v>
      </c>
      <c r="B1268" t="s">
        <v>441</v>
      </c>
      <c r="C1268" t="s">
        <v>1228</v>
      </c>
      <c r="D1268" t="s">
        <v>1243</v>
      </c>
      <c r="E1268" t="s">
        <v>31</v>
      </c>
      <c r="F1268" s="20">
        <v>3532.9</v>
      </c>
      <c r="I1268" s="11">
        <f t="shared" si="23"/>
        <v>46015</v>
      </c>
      <c r="J1268" s="12">
        <f t="shared" si="24"/>
        <v>8</v>
      </c>
      <c r="K1268" t="str">
        <f t="shared" si="22"/>
        <v>0-30</v>
      </c>
      <c r="L1268" s="11">
        <v>46023</v>
      </c>
      <c r="M1268" s="23">
        <f>YEAR(Таблица1[[#This Row],[Дата отчета]])</f>
        <v>2026</v>
      </c>
    </row>
    <row r="1269" spans="1:13" x14ac:dyDescent="0.25">
      <c r="A1269" t="s">
        <v>12</v>
      </c>
      <c r="B1269" t="s">
        <v>441</v>
      </c>
      <c r="C1269" t="s">
        <v>442</v>
      </c>
      <c r="D1269" t="s">
        <v>443</v>
      </c>
      <c r="E1269" t="s">
        <v>75</v>
      </c>
      <c r="F1269" s="20">
        <v>13872940.5</v>
      </c>
      <c r="I1269" s="11">
        <f t="shared" si="23"/>
        <v>46016</v>
      </c>
      <c r="J1269" s="12">
        <f t="shared" si="24"/>
        <v>7</v>
      </c>
      <c r="K1269" t="str">
        <f t="shared" si="22"/>
        <v>0-30</v>
      </c>
      <c r="L1269" s="11">
        <v>46023</v>
      </c>
      <c r="M1269" s="23">
        <f>YEAR(Таблица1[[#This Row],[Дата отчета]])</f>
        <v>2026</v>
      </c>
    </row>
    <row r="1270" spans="1:13" x14ac:dyDescent="0.25">
      <c r="A1270" t="s">
        <v>12</v>
      </c>
      <c r="B1270" t="s">
        <v>441</v>
      </c>
      <c r="C1270" t="s">
        <v>1229</v>
      </c>
      <c r="D1270" t="s">
        <v>1244</v>
      </c>
      <c r="E1270" t="s">
        <v>662</v>
      </c>
      <c r="F1270" s="20">
        <v>19791</v>
      </c>
      <c r="I1270" s="11">
        <f t="shared" si="23"/>
        <v>45932</v>
      </c>
      <c r="J1270" s="12">
        <f t="shared" si="24"/>
        <v>91</v>
      </c>
      <c r="K1270" t="str">
        <f t="shared" si="22"/>
        <v>91-120</v>
      </c>
      <c r="L1270" s="11">
        <v>46023</v>
      </c>
      <c r="M1270" s="23">
        <f>YEAR(Таблица1[[#This Row],[Дата отчета]])</f>
        <v>2026</v>
      </c>
    </row>
    <row r="1271" spans="1:13" x14ac:dyDescent="0.25">
      <c r="A1271" t="s">
        <v>12</v>
      </c>
      <c r="B1271" t="s">
        <v>441</v>
      </c>
      <c r="C1271" t="s">
        <v>1230</v>
      </c>
      <c r="D1271" t="s">
        <v>1245</v>
      </c>
      <c r="E1271" t="s">
        <v>1256</v>
      </c>
      <c r="F1271" s="20">
        <v>88390</v>
      </c>
      <c r="I1271" s="11">
        <f t="shared" si="23"/>
        <v>45754</v>
      </c>
      <c r="J1271" s="12">
        <f t="shared" si="24"/>
        <v>269</v>
      </c>
      <c r="K1271" t="str">
        <f t="shared" si="22"/>
        <v>181-270</v>
      </c>
      <c r="L1271" s="11">
        <v>46023</v>
      </c>
      <c r="M1271" s="23">
        <f>YEAR(Таблица1[[#This Row],[Дата отчета]])</f>
        <v>2026</v>
      </c>
    </row>
    <row r="1272" spans="1:13" x14ac:dyDescent="0.25">
      <c r="A1272" t="s">
        <v>12</v>
      </c>
      <c r="B1272" t="s">
        <v>445</v>
      </c>
      <c r="C1272" t="s">
        <v>446</v>
      </c>
      <c r="D1272" t="s">
        <v>447</v>
      </c>
      <c r="E1272" t="s">
        <v>45</v>
      </c>
      <c r="F1272" s="20">
        <v>168000</v>
      </c>
      <c r="I1272" s="11">
        <f t="shared" si="23"/>
        <v>45938</v>
      </c>
      <c r="J1272" s="12">
        <f t="shared" si="24"/>
        <v>85</v>
      </c>
      <c r="K1272" t="str">
        <f t="shared" si="22"/>
        <v>31-90</v>
      </c>
      <c r="L1272" s="11">
        <v>46023</v>
      </c>
      <c r="M1272" s="23">
        <f>YEAR(Таблица1[[#This Row],[Дата отчета]])</f>
        <v>2026</v>
      </c>
    </row>
    <row r="1273" spans="1:13" x14ac:dyDescent="0.25">
      <c r="A1273" t="s">
        <v>12</v>
      </c>
      <c r="B1273" t="s">
        <v>448</v>
      </c>
      <c r="C1273" t="s">
        <v>449</v>
      </c>
      <c r="D1273" t="s">
        <v>450</v>
      </c>
      <c r="E1273" t="s">
        <v>451</v>
      </c>
      <c r="F1273" s="20">
        <v>7941</v>
      </c>
      <c r="I1273" s="11">
        <f t="shared" si="23"/>
        <v>45884</v>
      </c>
      <c r="J1273" s="12">
        <f t="shared" si="24"/>
        <v>139</v>
      </c>
      <c r="K1273" t="str">
        <f t="shared" si="22"/>
        <v>121-180</v>
      </c>
      <c r="L1273" s="11">
        <v>46023</v>
      </c>
      <c r="M1273" s="23">
        <f>YEAR(Таблица1[[#This Row],[Дата отчета]])</f>
        <v>2026</v>
      </c>
    </row>
    <row r="1274" spans="1:13" x14ac:dyDescent="0.25">
      <c r="A1274" t="s">
        <v>12</v>
      </c>
      <c r="B1274" t="s">
        <v>456</v>
      </c>
      <c r="C1274" t="s">
        <v>457</v>
      </c>
      <c r="D1274" t="s">
        <v>458</v>
      </c>
      <c r="E1274" t="s">
        <v>459</v>
      </c>
      <c r="F1274" s="20">
        <v>5500</v>
      </c>
      <c r="I1274" s="11">
        <f t="shared" si="23"/>
        <v>45195</v>
      </c>
      <c r="J1274" s="12">
        <f t="shared" si="24"/>
        <v>828</v>
      </c>
      <c r="K1274" t="str">
        <f t="shared" si="22"/>
        <v>&gt;360</v>
      </c>
      <c r="L1274" s="11">
        <v>46023</v>
      </c>
      <c r="M1274" s="23">
        <f>YEAR(Таблица1[[#This Row],[Дата отчета]])</f>
        <v>2026</v>
      </c>
    </row>
    <row r="1275" spans="1:13" x14ac:dyDescent="0.25">
      <c r="A1275" t="s">
        <v>12</v>
      </c>
      <c r="B1275" t="s">
        <v>456</v>
      </c>
      <c r="C1275" t="s">
        <v>460</v>
      </c>
      <c r="D1275" t="s">
        <v>461</v>
      </c>
      <c r="E1275" t="s">
        <v>462</v>
      </c>
      <c r="F1275" s="20">
        <v>102545</v>
      </c>
      <c r="I1275" s="11">
        <f t="shared" si="23"/>
        <v>45945</v>
      </c>
      <c r="J1275" s="12">
        <f t="shared" si="24"/>
        <v>78</v>
      </c>
      <c r="K1275" t="str">
        <f t="shared" si="22"/>
        <v>31-90</v>
      </c>
      <c r="L1275" s="11">
        <v>46023</v>
      </c>
      <c r="M1275" s="23">
        <f>YEAR(Таблица1[[#This Row],[Дата отчета]])</f>
        <v>2026</v>
      </c>
    </row>
    <row r="1276" spans="1:13" x14ac:dyDescent="0.25">
      <c r="A1276" t="s">
        <v>12</v>
      </c>
      <c r="B1276" t="s">
        <v>463</v>
      </c>
      <c r="C1276" t="s">
        <v>464</v>
      </c>
      <c r="D1276" t="s">
        <v>465</v>
      </c>
      <c r="E1276" t="s">
        <v>466</v>
      </c>
      <c r="F1276" s="20">
        <v>2760000</v>
      </c>
      <c r="I1276" s="11">
        <f t="shared" si="23"/>
        <v>45986</v>
      </c>
      <c r="J1276" s="12">
        <f t="shared" si="24"/>
        <v>37</v>
      </c>
      <c r="K1276" t="str">
        <f t="shared" si="22"/>
        <v>31-90</v>
      </c>
      <c r="L1276" s="11">
        <v>46023</v>
      </c>
      <c r="M1276" s="23">
        <f>YEAR(Таблица1[[#This Row],[Дата отчета]])</f>
        <v>2026</v>
      </c>
    </row>
    <row r="1277" spans="1:13" x14ac:dyDescent="0.25">
      <c r="A1277" t="s">
        <v>12</v>
      </c>
      <c r="B1277" t="s">
        <v>467</v>
      </c>
      <c r="C1277" t="s">
        <v>468</v>
      </c>
      <c r="D1277" t="s">
        <v>469</v>
      </c>
      <c r="E1277" t="s">
        <v>470</v>
      </c>
      <c r="F1277" s="20">
        <v>2000</v>
      </c>
      <c r="I1277" s="11">
        <f t="shared" si="23"/>
        <v>44551</v>
      </c>
      <c r="J1277" s="12">
        <f t="shared" si="24"/>
        <v>1472</v>
      </c>
      <c r="K1277" t="str">
        <f t="shared" si="22"/>
        <v>&gt;360</v>
      </c>
      <c r="L1277" s="11">
        <v>46023</v>
      </c>
      <c r="M1277" s="23">
        <f>YEAR(Таблица1[[#This Row],[Дата отчета]])</f>
        <v>2026</v>
      </c>
    </row>
    <row r="1278" spans="1:13" x14ac:dyDescent="0.25">
      <c r="A1278" t="s">
        <v>12</v>
      </c>
      <c r="B1278" t="s">
        <v>471</v>
      </c>
      <c r="C1278" t="s">
        <v>472</v>
      </c>
      <c r="D1278" t="s">
        <v>473</v>
      </c>
      <c r="E1278" t="s">
        <v>429</v>
      </c>
      <c r="F1278" s="20">
        <v>25866</v>
      </c>
      <c r="I1278" s="11">
        <f t="shared" si="23"/>
        <v>45897</v>
      </c>
      <c r="J1278" s="12">
        <f t="shared" si="24"/>
        <v>126</v>
      </c>
      <c r="K1278" t="str">
        <f t="shared" si="22"/>
        <v>121-180</v>
      </c>
      <c r="L1278" s="11">
        <v>46023</v>
      </c>
      <c r="M1278" s="23">
        <f>YEAR(Таблица1[[#This Row],[Дата отчета]])</f>
        <v>2026</v>
      </c>
    </row>
    <row r="1279" spans="1:13" x14ac:dyDescent="0.25">
      <c r="A1279" t="s">
        <v>12</v>
      </c>
      <c r="B1279" t="s">
        <v>474</v>
      </c>
      <c r="C1279" t="s">
        <v>475</v>
      </c>
      <c r="D1279" t="s">
        <v>476</v>
      </c>
      <c r="E1279" t="s">
        <v>477</v>
      </c>
      <c r="F1279" s="20">
        <v>300</v>
      </c>
      <c r="I1279" s="11">
        <f t="shared" si="23"/>
        <v>45401</v>
      </c>
      <c r="J1279" s="12">
        <f t="shared" si="24"/>
        <v>622</v>
      </c>
      <c r="K1279" t="str">
        <f t="shared" ref="K1279:K1342" si="25">IF(J1279&lt;=30,"0-30",IF(J1279&lt;=90,"31-90",IF(J1279&lt;=120,"91-120",IF(J1279&lt;=180,"121-180",IF(J1279&lt;=270,"181-270",IF(J1279&lt;=360,"271-360","&gt;360"))))))</f>
        <v>&gt;360</v>
      </c>
      <c r="L1279" s="11">
        <v>46023</v>
      </c>
      <c r="M1279" s="23">
        <f>YEAR(Таблица1[[#This Row],[Дата отчета]])</f>
        <v>2026</v>
      </c>
    </row>
    <row r="1280" spans="1:13" x14ac:dyDescent="0.25">
      <c r="A1280" t="s">
        <v>12</v>
      </c>
      <c r="B1280" t="s">
        <v>478</v>
      </c>
      <c r="C1280" t="s">
        <v>479</v>
      </c>
      <c r="D1280" t="s">
        <v>480</v>
      </c>
      <c r="E1280" t="s">
        <v>75</v>
      </c>
      <c r="F1280" s="20">
        <v>6293600</v>
      </c>
      <c r="I1280" s="11">
        <f t="shared" si="23"/>
        <v>46016</v>
      </c>
      <c r="J1280" s="12">
        <f t="shared" si="24"/>
        <v>7</v>
      </c>
      <c r="K1280" t="str">
        <f t="shared" si="25"/>
        <v>0-30</v>
      </c>
      <c r="L1280" s="11">
        <v>46023</v>
      </c>
      <c r="M1280" s="23">
        <f>YEAR(Таблица1[[#This Row],[Дата отчета]])</f>
        <v>2026</v>
      </c>
    </row>
    <row r="1281" spans="1:14" x14ac:dyDescent="0.25">
      <c r="A1281" t="s">
        <v>12</v>
      </c>
      <c r="B1281" t="s">
        <v>1223</v>
      </c>
      <c r="C1281" t="s">
        <v>1231</v>
      </c>
      <c r="D1281" t="s">
        <v>1246</v>
      </c>
      <c r="E1281" t="s">
        <v>1167</v>
      </c>
      <c r="F1281" s="20">
        <v>14000</v>
      </c>
      <c r="I1281" s="11">
        <f t="shared" si="23"/>
        <v>45908</v>
      </c>
      <c r="J1281" s="12">
        <f t="shared" si="24"/>
        <v>115</v>
      </c>
      <c r="K1281" t="str">
        <f t="shared" si="25"/>
        <v>91-120</v>
      </c>
      <c r="L1281" s="11">
        <v>46023</v>
      </c>
      <c r="M1281" s="23">
        <f>YEAR(Таблица1[[#This Row],[Дата отчета]])</f>
        <v>2026</v>
      </c>
    </row>
    <row r="1282" spans="1:14" x14ac:dyDescent="0.25">
      <c r="A1282" t="s">
        <v>12</v>
      </c>
      <c r="B1282" t="s">
        <v>481</v>
      </c>
      <c r="C1282" t="s">
        <v>482</v>
      </c>
      <c r="D1282" t="s">
        <v>483</v>
      </c>
      <c r="E1282" t="s">
        <v>70</v>
      </c>
      <c r="F1282" s="20">
        <v>0.02</v>
      </c>
      <c r="I1282" s="11">
        <f t="shared" si="23"/>
        <v>45979</v>
      </c>
      <c r="J1282" s="12">
        <f t="shared" si="24"/>
        <v>44</v>
      </c>
      <c r="K1282" t="str">
        <f t="shared" si="25"/>
        <v>31-90</v>
      </c>
      <c r="L1282" s="11">
        <v>46023</v>
      </c>
      <c r="M1282" s="23">
        <f>YEAR(Таблица1[[#This Row],[Дата отчета]])</f>
        <v>2026</v>
      </c>
    </row>
    <row r="1283" spans="1:14" x14ac:dyDescent="0.25">
      <c r="A1283" t="s">
        <v>12</v>
      </c>
      <c r="B1283" t="s">
        <v>481</v>
      </c>
      <c r="C1283" t="s">
        <v>484</v>
      </c>
      <c r="D1283" t="s">
        <v>485</v>
      </c>
      <c r="E1283" t="s">
        <v>486</v>
      </c>
      <c r="F1283" s="20">
        <v>0.01</v>
      </c>
      <c r="I1283" s="11">
        <f t="shared" si="23"/>
        <v>45848</v>
      </c>
      <c r="J1283" s="12">
        <f t="shared" si="24"/>
        <v>175</v>
      </c>
      <c r="K1283" t="str">
        <f t="shared" si="25"/>
        <v>121-180</v>
      </c>
      <c r="L1283" s="11">
        <v>46023</v>
      </c>
      <c r="M1283" s="23">
        <f>YEAR(Таблица1[[#This Row],[Дата отчета]])</f>
        <v>2026</v>
      </c>
    </row>
    <row r="1284" spans="1:14" x14ac:dyDescent="0.25">
      <c r="A1284" t="s">
        <v>12</v>
      </c>
      <c r="B1284" t="s">
        <v>487</v>
      </c>
      <c r="C1284" t="s">
        <v>488</v>
      </c>
      <c r="D1284" t="s">
        <v>489</v>
      </c>
      <c r="E1284" t="s">
        <v>490</v>
      </c>
      <c r="F1284" s="20">
        <v>299500</v>
      </c>
      <c r="I1284" s="11">
        <f t="shared" si="23"/>
        <v>45631</v>
      </c>
      <c r="J1284" s="12">
        <f t="shared" si="24"/>
        <v>392</v>
      </c>
      <c r="K1284" t="str">
        <f t="shared" si="25"/>
        <v>&gt;360</v>
      </c>
      <c r="L1284" s="11">
        <v>46023</v>
      </c>
      <c r="M1284" s="23">
        <f>YEAR(Таблица1[[#This Row],[Дата отчета]])</f>
        <v>2026</v>
      </c>
      <c r="N1284" s="7" t="s">
        <v>4554</v>
      </c>
    </row>
    <row r="1285" spans="1:14" x14ac:dyDescent="0.25">
      <c r="A1285" t="s">
        <v>12</v>
      </c>
      <c r="B1285" t="s">
        <v>494</v>
      </c>
      <c r="C1285" t="s">
        <v>495</v>
      </c>
      <c r="D1285" t="s">
        <v>496</v>
      </c>
      <c r="E1285" t="s">
        <v>497</v>
      </c>
      <c r="F1285" s="20">
        <v>23544</v>
      </c>
      <c r="I1285" s="11">
        <f t="shared" si="23"/>
        <v>45875</v>
      </c>
      <c r="J1285" s="12">
        <f t="shared" si="24"/>
        <v>148</v>
      </c>
      <c r="K1285" t="str">
        <f t="shared" si="25"/>
        <v>121-180</v>
      </c>
      <c r="L1285" s="11">
        <v>46023</v>
      </c>
      <c r="M1285" s="23">
        <f>YEAR(Таблица1[[#This Row],[Дата отчета]])</f>
        <v>2026</v>
      </c>
    </row>
    <row r="1286" spans="1:14" x14ac:dyDescent="0.25">
      <c r="A1286" t="s">
        <v>12</v>
      </c>
      <c r="B1286" t="s">
        <v>498</v>
      </c>
      <c r="C1286" t="s">
        <v>499</v>
      </c>
      <c r="D1286" t="s">
        <v>500</v>
      </c>
      <c r="E1286" t="s">
        <v>501</v>
      </c>
      <c r="F1286" s="20">
        <v>28000</v>
      </c>
      <c r="I1286" s="11">
        <f t="shared" si="23"/>
        <v>45940</v>
      </c>
      <c r="J1286" s="12">
        <f t="shared" si="24"/>
        <v>83</v>
      </c>
      <c r="K1286" t="str">
        <f t="shared" si="25"/>
        <v>31-90</v>
      </c>
      <c r="L1286" s="11">
        <v>46023</v>
      </c>
      <c r="M1286" s="23">
        <f>YEAR(Таблица1[[#This Row],[Дата отчета]])</f>
        <v>2026</v>
      </c>
    </row>
    <row r="1287" spans="1:14" x14ac:dyDescent="0.25">
      <c r="A1287" t="s">
        <v>12</v>
      </c>
      <c r="B1287" t="s">
        <v>502</v>
      </c>
      <c r="C1287" t="s">
        <v>503</v>
      </c>
      <c r="D1287" t="s">
        <v>504</v>
      </c>
      <c r="E1287" t="s">
        <v>505</v>
      </c>
      <c r="F1287" s="20">
        <v>1334.4</v>
      </c>
      <c r="I1287" s="11">
        <f t="shared" si="23"/>
        <v>45587</v>
      </c>
      <c r="J1287" s="12">
        <f t="shared" si="24"/>
        <v>436</v>
      </c>
      <c r="K1287" t="str">
        <f t="shared" si="25"/>
        <v>&gt;360</v>
      </c>
      <c r="L1287" s="11">
        <v>46023</v>
      </c>
      <c r="M1287" s="23">
        <f>YEAR(Таблица1[[#This Row],[Дата отчета]])</f>
        <v>2026</v>
      </c>
      <c r="N1287" s="7" t="s">
        <v>4538</v>
      </c>
    </row>
    <row r="1288" spans="1:14" x14ac:dyDescent="0.25">
      <c r="A1288" t="s">
        <v>12</v>
      </c>
      <c r="B1288" t="s">
        <v>502</v>
      </c>
      <c r="C1288" t="s">
        <v>506</v>
      </c>
      <c r="D1288" t="s">
        <v>507</v>
      </c>
      <c r="E1288" t="s">
        <v>508</v>
      </c>
      <c r="F1288" s="20">
        <v>6990</v>
      </c>
      <c r="I1288" s="11">
        <f t="shared" si="23"/>
        <v>45593</v>
      </c>
      <c r="J1288" s="12">
        <f t="shared" si="24"/>
        <v>430</v>
      </c>
      <c r="K1288" t="str">
        <f t="shared" si="25"/>
        <v>&gt;360</v>
      </c>
      <c r="L1288" s="11">
        <v>46023</v>
      </c>
      <c r="M1288" s="23">
        <f>YEAR(Таблица1[[#This Row],[Дата отчета]])</f>
        <v>2026</v>
      </c>
      <c r="N1288" s="7" t="s">
        <v>4538</v>
      </c>
    </row>
    <row r="1289" spans="1:14" x14ac:dyDescent="0.25">
      <c r="A1289" t="s">
        <v>12</v>
      </c>
      <c r="B1289" t="s">
        <v>509</v>
      </c>
      <c r="C1289" t="s">
        <v>510</v>
      </c>
      <c r="D1289" t="s">
        <v>511</v>
      </c>
      <c r="E1289" t="s">
        <v>70</v>
      </c>
      <c r="F1289" s="20">
        <v>300000</v>
      </c>
      <c r="I1289" s="11">
        <f t="shared" si="23"/>
        <v>45979</v>
      </c>
      <c r="J1289" s="12">
        <f t="shared" si="24"/>
        <v>44</v>
      </c>
      <c r="K1289" t="str">
        <f t="shared" si="25"/>
        <v>31-90</v>
      </c>
      <c r="L1289" s="11">
        <v>46023</v>
      </c>
      <c r="M1289" s="23">
        <f>YEAR(Таблица1[[#This Row],[Дата отчета]])</f>
        <v>2026</v>
      </c>
    </row>
    <row r="1290" spans="1:14" x14ac:dyDescent="0.25">
      <c r="A1290" t="s">
        <v>12</v>
      </c>
      <c r="B1290" t="s">
        <v>512</v>
      </c>
      <c r="C1290" t="s">
        <v>513</v>
      </c>
      <c r="D1290" t="s">
        <v>514</v>
      </c>
      <c r="E1290" t="s">
        <v>183</v>
      </c>
      <c r="F1290" s="20">
        <v>24500</v>
      </c>
      <c r="I1290" s="11">
        <f t="shared" si="23"/>
        <v>45817</v>
      </c>
      <c r="J1290" s="12">
        <f t="shared" si="24"/>
        <v>206</v>
      </c>
      <c r="K1290" t="str">
        <f t="shared" si="25"/>
        <v>181-270</v>
      </c>
      <c r="L1290" s="11">
        <v>46023</v>
      </c>
      <c r="M1290" s="23">
        <f>YEAR(Таблица1[[#This Row],[Дата отчета]])</f>
        <v>2026</v>
      </c>
    </row>
    <row r="1291" spans="1:14" x14ac:dyDescent="0.25">
      <c r="A1291" t="s">
        <v>12</v>
      </c>
      <c r="B1291" t="s">
        <v>512</v>
      </c>
      <c r="C1291" t="s">
        <v>515</v>
      </c>
      <c r="D1291" t="s">
        <v>516</v>
      </c>
      <c r="E1291" t="s">
        <v>517</v>
      </c>
      <c r="F1291" s="20">
        <v>58485</v>
      </c>
      <c r="I1291" s="11">
        <f t="shared" si="23"/>
        <v>45797</v>
      </c>
      <c r="J1291" s="12">
        <f t="shared" si="24"/>
        <v>226</v>
      </c>
      <c r="K1291" t="str">
        <f t="shared" si="25"/>
        <v>181-270</v>
      </c>
      <c r="L1291" s="11">
        <v>46023</v>
      </c>
      <c r="M1291" s="23">
        <f>YEAR(Таблица1[[#This Row],[Дата отчета]])</f>
        <v>2026</v>
      </c>
    </row>
    <row r="1292" spans="1:14" x14ac:dyDescent="0.25">
      <c r="A1292" t="s">
        <v>12</v>
      </c>
      <c r="B1292" t="s">
        <v>512</v>
      </c>
      <c r="C1292" t="s">
        <v>518</v>
      </c>
      <c r="D1292" t="s">
        <v>519</v>
      </c>
      <c r="E1292" t="s">
        <v>520</v>
      </c>
      <c r="F1292" s="20">
        <v>2690</v>
      </c>
      <c r="I1292" s="11">
        <f t="shared" si="23"/>
        <v>45811</v>
      </c>
      <c r="J1292" s="12">
        <f t="shared" si="24"/>
        <v>212</v>
      </c>
      <c r="K1292" t="str">
        <f t="shared" si="25"/>
        <v>181-270</v>
      </c>
      <c r="L1292" s="11">
        <v>46023</v>
      </c>
      <c r="M1292" s="23">
        <f>YEAR(Таблица1[[#This Row],[Дата отчета]])</f>
        <v>2026</v>
      </c>
    </row>
    <row r="1293" spans="1:14" x14ac:dyDescent="0.25">
      <c r="A1293" t="s">
        <v>12</v>
      </c>
      <c r="B1293" t="s">
        <v>512</v>
      </c>
      <c r="C1293" t="s">
        <v>521</v>
      </c>
      <c r="D1293" t="s">
        <v>522</v>
      </c>
      <c r="E1293" t="s">
        <v>83</v>
      </c>
      <c r="F1293" s="20">
        <v>16020</v>
      </c>
      <c r="I1293" s="11">
        <f t="shared" si="23"/>
        <v>45852</v>
      </c>
      <c r="J1293" s="12">
        <f t="shared" si="24"/>
        <v>171</v>
      </c>
      <c r="K1293" t="str">
        <f t="shared" si="25"/>
        <v>121-180</v>
      </c>
      <c r="L1293" s="11">
        <v>46023</v>
      </c>
      <c r="M1293" s="23">
        <f>YEAR(Таблица1[[#This Row],[Дата отчета]])</f>
        <v>2026</v>
      </c>
    </row>
    <row r="1294" spans="1:14" x14ac:dyDescent="0.25">
      <c r="A1294" t="s">
        <v>12</v>
      </c>
      <c r="B1294" t="s">
        <v>512</v>
      </c>
      <c r="C1294" t="s">
        <v>523</v>
      </c>
      <c r="D1294" t="s">
        <v>524</v>
      </c>
      <c r="E1294" t="s">
        <v>525</v>
      </c>
      <c r="F1294" s="20">
        <v>29748</v>
      </c>
      <c r="I1294" s="11">
        <f t="shared" si="23"/>
        <v>45954</v>
      </c>
      <c r="J1294" s="12">
        <f t="shared" si="24"/>
        <v>69</v>
      </c>
      <c r="K1294" t="str">
        <f t="shared" si="25"/>
        <v>31-90</v>
      </c>
      <c r="L1294" s="11">
        <v>46023</v>
      </c>
      <c r="M1294" s="23">
        <f>YEAR(Таблица1[[#This Row],[Дата отчета]])</f>
        <v>2026</v>
      </c>
    </row>
    <row r="1295" spans="1:14" x14ac:dyDescent="0.25">
      <c r="A1295" t="s">
        <v>12</v>
      </c>
      <c r="B1295" t="s">
        <v>526</v>
      </c>
      <c r="C1295" t="s">
        <v>269</v>
      </c>
      <c r="D1295" t="s">
        <v>1247</v>
      </c>
      <c r="E1295" t="s">
        <v>652</v>
      </c>
      <c r="F1295" s="20">
        <v>454565.3</v>
      </c>
      <c r="I1295" s="11">
        <f t="shared" si="23"/>
        <v>45971</v>
      </c>
      <c r="J1295" s="12">
        <f t="shared" si="24"/>
        <v>52</v>
      </c>
      <c r="K1295" t="str">
        <f t="shared" si="25"/>
        <v>31-90</v>
      </c>
      <c r="L1295" s="11">
        <v>46023</v>
      </c>
      <c r="M1295" s="23">
        <f>YEAR(Таблица1[[#This Row],[Дата отчета]])</f>
        <v>2026</v>
      </c>
    </row>
    <row r="1296" spans="1:14" x14ac:dyDescent="0.25">
      <c r="A1296" t="s">
        <v>12</v>
      </c>
      <c r="B1296" t="s">
        <v>526</v>
      </c>
      <c r="C1296" t="s">
        <v>269</v>
      </c>
      <c r="D1296" t="s">
        <v>527</v>
      </c>
      <c r="E1296" t="s">
        <v>528</v>
      </c>
      <c r="F1296" s="20">
        <v>4424160</v>
      </c>
      <c r="I1296" s="11">
        <f t="shared" ref="I1296:I1359" si="26">E1296*1</f>
        <v>45985</v>
      </c>
      <c r="J1296" s="12">
        <f t="shared" ref="J1296:J1359" si="27">L1296-I1296</f>
        <v>38</v>
      </c>
      <c r="K1296" t="str">
        <f t="shared" si="25"/>
        <v>31-90</v>
      </c>
      <c r="L1296" s="11">
        <v>46023</v>
      </c>
      <c r="M1296" s="23">
        <f>YEAR(Таблица1[[#This Row],[Дата отчета]])</f>
        <v>2026</v>
      </c>
    </row>
    <row r="1297" spans="1:14" x14ac:dyDescent="0.25">
      <c r="A1297" t="s">
        <v>12</v>
      </c>
      <c r="B1297" t="s">
        <v>529</v>
      </c>
      <c r="C1297" t="s">
        <v>530</v>
      </c>
      <c r="D1297" t="s">
        <v>531</v>
      </c>
      <c r="E1297" t="s">
        <v>532</v>
      </c>
      <c r="F1297" s="20">
        <v>5900</v>
      </c>
      <c r="I1297" s="11">
        <f t="shared" si="26"/>
        <v>45813</v>
      </c>
      <c r="J1297" s="12">
        <f t="shared" si="27"/>
        <v>210</v>
      </c>
      <c r="K1297" t="str">
        <f t="shared" si="25"/>
        <v>181-270</v>
      </c>
      <c r="L1297" s="11">
        <v>46023</v>
      </c>
      <c r="M1297" s="23">
        <f>YEAR(Таблица1[[#This Row],[Дата отчета]])</f>
        <v>2026</v>
      </c>
    </row>
    <row r="1298" spans="1:14" x14ac:dyDescent="0.25">
      <c r="A1298" t="s">
        <v>12</v>
      </c>
      <c r="B1298" t="s">
        <v>529</v>
      </c>
      <c r="C1298" t="s">
        <v>533</v>
      </c>
      <c r="D1298" t="s">
        <v>534</v>
      </c>
      <c r="E1298" t="s">
        <v>535</v>
      </c>
      <c r="F1298" s="20">
        <v>76000</v>
      </c>
      <c r="I1298" s="11">
        <f t="shared" si="26"/>
        <v>45796</v>
      </c>
      <c r="J1298" s="12">
        <f t="shared" si="27"/>
        <v>227</v>
      </c>
      <c r="K1298" t="str">
        <f t="shared" si="25"/>
        <v>181-270</v>
      </c>
      <c r="L1298" s="11">
        <v>46023</v>
      </c>
      <c r="M1298" s="23">
        <f>YEAR(Таблица1[[#This Row],[Дата отчета]])</f>
        <v>2026</v>
      </c>
    </row>
    <row r="1299" spans="1:14" x14ac:dyDescent="0.25">
      <c r="A1299" t="s">
        <v>12</v>
      </c>
      <c r="B1299" t="s">
        <v>536</v>
      </c>
      <c r="C1299" t="s">
        <v>537</v>
      </c>
      <c r="D1299" t="s">
        <v>538</v>
      </c>
      <c r="E1299" t="s">
        <v>91</v>
      </c>
      <c r="F1299" s="20">
        <v>9000</v>
      </c>
      <c r="I1299" s="11">
        <f t="shared" si="26"/>
        <v>45723</v>
      </c>
      <c r="J1299" s="12">
        <f t="shared" si="27"/>
        <v>300</v>
      </c>
      <c r="K1299" t="str">
        <f t="shared" si="25"/>
        <v>271-360</v>
      </c>
      <c r="L1299" s="11">
        <v>46023</v>
      </c>
      <c r="M1299" s="23">
        <f>YEAR(Таблица1[[#This Row],[Дата отчета]])</f>
        <v>2026</v>
      </c>
      <c r="N1299" s="2" t="s">
        <v>807</v>
      </c>
    </row>
    <row r="1300" spans="1:14" x14ac:dyDescent="0.25">
      <c r="A1300" t="s">
        <v>12</v>
      </c>
      <c r="B1300" t="s">
        <v>539</v>
      </c>
      <c r="C1300" t="s">
        <v>540</v>
      </c>
      <c r="D1300" t="s">
        <v>541</v>
      </c>
      <c r="E1300" t="s">
        <v>87</v>
      </c>
      <c r="F1300" s="20">
        <v>23320</v>
      </c>
      <c r="I1300" s="11">
        <f t="shared" si="26"/>
        <v>46020</v>
      </c>
      <c r="J1300" s="12">
        <f t="shared" si="27"/>
        <v>3</v>
      </c>
      <c r="K1300" t="str">
        <f t="shared" si="25"/>
        <v>0-30</v>
      </c>
      <c r="L1300" s="11">
        <v>46023</v>
      </c>
      <c r="M1300" s="23">
        <f>YEAR(Таблица1[[#This Row],[Дата отчета]])</f>
        <v>2026</v>
      </c>
    </row>
    <row r="1301" spans="1:14" x14ac:dyDescent="0.25">
      <c r="A1301" t="s">
        <v>12</v>
      </c>
      <c r="B1301" t="s">
        <v>539</v>
      </c>
      <c r="C1301" t="s">
        <v>542</v>
      </c>
      <c r="D1301" t="s">
        <v>543</v>
      </c>
      <c r="E1301" t="s">
        <v>392</v>
      </c>
      <c r="F1301" s="20">
        <v>427500</v>
      </c>
      <c r="I1301" s="11">
        <f t="shared" si="26"/>
        <v>45952</v>
      </c>
      <c r="J1301" s="12">
        <f t="shared" si="27"/>
        <v>71</v>
      </c>
      <c r="K1301" t="str">
        <f t="shared" si="25"/>
        <v>31-90</v>
      </c>
      <c r="L1301" s="11">
        <v>46023</v>
      </c>
      <c r="M1301" s="23">
        <f>YEAR(Таблица1[[#This Row],[Дата отчета]])</f>
        <v>2026</v>
      </c>
    </row>
    <row r="1302" spans="1:14" x14ac:dyDescent="0.25">
      <c r="A1302" t="s">
        <v>12</v>
      </c>
      <c r="B1302" t="s">
        <v>544</v>
      </c>
      <c r="C1302" t="s">
        <v>545</v>
      </c>
      <c r="D1302" t="s">
        <v>546</v>
      </c>
      <c r="E1302" t="s">
        <v>528</v>
      </c>
      <c r="F1302" s="20">
        <v>5088000</v>
      </c>
      <c r="I1302" s="11">
        <f t="shared" si="26"/>
        <v>45985</v>
      </c>
      <c r="J1302" s="12">
        <f t="shared" si="27"/>
        <v>38</v>
      </c>
      <c r="K1302" t="str">
        <f t="shared" si="25"/>
        <v>31-90</v>
      </c>
      <c r="L1302" s="11">
        <v>46023</v>
      </c>
      <c r="M1302" s="23">
        <f>YEAR(Таблица1[[#This Row],[Дата отчета]])</f>
        <v>2026</v>
      </c>
    </row>
    <row r="1303" spans="1:14" x14ac:dyDescent="0.25">
      <c r="A1303" t="s">
        <v>12</v>
      </c>
      <c r="B1303" t="s">
        <v>544</v>
      </c>
      <c r="C1303" t="s">
        <v>547</v>
      </c>
      <c r="D1303" t="s">
        <v>548</v>
      </c>
      <c r="E1303" t="s">
        <v>528</v>
      </c>
      <c r="F1303" s="20">
        <v>4563000</v>
      </c>
      <c r="I1303" s="11">
        <f t="shared" si="26"/>
        <v>45985</v>
      </c>
      <c r="J1303" s="12">
        <f t="shared" si="27"/>
        <v>38</v>
      </c>
      <c r="K1303" t="str">
        <f t="shared" si="25"/>
        <v>31-90</v>
      </c>
      <c r="L1303" s="11">
        <v>46023</v>
      </c>
      <c r="M1303" s="23">
        <f>YEAR(Таблица1[[#This Row],[Дата отчета]])</f>
        <v>2026</v>
      </c>
    </row>
    <row r="1304" spans="1:14" x14ac:dyDescent="0.25">
      <c r="A1304" t="s">
        <v>12</v>
      </c>
      <c r="B1304" t="s">
        <v>544</v>
      </c>
      <c r="C1304" t="s">
        <v>549</v>
      </c>
      <c r="D1304" t="s">
        <v>550</v>
      </c>
      <c r="E1304" t="s">
        <v>528</v>
      </c>
      <c r="F1304" s="20">
        <v>492000</v>
      </c>
      <c r="I1304" s="11">
        <f t="shared" si="26"/>
        <v>45985</v>
      </c>
      <c r="J1304" s="12">
        <f t="shared" si="27"/>
        <v>38</v>
      </c>
      <c r="K1304" t="str">
        <f t="shared" si="25"/>
        <v>31-90</v>
      </c>
      <c r="L1304" s="11">
        <v>46023</v>
      </c>
      <c r="M1304" s="23">
        <f>YEAR(Таблица1[[#This Row],[Дата отчета]])</f>
        <v>2026</v>
      </c>
    </row>
    <row r="1305" spans="1:14" x14ac:dyDescent="0.25">
      <c r="A1305" t="s">
        <v>12</v>
      </c>
      <c r="B1305" t="s">
        <v>544</v>
      </c>
      <c r="C1305" t="s">
        <v>551</v>
      </c>
      <c r="D1305" t="s">
        <v>552</v>
      </c>
      <c r="E1305" t="s">
        <v>528</v>
      </c>
      <c r="F1305" s="20">
        <v>8808000</v>
      </c>
      <c r="I1305" s="11">
        <f t="shared" si="26"/>
        <v>45985</v>
      </c>
      <c r="J1305" s="12">
        <f t="shared" si="27"/>
        <v>38</v>
      </c>
      <c r="K1305" t="str">
        <f t="shared" si="25"/>
        <v>31-90</v>
      </c>
      <c r="L1305" s="11">
        <v>46023</v>
      </c>
      <c r="M1305" s="23">
        <f>YEAR(Таблица1[[#This Row],[Дата отчета]])</f>
        <v>2026</v>
      </c>
    </row>
    <row r="1306" spans="1:14" x14ac:dyDescent="0.25">
      <c r="A1306" t="s">
        <v>12</v>
      </c>
      <c r="B1306" t="s">
        <v>1180</v>
      </c>
      <c r="C1306" t="s">
        <v>1181</v>
      </c>
      <c r="D1306" t="s">
        <v>1182</v>
      </c>
      <c r="E1306" t="s">
        <v>422</v>
      </c>
      <c r="F1306" s="20">
        <v>19446.7</v>
      </c>
      <c r="I1306" s="11">
        <f t="shared" si="26"/>
        <v>45972</v>
      </c>
      <c r="J1306" s="12">
        <f t="shared" si="27"/>
        <v>51</v>
      </c>
      <c r="K1306" t="str">
        <f t="shared" si="25"/>
        <v>31-90</v>
      </c>
      <c r="L1306" s="11">
        <v>46023</v>
      </c>
      <c r="M1306" s="23">
        <f>YEAR(Таблица1[[#This Row],[Дата отчета]])</f>
        <v>2026</v>
      </c>
    </row>
    <row r="1307" spans="1:14" x14ac:dyDescent="0.25">
      <c r="A1307" t="s">
        <v>12</v>
      </c>
      <c r="B1307" t="s">
        <v>557</v>
      </c>
      <c r="C1307" t="s">
        <v>558</v>
      </c>
      <c r="D1307" t="s">
        <v>559</v>
      </c>
      <c r="E1307" t="s">
        <v>560</v>
      </c>
      <c r="F1307" s="20">
        <v>42563.23</v>
      </c>
      <c r="I1307" s="11">
        <f t="shared" si="26"/>
        <v>45805</v>
      </c>
      <c r="J1307" s="12">
        <f t="shared" si="27"/>
        <v>218</v>
      </c>
      <c r="K1307" t="str">
        <f t="shared" si="25"/>
        <v>181-270</v>
      </c>
      <c r="L1307" s="11">
        <v>46023</v>
      </c>
      <c r="M1307" s="23">
        <f>YEAR(Таблица1[[#This Row],[Дата отчета]])</f>
        <v>2026</v>
      </c>
    </row>
    <row r="1308" spans="1:14" x14ac:dyDescent="0.25">
      <c r="A1308" t="s">
        <v>12</v>
      </c>
      <c r="B1308" t="s">
        <v>561</v>
      </c>
      <c r="C1308" t="s">
        <v>562</v>
      </c>
      <c r="D1308" t="s">
        <v>563</v>
      </c>
      <c r="E1308" t="s">
        <v>31</v>
      </c>
      <c r="F1308" s="20">
        <v>59150000</v>
      </c>
      <c r="I1308" s="11">
        <f t="shared" si="26"/>
        <v>46015</v>
      </c>
      <c r="J1308" s="12">
        <f t="shared" si="27"/>
        <v>8</v>
      </c>
      <c r="K1308" t="str">
        <f t="shared" si="25"/>
        <v>0-30</v>
      </c>
      <c r="L1308" s="11">
        <v>46023</v>
      </c>
      <c r="M1308" s="23">
        <f>YEAR(Таблица1[[#This Row],[Дата отчета]])</f>
        <v>2026</v>
      </c>
    </row>
    <row r="1309" spans="1:14" x14ac:dyDescent="0.25">
      <c r="A1309" t="s">
        <v>12</v>
      </c>
      <c r="B1309" t="s">
        <v>561</v>
      </c>
      <c r="C1309" t="s">
        <v>564</v>
      </c>
      <c r="D1309" t="s">
        <v>565</v>
      </c>
      <c r="E1309" t="s">
        <v>204</v>
      </c>
      <c r="F1309" s="20">
        <v>31.2</v>
      </c>
      <c r="I1309" s="11">
        <f t="shared" si="26"/>
        <v>45481</v>
      </c>
      <c r="J1309" s="12">
        <f t="shared" si="27"/>
        <v>542</v>
      </c>
      <c r="K1309" t="str">
        <f t="shared" si="25"/>
        <v>&gt;360</v>
      </c>
      <c r="L1309" s="11">
        <v>46023</v>
      </c>
      <c r="M1309" s="23">
        <f>YEAR(Таблица1[[#This Row],[Дата отчета]])</f>
        <v>2026</v>
      </c>
    </row>
    <row r="1310" spans="1:14" x14ac:dyDescent="0.25">
      <c r="A1310" t="s">
        <v>12</v>
      </c>
      <c r="B1310" t="s">
        <v>561</v>
      </c>
      <c r="C1310" t="s">
        <v>564</v>
      </c>
      <c r="D1310" t="s">
        <v>566</v>
      </c>
      <c r="E1310" t="s">
        <v>204</v>
      </c>
      <c r="F1310" s="20">
        <v>995281.85</v>
      </c>
      <c r="I1310" s="11">
        <f t="shared" si="26"/>
        <v>45481</v>
      </c>
      <c r="J1310" s="12">
        <f t="shared" si="27"/>
        <v>542</v>
      </c>
      <c r="K1310" t="str">
        <f t="shared" si="25"/>
        <v>&gt;360</v>
      </c>
      <c r="L1310" s="11">
        <v>46023</v>
      </c>
      <c r="M1310" s="23">
        <f>YEAR(Таблица1[[#This Row],[Дата отчета]])</f>
        <v>2026</v>
      </c>
    </row>
    <row r="1311" spans="1:14" x14ac:dyDescent="0.25">
      <c r="A1311" t="s">
        <v>12</v>
      </c>
      <c r="B1311" t="s">
        <v>561</v>
      </c>
      <c r="C1311" t="s">
        <v>564</v>
      </c>
      <c r="D1311" t="s">
        <v>567</v>
      </c>
      <c r="E1311" t="s">
        <v>568</v>
      </c>
      <c r="F1311" s="20">
        <v>395493.5</v>
      </c>
      <c r="I1311" s="11">
        <f t="shared" si="26"/>
        <v>45527</v>
      </c>
      <c r="J1311" s="12">
        <f t="shared" si="27"/>
        <v>496</v>
      </c>
      <c r="K1311" t="str">
        <f t="shared" si="25"/>
        <v>&gt;360</v>
      </c>
      <c r="L1311" s="11">
        <v>46023</v>
      </c>
      <c r="M1311" s="23">
        <f>YEAR(Таблица1[[#This Row],[Дата отчета]])</f>
        <v>2026</v>
      </c>
    </row>
    <row r="1312" spans="1:14" x14ac:dyDescent="0.25">
      <c r="A1312" t="s">
        <v>12</v>
      </c>
      <c r="B1312" t="s">
        <v>561</v>
      </c>
      <c r="C1312" t="s">
        <v>569</v>
      </c>
      <c r="D1312" t="s">
        <v>570</v>
      </c>
      <c r="E1312" t="s">
        <v>571</v>
      </c>
      <c r="F1312" s="20">
        <v>969720.57</v>
      </c>
      <c r="I1312" s="11">
        <f t="shared" si="26"/>
        <v>45951</v>
      </c>
      <c r="J1312" s="12">
        <f t="shared" si="27"/>
        <v>72</v>
      </c>
      <c r="K1312" t="str">
        <f t="shared" si="25"/>
        <v>31-90</v>
      </c>
      <c r="L1312" s="11">
        <v>46023</v>
      </c>
      <c r="M1312" s="23">
        <f>YEAR(Таблица1[[#This Row],[Дата отчета]])</f>
        <v>2026</v>
      </c>
    </row>
    <row r="1313" spans="1:13" x14ac:dyDescent="0.25">
      <c r="A1313" t="s">
        <v>12</v>
      </c>
      <c r="B1313" t="s">
        <v>561</v>
      </c>
      <c r="C1313" t="s">
        <v>569</v>
      </c>
      <c r="D1313" t="s">
        <v>572</v>
      </c>
      <c r="E1313" t="s">
        <v>525</v>
      </c>
      <c r="F1313" s="20">
        <v>389696.13</v>
      </c>
      <c r="I1313" s="11">
        <f t="shared" si="26"/>
        <v>45954</v>
      </c>
      <c r="J1313" s="12">
        <f t="shared" si="27"/>
        <v>69</v>
      </c>
      <c r="K1313" t="str">
        <f t="shared" si="25"/>
        <v>31-90</v>
      </c>
      <c r="L1313" s="11">
        <v>46023</v>
      </c>
      <c r="M1313" s="23">
        <f>YEAR(Таблица1[[#This Row],[Дата отчета]])</f>
        <v>2026</v>
      </c>
    </row>
    <row r="1314" spans="1:13" x14ac:dyDescent="0.25">
      <c r="A1314" t="s">
        <v>12</v>
      </c>
      <c r="B1314" t="s">
        <v>561</v>
      </c>
      <c r="C1314" t="s">
        <v>569</v>
      </c>
      <c r="D1314" t="s">
        <v>573</v>
      </c>
      <c r="E1314" t="s">
        <v>525</v>
      </c>
      <c r="F1314" s="20">
        <v>1002946.15</v>
      </c>
      <c r="I1314" s="11">
        <f t="shared" si="26"/>
        <v>45954</v>
      </c>
      <c r="J1314" s="12">
        <f t="shared" si="27"/>
        <v>69</v>
      </c>
      <c r="K1314" t="str">
        <f t="shared" si="25"/>
        <v>31-90</v>
      </c>
      <c r="L1314" s="11">
        <v>46023</v>
      </c>
      <c r="M1314" s="23">
        <f>YEAR(Таблица1[[#This Row],[Дата отчета]])</f>
        <v>2026</v>
      </c>
    </row>
    <row r="1315" spans="1:13" x14ac:dyDescent="0.25">
      <c r="A1315" t="s">
        <v>12</v>
      </c>
      <c r="B1315" t="s">
        <v>561</v>
      </c>
      <c r="C1315" t="s">
        <v>583</v>
      </c>
      <c r="D1315" t="s">
        <v>584</v>
      </c>
      <c r="E1315" t="s">
        <v>106</v>
      </c>
      <c r="F1315" s="20">
        <v>3536597.4</v>
      </c>
      <c r="I1315" s="11">
        <f t="shared" si="26"/>
        <v>46017</v>
      </c>
      <c r="J1315" s="12">
        <f t="shared" si="27"/>
        <v>6</v>
      </c>
      <c r="K1315" t="str">
        <f t="shared" si="25"/>
        <v>0-30</v>
      </c>
      <c r="L1315" s="11">
        <v>46023</v>
      </c>
      <c r="M1315" s="23">
        <f>YEAR(Таблица1[[#This Row],[Дата отчета]])</f>
        <v>2026</v>
      </c>
    </row>
    <row r="1316" spans="1:13" x14ac:dyDescent="0.25">
      <c r="A1316" t="s">
        <v>12</v>
      </c>
      <c r="B1316" t="s">
        <v>561</v>
      </c>
      <c r="C1316" t="s">
        <v>585</v>
      </c>
      <c r="D1316" t="s">
        <v>586</v>
      </c>
      <c r="E1316" t="s">
        <v>106</v>
      </c>
      <c r="F1316" s="20">
        <v>1857916.08</v>
      </c>
      <c r="I1316" s="11">
        <f t="shared" si="26"/>
        <v>46017</v>
      </c>
      <c r="J1316" s="12">
        <f t="shared" si="27"/>
        <v>6</v>
      </c>
      <c r="K1316" t="str">
        <f t="shared" si="25"/>
        <v>0-30</v>
      </c>
      <c r="L1316" s="11">
        <v>46023</v>
      </c>
      <c r="M1316" s="23">
        <f>YEAR(Таблица1[[#This Row],[Дата отчета]])</f>
        <v>2026</v>
      </c>
    </row>
    <row r="1317" spans="1:13" x14ac:dyDescent="0.25">
      <c r="A1317" t="s">
        <v>12</v>
      </c>
      <c r="B1317" t="s">
        <v>561</v>
      </c>
      <c r="C1317" t="s">
        <v>587</v>
      </c>
      <c r="D1317" t="s">
        <v>588</v>
      </c>
      <c r="E1317" t="s">
        <v>408</v>
      </c>
      <c r="F1317" s="20">
        <v>4806964.25</v>
      </c>
      <c r="I1317" s="11">
        <f t="shared" si="26"/>
        <v>46010</v>
      </c>
      <c r="J1317" s="12">
        <f t="shared" si="27"/>
        <v>13</v>
      </c>
      <c r="K1317" t="str">
        <f t="shared" si="25"/>
        <v>0-30</v>
      </c>
      <c r="L1317" s="11">
        <v>46023</v>
      </c>
      <c r="M1317" s="23">
        <f>YEAR(Таблица1[[#This Row],[Дата отчета]])</f>
        <v>2026</v>
      </c>
    </row>
    <row r="1318" spans="1:13" x14ac:dyDescent="0.25">
      <c r="A1318" t="s">
        <v>12</v>
      </c>
      <c r="B1318" t="s">
        <v>589</v>
      </c>
      <c r="C1318" t="s">
        <v>590</v>
      </c>
      <c r="D1318" t="s">
        <v>1248</v>
      </c>
      <c r="E1318" t="s">
        <v>606</v>
      </c>
      <c r="F1318" s="20">
        <v>460.72</v>
      </c>
      <c r="I1318" s="11">
        <f t="shared" si="26"/>
        <v>45873</v>
      </c>
      <c r="J1318" s="12">
        <f t="shared" si="27"/>
        <v>150</v>
      </c>
      <c r="K1318" t="str">
        <f t="shared" si="25"/>
        <v>121-180</v>
      </c>
      <c r="L1318" s="11">
        <v>46023</v>
      </c>
      <c r="M1318" s="23">
        <f>YEAR(Таблица1[[#This Row],[Дата отчета]])</f>
        <v>2026</v>
      </c>
    </row>
    <row r="1319" spans="1:13" x14ac:dyDescent="0.25">
      <c r="A1319" t="s">
        <v>12</v>
      </c>
      <c r="B1319" t="s">
        <v>589</v>
      </c>
      <c r="C1319" t="s">
        <v>590</v>
      </c>
      <c r="D1319" t="s">
        <v>591</v>
      </c>
      <c r="E1319" t="s">
        <v>592</v>
      </c>
      <c r="F1319" s="20">
        <v>1500</v>
      </c>
      <c r="I1319" s="11">
        <f t="shared" si="26"/>
        <v>45966</v>
      </c>
      <c r="J1319" s="12">
        <f t="shared" si="27"/>
        <v>57</v>
      </c>
      <c r="K1319" t="str">
        <f t="shared" si="25"/>
        <v>31-90</v>
      </c>
      <c r="L1319" s="11">
        <v>46023</v>
      </c>
      <c r="M1319" s="23">
        <f>YEAR(Таблица1[[#This Row],[Дата отчета]])</f>
        <v>2026</v>
      </c>
    </row>
    <row r="1320" spans="1:13" x14ac:dyDescent="0.25">
      <c r="A1320" t="s">
        <v>12</v>
      </c>
      <c r="B1320" t="s">
        <v>589</v>
      </c>
      <c r="C1320" t="s">
        <v>594</v>
      </c>
      <c r="D1320" t="s">
        <v>1183</v>
      </c>
      <c r="E1320" t="s">
        <v>592</v>
      </c>
      <c r="F1320" s="20">
        <v>1537.99</v>
      </c>
      <c r="I1320" s="11">
        <f t="shared" si="26"/>
        <v>45966</v>
      </c>
      <c r="J1320" s="12">
        <f t="shared" si="27"/>
        <v>57</v>
      </c>
      <c r="K1320" t="str">
        <f t="shared" si="25"/>
        <v>31-90</v>
      </c>
      <c r="L1320" s="11">
        <v>46023</v>
      </c>
      <c r="M1320" s="23">
        <f>YEAR(Таблица1[[#This Row],[Дата отчета]])</f>
        <v>2026</v>
      </c>
    </row>
    <row r="1321" spans="1:13" x14ac:dyDescent="0.25">
      <c r="A1321" t="s">
        <v>12</v>
      </c>
      <c r="B1321" t="s">
        <v>589</v>
      </c>
      <c r="C1321" t="s">
        <v>596</v>
      </c>
      <c r="D1321" t="s">
        <v>1184</v>
      </c>
      <c r="E1321" t="s">
        <v>606</v>
      </c>
      <c r="F1321" s="20">
        <v>8496.65</v>
      </c>
      <c r="I1321" s="11">
        <f t="shared" si="26"/>
        <v>45873</v>
      </c>
      <c r="J1321" s="12">
        <f t="shared" si="27"/>
        <v>150</v>
      </c>
      <c r="K1321" t="str">
        <f t="shared" si="25"/>
        <v>121-180</v>
      </c>
      <c r="L1321" s="11">
        <v>46023</v>
      </c>
      <c r="M1321" s="23">
        <f>YEAR(Таблица1[[#This Row],[Дата отчета]])</f>
        <v>2026</v>
      </c>
    </row>
    <row r="1322" spans="1:13" x14ac:dyDescent="0.25">
      <c r="A1322" t="s">
        <v>12</v>
      </c>
      <c r="B1322" t="s">
        <v>589</v>
      </c>
      <c r="C1322" t="s">
        <v>596</v>
      </c>
      <c r="D1322" t="s">
        <v>1185</v>
      </c>
      <c r="E1322" t="s">
        <v>592</v>
      </c>
      <c r="F1322" s="20">
        <v>5000</v>
      </c>
      <c r="I1322" s="11">
        <f t="shared" si="26"/>
        <v>45966</v>
      </c>
      <c r="J1322" s="12">
        <f t="shared" si="27"/>
        <v>57</v>
      </c>
      <c r="K1322" t="str">
        <f t="shared" si="25"/>
        <v>31-90</v>
      </c>
      <c r="L1322" s="11">
        <v>46023</v>
      </c>
      <c r="M1322" s="23">
        <f>YEAR(Таблица1[[#This Row],[Дата отчета]])</f>
        <v>2026</v>
      </c>
    </row>
    <row r="1323" spans="1:13" x14ac:dyDescent="0.25">
      <c r="A1323" t="s">
        <v>12</v>
      </c>
      <c r="B1323" t="s">
        <v>589</v>
      </c>
      <c r="C1323" t="s">
        <v>598</v>
      </c>
      <c r="D1323" t="s">
        <v>599</v>
      </c>
      <c r="E1323" t="s">
        <v>600</v>
      </c>
      <c r="F1323" s="20">
        <v>45.91</v>
      </c>
      <c r="I1323" s="11">
        <f t="shared" si="26"/>
        <v>43560</v>
      </c>
      <c r="J1323" s="12">
        <f t="shared" si="27"/>
        <v>2463</v>
      </c>
      <c r="K1323" t="str">
        <f t="shared" si="25"/>
        <v>&gt;360</v>
      </c>
      <c r="L1323" s="11">
        <v>46023</v>
      </c>
      <c r="M1323" s="23">
        <f>YEAR(Таблица1[[#This Row],[Дата отчета]])</f>
        <v>2026</v>
      </c>
    </row>
    <row r="1324" spans="1:13" x14ac:dyDescent="0.25">
      <c r="A1324" t="s">
        <v>12</v>
      </c>
      <c r="B1324" t="s">
        <v>589</v>
      </c>
      <c r="C1324" t="s">
        <v>601</v>
      </c>
      <c r="D1324" t="s">
        <v>602</v>
      </c>
      <c r="E1324" t="s">
        <v>592</v>
      </c>
      <c r="F1324" s="20">
        <v>4031.61</v>
      </c>
      <c r="I1324" s="11">
        <f t="shared" si="26"/>
        <v>45966</v>
      </c>
      <c r="J1324" s="12">
        <f t="shared" si="27"/>
        <v>57</v>
      </c>
      <c r="K1324" t="str">
        <f t="shared" si="25"/>
        <v>31-90</v>
      </c>
      <c r="L1324" s="11">
        <v>46023</v>
      </c>
      <c r="M1324" s="23">
        <f>YEAR(Таблица1[[#This Row],[Дата отчета]])</f>
        <v>2026</v>
      </c>
    </row>
    <row r="1325" spans="1:13" x14ac:dyDescent="0.25">
      <c r="A1325" t="s">
        <v>12</v>
      </c>
      <c r="B1325" t="s">
        <v>589</v>
      </c>
      <c r="C1325" t="s">
        <v>604</v>
      </c>
      <c r="D1325" t="s">
        <v>605</v>
      </c>
      <c r="E1325" t="s">
        <v>606</v>
      </c>
      <c r="F1325" s="20">
        <v>404.63</v>
      </c>
      <c r="I1325" s="11">
        <f t="shared" si="26"/>
        <v>45873</v>
      </c>
      <c r="J1325" s="12">
        <f t="shared" si="27"/>
        <v>150</v>
      </c>
      <c r="K1325" t="str">
        <f t="shared" si="25"/>
        <v>121-180</v>
      </c>
      <c r="L1325" s="11">
        <v>46023</v>
      </c>
      <c r="M1325" s="23">
        <f>YEAR(Таблица1[[#This Row],[Дата отчета]])</f>
        <v>2026</v>
      </c>
    </row>
    <row r="1326" spans="1:13" x14ac:dyDescent="0.25">
      <c r="A1326" t="s">
        <v>12</v>
      </c>
      <c r="B1326" t="s">
        <v>589</v>
      </c>
      <c r="C1326" t="s">
        <v>607</v>
      </c>
      <c r="D1326" t="s">
        <v>608</v>
      </c>
      <c r="E1326" t="s">
        <v>609</v>
      </c>
      <c r="F1326" s="20">
        <v>771.25</v>
      </c>
      <c r="I1326" s="11">
        <f t="shared" si="26"/>
        <v>45233</v>
      </c>
      <c r="J1326" s="12">
        <f t="shared" si="27"/>
        <v>790</v>
      </c>
      <c r="K1326" t="str">
        <f t="shared" si="25"/>
        <v>&gt;360</v>
      </c>
      <c r="L1326" s="11">
        <v>46023</v>
      </c>
      <c r="M1326" s="23">
        <f>YEAR(Таблица1[[#This Row],[Дата отчета]])</f>
        <v>2026</v>
      </c>
    </row>
    <row r="1327" spans="1:13" x14ac:dyDescent="0.25">
      <c r="A1327" t="s">
        <v>12</v>
      </c>
      <c r="B1327" t="s">
        <v>589</v>
      </c>
      <c r="C1327" t="s">
        <v>607</v>
      </c>
      <c r="D1327" t="s">
        <v>610</v>
      </c>
      <c r="E1327" t="s">
        <v>611</v>
      </c>
      <c r="F1327" s="20">
        <v>500</v>
      </c>
      <c r="I1327" s="11">
        <f t="shared" si="26"/>
        <v>45335</v>
      </c>
      <c r="J1327" s="12">
        <f t="shared" si="27"/>
        <v>688</v>
      </c>
      <c r="K1327" t="str">
        <f t="shared" si="25"/>
        <v>&gt;360</v>
      </c>
      <c r="L1327" s="11">
        <v>46023</v>
      </c>
      <c r="M1327" s="23">
        <f>YEAR(Таблица1[[#This Row],[Дата отчета]])</f>
        <v>2026</v>
      </c>
    </row>
    <row r="1328" spans="1:13" x14ac:dyDescent="0.25">
      <c r="A1328" t="s">
        <v>12</v>
      </c>
      <c r="B1328" t="s">
        <v>589</v>
      </c>
      <c r="C1328" t="s">
        <v>612</v>
      </c>
      <c r="D1328" t="s">
        <v>613</v>
      </c>
      <c r="E1328" t="s">
        <v>592</v>
      </c>
      <c r="F1328" s="20">
        <v>4344.17</v>
      </c>
      <c r="I1328" s="11">
        <f t="shared" si="26"/>
        <v>45966</v>
      </c>
      <c r="J1328" s="12">
        <f t="shared" si="27"/>
        <v>57</v>
      </c>
      <c r="K1328" t="str">
        <f t="shared" si="25"/>
        <v>31-90</v>
      </c>
      <c r="L1328" s="11">
        <v>46023</v>
      </c>
      <c r="M1328" s="23">
        <f>YEAR(Таблица1[[#This Row],[Дата отчета]])</f>
        <v>2026</v>
      </c>
    </row>
    <row r="1329" spans="1:13" x14ac:dyDescent="0.25">
      <c r="A1329" t="s">
        <v>12</v>
      </c>
      <c r="B1329" t="s">
        <v>589</v>
      </c>
      <c r="C1329" t="s">
        <v>615</v>
      </c>
      <c r="D1329" t="s">
        <v>616</v>
      </c>
      <c r="E1329" t="s">
        <v>617</v>
      </c>
      <c r="F1329" s="20">
        <v>127.6</v>
      </c>
      <c r="I1329" s="11">
        <f t="shared" si="26"/>
        <v>42468</v>
      </c>
      <c r="J1329" s="12">
        <f t="shared" si="27"/>
        <v>3555</v>
      </c>
      <c r="K1329" t="str">
        <f t="shared" si="25"/>
        <v>&gt;360</v>
      </c>
      <c r="L1329" s="11">
        <v>46023</v>
      </c>
      <c r="M1329" s="23">
        <f>YEAR(Таблица1[[#This Row],[Дата отчета]])</f>
        <v>2026</v>
      </c>
    </row>
    <row r="1330" spans="1:13" x14ac:dyDescent="0.25">
      <c r="A1330" t="s">
        <v>12</v>
      </c>
      <c r="B1330" t="s">
        <v>589</v>
      </c>
      <c r="C1330" t="s">
        <v>615</v>
      </c>
      <c r="D1330" t="s">
        <v>618</v>
      </c>
      <c r="E1330" t="s">
        <v>619</v>
      </c>
      <c r="F1330" s="20">
        <v>430</v>
      </c>
      <c r="I1330" s="11">
        <f t="shared" si="26"/>
        <v>42501</v>
      </c>
      <c r="J1330" s="12">
        <f t="shared" si="27"/>
        <v>3522</v>
      </c>
      <c r="K1330" t="str">
        <f t="shared" si="25"/>
        <v>&gt;360</v>
      </c>
      <c r="L1330" s="11">
        <v>46023</v>
      </c>
      <c r="M1330" s="23">
        <f>YEAR(Таблица1[[#This Row],[Дата отчета]])</f>
        <v>2026</v>
      </c>
    </row>
    <row r="1331" spans="1:13" x14ac:dyDescent="0.25">
      <c r="A1331" t="s">
        <v>12</v>
      </c>
      <c r="B1331" t="s">
        <v>589</v>
      </c>
      <c r="C1331" t="s">
        <v>615</v>
      </c>
      <c r="D1331" t="s">
        <v>620</v>
      </c>
      <c r="E1331" t="s">
        <v>621</v>
      </c>
      <c r="F1331" s="20">
        <v>0.01</v>
      </c>
      <c r="I1331" s="11">
        <f t="shared" si="26"/>
        <v>43817</v>
      </c>
      <c r="J1331" s="12">
        <f t="shared" si="27"/>
        <v>2206</v>
      </c>
      <c r="K1331" t="str">
        <f t="shared" si="25"/>
        <v>&gt;360</v>
      </c>
      <c r="L1331" s="11">
        <v>46023</v>
      </c>
      <c r="M1331" s="23">
        <f>YEAR(Таблица1[[#This Row],[Дата отчета]])</f>
        <v>2026</v>
      </c>
    </row>
    <row r="1332" spans="1:13" x14ac:dyDescent="0.25">
      <c r="A1332" t="s">
        <v>12</v>
      </c>
      <c r="B1332" t="s">
        <v>589</v>
      </c>
      <c r="C1332" t="s">
        <v>622</v>
      </c>
      <c r="F1332" s="20">
        <v>68.27</v>
      </c>
      <c r="I1332" s="11">
        <f t="shared" si="26"/>
        <v>0</v>
      </c>
      <c r="J1332" s="12">
        <f t="shared" si="27"/>
        <v>46023</v>
      </c>
      <c r="K1332" t="str">
        <f t="shared" si="25"/>
        <v>&gt;360</v>
      </c>
      <c r="L1332" s="11">
        <v>46023</v>
      </c>
      <c r="M1332" s="23">
        <f>YEAR(Таблица1[[#This Row],[Дата отчета]])</f>
        <v>2026</v>
      </c>
    </row>
    <row r="1333" spans="1:13" x14ac:dyDescent="0.25">
      <c r="A1333" t="s">
        <v>12</v>
      </c>
      <c r="B1333" t="s">
        <v>589</v>
      </c>
      <c r="C1333" t="s">
        <v>623</v>
      </c>
      <c r="D1333" t="s">
        <v>624</v>
      </c>
      <c r="E1333" t="s">
        <v>625</v>
      </c>
      <c r="F1333" s="20">
        <v>799.94</v>
      </c>
      <c r="I1333" s="11">
        <f t="shared" si="26"/>
        <v>42429</v>
      </c>
      <c r="J1333" s="12">
        <f t="shared" si="27"/>
        <v>3594</v>
      </c>
      <c r="K1333" t="str">
        <f t="shared" si="25"/>
        <v>&gt;360</v>
      </c>
      <c r="L1333" s="11">
        <v>46023</v>
      </c>
      <c r="M1333" s="23">
        <f>YEAR(Таблица1[[#This Row],[Дата отчета]])</f>
        <v>2026</v>
      </c>
    </row>
    <row r="1334" spans="1:13" x14ac:dyDescent="0.25">
      <c r="A1334" t="s">
        <v>12</v>
      </c>
      <c r="B1334" t="s">
        <v>589</v>
      </c>
      <c r="C1334" t="s">
        <v>626</v>
      </c>
      <c r="D1334" t="s">
        <v>627</v>
      </c>
      <c r="E1334" t="s">
        <v>606</v>
      </c>
      <c r="F1334" s="20">
        <v>7064.06</v>
      </c>
      <c r="I1334" s="11">
        <f t="shared" si="26"/>
        <v>45873</v>
      </c>
      <c r="J1334" s="12">
        <f t="shared" si="27"/>
        <v>150</v>
      </c>
      <c r="K1334" t="str">
        <f t="shared" si="25"/>
        <v>121-180</v>
      </c>
      <c r="L1334" s="11">
        <v>46023</v>
      </c>
      <c r="M1334" s="23">
        <f>YEAR(Таблица1[[#This Row],[Дата отчета]])</f>
        <v>2026</v>
      </c>
    </row>
    <row r="1335" spans="1:13" x14ac:dyDescent="0.25">
      <c r="A1335" t="s">
        <v>12</v>
      </c>
      <c r="B1335" t="s">
        <v>589</v>
      </c>
      <c r="C1335" t="s">
        <v>626</v>
      </c>
      <c r="D1335" t="s">
        <v>628</v>
      </c>
      <c r="E1335" t="s">
        <v>592</v>
      </c>
      <c r="F1335" s="20">
        <v>5000</v>
      </c>
      <c r="I1335" s="11">
        <f t="shared" si="26"/>
        <v>45966</v>
      </c>
      <c r="J1335" s="12">
        <f t="shared" si="27"/>
        <v>57</v>
      </c>
      <c r="K1335" t="str">
        <f t="shared" si="25"/>
        <v>31-90</v>
      </c>
      <c r="L1335" s="11">
        <v>46023</v>
      </c>
      <c r="M1335" s="23">
        <f>YEAR(Таблица1[[#This Row],[Дата отчета]])</f>
        <v>2026</v>
      </c>
    </row>
    <row r="1336" spans="1:13" x14ac:dyDescent="0.25">
      <c r="A1336" t="s">
        <v>12</v>
      </c>
      <c r="B1336" t="s">
        <v>589</v>
      </c>
      <c r="C1336" t="s">
        <v>630</v>
      </c>
      <c r="D1336" t="s">
        <v>631</v>
      </c>
      <c r="E1336" t="s">
        <v>528</v>
      </c>
      <c r="F1336" s="20">
        <v>800</v>
      </c>
      <c r="I1336" s="11">
        <f t="shared" si="26"/>
        <v>45985</v>
      </c>
      <c r="J1336" s="12">
        <f t="shared" si="27"/>
        <v>38</v>
      </c>
      <c r="K1336" t="str">
        <f t="shared" si="25"/>
        <v>31-90</v>
      </c>
      <c r="L1336" s="11">
        <v>46023</v>
      </c>
      <c r="M1336" s="23">
        <f>YEAR(Таблица1[[#This Row],[Дата отчета]])</f>
        <v>2026</v>
      </c>
    </row>
    <row r="1337" spans="1:13" x14ac:dyDescent="0.25">
      <c r="A1337" t="s">
        <v>12</v>
      </c>
      <c r="B1337" t="s">
        <v>632</v>
      </c>
      <c r="C1337" t="s">
        <v>633</v>
      </c>
      <c r="D1337" t="s">
        <v>634</v>
      </c>
      <c r="E1337" t="s">
        <v>635</v>
      </c>
      <c r="F1337" s="20">
        <v>45000</v>
      </c>
      <c r="I1337" s="11">
        <f t="shared" si="26"/>
        <v>45910</v>
      </c>
      <c r="J1337" s="12">
        <f t="shared" si="27"/>
        <v>113</v>
      </c>
      <c r="K1337" t="str">
        <f t="shared" si="25"/>
        <v>91-120</v>
      </c>
      <c r="L1337" s="11">
        <v>46023</v>
      </c>
      <c r="M1337" s="23">
        <f>YEAR(Таблица1[[#This Row],[Дата отчета]])</f>
        <v>2026</v>
      </c>
    </row>
    <row r="1338" spans="1:13" x14ac:dyDescent="0.25">
      <c r="A1338" t="s">
        <v>12</v>
      </c>
      <c r="B1338" t="s">
        <v>1186</v>
      </c>
      <c r="C1338" t="s">
        <v>1187</v>
      </c>
      <c r="D1338" t="s">
        <v>1188</v>
      </c>
      <c r="E1338" t="s">
        <v>339</v>
      </c>
      <c r="F1338" s="20">
        <v>170820</v>
      </c>
      <c r="I1338" s="11">
        <f t="shared" si="26"/>
        <v>45867</v>
      </c>
      <c r="J1338" s="12">
        <f t="shared" si="27"/>
        <v>156</v>
      </c>
      <c r="K1338" t="str">
        <f t="shared" si="25"/>
        <v>121-180</v>
      </c>
      <c r="L1338" s="11">
        <v>46023</v>
      </c>
      <c r="M1338" s="23">
        <f>YEAR(Таблица1[[#This Row],[Дата отчета]])</f>
        <v>2026</v>
      </c>
    </row>
    <row r="1339" spans="1:13" x14ac:dyDescent="0.25">
      <c r="A1339" t="s">
        <v>12</v>
      </c>
      <c r="B1339" t="s">
        <v>636</v>
      </c>
      <c r="C1339" t="s">
        <v>637</v>
      </c>
      <c r="D1339" t="s">
        <v>638</v>
      </c>
      <c r="E1339" t="s">
        <v>75</v>
      </c>
      <c r="F1339" s="20">
        <v>411323.77</v>
      </c>
      <c r="I1339" s="11">
        <f t="shared" si="26"/>
        <v>46016</v>
      </c>
      <c r="J1339" s="12">
        <f t="shared" si="27"/>
        <v>7</v>
      </c>
      <c r="K1339" t="str">
        <f t="shared" si="25"/>
        <v>0-30</v>
      </c>
      <c r="L1339" s="11">
        <v>46023</v>
      </c>
      <c r="M1339" s="23">
        <f>YEAR(Таблица1[[#This Row],[Дата отчета]])</f>
        <v>2026</v>
      </c>
    </row>
    <row r="1340" spans="1:13" x14ac:dyDescent="0.25">
      <c r="A1340" t="s">
        <v>12</v>
      </c>
      <c r="B1340" t="s">
        <v>645</v>
      </c>
      <c r="C1340" t="s">
        <v>650</v>
      </c>
      <c r="D1340" t="s">
        <v>651</v>
      </c>
      <c r="E1340" t="s">
        <v>652</v>
      </c>
      <c r="F1340" s="20">
        <v>456108</v>
      </c>
      <c r="I1340" s="11">
        <f t="shared" si="26"/>
        <v>45971</v>
      </c>
      <c r="J1340" s="12">
        <f t="shared" si="27"/>
        <v>52</v>
      </c>
      <c r="K1340" t="str">
        <f t="shared" si="25"/>
        <v>31-90</v>
      </c>
      <c r="L1340" s="11">
        <v>46023</v>
      </c>
      <c r="M1340" s="23">
        <f>YEAR(Таблица1[[#This Row],[Дата отчета]])</f>
        <v>2026</v>
      </c>
    </row>
    <row r="1341" spans="1:13" x14ac:dyDescent="0.25">
      <c r="A1341" t="s">
        <v>12</v>
      </c>
      <c r="B1341" t="s">
        <v>1189</v>
      </c>
      <c r="C1341" t="s">
        <v>1190</v>
      </c>
      <c r="D1341" t="s">
        <v>1191</v>
      </c>
      <c r="E1341" t="s">
        <v>21</v>
      </c>
      <c r="F1341" s="20">
        <v>1088160</v>
      </c>
      <c r="I1341" s="11">
        <f t="shared" si="26"/>
        <v>45953</v>
      </c>
      <c r="J1341" s="12">
        <f t="shared" si="27"/>
        <v>70</v>
      </c>
      <c r="K1341" t="str">
        <f t="shared" si="25"/>
        <v>31-90</v>
      </c>
      <c r="L1341" s="11">
        <v>46023</v>
      </c>
      <c r="M1341" s="23">
        <f>YEAR(Таблица1[[#This Row],[Дата отчета]])</f>
        <v>2026</v>
      </c>
    </row>
    <row r="1342" spans="1:13" x14ac:dyDescent="0.25">
      <c r="A1342" t="s">
        <v>12</v>
      </c>
      <c r="B1342" t="s">
        <v>1189</v>
      </c>
      <c r="C1342" t="s">
        <v>1190</v>
      </c>
      <c r="D1342" t="s">
        <v>1192</v>
      </c>
      <c r="E1342" t="s">
        <v>1193</v>
      </c>
      <c r="F1342" s="20">
        <v>1088160</v>
      </c>
      <c r="I1342" s="11">
        <f t="shared" si="26"/>
        <v>45974</v>
      </c>
      <c r="J1342" s="12">
        <f t="shared" si="27"/>
        <v>49</v>
      </c>
      <c r="K1342" t="str">
        <f t="shared" si="25"/>
        <v>31-90</v>
      </c>
      <c r="L1342" s="11">
        <v>46023</v>
      </c>
      <c r="M1342" s="23">
        <f>YEAR(Таблица1[[#This Row],[Дата отчета]])</f>
        <v>2026</v>
      </c>
    </row>
    <row r="1343" spans="1:13" x14ac:dyDescent="0.25">
      <c r="A1343" t="s">
        <v>12</v>
      </c>
      <c r="B1343" t="s">
        <v>659</v>
      </c>
      <c r="C1343" t="s">
        <v>660</v>
      </c>
      <c r="D1343" t="s">
        <v>661</v>
      </c>
      <c r="E1343" t="s">
        <v>662</v>
      </c>
      <c r="F1343" s="20">
        <v>7568</v>
      </c>
      <c r="I1343" s="11">
        <f t="shared" si="26"/>
        <v>45932</v>
      </c>
      <c r="J1343" s="12">
        <f t="shared" si="27"/>
        <v>91</v>
      </c>
      <c r="K1343" t="str">
        <f t="shared" ref="K1343:K1406" si="28">IF(J1343&lt;=30,"0-30",IF(J1343&lt;=90,"31-90",IF(J1343&lt;=120,"91-120",IF(J1343&lt;=180,"121-180",IF(J1343&lt;=270,"181-270",IF(J1343&lt;=360,"271-360","&gt;360"))))))</f>
        <v>91-120</v>
      </c>
      <c r="L1343" s="11">
        <v>46023</v>
      </c>
      <c r="M1343" s="23">
        <f>YEAR(Таблица1[[#This Row],[Дата отчета]])</f>
        <v>2026</v>
      </c>
    </row>
    <row r="1344" spans="1:13" x14ac:dyDescent="0.25">
      <c r="A1344" t="s">
        <v>12</v>
      </c>
      <c r="B1344" t="s">
        <v>663</v>
      </c>
      <c r="C1344" t="s">
        <v>664</v>
      </c>
      <c r="D1344" t="s">
        <v>665</v>
      </c>
      <c r="E1344" t="s">
        <v>70</v>
      </c>
      <c r="F1344" s="20">
        <v>9550</v>
      </c>
      <c r="I1344" s="11">
        <f t="shared" si="26"/>
        <v>45979</v>
      </c>
      <c r="J1344" s="12">
        <f t="shared" si="27"/>
        <v>44</v>
      </c>
      <c r="K1344" t="str">
        <f t="shared" si="28"/>
        <v>31-90</v>
      </c>
      <c r="L1344" s="11">
        <v>46023</v>
      </c>
      <c r="M1344" s="23">
        <f>YEAR(Таблица1[[#This Row],[Дата отчета]])</f>
        <v>2026</v>
      </c>
    </row>
    <row r="1345" spans="1:14" x14ac:dyDescent="0.25">
      <c r="A1345" t="s">
        <v>12</v>
      </c>
      <c r="B1345" t="s">
        <v>666</v>
      </c>
      <c r="C1345" t="s">
        <v>667</v>
      </c>
      <c r="D1345" t="s">
        <v>668</v>
      </c>
      <c r="E1345" t="s">
        <v>669</v>
      </c>
      <c r="F1345" s="20">
        <v>25035</v>
      </c>
      <c r="I1345" s="11">
        <f t="shared" si="26"/>
        <v>45930</v>
      </c>
      <c r="J1345" s="12">
        <f t="shared" si="27"/>
        <v>93</v>
      </c>
      <c r="K1345" t="str">
        <f t="shared" si="28"/>
        <v>91-120</v>
      </c>
      <c r="L1345" s="11">
        <v>46023</v>
      </c>
      <c r="M1345" s="23">
        <f>YEAR(Таблица1[[#This Row],[Дата отчета]])</f>
        <v>2026</v>
      </c>
    </row>
    <row r="1346" spans="1:14" x14ac:dyDescent="0.25">
      <c r="A1346" t="s">
        <v>12</v>
      </c>
      <c r="B1346" t="s">
        <v>670</v>
      </c>
      <c r="C1346" t="s">
        <v>671</v>
      </c>
      <c r="D1346" t="s">
        <v>672</v>
      </c>
      <c r="E1346" t="s">
        <v>673</v>
      </c>
      <c r="F1346" s="20">
        <v>114.79</v>
      </c>
      <c r="I1346" s="11">
        <f t="shared" si="26"/>
        <v>45775</v>
      </c>
      <c r="J1346" s="12">
        <f t="shared" si="27"/>
        <v>248</v>
      </c>
      <c r="K1346" t="str">
        <f t="shared" si="28"/>
        <v>181-270</v>
      </c>
      <c r="L1346" s="11">
        <v>46023</v>
      </c>
      <c r="M1346" s="23">
        <f>YEAR(Таблица1[[#This Row],[Дата отчета]])</f>
        <v>2026</v>
      </c>
    </row>
    <row r="1347" spans="1:14" x14ac:dyDescent="0.25">
      <c r="A1347" t="s">
        <v>12</v>
      </c>
      <c r="B1347" t="s">
        <v>677</v>
      </c>
      <c r="C1347" t="s">
        <v>678</v>
      </c>
      <c r="D1347" t="s">
        <v>679</v>
      </c>
      <c r="E1347" t="s">
        <v>239</v>
      </c>
      <c r="F1347" s="20">
        <v>0.01</v>
      </c>
      <c r="I1347" s="11">
        <f t="shared" si="26"/>
        <v>45996</v>
      </c>
      <c r="J1347" s="12">
        <f t="shared" si="27"/>
        <v>27</v>
      </c>
      <c r="K1347" t="str">
        <f t="shared" si="28"/>
        <v>0-30</v>
      </c>
      <c r="L1347" s="11">
        <v>46023</v>
      </c>
      <c r="M1347" s="23">
        <f>YEAR(Таблица1[[#This Row],[Дата отчета]])</f>
        <v>2026</v>
      </c>
    </row>
    <row r="1348" spans="1:14" x14ac:dyDescent="0.25">
      <c r="A1348" t="s">
        <v>12</v>
      </c>
      <c r="B1348" t="s">
        <v>680</v>
      </c>
      <c r="C1348" t="s">
        <v>681</v>
      </c>
      <c r="D1348" t="s">
        <v>682</v>
      </c>
      <c r="E1348" t="s">
        <v>683</v>
      </c>
      <c r="F1348" s="20">
        <v>77218.41</v>
      </c>
      <c r="I1348" s="11">
        <f t="shared" si="26"/>
        <v>45748</v>
      </c>
      <c r="J1348" s="12">
        <f t="shared" si="27"/>
        <v>275</v>
      </c>
      <c r="K1348" t="str">
        <f t="shared" si="28"/>
        <v>271-360</v>
      </c>
      <c r="L1348" s="11">
        <v>46023</v>
      </c>
      <c r="M1348" s="23">
        <f>YEAR(Таблица1[[#This Row],[Дата отчета]])</f>
        <v>2026</v>
      </c>
    </row>
    <row r="1349" spans="1:14" x14ac:dyDescent="0.25">
      <c r="A1349" t="s">
        <v>12</v>
      </c>
      <c r="B1349" t="s">
        <v>684</v>
      </c>
      <c r="C1349" t="s">
        <v>685</v>
      </c>
      <c r="D1349" t="s">
        <v>686</v>
      </c>
      <c r="E1349" t="s">
        <v>687</v>
      </c>
      <c r="F1349" s="20">
        <v>469639.56</v>
      </c>
      <c r="I1349" s="11">
        <f t="shared" si="26"/>
        <v>45771</v>
      </c>
      <c r="J1349" s="12">
        <f t="shared" si="27"/>
        <v>252</v>
      </c>
      <c r="K1349" t="str">
        <f t="shared" si="28"/>
        <v>181-270</v>
      </c>
      <c r="L1349" s="11">
        <v>46023</v>
      </c>
      <c r="M1349" s="23">
        <f>YEAR(Таблица1[[#This Row],[Дата отчета]])</f>
        <v>2026</v>
      </c>
    </row>
    <row r="1350" spans="1:14" x14ac:dyDescent="0.25">
      <c r="A1350" t="s">
        <v>12</v>
      </c>
      <c r="B1350" t="s">
        <v>684</v>
      </c>
      <c r="C1350" t="s">
        <v>688</v>
      </c>
      <c r="D1350" t="s">
        <v>1194</v>
      </c>
      <c r="E1350" t="s">
        <v>890</v>
      </c>
      <c r="F1350" s="20">
        <v>590584.65</v>
      </c>
      <c r="I1350" s="11">
        <f t="shared" si="26"/>
        <v>45894</v>
      </c>
      <c r="J1350" s="12">
        <f t="shared" si="27"/>
        <v>129</v>
      </c>
      <c r="K1350" t="str">
        <f t="shared" si="28"/>
        <v>121-180</v>
      </c>
      <c r="L1350" s="11">
        <v>46023</v>
      </c>
      <c r="M1350" s="23">
        <f>YEAR(Таблица1[[#This Row],[Дата отчета]])</f>
        <v>2026</v>
      </c>
    </row>
    <row r="1351" spans="1:14" x14ac:dyDescent="0.25">
      <c r="A1351" t="s">
        <v>12</v>
      </c>
      <c r="B1351" t="s">
        <v>684</v>
      </c>
      <c r="C1351" t="s">
        <v>688</v>
      </c>
      <c r="D1351" t="s">
        <v>1195</v>
      </c>
      <c r="E1351" t="s">
        <v>140</v>
      </c>
      <c r="F1351" s="20">
        <v>750186.92</v>
      </c>
      <c r="I1351" s="11">
        <f t="shared" si="26"/>
        <v>45917</v>
      </c>
      <c r="J1351" s="12">
        <f t="shared" si="27"/>
        <v>106</v>
      </c>
      <c r="K1351" t="str">
        <f t="shared" si="28"/>
        <v>91-120</v>
      </c>
      <c r="L1351" s="11">
        <v>46023</v>
      </c>
      <c r="M1351" s="23">
        <f>YEAR(Таблица1[[#This Row],[Дата отчета]])</f>
        <v>2026</v>
      </c>
    </row>
    <row r="1352" spans="1:14" x14ac:dyDescent="0.25">
      <c r="A1352" t="s">
        <v>12</v>
      </c>
      <c r="B1352" t="s">
        <v>684</v>
      </c>
      <c r="C1352" t="s">
        <v>688</v>
      </c>
      <c r="D1352" t="s">
        <v>689</v>
      </c>
      <c r="E1352" t="s">
        <v>690</v>
      </c>
      <c r="F1352" s="20">
        <v>1449154.95</v>
      </c>
      <c r="I1352" s="11">
        <f t="shared" si="26"/>
        <v>45958</v>
      </c>
      <c r="J1352" s="12">
        <f t="shared" si="27"/>
        <v>65</v>
      </c>
      <c r="K1352" t="str">
        <f t="shared" si="28"/>
        <v>31-90</v>
      </c>
      <c r="L1352" s="11">
        <v>46023</v>
      </c>
      <c r="M1352" s="23">
        <f>YEAR(Таблица1[[#This Row],[Дата отчета]])</f>
        <v>2026</v>
      </c>
    </row>
    <row r="1353" spans="1:14" x14ac:dyDescent="0.25">
      <c r="A1353" t="s">
        <v>12</v>
      </c>
      <c r="B1353" t="s">
        <v>684</v>
      </c>
      <c r="C1353" t="s">
        <v>688</v>
      </c>
      <c r="D1353" t="s">
        <v>691</v>
      </c>
      <c r="E1353" t="s">
        <v>692</v>
      </c>
      <c r="F1353" s="20">
        <v>623307.19999999995</v>
      </c>
      <c r="I1353" s="11">
        <f t="shared" si="26"/>
        <v>45982</v>
      </c>
      <c r="J1353" s="12">
        <f t="shared" si="27"/>
        <v>41</v>
      </c>
      <c r="K1353" t="str">
        <f t="shared" si="28"/>
        <v>31-90</v>
      </c>
      <c r="L1353" s="11">
        <v>46023</v>
      </c>
      <c r="M1353" s="23">
        <f>YEAR(Таблица1[[#This Row],[Дата отчета]])</f>
        <v>2026</v>
      </c>
    </row>
    <row r="1354" spans="1:14" x14ac:dyDescent="0.25">
      <c r="A1354" t="s">
        <v>12</v>
      </c>
      <c r="B1354" t="s">
        <v>684</v>
      </c>
      <c r="C1354" t="s">
        <v>695</v>
      </c>
      <c r="D1354" t="s">
        <v>696</v>
      </c>
      <c r="E1354" t="s">
        <v>218</v>
      </c>
      <c r="F1354" s="20">
        <v>140313</v>
      </c>
      <c r="I1354" s="11">
        <f t="shared" si="26"/>
        <v>45947</v>
      </c>
      <c r="J1354" s="12">
        <f t="shared" si="27"/>
        <v>76</v>
      </c>
      <c r="K1354" t="str">
        <f t="shared" si="28"/>
        <v>31-90</v>
      </c>
      <c r="L1354" s="11">
        <v>46023</v>
      </c>
      <c r="M1354" s="23">
        <f>YEAR(Таблица1[[#This Row],[Дата отчета]])</f>
        <v>2026</v>
      </c>
    </row>
    <row r="1355" spans="1:14" x14ac:dyDescent="0.25">
      <c r="A1355" t="s">
        <v>12</v>
      </c>
      <c r="B1355" t="s">
        <v>684</v>
      </c>
      <c r="C1355" t="s">
        <v>697</v>
      </c>
      <c r="D1355" t="s">
        <v>698</v>
      </c>
      <c r="E1355" t="s">
        <v>699</v>
      </c>
      <c r="F1355" s="20">
        <v>172161</v>
      </c>
      <c r="I1355" s="11">
        <f t="shared" si="26"/>
        <v>45218</v>
      </c>
      <c r="J1355" s="12">
        <f t="shared" si="27"/>
        <v>805</v>
      </c>
      <c r="K1355" t="str">
        <f t="shared" si="28"/>
        <v>&gt;360</v>
      </c>
      <c r="L1355" s="11">
        <v>46023</v>
      </c>
      <c r="M1355" s="23">
        <f>YEAR(Таблица1[[#This Row],[Дата отчета]])</f>
        <v>2026</v>
      </c>
      <c r="N1355" s="2" t="s">
        <v>4535</v>
      </c>
    </row>
    <row r="1356" spans="1:14" x14ac:dyDescent="0.25">
      <c r="A1356" t="s">
        <v>12</v>
      </c>
      <c r="B1356" t="s">
        <v>684</v>
      </c>
      <c r="C1356" t="s">
        <v>700</v>
      </c>
      <c r="D1356" t="s">
        <v>701</v>
      </c>
      <c r="E1356" t="s">
        <v>702</v>
      </c>
      <c r="F1356" s="20">
        <v>1192763</v>
      </c>
      <c r="I1356" s="11">
        <f t="shared" si="26"/>
        <v>45943</v>
      </c>
      <c r="J1356" s="12">
        <f t="shared" si="27"/>
        <v>80</v>
      </c>
      <c r="K1356" t="str">
        <f t="shared" si="28"/>
        <v>31-90</v>
      </c>
      <c r="L1356" s="11">
        <v>46023</v>
      </c>
      <c r="M1356" s="23">
        <f>YEAR(Таблица1[[#This Row],[Дата отчета]])</f>
        <v>2026</v>
      </c>
    </row>
    <row r="1357" spans="1:14" x14ac:dyDescent="0.25">
      <c r="A1357" t="s">
        <v>12</v>
      </c>
      <c r="B1357" t="s">
        <v>684</v>
      </c>
      <c r="C1357" t="s">
        <v>1196</v>
      </c>
      <c r="D1357" t="s">
        <v>1197</v>
      </c>
      <c r="E1357" t="s">
        <v>841</v>
      </c>
      <c r="F1357" s="20">
        <v>28590</v>
      </c>
      <c r="I1357" s="11">
        <f t="shared" si="26"/>
        <v>45925</v>
      </c>
      <c r="J1357" s="12">
        <f t="shared" si="27"/>
        <v>98</v>
      </c>
      <c r="K1357" t="str">
        <f t="shared" si="28"/>
        <v>91-120</v>
      </c>
      <c r="L1357" s="11">
        <v>46023</v>
      </c>
      <c r="M1357" s="23">
        <f>YEAR(Таблица1[[#This Row],[Дата отчета]])</f>
        <v>2026</v>
      </c>
    </row>
    <row r="1358" spans="1:14" x14ac:dyDescent="0.25">
      <c r="A1358" t="s">
        <v>12</v>
      </c>
      <c r="B1358" t="s">
        <v>684</v>
      </c>
      <c r="C1358" t="s">
        <v>703</v>
      </c>
      <c r="D1358" t="s">
        <v>704</v>
      </c>
      <c r="E1358" t="s">
        <v>702</v>
      </c>
      <c r="F1358" s="20">
        <v>546480</v>
      </c>
      <c r="I1358" s="11">
        <f t="shared" si="26"/>
        <v>45943</v>
      </c>
      <c r="J1358" s="12">
        <f t="shared" si="27"/>
        <v>80</v>
      </c>
      <c r="K1358" t="str">
        <f t="shared" si="28"/>
        <v>31-90</v>
      </c>
      <c r="L1358" s="11">
        <v>46023</v>
      </c>
      <c r="M1358" s="23">
        <f>YEAR(Таблица1[[#This Row],[Дата отчета]])</f>
        <v>2026</v>
      </c>
    </row>
    <row r="1359" spans="1:14" x14ac:dyDescent="0.25">
      <c r="A1359" t="s">
        <v>12</v>
      </c>
      <c r="B1359" t="s">
        <v>705</v>
      </c>
      <c r="C1359" t="s">
        <v>706</v>
      </c>
      <c r="D1359" t="s">
        <v>707</v>
      </c>
      <c r="E1359" t="s">
        <v>70</v>
      </c>
      <c r="F1359" s="20">
        <v>876000</v>
      </c>
      <c r="I1359" s="11">
        <f t="shared" si="26"/>
        <v>45979</v>
      </c>
      <c r="J1359" s="12">
        <f t="shared" si="27"/>
        <v>44</v>
      </c>
      <c r="K1359" t="str">
        <f t="shared" si="28"/>
        <v>31-90</v>
      </c>
      <c r="L1359" s="11">
        <v>46023</v>
      </c>
      <c r="M1359" s="23">
        <f>YEAR(Таблица1[[#This Row],[Дата отчета]])</f>
        <v>2026</v>
      </c>
    </row>
    <row r="1360" spans="1:14" x14ac:dyDescent="0.25">
      <c r="A1360" t="s">
        <v>12</v>
      </c>
      <c r="B1360" t="s">
        <v>715</v>
      </c>
      <c r="C1360" t="s">
        <v>716</v>
      </c>
      <c r="D1360" t="s">
        <v>717</v>
      </c>
      <c r="E1360" t="s">
        <v>718</v>
      </c>
      <c r="F1360" s="20">
        <v>161919248.72</v>
      </c>
      <c r="I1360" s="11">
        <f t="shared" ref="I1360:I1423" si="29">E1360*1</f>
        <v>45999</v>
      </c>
      <c r="J1360" s="12">
        <f t="shared" ref="J1360:J1423" si="30">L1360-I1360</f>
        <v>24</v>
      </c>
      <c r="K1360" t="str">
        <f t="shared" si="28"/>
        <v>0-30</v>
      </c>
      <c r="L1360" s="11">
        <v>46023</v>
      </c>
      <c r="M1360" s="23">
        <f>YEAR(Таблица1[[#This Row],[Дата отчета]])</f>
        <v>2026</v>
      </c>
    </row>
    <row r="1361" spans="1:15" x14ac:dyDescent="0.25">
      <c r="A1361" t="s">
        <v>12</v>
      </c>
      <c r="B1361" t="s">
        <v>719</v>
      </c>
      <c r="C1361" t="s">
        <v>720</v>
      </c>
      <c r="D1361" t="s">
        <v>721</v>
      </c>
      <c r="E1361" t="s">
        <v>113</v>
      </c>
      <c r="F1361" s="20">
        <v>236250</v>
      </c>
      <c r="I1361" s="11">
        <f t="shared" si="29"/>
        <v>46009</v>
      </c>
      <c r="J1361" s="12">
        <f t="shared" si="30"/>
        <v>14</v>
      </c>
      <c r="K1361" t="str">
        <f t="shared" si="28"/>
        <v>0-30</v>
      </c>
      <c r="L1361" s="11">
        <v>46023</v>
      </c>
      <c r="M1361" s="23">
        <f>YEAR(Таблица1[[#This Row],[Дата отчета]])</f>
        <v>2026</v>
      </c>
      <c r="O1361" s="8">
        <v>46099</v>
      </c>
    </row>
    <row r="1362" spans="1:15" x14ac:dyDescent="0.25">
      <c r="A1362" t="s">
        <v>12</v>
      </c>
      <c r="B1362" t="s">
        <v>719</v>
      </c>
      <c r="C1362" t="s">
        <v>722</v>
      </c>
      <c r="D1362" t="s">
        <v>723</v>
      </c>
      <c r="E1362" t="s">
        <v>183</v>
      </c>
      <c r="F1362" s="20">
        <v>1181250</v>
      </c>
      <c r="I1362" s="11">
        <f t="shared" si="29"/>
        <v>45817</v>
      </c>
      <c r="J1362" s="12">
        <f t="shared" si="30"/>
        <v>206</v>
      </c>
      <c r="K1362" t="str">
        <f t="shared" si="28"/>
        <v>181-270</v>
      </c>
      <c r="L1362" s="11">
        <v>46023</v>
      </c>
      <c r="M1362" s="23">
        <f>YEAR(Таблица1[[#This Row],[Дата отчета]])</f>
        <v>2026</v>
      </c>
      <c r="O1362" s="8">
        <v>46099</v>
      </c>
    </row>
    <row r="1363" spans="1:15" x14ac:dyDescent="0.25">
      <c r="A1363" t="s">
        <v>12</v>
      </c>
      <c r="B1363" t="s">
        <v>719</v>
      </c>
      <c r="C1363" t="s">
        <v>722</v>
      </c>
      <c r="D1363" t="s">
        <v>724</v>
      </c>
      <c r="E1363" t="s">
        <v>725</v>
      </c>
      <c r="F1363" s="20">
        <v>236250</v>
      </c>
      <c r="I1363" s="11">
        <f t="shared" si="29"/>
        <v>46002</v>
      </c>
      <c r="J1363" s="12">
        <f t="shared" si="30"/>
        <v>21</v>
      </c>
      <c r="K1363" t="str">
        <f t="shared" si="28"/>
        <v>0-30</v>
      </c>
      <c r="L1363" s="11">
        <v>46023</v>
      </c>
      <c r="M1363" s="23">
        <f>YEAR(Таблица1[[#This Row],[Дата отчета]])</f>
        <v>2026</v>
      </c>
      <c r="O1363" s="8">
        <v>46099</v>
      </c>
    </row>
    <row r="1364" spans="1:15" x14ac:dyDescent="0.25">
      <c r="A1364" t="s">
        <v>12</v>
      </c>
      <c r="B1364" t="s">
        <v>726</v>
      </c>
      <c r="C1364" t="s">
        <v>727</v>
      </c>
      <c r="D1364" t="s">
        <v>728</v>
      </c>
      <c r="E1364" t="s">
        <v>729</v>
      </c>
      <c r="F1364" s="20">
        <v>6869.56</v>
      </c>
      <c r="I1364" s="11">
        <f t="shared" si="29"/>
        <v>45799</v>
      </c>
      <c r="J1364" s="12">
        <f t="shared" si="30"/>
        <v>224</v>
      </c>
      <c r="K1364" t="str">
        <f t="shared" si="28"/>
        <v>181-270</v>
      </c>
      <c r="L1364" s="11">
        <v>46023</v>
      </c>
      <c r="M1364" s="23">
        <f>YEAR(Таблица1[[#This Row],[Дата отчета]])</f>
        <v>2026</v>
      </c>
      <c r="N1364" s="2" t="s">
        <v>807</v>
      </c>
    </row>
    <row r="1365" spans="1:15" x14ac:dyDescent="0.25">
      <c r="A1365" t="s">
        <v>12</v>
      </c>
      <c r="B1365" t="s">
        <v>726</v>
      </c>
      <c r="C1365" t="s">
        <v>730</v>
      </c>
      <c r="D1365" t="s">
        <v>731</v>
      </c>
      <c r="E1365" t="s">
        <v>535</v>
      </c>
      <c r="F1365" s="20">
        <v>16930</v>
      </c>
      <c r="I1365" s="11">
        <f t="shared" si="29"/>
        <v>45796</v>
      </c>
      <c r="J1365" s="12">
        <f t="shared" si="30"/>
        <v>227</v>
      </c>
      <c r="K1365" t="str">
        <f t="shared" si="28"/>
        <v>181-270</v>
      </c>
      <c r="L1365" s="11">
        <v>46023</v>
      </c>
      <c r="M1365" s="23">
        <f>YEAR(Таблица1[[#This Row],[Дата отчета]])</f>
        <v>2026</v>
      </c>
      <c r="N1365" s="2" t="s">
        <v>807</v>
      </c>
    </row>
    <row r="1366" spans="1:15" x14ac:dyDescent="0.25">
      <c r="A1366" t="s">
        <v>12</v>
      </c>
      <c r="B1366" t="s">
        <v>726</v>
      </c>
      <c r="C1366" t="s">
        <v>732</v>
      </c>
      <c r="D1366" t="s">
        <v>733</v>
      </c>
      <c r="E1366" t="s">
        <v>734</v>
      </c>
      <c r="F1366" s="20">
        <v>2163.48</v>
      </c>
      <c r="I1366" s="11">
        <f t="shared" si="29"/>
        <v>45541</v>
      </c>
      <c r="J1366" s="12">
        <f t="shared" si="30"/>
        <v>482</v>
      </c>
      <c r="K1366" t="str">
        <f t="shared" si="28"/>
        <v>&gt;360</v>
      </c>
      <c r="L1366" s="11">
        <v>46023</v>
      </c>
      <c r="M1366" s="23">
        <f>YEAR(Таблица1[[#This Row],[Дата отчета]])</f>
        <v>2026</v>
      </c>
      <c r="N1366" s="2" t="s">
        <v>807</v>
      </c>
    </row>
    <row r="1367" spans="1:15" x14ac:dyDescent="0.25">
      <c r="A1367" t="s">
        <v>12</v>
      </c>
      <c r="B1367" t="s">
        <v>726</v>
      </c>
      <c r="C1367" t="s">
        <v>735</v>
      </c>
      <c r="D1367" t="s">
        <v>736</v>
      </c>
      <c r="E1367" t="s">
        <v>247</v>
      </c>
      <c r="F1367" s="20">
        <v>35983.96</v>
      </c>
      <c r="I1367" s="11">
        <f t="shared" si="29"/>
        <v>45798</v>
      </c>
      <c r="J1367" s="12">
        <f t="shared" si="30"/>
        <v>225</v>
      </c>
      <c r="K1367" t="str">
        <f t="shared" si="28"/>
        <v>181-270</v>
      </c>
      <c r="L1367" s="11">
        <v>46023</v>
      </c>
      <c r="M1367" s="23">
        <f>YEAR(Таблица1[[#This Row],[Дата отчета]])</f>
        <v>2026</v>
      </c>
      <c r="N1367" s="2" t="s">
        <v>807</v>
      </c>
    </row>
    <row r="1368" spans="1:15" x14ac:dyDescent="0.25">
      <c r="A1368" t="s">
        <v>12</v>
      </c>
      <c r="B1368" t="s">
        <v>726</v>
      </c>
      <c r="C1368" t="s">
        <v>737</v>
      </c>
      <c r="D1368" t="s">
        <v>738</v>
      </c>
      <c r="E1368" t="s">
        <v>739</v>
      </c>
      <c r="F1368" s="20">
        <v>3413.74</v>
      </c>
      <c r="I1368" s="11">
        <f t="shared" si="29"/>
        <v>45839</v>
      </c>
      <c r="J1368" s="12">
        <f t="shared" si="30"/>
        <v>184</v>
      </c>
      <c r="K1368" t="str">
        <f t="shared" si="28"/>
        <v>181-270</v>
      </c>
      <c r="L1368" s="11">
        <v>46023</v>
      </c>
      <c r="M1368" s="23">
        <f>YEAR(Таблица1[[#This Row],[Дата отчета]])</f>
        <v>2026</v>
      </c>
      <c r="N1368" s="2" t="s">
        <v>807</v>
      </c>
    </row>
    <row r="1369" spans="1:15" x14ac:dyDescent="0.25">
      <c r="A1369" t="s">
        <v>12</v>
      </c>
      <c r="B1369" t="s">
        <v>740</v>
      </c>
      <c r="C1369" t="s">
        <v>970</v>
      </c>
      <c r="D1369" t="s">
        <v>742</v>
      </c>
      <c r="E1369" t="s">
        <v>75</v>
      </c>
      <c r="F1369" s="20">
        <v>2223000</v>
      </c>
      <c r="I1369" s="11">
        <f t="shared" si="29"/>
        <v>46016</v>
      </c>
      <c r="J1369" s="12">
        <f t="shared" si="30"/>
        <v>7</v>
      </c>
      <c r="K1369" t="str">
        <f t="shared" si="28"/>
        <v>0-30</v>
      </c>
      <c r="L1369" s="11">
        <v>46023</v>
      </c>
      <c r="M1369" s="23">
        <f>YEAR(Таблица1[[#This Row],[Дата отчета]])</f>
        <v>2026</v>
      </c>
    </row>
    <row r="1370" spans="1:15" x14ac:dyDescent="0.25">
      <c r="A1370" t="s">
        <v>12</v>
      </c>
      <c r="B1370" t="s">
        <v>745</v>
      </c>
      <c r="C1370" t="s">
        <v>746</v>
      </c>
      <c r="D1370" t="s">
        <v>747</v>
      </c>
      <c r="E1370" t="s">
        <v>748</v>
      </c>
      <c r="F1370" s="20">
        <v>2970.16</v>
      </c>
      <c r="I1370" s="11">
        <f t="shared" si="29"/>
        <v>45580</v>
      </c>
      <c r="J1370" s="12">
        <f t="shared" si="30"/>
        <v>443</v>
      </c>
      <c r="K1370" t="str">
        <f t="shared" si="28"/>
        <v>&gt;360</v>
      </c>
      <c r="L1370" s="11">
        <v>46023</v>
      </c>
      <c r="M1370" s="23">
        <f>YEAR(Таблица1[[#This Row],[Дата отчета]])</f>
        <v>2026</v>
      </c>
    </row>
    <row r="1371" spans="1:15" x14ac:dyDescent="0.25">
      <c r="A1371" t="s">
        <v>12</v>
      </c>
      <c r="B1371" t="s">
        <v>752</v>
      </c>
      <c r="C1371" t="s">
        <v>1232</v>
      </c>
      <c r="D1371" t="s">
        <v>1249</v>
      </c>
      <c r="E1371" t="s">
        <v>1257</v>
      </c>
      <c r="F1371" s="20">
        <v>40000</v>
      </c>
      <c r="I1371" s="11">
        <f t="shared" si="29"/>
        <v>45967</v>
      </c>
      <c r="J1371" s="12">
        <f t="shared" si="30"/>
        <v>56</v>
      </c>
      <c r="K1371" t="str">
        <f t="shared" si="28"/>
        <v>31-90</v>
      </c>
      <c r="L1371" s="11">
        <v>46023</v>
      </c>
      <c r="M1371" s="23">
        <f>YEAR(Таблица1[[#This Row],[Дата отчета]])</f>
        <v>2026</v>
      </c>
    </row>
    <row r="1372" spans="1:15" x14ac:dyDescent="0.25">
      <c r="A1372" t="s">
        <v>12</v>
      </c>
      <c r="B1372" t="s">
        <v>758</v>
      </c>
      <c r="C1372" t="s">
        <v>759</v>
      </c>
      <c r="D1372" t="s">
        <v>760</v>
      </c>
      <c r="E1372" t="s">
        <v>761</v>
      </c>
      <c r="F1372" s="20">
        <v>0.3</v>
      </c>
      <c r="I1372" s="11">
        <f t="shared" si="29"/>
        <v>45803</v>
      </c>
      <c r="J1372" s="12">
        <f t="shared" si="30"/>
        <v>220</v>
      </c>
      <c r="K1372" t="str">
        <f t="shared" si="28"/>
        <v>181-270</v>
      </c>
      <c r="L1372" s="11">
        <v>46023</v>
      </c>
      <c r="M1372" s="23">
        <f>YEAR(Таблица1[[#This Row],[Дата отчета]])</f>
        <v>2026</v>
      </c>
    </row>
    <row r="1373" spans="1:15" x14ac:dyDescent="0.25">
      <c r="A1373" t="s">
        <v>12</v>
      </c>
      <c r="B1373" t="s">
        <v>762</v>
      </c>
      <c r="C1373" t="s">
        <v>763</v>
      </c>
      <c r="D1373" t="s">
        <v>764</v>
      </c>
      <c r="E1373" t="s">
        <v>765</v>
      </c>
      <c r="F1373" s="20">
        <v>74670</v>
      </c>
      <c r="I1373" s="11">
        <f t="shared" si="29"/>
        <v>45751</v>
      </c>
      <c r="J1373" s="12">
        <f t="shared" si="30"/>
        <v>272</v>
      </c>
      <c r="K1373" t="str">
        <f t="shared" si="28"/>
        <v>271-360</v>
      </c>
      <c r="L1373" s="11">
        <v>46023</v>
      </c>
      <c r="M1373" s="23">
        <f>YEAR(Таблица1[[#This Row],[Дата отчета]])</f>
        <v>2026</v>
      </c>
      <c r="N1373" s="7"/>
    </row>
    <row r="1374" spans="1:15" x14ac:dyDescent="0.25">
      <c r="A1374" t="s">
        <v>12</v>
      </c>
      <c r="B1374" t="s">
        <v>766</v>
      </c>
      <c r="C1374" t="s">
        <v>767</v>
      </c>
      <c r="D1374" t="s">
        <v>768</v>
      </c>
      <c r="E1374" t="s">
        <v>769</v>
      </c>
      <c r="F1374" s="20">
        <v>163072</v>
      </c>
      <c r="I1374" s="11">
        <f t="shared" si="29"/>
        <v>45825</v>
      </c>
      <c r="J1374" s="12">
        <f t="shared" si="30"/>
        <v>198</v>
      </c>
      <c r="K1374" t="str">
        <f t="shared" si="28"/>
        <v>181-270</v>
      </c>
      <c r="L1374" s="11">
        <v>46023</v>
      </c>
      <c r="M1374" s="23">
        <f>YEAR(Таблица1[[#This Row],[Дата отчета]])</f>
        <v>2026</v>
      </c>
      <c r="N1374" s="2" t="s">
        <v>4538</v>
      </c>
    </row>
    <row r="1375" spans="1:15" x14ac:dyDescent="0.25">
      <c r="A1375" t="s">
        <v>12</v>
      </c>
      <c r="B1375" t="s">
        <v>770</v>
      </c>
      <c r="C1375" t="s">
        <v>771</v>
      </c>
      <c r="D1375" t="s">
        <v>772</v>
      </c>
      <c r="E1375" t="s">
        <v>773</v>
      </c>
      <c r="F1375" s="20">
        <v>11240</v>
      </c>
      <c r="I1375" s="11">
        <f t="shared" si="29"/>
        <v>45888</v>
      </c>
      <c r="J1375" s="12">
        <f t="shared" si="30"/>
        <v>135</v>
      </c>
      <c r="K1375" t="str">
        <f t="shared" si="28"/>
        <v>121-180</v>
      </c>
      <c r="L1375" s="11">
        <v>46023</v>
      </c>
      <c r="M1375" s="23">
        <f>YEAR(Таблица1[[#This Row],[Дата отчета]])</f>
        <v>2026</v>
      </c>
    </row>
    <row r="1376" spans="1:15" x14ac:dyDescent="0.25">
      <c r="A1376" t="s">
        <v>12</v>
      </c>
      <c r="B1376" t="s">
        <v>774</v>
      </c>
      <c r="C1376" t="s">
        <v>775</v>
      </c>
      <c r="D1376" t="s">
        <v>776</v>
      </c>
      <c r="E1376" t="s">
        <v>725</v>
      </c>
      <c r="F1376" s="20">
        <v>460100</v>
      </c>
      <c r="I1376" s="11">
        <f t="shared" si="29"/>
        <v>46002</v>
      </c>
      <c r="J1376" s="12">
        <f t="shared" si="30"/>
        <v>21</v>
      </c>
      <c r="K1376" t="str">
        <f t="shared" si="28"/>
        <v>0-30</v>
      </c>
      <c r="L1376" s="11">
        <v>46023</v>
      </c>
      <c r="M1376" s="23">
        <f>YEAR(Таблица1[[#This Row],[Дата отчета]])</f>
        <v>2026</v>
      </c>
    </row>
    <row r="1377" spans="1:14" x14ac:dyDescent="0.25">
      <c r="A1377" t="s">
        <v>12</v>
      </c>
      <c r="B1377" t="s">
        <v>1198</v>
      </c>
      <c r="C1377" t="s">
        <v>1199</v>
      </c>
      <c r="D1377" t="s">
        <v>1200</v>
      </c>
      <c r="E1377" t="s">
        <v>1086</v>
      </c>
      <c r="F1377" s="20">
        <v>205088</v>
      </c>
      <c r="I1377" s="11">
        <f t="shared" si="29"/>
        <v>45847</v>
      </c>
      <c r="J1377" s="12">
        <f t="shared" si="30"/>
        <v>176</v>
      </c>
      <c r="K1377" t="str">
        <f t="shared" si="28"/>
        <v>121-180</v>
      </c>
      <c r="L1377" s="11">
        <v>46023</v>
      </c>
      <c r="M1377" s="23">
        <f>YEAR(Таблица1[[#This Row],[Дата отчета]])</f>
        <v>2026</v>
      </c>
    </row>
    <row r="1378" spans="1:14" x14ac:dyDescent="0.25">
      <c r="A1378" t="s">
        <v>12</v>
      </c>
      <c r="B1378" t="s">
        <v>777</v>
      </c>
      <c r="C1378" t="s">
        <v>778</v>
      </c>
      <c r="D1378" t="s">
        <v>779</v>
      </c>
      <c r="E1378" t="s">
        <v>780</v>
      </c>
      <c r="F1378" s="20">
        <v>196.02</v>
      </c>
      <c r="I1378" s="11">
        <f t="shared" si="29"/>
        <v>44868</v>
      </c>
      <c r="J1378" s="12">
        <f t="shared" si="30"/>
        <v>1155</v>
      </c>
      <c r="K1378" t="str">
        <f t="shared" si="28"/>
        <v>&gt;360</v>
      </c>
      <c r="L1378" s="11">
        <v>46023</v>
      </c>
      <c r="M1378" s="23">
        <f>YEAR(Таблица1[[#This Row],[Дата отчета]])</f>
        <v>2026</v>
      </c>
      <c r="N1378" s="2" t="s">
        <v>807</v>
      </c>
    </row>
    <row r="1379" spans="1:14" x14ac:dyDescent="0.25">
      <c r="A1379" t="s">
        <v>12</v>
      </c>
      <c r="B1379" t="s">
        <v>784</v>
      </c>
      <c r="C1379" t="s">
        <v>791</v>
      </c>
      <c r="D1379" t="s">
        <v>792</v>
      </c>
      <c r="E1379" t="s">
        <v>345</v>
      </c>
      <c r="F1379" s="20">
        <v>60000</v>
      </c>
      <c r="I1379" s="11">
        <f t="shared" si="29"/>
        <v>45919</v>
      </c>
      <c r="J1379" s="12">
        <f t="shared" si="30"/>
        <v>104</v>
      </c>
      <c r="K1379" t="str">
        <f t="shared" si="28"/>
        <v>91-120</v>
      </c>
      <c r="L1379" s="11">
        <v>46023</v>
      </c>
      <c r="M1379" s="23">
        <f>YEAR(Таблица1[[#This Row],[Дата отчета]])</f>
        <v>2026</v>
      </c>
    </row>
    <row r="1380" spans="1:14" x14ac:dyDescent="0.25">
      <c r="A1380" t="s">
        <v>12</v>
      </c>
      <c r="B1380" t="s">
        <v>784</v>
      </c>
      <c r="C1380" t="s">
        <v>1233</v>
      </c>
      <c r="D1380" t="s">
        <v>1250</v>
      </c>
      <c r="E1380" t="s">
        <v>408</v>
      </c>
      <c r="F1380" s="20">
        <v>600000</v>
      </c>
      <c r="I1380" s="11">
        <f t="shared" si="29"/>
        <v>46010</v>
      </c>
      <c r="J1380" s="12">
        <f t="shared" si="30"/>
        <v>13</v>
      </c>
      <c r="K1380" t="str">
        <f t="shared" si="28"/>
        <v>0-30</v>
      </c>
      <c r="L1380" s="11">
        <v>46023</v>
      </c>
      <c r="M1380" s="23">
        <f>YEAR(Таблица1[[#This Row],[Дата отчета]])</f>
        <v>2026</v>
      </c>
    </row>
    <row r="1381" spans="1:14" x14ac:dyDescent="0.25">
      <c r="A1381" t="s">
        <v>12</v>
      </c>
      <c r="B1381" t="s">
        <v>793</v>
      </c>
      <c r="C1381" t="s">
        <v>794</v>
      </c>
      <c r="D1381" t="s">
        <v>795</v>
      </c>
      <c r="E1381" t="s">
        <v>796</v>
      </c>
      <c r="F1381" s="20">
        <v>650</v>
      </c>
      <c r="I1381" s="11">
        <f t="shared" si="29"/>
        <v>44889</v>
      </c>
      <c r="J1381" s="12">
        <f t="shared" si="30"/>
        <v>1134</v>
      </c>
      <c r="K1381" t="str">
        <f t="shared" si="28"/>
        <v>&gt;360</v>
      </c>
      <c r="L1381" s="11">
        <v>46023</v>
      </c>
      <c r="M1381" s="23">
        <f>YEAR(Таблица1[[#This Row],[Дата отчета]])</f>
        <v>2026</v>
      </c>
      <c r="N1381" s="2" t="s">
        <v>807</v>
      </c>
    </row>
    <row r="1382" spans="1:14" x14ac:dyDescent="0.25">
      <c r="A1382" t="s">
        <v>12</v>
      </c>
      <c r="B1382" t="s">
        <v>1224</v>
      </c>
      <c r="C1382" t="s">
        <v>1234</v>
      </c>
      <c r="D1382" t="s">
        <v>1251</v>
      </c>
      <c r="E1382" t="s">
        <v>1258</v>
      </c>
      <c r="F1382" s="20">
        <v>12</v>
      </c>
      <c r="I1382" s="11">
        <f t="shared" si="29"/>
        <v>45288</v>
      </c>
      <c r="J1382" s="12">
        <f t="shared" si="30"/>
        <v>735</v>
      </c>
      <c r="K1382" t="str">
        <f t="shared" si="28"/>
        <v>&gt;360</v>
      </c>
      <c r="L1382" s="11">
        <v>46023</v>
      </c>
      <c r="M1382" s="23">
        <f>YEAR(Таблица1[[#This Row],[Дата отчета]])</f>
        <v>2026</v>
      </c>
    </row>
    <row r="1383" spans="1:14" x14ac:dyDescent="0.25">
      <c r="A1383" t="s">
        <v>12</v>
      </c>
      <c r="B1383" t="s">
        <v>1224</v>
      </c>
      <c r="C1383" t="s">
        <v>1235</v>
      </c>
      <c r="D1383" t="s">
        <v>1252</v>
      </c>
      <c r="E1383" t="s">
        <v>218</v>
      </c>
      <c r="F1383" s="20">
        <v>93445.92</v>
      </c>
      <c r="I1383" s="11">
        <f t="shared" si="29"/>
        <v>45947</v>
      </c>
      <c r="J1383" s="12">
        <f t="shared" si="30"/>
        <v>76</v>
      </c>
      <c r="K1383" t="str">
        <f t="shared" si="28"/>
        <v>31-90</v>
      </c>
      <c r="L1383" s="11">
        <v>46023</v>
      </c>
      <c r="M1383" s="23">
        <f>YEAR(Таблица1[[#This Row],[Дата отчета]])</f>
        <v>2026</v>
      </c>
    </row>
    <row r="1384" spans="1:14" x14ac:dyDescent="0.25">
      <c r="A1384" t="s">
        <v>12</v>
      </c>
      <c r="B1384" t="s">
        <v>1224</v>
      </c>
      <c r="C1384" t="s">
        <v>1236</v>
      </c>
      <c r="D1384" t="s">
        <v>1253</v>
      </c>
      <c r="E1384" t="s">
        <v>652</v>
      </c>
      <c r="F1384" s="20">
        <v>81316.39</v>
      </c>
      <c r="I1384" s="11">
        <f t="shared" si="29"/>
        <v>45971</v>
      </c>
      <c r="J1384" s="12">
        <f t="shared" si="30"/>
        <v>52</v>
      </c>
      <c r="K1384" t="str">
        <f t="shared" si="28"/>
        <v>31-90</v>
      </c>
      <c r="L1384" s="11">
        <v>46023</v>
      </c>
      <c r="M1384" s="23">
        <f>YEAR(Таблица1[[#This Row],[Дата отчета]])</f>
        <v>2026</v>
      </c>
    </row>
    <row r="1385" spans="1:14" x14ac:dyDescent="0.25">
      <c r="A1385" t="s">
        <v>12</v>
      </c>
      <c r="B1385" t="s">
        <v>797</v>
      </c>
      <c r="C1385" t="s">
        <v>798</v>
      </c>
      <c r="D1385" t="s">
        <v>799</v>
      </c>
      <c r="E1385" t="s">
        <v>800</v>
      </c>
      <c r="F1385" s="20">
        <v>427887.5</v>
      </c>
      <c r="I1385" s="11">
        <f t="shared" si="29"/>
        <v>45993</v>
      </c>
      <c r="J1385" s="12">
        <f t="shared" si="30"/>
        <v>30</v>
      </c>
      <c r="K1385" t="str">
        <f t="shared" si="28"/>
        <v>0-30</v>
      </c>
      <c r="L1385" s="11">
        <v>46023</v>
      </c>
      <c r="M1385" s="23">
        <f>YEAR(Таблица1[[#This Row],[Дата отчета]])</f>
        <v>2026</v>
      </c>
    </row>
    <row r="1386" spans="1:14" x14ac:dyDescent="0.25">
      <c r="A1386" t="s">
        <v>12</v>
      </c>
      <c r="B1386" t="s">
        <v>801</v>
      </c>
      <c r="C1386" t="s">
        <v>802</v>
      </c>
      <c r="D1386" t="s">
        <v>803</v>
      </c>
      <c r="E1386" t="s">
        <v>161</v>
      </c>
      <c r="F1386" s="20">
        <v>1117.75</v>
      </c>
      <c r="I1386" s="11">
        <f t="shared" si="29"/>
        <v>45890</v>
      </c>
      <c r="J1386" s="12">
        <f t="shared" si="30"/>
        <v>133</v>
      </c>
      <c r="K1386" t="str">
        <f t="shared" si="28"/>
        <v>121-180</v>
      </c>
      <c r="L1386" s="11">
        <v>46023</v>
      </c>
      <c r="M1386" s="23">
        <f>YEAR(Таблица1[[#This Row],[Дата отчета]])</f>
        <v>2026</v>
      </c>
    </row>
    <row r="1387" spans="1:14" x14ac:dyDescent="0.25">
      <c r="A1387" t="s">
        <v>12</v>
      </c>
      <c r="B1387" t="s">
        <v>804</v>
      </c>
      <c r="C1387" t="s">
        <v>805</v>
      </c>
      <c r="D1387" t="s">
        <v>806</v>
      </c>
      <c r="E1387" t="s">
        <v>276</v>
      </c>
      <c r="F1387" s="20">
        <v>8840</v>
      </c>
      <c r="I1387" s="11">
        <f t="shared" si="29"/>
        <v>45827</v>
      </c>
      <c r="J1387" s="12">
        <f t="shared" si="30"/>
        <v>196</v>
      </c>
      <c r="K1387" t="str">
        <f t="shared" si="28"/>
        <v>181-270</v>
      </c>
      <c r="L1387" s="11">
        <v>46023</v>
      </c>
      <c r="M1387" s="23">
        <f>YEAR(Таблица1[[#This Row],[Дата отчета]])</f>
        <v>2026</v>
      </c>
    </row>
    <row r="1388" spans="1:14" x14ac:dyDescent="0.25">
      <c r="A1388" t="s">
        <v>12</v>
      </c>
      <c r="B1388" t="s">
        <v>804</v>
      </c>
      <c r="C1388" t="s">
        <v>819</v>
      </c>
      <c r="D1388" t="s">
        <v>820</v>
      </c>
      <c r="E1388" t="s">
        <v>821</v>
      </c>
      <c r="F1388" s="20">
        <v>56500</v>
      </c>
      <c r="I1388" s="11">
        <f t="shared" si="29"/>
        <v>45924</v>
      </c>
      <c r="J1388" s="12">
        <f t="shared" si="30"/>
        <v>99</v>
      </c>
      <c r="K1388" t="str">
        <f t="shared" si="28"/>
        <v>91-120</v>
      </c>
      <c r="L1388" s="11">
        <v>46023</v>
      </c>
      <c r="M1388" s="23">
        <f>YEAR(Таблица1[[#This Row],[Дата отчета]])</f>
        <v>2026</v>
      </c>
    </row>
    <row r="1389" spans="1:14" x14ac:dyDescent="0.25">
      <c r="A1389" t="s">
        <v>12</v>
      </c>
      <c r="B1389" t="s">
        <v>804</v>
      </c>
      <c r="C1389" t="s">
        <v>822</v>
      </c>
      <c r="D1389" t="s">
        <v>823</v>
      </c>
      <c r="E1389" t="s">
        <v>824</v>
      </c>
      <c r="F1389" s="20">
        <v>500000</v>
      </c>
      <c r="I1389" s="11">
        <f t="shared" si="29"/>
        <v>45975</v>
      </c>
      <c r="J1389" s="12">
        <f t="shared" si="30"/>
        <v>48</v>
      </c>
      <c r="K1389" t="str">
        <f t="shared" si="28"/>
        <v>31-90</v>
      </c>
      <c r="L1389" s="11">
        <v>46023</v>
      </c>
      <c r="M1389" s="23">
        <f>YEAR(Таблица1[[#This Row],[Дата отчета]])</f>
        <v>2026</v>
      </c>
    </row>
    <row r="1390" spans="1:14" x14ac:dyDescent="0.25">
      <c r="A1390" t="s">
        <v>12</v>
      </c>
      <c r="B1390" t="s">
        <v>804</v>
      </c>
      <c r="C1390" t="s">
        <v>825</v>
      </c>
      <c r="D1390" t="s">
        <v>826</v>
      </c>
      <c r="E1390" t="s">
        <v>827</v>
      </c>
      <c r="F1390" s="20">
        <v>132000</v>
      </c>
      <c r="I1390" s="11">
        <f t="shared" si="29"/>
        <v>45981</v>
      </c>
      <c r="J1390" s="12">
        <f t="shared" si="30"/>
        <v>42</v>
      </c>
      <c r="K1390" t="str">
        <f t="shared" si="28"/>
        <v>31-90</v>
      </c>
      <c r="L1390" s="11">
        <v>46023</v>
      </c>
      <c r="M1390" s="23">
        <f>YEAR(Таблица1[[#This Row],[Дата отчета]])</f>
        <v>2026</v>
      </c>
    </row>
    <row r="1391" spans="1:14" x14ac:dyDescent="0.25">
      <c r="A1391" t="s">
        <v>12</v>
      </c>
      <c r="B1391" t="s">
        <v>804</v>
      </c>
      <c r="C1391" t="s">
        <v>828</v>
      </c>
      <c r="D1391" t="s">
        <v>829</v>
      </c>
      <c r="E1391" t="s">
        <v>830</v>
      </c>
      <c r="F1391" s="20">
        <v>36000</v>
      </c>
      <c r="I1391" s="11">
        <f t="shared" si="29"/>
        <v>46006</v>
      </c>
      <c r="J1391" s="12">
        <f t="shared" si="30"/>
        <v>17</v>
      </c>
      <c r="K1391" t="str">
        <f t="shared" si="28"/>
        <v>0-30</v>
      </c>
      <c r="L1391" s="11">
        <v>46023</v>
      </c>
      <c r="M1391" s="23">
        <f>YEAR(Таблица1[[#This Row],[Дата отчета]])</f>
        <v>2026</v>
      </c>
    </row>
    <row r="1392" spans="1:14" x14ac:dyDescent="0.25">
      <c r="A1392" t="s">
        <v>12</v>
      </c>
      <c r="B1392" t="s">
        <v>831</v>
      </c>
      <c r="C1392" t="s">
        <v>832</v>
      </c>
      <c r="D1392" t="s">
        <v>833</v>
      </c>
      <c r="E1392" t="s">
        <v>834</v>
      </c>
      <c r="F1392" s="20">
        <v>1.8</v>
      </c>
      <c r="I1392" s="11">
        <f t="shared" si="29"/>
        <v>45824</v>
      </c>
      <c r="J1392" s="12">
        <f t="shared" si="30"/>
        <v>199</v>
      </c>
      <c r="K1392" t="str">
        <f t="shared" si="28"/>
        <v>181-270</v>
      </c>
      <c r="L1392" s="11">
        <v>46023</v>
      </c>
      <c r="M1392" s="23">
        <f>YEAR(Таблица1[[#This Row],[Дата отчета]])</f>
        <v>2026</v>
      </c>
    </row>
    <row r="1393" spans="1:14" x14ac:dyDescent="0.25">
      <c r="A1393" t="s">
        <v>12</v>
      </c>
      <c r="B1393" t="s">
        <v>838</v>
      </c>
      <c r="C1393" t="s">
        <v>839</v>
      </c>
      <c r="D1393" t="s">
        <v>840</v>
      </c>
      <c r="E1393" t="s">
        <v>841</v>
      </c>
      <c r="F1393" s="20">
        <v>21420</v>
      </c>
      <c r="I1393" s="11">
        <f t="shared" si="29"/>
        <v>45925</v>
      </c>
      <c r="J1393" s="12">
        <f t="shared" si="30"/>
        <v>98</v>
      </c>
      <c r="K1393" t="str">
        <f t="shared" si="28"/>
        <v>91-120</v>
      </c>
      <c r="L1393" s="11">
        <v>46023</v>
      </c>
      <c r="M1393" s="23">
        <f>YEAR(Таблица1[[#This Row],[Дата отчета]])</f>
        <v>2026</v>
      </c>
    </row>
    <row r="1394" spans="1:14" x14ac:dyDescent="0.25">
      <c r="A1394" t="s">
        <v>12</v>
      </c>
      <c r="B1394" t="s">
        <v>838</v>
      </c>
      <c r="C1394" t="s">
        <v>842</v>
      </c>
      <c r="D1394" t="s">
        <v>843</v>
      </c>
      <c r="E1394" t="s">
        <v>841</v>
      </c>
      <c r="F1394" s="20">
        <v>26000</v>
      </c>
      <c r="I1394" s="11">
        <f t="shared" si="29"/>
        <v>45925</v>
      </c>
      <c r="J1394" s="12">
        <f t="shared" si="30"/>
        <v>98</v>
      </c>
      <c r="K1394" t="str">
        <f t="shared" si="28"/>
        <v>91-120</v>
      </c>
      <c r="L1394" s="11">
        <v>46023</v>
      </c>
      <c r="M1394" s="23">
        <f>YEAR(Таблица1[[#This Row],[Дата отчета]])</f>
        <v>2026</v>
      </c>
    </row>
    <row r="1395" spans="1:14" x14ac:dyDescent="0.25">
      <c r="A1395" t="s">
        <v>12</v>
      </c>
      <c r="B1395" t="s">
        <v>844</v>
      </c>
      <c r="C1395" t="s">
        <v>845</v>
      </c>
      <c r="D1395" t="s">
        <v>846</v>
      </c>
      <c r="E1395" t="s">
        <v>847</v>
      </c>
      <c r="F1395" s="20">
        <v>11834</v>
      </c>
      <c r="I1395" s="11">
        <f t="shared" si="29"/>
        <v>45200</v>
      </c>
      <c r="J1395" s="12">
        <f t="shared" si="30"/>
        <v>823</v>
      </c>
      <c r="K1395" t="str">
        <f t="shared" si="28"/>
        <v>&gt;360</v>
      </c>
      <c r="L1395" s="11">
        <v>46023</v>
      </c>
      <c r="M1395" s="23">
        <f>YEAR(Таблица1[[#This Row],[Дата отчета]])</f>
        <v>2026</v>
      </c>
      <c r="N1395" s="2" t="s">
        <v>807</v>
      </c>
    </row>
    <row r="1396" spans="1:14" x14ac:dyDescent="0.25">
      <c r="A1396" t="s">
        <v>12</v>
      </c>
      <c r="B1396" t="s">
        <v>854</v>
      </c>
      <c r="C1396" t="s">
        <v>855</v>
      </c>
      <c r="D1396" t="s">
        <v>856</v>
      </c>
      <c r="E1396" t="s">
        <v>773</v>
      </c>
      <c r="F1396" s="20">
        <v>3000</v>
      </c>
      <c r="I1396" s="11">
        <f t="shared" si="29"/>
        <v>45888</v>
      </c>
      <c r="J1396" s="12">
        <f t="shared" si="30"/>
        <v>135</v>
      </c>
      <c r="K1396" t="str">
        <f t="shared" si="28"/>
        <v>121-180</v>
      </c>
      <c r="L1396" s="11">
        <v>46023</v>
      </c>
      <c r="M1396" s="23">
        <f>YEAR(Таблица1[[#This Row],[Дата отчета]])</f>
        <v>2026</v>
      </c>
    </row>
    <row r="1397" spans="1:14" x14ac:dyDescent="0.25">
      <c r="A1397" t="s">
        <v>12</v>
      </c>
      <c r="B1397" t="s">
        <v>854</v>
      </c>
      <c r="C1397" t="s">
        <v>857</v>
      </c>
      <c r="D1397" t="s">
        <v>858</v>
      </c>
      <c r="E1397" t="s">
        <v>859</v>
      </c>
      <c r="F1397" s="20">
        <v>9250</v>
      </c>
      <c r="I1397" s="11">
        <f t="shared" si="29"/>
        <v>45110</v>
      </c>
      <c r="J1397" s="12">
        <f t="shared" si="30"/>
        <v>913</v>
      </c>
      <c r="K1397" t="str">
        <f t="shared" si="28"/>
        <v>&gt;360</v>
      </c>
      <c r="L1397" s="11">
        <v>46023</v>
      </c>
      <c r="M1397" s="23">
        <f>YEAR(Таблица1[[#This Row],[Дата отчета]])</f>
        <v>2026</v>
      </c>
      <c r="N1397" s="2" t="s">
        <v>807</v>
      </c>
    </row>
    <row r="1398" spans="1:14" x14ac:dyDescent="0.25">
      <c r="A1398" t="s">
        <v>12</v>
      </c>
      <c r="B1398" t="s">
        <v>854</v>
      </c>
      <c r="C1398" t="s">
        <v>860</v>
      </c>
      <c r="D1398" t="s">
        <v>861</v>
      </c>
      <c r="E1398" t="s">
        <v>862</v>
      </c>
      <c r="F1398" s="20">
        <v>4996</v>
      </c>
      <c r="I1398" s="11">
        <f t="shared" si="29"/>
        <v>45187</v>
      </c>
      <c r="J1398" s="12">
        <f t="shared" si="30"/>
        <v>836</v>
      </c>
      <c r="K1398" t="str">
        <f t="shared" si="28"/>
        <v>&gt;360</v>
      </c>
      <c r="L1398" s="11">
        <v>46023</v>
      </c>
      <c r="M1398" s="23">
        <f>YEAR(Таблица1[[#This Row],[Дата отчета]])</f>
        <v>2026</v>
      </c>
      <c r="N1398" s="2" t="s">
        <v>807</v>
      </c>
    </row>
    <row r="1399" spans="1:14" x14ac:dyDescent="0.25">
      <c r="A1399" t="s">
        <v>12</v>
      </c>
      <c r="B1399" t="s">
        <v>854</v>
      </c>
      <c r="C1399" t="s">
        <v>863</v>
      </c>
      <c r="D1399" t="s">
        <v>864</v>
      </c>
      <c r="E1399" t="s">
        <v>865</v>
      </c>
      <c r="F1399" s="20">
        <v>3100</v>
      </c>
      <c r="I1399" s="11">
        <f t="shared" si="29"/>
        <v>45456</v>
      </c>
      <c r="J1399" s="12">
        <f t="shared" si="30"/>
        <v>567</v>
      </c>
      <c r="K1399" t="str">
        <f t="shared" si="28"/>
        <v>&gt;360</v>
      </c>
      <c r="L1399" s="11">
        <v>46023</v>
      </c>
      <c r="M1399" s="23">
        <f>YEAR(Таблица1[[#This Row],[Дата отчета]])</f>
        <v>2026</v>
      </c>
      <c r="N1399" s="2" t="s">
        <v>807</v>
      </c>
    </row>
    <row r="1400" spans="1:14" x14ac:dyDescent="0.25">
      <c r="A1400" t="s">
        <v>12</v>
      </c>
      <c r="B1400" t="s">
        <v>854</v>
      </c>
      <c r="C1400" t="s">
        <v>866</v>
      </c>
      <c r="D1400" t="s">
        <v>867</v>
      </c>
      <c r="E1400" t="s">
        <v>868</v>
      </c>
      <c r="F1400" s="20">
        <v>2640</v>
      </c>
      <c r="I1400" s="11">
        <f t="shared" si="29"/>
        <v>45252</v>
      </c>
      <c r="J1400" s="12">
        <f t="shared" si="30"/>
        <v>771</v>
      </c>
      <c r="K1400" t="str">
        <f t="shared" si="28"/>
        <v>&gt;360</v>
      </c>
      <c r="L1400" s="11">
        <v>46023</v>
      </c>
      <c r="M1400" s="23">
        <f>YEAR(Таблица1[[#This Row],[Дата отчета]])</f>
        <v>2026</v>
      </c>
      <c r="N1400" s="2" t="s">
        <v>807</v>
      </c>
    </row>
    <row r="1401" spans="1:14" x14ac:dyDescent="0.25">
      <c r="A1401" t="s">
        <v>12</v>
      </c>
      <c r="B1401" t="s">
        <v>854</v>
      </c>
      <c r="C1401" t="s">
        <v>883</v>
      </c>
      <c r="D1401" t="s">
        <v>884</v>
      </c>
      <c r="E1401" t="s">
        <v>885</v>
      </c>
      <c r="F1401" s="20">
        <v>22290</v>
      </c>
      <c r="I1401" s="11">
        <f t="shared" si="29"/>
        <v>45783</v>
      </c>
      <c r="J1401" s="12">
        <f t="shared" si="30"/>
        <v>240</v>
      </c>
      <c r="K1401" t="str">
        <f t="shared" si="28"/>
        <v>181-270</v>
      </c>
      <c r="L1401" s="11">
        <v>46023</v>
      </c>
      <c r="M1401" s="23">
        <f>YEAR(Таблица1[[#This Row],[Дата отчета]])</f>
        <v>2026</v>
      </c>
      <c r="N1401" s="2" t="s">
        <v>807</v>
      </c>
    </row>
    <row r="1402" spans="1:14" x14ac:dyDescent="0.25">
      <c r="A1402" t="s">
        <v>12</v>
      </c>
      <c r="B1402" t="s">
        <v>854</v>
      </c>
      <c r="C1402" t="s">
        <v>883</v>
      </c>
      <c r="D1402" t="s">
        <v>886</v>
      </c>
      <c r="E1402" t="s">
        <v>669</v>
      </c>
      <c r="F1402" s="20">
        <v>2000</v>
      </c>
      <c r="I1402" s="11">
        <f t="shared" si="29"/>
        <v>45930</v>
      </c>
      <c r="J1402" s="12">
        <f t="shared" si="30"/>
        <v>93</v>
      </c>
      <c r="K1402" t="str">
        <f t="shared" si="28"/>
        <v>91-120</v>
      </c>
      <c r="L1402" s="11">
        <v>46023</v>
      </c>
      <c r="M1402" s="23">
        <f>YEAR(Таблица1[[#This Row],[Дата отчета]])</f>
        <v>2026</v>
      </c>
    </row>
    <row r="1403" spans="1:14" x14ac:dyDescent="0.25">
      <c r="A1403" t="s">
        <v>12</v>
      </c>
      <c r="B1403" t="s">
        <v>854</v>
      </c>
      <c r="C1403" t="s">
        <v>883</v>
      </c>
      <c r="D1403" t="s">
        <v>887</v>
      </c>
      <c r="E1403" t="s">
        <v>231</v>
      </c>
      <c r="F1403" s="20">
        <v>4100</v>
      </c>
      <c r="I1403" s="11">
        <f t="shared" si="29"/>
        <v>45992</v>
      </c>
      <c r="J1403" s="12">
        <f t="shared" si="30"/>
        <v>31</v>
      </c>
      <c r="K1403" t="str">
        <f t="shared" si="28"/>
        <v>31-90</v>
      </c>
      <c r="L1403" s="11">
        <v>46023</v>
      </c>
      <c r="M1403" s="23">
        <f>YEAR(Таблица1[[#This Row],[Дата отчета]])</f>
        <v>2026</v>
      </c>
    </row>
    <row r="1404" spans="1:14" x14ac:dyDescent="0.25">
      <c r="A1404" t="s">
        <v>12</v>
      </c>
      <c r="B1404" t="s">
        <v>854</v>
      </c>
      <c r="C1404" t="s">
        <v>888</v>
      </c>
      <c r="D1404" t="s">
        <v>889</v>
      </c>
      <c r="E1404" t="s">
        <v>890</v>
      </c>
      <c r="F1404" s="20">
        <v>3000</v>
      </c>
      <c r="I1404" s="11">
        <f t="shared" si="29"/>
        <v>45894</v>
      </c>
      <c r="J1404" s="12">
        <f t="shared" si="30"/>
        <v>129</v>
      </c>
      <c r="K1404" t="str">
        <f t="shared" si="28"/>
        <v>121-180</v>
      </c>
      <c r="L1404" s="11">
        <v>46023</v>
      </c>
      <c r="M1404" s="23">
        <f>YEAR(Таблица1[[#This Row],[Дата отчета]])</f>
        <v>2026</v>
      </c>
    </row>
    <row r="1405" spans="1:14" x14ac:dyDescent="0.25">
      <c r="A1405" t="s">
        <v>12</v>
      </c>
      <c r="B1405" t="s">
        <v>854</v>
      </c>
      <c r="C1405" t="s">
        <v>891</v>
      </c>
      <c r="D1405" t="s">
        <v>892</v>
      </c>
      <c r="E1405" t="s">
        <v>893</v>
      </c>
      <c r="F1405" s="20">
        <v>29300</v>
      </c>
      <c r="I1405" s="11">
        <f t="shared" si="29"/>
        <v>45898</v>
      </c>
      <c r="J1405" s="12">
        <f t="shared" si="30"/>
        <v>125</v>
      </c>
      <c r="K1405" t="str">
        <f t="shared" si="28"/>
        <v>121-180</v>
      </c>
      <c r="L1405" s="11">
        <v>46023</v>
      </c>
      <c r="M1405" s="23">
        <f>YEAR(Таблица1[[#This Row],[Дата отчета]])</f>
        <v>2026</v>
      </c>
    </row>
    <row r="1406" spans="1:14" x14ac:dyDescent="0.25">
      <c r="A1406" t="s">
        <v>12</v>
      </c>
      <c r="B1406" t="s">
        <v>854</v>
      </c>
      <c r="C1406" t="s">
        <v>1201</v>
      </c>
      <c r="D1406" t="s">
        <v>1202</v>
      </c>
      <c r="E1406" t="s">
        <v>669</v>
      </c>
      <c r="F1406" s="20">
        <v>7108</v>
      </c>
      <c r="I1406" s="11">
        <f t="shared" si="29"/>
        <v>45930</v>
      </c>
      <c r="J1406" s="12">
        <f t="shared" si="30"/>
        <v>93</v>
      </c>
      <c r="K1406" t="str">
        <f t="shared" si="28"/>
        <v>91-120</v>
      </c>
      <c r="L1406" s="11">
        <v>46023</v>
      </c>
      <c r="M1406" s="23">
        <f>YEAR(Таблица1[[#This Row],[Дата отчета]])</f>
        <v>2026</v>
      </c>
    </row>
    <row r="1407" spans="1:14" x14ac:dyDescent="0.25">
      <c r="A1407" t="s">
        <v>12</v>
      </c>
      <c r="B1407" t="s">
        <v>894</v>
      </c>
      <c r="C1407" t="s">
        <v>895</v>
      </c>
      <c r="D1407" t="s">
        <v>896</v>
      </c>
      <c r="E1407" t="s">
        <v>897</v>
      </c>
      <c r="F1407" s="20">
        <v>2400</v>
      </c>
      <c r="I1407" s="11">
        <f t="shared" si="29"/>
        <v>45022</v>
      </c>
      <c r="J1407" s="12">
        <f t="shared" si="30"/>
        <v>1001</v>
      </c>
      <c r="K1407" t="str">
        <f t="shared" ref="K1407:K1470" si="31">IF(J1407&lt;=30,"0-30",IF(J1407&lt;=90,"31-90",IF(J1407&lt;=120,"91-120",IF(J1407&lt;=180,"121-180",IF(J1407&lt;=270,"181-270",IF(J1407&lt;=360,"271-360","&gt;360"))))))</f>
        <v>&gt;360</v>
      </c>
      <c r="L1407" s="11">
        <v>46023</v>
      </c>
      <c r="M1407" s="23">
        <f>YEAR(Таблица1[[#This Row],[Дата отчета]])</f>
        <v>2026</v>
      </c>
      <c r="N1407" s="2" t="s">
        <v>807</v>
      </c>
    </row>
    <row r="1408" spans="1:14" x14ac:dyDescent="0.25">
      <c r="A1408" t="s">
        <v>12</v>
      </c>
      <c r="B1408" t="s">
        <v>894</v>
      </c>
      <c r="C1408" t="s">
        <v>898</v>
      </c>
      <c r="D1408" t="s">
        <v>899</v>
      </c>
      <c r="E1408" t="s">
        <v>900</v>
      </c>
      <c r="F1408" s="20">
        <v>22029</v>
      </c>
      <c r="I1408" s="11">
        <f t="shared" si="29"/>
        <v>45203</v>
      </c>
      <c r="J1408" s="12">
        <f t="shared" si="30"/>
        <v>820</v>
      </c>
      <c r="K1408" t="str">
        <f t="shared" si="31"/>
        <v>&gt;360</v>
      </c>
      <c r="L1408" s="11">
        <v>46023</v>
      </c>
      <c r="M1408" s="23">
        <f>YEAR(Таблица1[[#This Row],[Дата отчета]])</f>
        <v>2026</v>
      </c>
      <c r="N1408" s="2" t="s">
        <v>807</v>
      </c>
    </row>
    <row r="1409" spans="1:14" x14ac:dyDescent="0.25">
      <c r="A1409" t="s">
        <v>12</v>
      </c>
      <c r="B1409" t="s">
        <v>901</v>
      </c>
      <c r="C1409" t="s">
        <v>775</v>
      </c>
      <c r="D1409" t="s">
        <v>902</v>
      </c>
      <c r="E1409" t="s">
        <v>903</v>
      </c>
      <c r="F1409" s="20">
        <v>270</v>
      </c>
      <c r="I1409" s="11">
        <f t="shared" si="29"/>
        <v>43679</v>
      </c>
      <c r="J1409" s="12">
        <f t="shared" si="30"/>
        <v>2344</v>
      </c>
      <c r="K1409" t="str">
        <f t="shared" si="31"/>
        <v>&gt;360</v>
      </c>
      <c r="L1409" s="11">
        <v>46023</v>
      </c>
      <c r="M1409" s="23">
        <f>YEAR(Таблица1[[#This Row],[Дата отчета]])</f>
        <v>2026</v>
      </c>
      <c r="N1409" s="2" t="s">
        <v>807</v>
      </c>
    </row>
    <row r="1410" spans="1:14" x14ac:dyDescent="0.25">
      <c r="A1410" t="s">
        <v>12</v>
      </c>
      <c r="B1410" t="s">
        <v>904</v>
      </c>
      <c r="C1410" t="s">
        <v>905</v>
      </c>
      <c r="D1410" t="s">
        <v>906</v>
      </c>
      <c r="E1410" t="s">
        <v>907</v>
      </c>
      <c r="F1410" s="20">
        <v>479100</v>
      </c>
      <c r="I1410" s="11">
        <f t="shared" si="29"/>
        <v>45909</v>
      </c>
      <c r="J1410" s="12">
        <f t="shared" si="30"/>
        <v>114</v>
      </c>
      <c r="K1410" t="str">
        <f t="shared" si="31"/>
        <v>91-120</v>
      </c>
      <c r="L1410" s="11">
        <v>46023</v>
      </c>
      <c r="M1410" s="23">
        <f>YEAR(Таблица1[[#This Row],[Дата отчета]])</f>
        <v>2026</v>
      </c>
    </row>
    <row r="1411" spans="1:14" x14ac:dyDescent="0.25">
      <c r="A1411" t="s">
        <v>12</v>
      </c>
      <c r="B1411" t="s">
        <v>904</v>
      </c>
      <c r="C1411" t="s">
        <v>908</v>
      </c>
      <c r="D1411" t="s">
        <v>909</v>
      </c>
      <c r="E1411" t="s">
        <v>702</v>
      </c>
      <c r="F1411" s="20">
        <v>855000</v>
      </c>
      <c r="I1411" s="11">
        <f t="shared" si="29"/>
        <v>45943</v>
      </c>
      <c r="J1411" s="12">
        <f t="shared" si="30"/>
        <v>80</v>
      </c>
      <c r="K1411" t="str">
        <f t="shared" si="31"/>
        <v>31-90</v>
      </c>
      <c r="L1411" s="11">
        <v>46023</v>
      </c>
      <c r="M1411" s="23">
        <f>YEAR(Таблица1[[#This Row],[Дата отчета]])</f>
        <v>2026</v>
      </c>
    </row>
    <row r="1412" spans="1:14" x14ac:dyDescent="0.25">
      <c r="A1412" t="s">
        <v>12</v>
      </c>
      <c r="B1412" t="s">
        <v>915</v>
      </c>
      <c r="C1412" t="s">
        <v>916</v>
      </c>
      <c r="D1412" t="s">
        <v>917</v>
      </c>
      <c r="E1412" t="s">
        <v>571</v>
      </c>
      <c r="F1412" s="20">
        <v>380000</v>
      </c>
      <c r="I1412" s="11">
        <f t="shared" si="29"/>
        <v>45951</v>
      </c>
      <c r="J1412" s="12">
        <f t="shared" si="30"/>
        <v>72</v>
      </c>
      <c r="K1412" t="str">
        <f t="shared" si="31"/>
        <v>31-90</v>
      </c>
      <c r="L1412" s="11">
        <v>46023</v>
      </c>
      <c r="M1412" s="23">
        <f>YEAR(Таблица1[[#This Row],[Дата отчета]])</f>
        <v>2026</v>
      </c>
    </row>
    <row r="1413" spans="1:14" x14ac:dyDescent="0.25">
      <c r="A1413" t="s">
        <v>12</v>
      </c>
      <c r="B1413" t="s">
        <v>915</v>
      </c>
      <c r="C1413" t="s">
        <v>918</v>
      </c>
      <c r="D1413" t="s">
        <v>919</v>
      </c>
      <c r="E1413" t="s">
        <v>920</v>
      </c>
      <c r="F1413" s="20">
        <v>37500</v>
      </c>
      <c r="I1413" s="11">
        <f t="shared" si="29"/>
        <v>45392</v>
      </c>
      <c r="J1413" s="12">
        <f t="shared" si="30"/>
        <v>631</v>
      </c>
      <c r="K1413" t="str">
        <f t="shared" si="31"/>
        <v>&gt;360</v>
      </c>
      <c r="L1413" s="11">
        <v>46023</v>
      </c>
      <c r="M1413" s="23">
        <f>YEAR(Таблица1[[#This Row],[Дата отчета]])</f>
        <v>2026</v>
      </c>
      <c r="N1413" s="2" t="s">
        <v>4538</v>
      </c>
    </row>
    <row r="1414" spans="1:14" x14ac:dyDescent="0.25">
      <c r="A1414" t="s">
        <v>12</v>
      </c>
      <c r="B1414" t="s">
        <v>915</v>
      </c>
      <c r="C1414" t="s">
        <v>923</v>
      </c>
      <c r="D1414" t="s">
        <v>924</v>
      </c>
      <c r="E1414" t="s">
        <v>725</v>
      </c>
      <c r="F1414" s="20">
        <v>10495159.01</v>
      </c>
      <c r="I1414" s="11">
        <f t="shared" si="29"/>
        <v>46002</v>
      </c>
      <c r="J1414" s="12">
        <f t="shared" si="30"/>
        <v>21</v>
      </c>
      <c r="K1414" t="str">
        <f t="shared" si="31"/>
        <v>0-30</v>
      </c>
      <c r="L1414" s="11">
        <v>46023</v>
      </c>
      <c r="M1414" s="23">
        <f>YEAR(Таблица1[[#This Row],[Дата отчета]])</f>
        <v>2026</v>
      </c>
    </row>
    <row r="1415" spans="1:14" x14ac:dyDescent="0.25">
      <c r="A1415" t="s">
        <v>12</v>
      </c>
      <c r="B1415" t="s">
        <v>925</v>
      </c>
      <c r="C1415" t="s">
        <v>926</v>
      </c>
      <c r="D1415" t="s">
        <v>927</v>
      </c>
      <c r="E1415" t="s">
        <v>662</v>
      </c>
      <c r="F1415" s="20">
        <v>700232.5</v>
      </c>
      <c r="I1415" s="11">
        <f t="shared" si="29"/>
        <v>45932</v>
      </c>
      <c r="J1415" s="12">
        <f t="shared" si="30"/>
        <v>91</v>
      </c>
      <c r="K1415" t="str">
        <f t="shared" si="31"/>
        <v>91-120</v>
      </c>
      <c r="L1415" s="11">
        <v>46023</v>
      </c>
      <c r="M1415" s="23">
        <f>YEAR(Таблица1[[#This Row],[Дата отчета]])</f>
        <v>2026</v>
      </c>
    </row>
    <row r="1416" spans="1:14" x14ac:dyDescent="0.25">
      <c r="A1416" t="s">
        <v>12</v>
      </c>
      <c r="B1416" t="s">
        <v>925</v>
      </c>
      <c r="C1416" t="s">
        <v>926</v>
      </c>
      <c r="D1416" t="s">
        <v>928</v>
      </c>
      <c r="E1416" t="s">
        <v>929</v>
      </c>
      <c r="F1416" s="20">
        <v>700232.5</v>
      </c>
      <c r="I1416" s="11">
        <f t="shared" si="29"/>
        <v>46007</v>
      </c>
      <c r="J1416" s="12">
        <f t="shared" si="30"/>
        <v>16</v>
      </c>
      <c r="K1416" t="str">
        <f t="shared" si="31"/>
        <v>0-30</v>
      </c>
      <c r="L1416" s="11">
        <v>46023</v>
      </c>
      <c r="M1416" s="23">
        <f>YEAR(Таблица1[[#This Row],[Дата отчета]])</f>
        <v>2026</v>
      </c>
    </row>
    <row r="1417" spans="1:14" x14ac:dyDescent="0.25">
      <c r="A1417" t="s">
        <v>12</v>
      </c>
      <c r="B1417" t="s">
        <v>935</v>
      </c>
      <c r="C1417" t="s">
        <v>1203</v>
      </c>
      <c r="D1417" t="s">
        <v>1204</v>
      </c>
      <c r="E1417" t="s">
        <v>100</v>
      </c>
      <c r="F1417" s="20">
        <v>42000</v>
      </c>
      <c r="I1417" s="11">
        <f t="shared" si="29"/>
        <v>45905</v>
      </c>
      <c r="J1417" s="12">
        <f t="shared" si="30"/>
        <v>118</v>
      </c>
      <c r="K1417" t="str">
        <f t="shared" si="31"/>
        <v>91-120</v>
      </c>
      <c r="L1417" s="11">
        <v>46023</v>
      </c>
      <c r="M1417" s="23">
        <f>YEAR(Таблица1[[#This Row],[Дата отчета]])</f>
        <v>2026</v>
      </c>
    </row>
    <row r="1418" spans="1:14" x14ac:dyDescent="0.25">
      <c r="A1418" t="s">
        <v>12</v>
      </c>
      <c r="B1418" t="s">
        <v>935</v>
      </c>
      <c r="C1418" t="s">
        <v>936</v>
      </c>
      <c r="D1418" t="s">
        <v>937</v>
      </c>
      <c r="E1418" t="s">
        <v>841</v>
      </c>
      <c r="F1418" s="20">
        <v>67040</v>
      </c>
      <c r="I1418" s="11">
        <f t="shared" si="29"/>
        <v>45925</v>
      </c>
      <c r="J1418" s="12">
        <f t="shared" si="30"/>
        <v>98</v>
      </c>
      <c r="K1418" t="str">
        <f t="shared" si="31"/>
        <v>91-120</v>
      </c>
      <c r="L1418" s="11">
        <v>46023</v>
      </c>
      <c r="M1418" s="23">
        <f>YEAR(Таблица1[[#This Row],[Дата отчета]])</f>
        <v>2026</v>
      </c>
    </row>
    <row r="1419" spans="1:14" x14ac:dyDescent="0.25">
      <c r="A1419" t="s">
        <v>12</v>
      </c>
      <c r="B1419" t="s">
        <v>935</v>
      </c>
      <c r="C1419" t="s">
        <v>1205</v>
      </c>
      <c r="D1419" t="s">
        <v>1206</v>
      </c>
      <c r="E1419" t="s">
        <v>1207</v>
      </c>
      <c r="F1419" s="20">
        <v>2000</v>
      </c>
      <c r="I1419" s="11">
        <f t="shared" si="29"/>
        <v>45926</v>
      </c>
      <c r="J1419" s="12">
        <f t="shared" si="30"/>
        <v>97</v>
      </c>
      <c r="K1419" t="str">
        <f t="shared" si="31"/>
        <v>91-120</v>
      </c>
      <c r="L1419" s="11">
        <v>46023</v>
      </c>
      <c r="M1419" s="23">
        <f>YEAR(Таблица1[[#This Row],[Дата отчета]])</f>
        <v>2026</v>
      </c>
    </row>
    <row r="1420" spans="1:14" x14ac:dyDescent="0.25">
      <c r="A1420" t="s">
        <v>12</v>
      </c>
      <c r="B1420" t="s">
        <v>935</v>
      </c>
      <c r="C1420" t="s">
        <v>938</v>
      </c>
      <c r="D1420" t="s">
        <v>939</v>
      </c>
      <c r="E1420" t="s">
        <v>131</v>
      </c>
      <c r="F1420" s="20">
        <v>424000</v>
      </c>
      <c r="I1420" s="11">
        <f t="shared" si="29"/>
        <v>45931</v>
      </c>
      <c r="J1420" s="12">
        <f t="shared" si="30"/>
        <v>92</v>
      </c>
      <c r="K1420" t="str">
        <f t="shared" si="31"/>
        <v>91-120</v>
      </c>
      <c r="L1420" s="11">
        <v>46023</v>
      </c>
      <c r="M1420" s="23">
        <f>YEAR(Таблица1[[#This Row],[Дата отчета]])</f>
        <v>2026</v>
      </c>
    </row>
    <row r="1421" spans="1:14" x14ac:dyDescent="0.25">
      <c r="A1421" t="s">
        <v>12</v>
      </c>
      <c r="B1421" t="s">
        <v>935</v>
      </c>
      <c r="C1421" t="s">
        <v>1208</v>
      </c>
      <c r="D1421" t="s">
        <v>1209</v>
      </c>
      <c r="E1421" t="s">
        <v>662</v>
      </c>
      <c r="F1421" s="20">
        <v>62000</v>
      </c>
      <c r="I1421" s="11">
        <f t="shared" si="29"/>
        <v>45932</v>
      </c>
      <c r="J1421" s="12">
        <f t="shared" si="30"/>
        <v>91</v>
      </c>
      <c r="K1421" t="str">
        <f t="shared" si="31"/>
        <v>91-120</v>
      </c>
      <c r="L1421" s="11">
        <v>46023</v>
      </c>
      <c r="M1421" s="23">
        <f>YEAR(Таблица1[[#This Row],[Дата отчета]])</f>
        <v>2026</v>
      </c>
    </row>
    <row r="1422" spans="1:14" x14ac:dyDescent="0.25">
      <c r="A1422" t="s">
        <v>12</v>
      </c>
      <c r="B1422" t="s">
        <v>935</v>
      </c>
      <c r="C1422" t="s">
        <v>1210</v>
      </c>
      <c r="D1422" t="s">
        <v>1211</v>
      </c>
      <c r="E1422" t="s">
        <v>292</v>
      </c>
      <c r="F1422" s="20">
        <v>34750</v>
      </c>
      <c r="I1422" s="11">
        <f t="shared" si="29"/>
        <v>45933</v>
      </c>
      <c r="J1422" s="12">
        <f t="shared" si="30"/>
        <v>90</v>
      </c>
      <c r="K1422" t="str">
        <f t="shared" si="31"/>
        <v>31-90</v>
      </c>
      <c r="L1422" s="11">
        <v>46023</v>
      </c>
      <c r="M1422" s="23">
        <f>YEAR(Таблица1[[#This Row],[Дата отчета]])</f>
        <v>2026</v>
      </c>
    </row>
    <row r="1423" spans="1:14" x14ac:dyDescent="0.25">
      <c r="A1423" t="s">
        <v>12</v>
      </c>
      <c r="B1423" t="s">
        <v>935</v>
      </c>
      <c r="C1423" t="s">
        <v>942</v>
      </c>
      <c r="D1423" t="s">
        <v>943</v>
      </c>
      <c r="E1423" t="s">
        <v>944</v>
      </c>
      <c r="F1423" s="20">
        <v>14000</v>
      </c>
      <c r="I1423" s="11">
        <f t="shared" si="29"/>
        <v>45749</v>
      </c>
      <c r="J1423" s="12">
        <f t="shared" si="30"/>
        <v>274</v>
      </c>
      <c r="K1423" t="str">
        <f t="shared" si="31"/>
        <v>271-360</v>
      </c>
      <c r="L1423" s="11">
        <v>46023</v>
      </c>
      <c r="M1423" s="23">
        <f>YEAR(Таблица1[[#This Row],[Дата отчета]])</f>
        <v>2026</v>
      </c>
      <c r="N1423" s="7" t="s">
        <v>4538</v>
      </c>
    </row>
    <row r="1424" spans="1:14" x14ac:dyDescent="0.25">
      <c r="A1424" t="s">
        <v>12</v>
      </c>
      <c r="B1424" t="s">
        <v>945</v>
      </c>
      <c r="C1424" t="s">
        <v>946</v>
      </c>
      <c r="D1424" t="s">
        <v>947</v>
      </c>
      <c r="E1424" t="s">
        <v>79</v>
      </c>
      <c r="F1424" s="20">
        <v>2000</v>
      </c>
      <c r="I1424" s="11">
        <f t="shared" ref="I1424:I1481" si="32">E1424*1</f>
        <v>45980</v>
      </c>
      <c r="J1424" s="12">
        <f t="shared" ref="J1424:J1481" si="33">L1424-I1424</f>
        <v>43</v>
      </c>
      <c r="K1424" t="str">
        <f t="shared" si="31"/>
        <v>31-90</v>
      </c>
      <c r="L1424" s="11">
        <v>46023</v>
      </c>
      <c r="M1424" s="23">
        <f>YEAR(Таблица1[[#This Row],[Дата отчета]])</f>
        <v>2026</v>
      </c>
    </row>
    <row r="1425" spans="1:16" x14ac:dyDescent="0.25">
      <c r="A1425" t="s">
        <v>12</v>
      </c>
      <c r="B1425" t="s">
        <v>1212</v>
      </c>
      <c r="C1425" t="s">
        <v>1213</v>
      </c>
      <c r="D1425" t="s">
        <v>1214</v>
      </c>
      <c r="E1425" t="s">
        <v>635</v>
      </c>
      <c r="F1425" s="20">
        <v>5852650</v>
      </c>
      <c r="I1425" s="11">
        <f t="shared" si="32"/>
        <v>45910</v>
      </c>
      <c r="J1425" s="12">
        <f t="shared" si="33"/>
        <v>113</v>
      </c>
      <c r="K1425" t="str">
        <f t="shared" si="31"/>
        <v>91-120</v>
      </c>
      <c r="L1425" s="11">
        <v>46023</v>
      </c>
      <c r="M1425" s="23">
        <f>YEAR(Таблица1[[#This Row],[Дата отчета]])</f>
        <v>2026</v>
      </c>
    </row>
    <row r="1426" spans="1:16" x14ac:dyDescent="0.25">
      <c r="A1426" t="s">
        <v>12</v>
      </c>
      <c r="B1426" t="s">
        <v>1212</v>
      </c>
      <c r="C1426" t="s">
        <v>1213</v>
      </c>
      <c r="D1426" t="s">
        <v>1215</v>
      </c>
      <c r="E1426" t="s">
        <v>571</v>
      </c>
      <c r="F1426" s="20">
        <v>5852650</v>
      </c>
      <c r="I1426" s="11">
        <f t="shared" si="32"/>
        <v>45951</v>
      </c>
      <c r="J1426" s="12">
        <f t="shared" si="33"/>
        <v>72</v>
      </c>
      <c r="K1426" t="str">
        <f t="shared" si="31"/>
        <v>31-90</v>
      </c>
      <c r="L1426" s="11">
        <v>46023</v>
      </c>
      <c r="M1426" s="23">
        <f>YEAR(Таблица1[[#This Row],[Дата отчета]])</f>
        <v>2026</v>
      </c>
    </row>
    <row r="1427" spans="1:16" x14ac:dyDescent="0.25">
      <c r="A1427" t="s">
        <v>12</v>
      </c>
      <c r="B1427" t="s">
        <v>965</v>
      </c>
      <c r="C1427" t="s">
        <v>966</v>
      </c>
      <c r="D1427" t="s">
        <v>967</v>
      </c>
      <c r="E1427" t="s">
        <v>968</v>
      </c>
      <c r="F1427" s="20">
        <v>252667.4</v>
      </c>
      <c r="I1427" s="11">
        <f t="shared" si="32"/>
        <v>45729</v>
      </c>
      <c r="J1427" s="12">
        <f t="shared" si="33"/>
        <v>294</v>
      </c>
      <c r="K1427" t="str">
        <f t="shared" si="31"/>
        <v>271-360</v>
      </c>
      <c r="L1427" s="11">
        <v>46023</v>
      </c>
      <c r="M1427" s="23">
        <f>YEAR(Таблица1[[#This Row],[Дата отчета]])</f>
        <v>2026</v>
      </c>
      <c r="N1427" s="7" t="s">
        <v>4536</v>
      </c>
    </row>
    <row r="1428" spans="1:16" x14ac:dyDescent="0.25">
      <c r="A1428" t="s">
        <v>12</v>
      </c>
      <c r="B1428" t="s">
        <v>971</v>
      </c>
      <c r="C1428" t="s">
        <v>972</v>
      </c>
      <c r="D1428" t="s">
        <v>973</v>
      </c>
      <c r="E1428" t="s">
        <v>592</v>
      </c>
      <c r="F1428" s="20">
        <v>225706.72</v>
      </c>
      <c r="I1428" s="11">
        <f t="shared" si="32"/>
        <v>45966</v>
      </c>
      <c r="J1428" s="12">
        <f t="shared" si="33"/>
        <v>57</v>
      </c>
      <c r="K1428" t="str">
        <f t="shared" si="31"/>
        <v>31-90</v>
      </c>
      <c r="L1428" s="11">
        <v>46023</v>
      </c>
      <c r="M1428" s="23">
        <f>YEAR(Таблица1[[#This Row],[Дата отчета]])</f>
        <v>2026</v>
      </c>
    </row>
    <row r="1429" spans="1:16" x14ac:dyDescent="0.25">
      <c r="A1429" t="s">
        <v>12</v>
      </c>
      <c r="B1429" t="s">
        <v>971</v>
      </c>
      <c r="C1429" t="s">
        <v>974</v>
      </c>
      <c r="D1429" t="s">
        <v>975</v>
      </c>
      <c r="E1429" t="s">
        <v>592</v>
      </c>
      <c r="F1429" s="20">
        <v>154485.6</v>
      </c>
      <c r="I1429" s="11">
        <f t="shared" si="32"/>
        <v>45966</v>
      </c>
      <c r="J1429" s="12">
        <f t="shared" si="33"/>
        <v>57</v>
      </c>
      <c r="K1429" t="str">
        <f t="shared" si="31"/>
        <v>31-90</v>
      </c>
      <c r="L1429" s="11">
        <v>46023</v>
      </c>
      <c r="M1429" s="23">
        <f>YEAR(Таблица1[[#This Row],[Дата отчета]])</f>
        <v>2026</v>
      </c>
    </row>
    <row r="1430" spans="1:16" x14ac:dyDescent="0.25">
      <c r="A1430" t="s">
        <v>12</v>
      </c>
      <c r="B1430" t="s">
        <v>980</v>
      </c>
      <c r="C1430" t="s">
        <v>981</v>
      </c>
      <c r="D1430" t="s">
        <v>982</v>
      </c>
      <c r="E1430" t="s">
        <v>983</v>
      </c>
      <c r="F1430" s="20">
        <v>31000</v>
      </c>
      <c r="I1430" s="11">
        <f t="shared" si="32"/>
        <v>45755</v>
      </c>
      <c r="J1430" s="12">
        <f t="shared" si="33"/>
        <v>268</v>
      </c>
      <c r="K1430" t="str">
        <f t="shared" si="31"/>
        <v>181-270</v>
      </c>
      <c r="L1430" s="11">
        <v>46023</v>
      </c>
      <c r="M1430" s="23">
        <f>YEAR(Таблица1[[#This Row],[Дата отчета]])</f>
        <v>2026</v>
      </c>
      <c r="N1430" s="2" t="s">
        <v>807</v>
      </c>
    </row>
    <row r="1431" spans="1:16" x14ac:dyDescent="0.25">
      <c r="A1431" t="s">
        <v>12</v>
      </c>
      <c r="B1431" t="s">
        <v>984</v>
      </c>
      <c r="C1431" t="s">
        <v>985</v>
      </c>
      <c r="D1431" t="s">
        <v>986</v>
      </c>
      <c r="E1431" t="s">
        <v>987</v>
      </c>
      <c r="F1431" s="20">
        <v>32000</v>
      </c>
      <c r="I1431" s="11">
        <f t="shared" si="32"/>
        <v>45747</v>
      </c>
      <c r="J1431" s="12">
        <f t="shared" si="33"/>
        <v>276</v>
      </c>
      <c r="K1431" t="str">
        <f t="shared" si="31"/>
        <v>271-360</v>
      </c>
      <c r="L1431" s="11">
        <v>46023</v>
      </c>
      <c r="M1431" s="23">
        <f>YEAR(Таблица1[[#This Row],[Дата отчета]])</f>
        <v>2026</v>
      </c>
      <c r="N1431" s="2" t="s">
        <v>807</v>
      </c>
    </row>
    <row r="1432" spans="1:16" x14ac:dyDescent="0.25">
      <c r="A1432" t="s">
        <v>12</v>
      </c>
      <c r="B1432" t="s">
        <v>988</v>
      </c>
      <c r="C1432" t="s">
        <v>989</v>
      </c>
      <c r="D1432" t="s">
        <v>990</v>
      </c>
      <c r="E1432" t="s">
        <v>140</v>
      </c>
      <c r="F1432" s="20">
        <v>214283.5</v>
      </c>
      <c r="I1432" s="11">
        <f t="shared" si="32"/>
        <v>45917</v>
      </c>
      <c r="J1432" s="12">
        <f t="shared" si="33"/>
        <v>106</v>
      </c>
      <c r="K1432" t="str">
        <f t="shared" si="31"/>
        <v>91-120</v>
      </c>
      <c r="L1432" s="11">
        <v>46023</v>
      </c>
      <c r="M1432" s="23">
        <f>YEAR(Таблица1[[#This Row],[Дата отчета]])</f>
        <v>2026</v>
      </c>
    </row>
    <row r="1433" spans="1:16" x14ac:dyDescent="0.25">
      <c r="A1433" t="s">
        <v>12</v>
      </c>
      <c r="B1433" t="s">
        <v>991</v>
      </c>
      <c r="C1433" t="s">
        <v>992</v>
      </c>
      <c r="D1433" t="s">
        <v>993</v>
      </c>
      <c r="E1433" t="s">
        <v>994</v>
      </c>
      <c r="F1433" s="20">
        <v>20740</v>
      </c>
      <c r="I1433" s="11">
        <f t="shared" si="32"/>
        <v>45741</v>
      </c>
      <c r="J1433" s="12">
        <f t="shared" si="33"/>
        <v>282</v>
      </c>
      <c r="K1433" t="str">
        <f t="shared" si="31"/>
        <v>271-360</v>
      </c>
      <c r="L1433" s="11">
        <v>46023</v>
      </c>
      <c r="M1433" s="23">
        <f>YEAR(Таблица1[[#This Row],[Дата отчета]])</f>
        <v>2026</v>
      </c>
      <c r="N1433" s="7" t="s">
        <v>4538</v>
      </c>
    </row>
    <row r="1434" spans="1:16" x14ac:dyDescent="0.25">
      <c r="A1434" t="s">
        <v>12</v>
      </c>
      <c r="B1434" t="s">
        <v>995</v>
      </c>
      <c r="C1434" t="s">
        <v>996</v>
      </c>
      <c r="D1434" t="s">
        <v>997</v>
      </c>
      <c r="E1434" t="s">
        <v>998</v>
      </c>
      <c r="F1434" s="20">
        <v>401.24</v>
      </c>
      <c r="I1434" s="11">
        <f t="shared" si="32"/>
        <v>45534</v>
      </c>
      <c r="J1434" s="12">
        <f t="shared" si="33"/>
        <v>489</v>
      </c>
      <c r="K1434" t="str">
        <f t="shared" si="31"/>
        <v>&gt;360</v>
      </c>
      <c r="L1434" s="11">
        <v>46023</v>
      </c>
      <c r="M1434" s="23">
        <f>YEAR(Таблица1[[#This Row],[Дата отчета]])</f>
        <v>2026</v>
      </c>
      <c r="N1434" s="7" t="s">
        <v>4536</v>
      </c>
      <c r="P1434" s="2" t="s">
        <v>4552</v>
      </c>
    </row>
    <row r="1435" spans="1:16" x14ac:dyDescent="0.25">
      <c r="A1435" t="s">
        <v>12</v>
      </c>
      <c r="B1435" t="s">
        <v>995</v>
      </c>
      <c r="C1435" t="s">
        <v>999</v>
      </c>
      <c r="D1435" t="s">
        <v>1000</v>
      </c>
      <c r="E1435" t="s">
        <v>1001</v>
      </c>
      <c r="F1435" s="20">
        <v>4012.33</v>
      </c>
      <c r="I1435" s="11">
        <f t="shared" si="32"/>
        <v>45573</v>
      </c>
      <c r="J1435" s="12">
        <f t="shared" si="33"/>
        <v>450</v>
      </c>
      <c r="K1435" t="str">
        <f t="shared" si="31"/>
        <v>&gt;360</v>
      </c>
      <c r="L1435" s="11">
        <v>46023</v>
      </c>
      <c r="M1435" s="23">
        <f>YEAR(Таблица1[[#This Row],[Дата отчета]])</f>
        <v>2026</v>
      </c>
      <c r="N1435" s="7" t="s">
        <v>4536</v>
      </c>
      <c r="P1435" s="2" t="s">
        <v>4552</v>
      </c>
    </row>
    <row r="1436" spans="1:16" x14ac:dyDescent="0.25">
      <c r="A1436" t="s">
        <v>12</v>
      </c>
      <c r="B1436" t="s">
        <v>1216</v>
      </c>
      <c r="C1436" t="s">
        <v>1217</v>
      </c>
      <c r="D1436" t="s">
        <v>1218</v>
      </c>
      <c r="E1436" t="s">
        <v>669</v>
      </c>
      <c r="F1436" s="20">
        <v>10500</v>
      </c>
      <c r="I1436" s="11">
        <f t="shared" si="32"/>
        <v>45930</v>
      </c>
      <c r="J1436" s="12">
        <f t="shared" si="33"/>
        <v>93</v>
      </c>
      <c r="K1436" t="str">
        <f t="shared" si="31"/>
        <v>91-120</v>
      </c>
      <c r="L1436" s="11">
        <v>46023</v>
      </c>
      <c r="M1436" s="23">
        <f>YEAR(Таблица1[[#This Row],[Дата отчета]])</f>
        <v>2026</v>
      </c>
    </row>
    <row r="1437" spans="1:16" x14ac:dyDescent="0.25">
      <c r="A1437" t="s">
        <v>12</v>
      </c>
      <c r="B1437" t="s">
        <v>1005</v>
      </c>
      <c r="C1437" t="s">
        <v>1219</v>
      </c>
      <c r="D1437" t="s">
        <v>1220</v>
      </c>
      <c r="E1437" t="s">
        <v>994</v>
      </c>
      <c r="F1437" s="20">
        <v>66974</v>
      </c>
      <c r="I1437" s="11">
        <f t="shared" si="32"/>
        <v>45741</v>
      </c>
      <c r="J1437" s="12">
        <f t="shared" si="33"/>
        <v>282</v>
      </c>
      <c r="K1437" t="str">
        <f t="shared" si="31"/>
        <v>271-360</v>
      </c>
      <c r="L1437" s="11">
        <v>46023</v>
      </c>
      <c r="M1437" s="23">
        <f>YEAR(Таблица1[[#This Row],[Дата отчета]])</f>
        <v>2026</v>
      </c>
    </row>
    <row r="1438" spans="1:16" x14ac:dyDescent="0.25">
      <c r="A1438" t="s">
        <v>12</v>
      </c>
      <c r="B1438" t="s">
        <v>1008</v>
      </c>
      <c r="C1438" t="s">
        <v>775</v>
      </c>
      <c r="D1438" t="s">
        <v>1009</v>
      </c>
      <c r="E1438" t="s">
        <v>1010</v>
      </c>
      <c r="F1438" s="20">
        <v>0.1</v>
      </c>
      <c r="I1438" s="11">
        <f t="shared" si="32"/>
        <v>45519</v>
      </c>
      <c r="J1438" s="12">
        <f t="shared" si="33"/>
        <v>504</v>
      </c>
      <c r="K1438" t="str">
        <f t="shared" si="31"/>
        <v>&gt;360</v>
      </c>
      <c r="L1438" s="11">
        <v>46023</v>
      </c>
      <c r="M1438" s="23">
        <f>YEAR(Таблица1[[#This Row],[Дата отчета]])</f>
        <v>2026</v>
      </c>
    </row>
    <row r="1439" spans="1:16" x14ac:dyDescent="0.25">
      <c r="A1439" t="s">
        <v>12</v>
      </c>
      <c r="B1439" t="s">
        <v>1011</v>
      </c>
      <c r="C1439" t="s">
        <v>1012</v>
      </c>
      <c r="D1439" t="s">
        <v>1013</v>
      </c>
      <c r="E1439" t="s">
        <v>1014</v>
      </c>
      <c r="F1439" s="20">
        <v>0.01</v>
      </c>
      <c r="I1439" s="11">
        <f t="shared" si="32"/>
        <v>45224</v>
      </c>
      <c r="J1439" s="12">
        <f t="shared" si="33"/>
        <v>799</v>
      </c>
      <c r="K1439" t="str">
        <f t="shared" si="31"/>
        <v>&gt;360</v>
      </c>
      <c r="L1439" s="11">
        <v>46023</v>
      </c>
      <c r="M1439" s="23">
        <f>YEAR(Таблица1[[#This Row],[Дата отчета]])</f>
        <v>2026</v>
      </c>
    </row>
    <row r="1440" spans="1:16" x14ac:dyDescent="0.25">
      <c r="A1440" t="s">
        <v>12</v>
      </c>
      <c r="B1440" t="s">
        <v>1011</v>
      </c>
      <c r="C1440" t="s">
        <v>1015</v>
      </c>
      <c r="D1440" t="s">
        <v>1016</v>
      </c>
      <c r="E1440" t="s">
        <v>123</v>
      </c>
      <c r="F1440" s="20">
        <v>12461.79</v>
      </c>
      <c r="I1440" s="11">
        <f t="shared" si="32"/>
        <v>45782</v>
      </c>
      <c r="J1440" s="12">
        <f t="shared" si="33"/>
        <v>241</v>
      </c>
      <c r="K1440" t="str">
        <f t="shared" si="31"/>
        <v>181-270</v>
      </c>
      <c r="L1440" s="11">
        <v>46023</v>
      </c>
      <c r="M1440" s="23">
        <f>YEAR(Таблица1[[#This Row],[Дата отчета]])</f>
        <v>2026</v>
      </c>
      <c r="N1440" s="7" t="s">
        <v>4536</v>
      </c>
      <c r="P1440" s="2" t="s">
        <v>4552</v>
      </c>
    </row>
    <row r="1441" spans="1:16" x14ac:dyDescent="0.25">
      <c r="A1441" t="s">
        <v>12</v>
      </c>
      <c r="B1441" t="s">
        <v>1017</v>
      </c>
      <c r="C1441" t="s">
        <v>1237</v>
      </c>
      <c r="D1441" t="s">
        <v>1254</v>
      </c>
      <c r="E1441" t="s">
        <v>1259</v>
      </c>
      <c r="F1441" s="20">
        <v>37500</v>
      </c>
      <c r="I1441" s="11">
        <f t="shared" si="32"/>
        <v>45727</v>
      </c>
      <c r="J1441" s="12">
        <f t="shared" si="33"/>
        <v>296</v>
      </c>
      <c r="K1441" t="str">
        <f t="shared" si="31"/>
        <v>271-360</v>
      </c>
      <c r="L1441" s="11">
        <v>46023</v>
      </c>
      <c r="M1441" s="23">
        <f>YEAR(Таблица1[[#This Row],[Дата отчета]])</f>
        <v>2026</v>
      </c>
    </row>
    <row r="1442" spans="1:16" x14ac:dyDescent="0.25">
      <c r="A1442" t="s">
        <v>12</v>
      </c>
      <c r="B1442" t="s">
        <v>1020</v>
      </c>
      <c r="C1442" t="s">
        <v>1021</v>
      </c>
      <c r="D1442" t="s">
        <v>1022</v>
      </c>
      <c r="E1442" t="s">
        <v>1023</v>
      </c>
      <c r="F1442" s="20">
        <v>47400</v>
      </c>
      <c r="I1442" s="11">
        <f t="shared" si="32"/>
        <v>45728</v>
      </c>
      <c r="J1442" s="12">
        <f t="shared" si="33"/>
        <v>295</v>
      </c>
      <c r="K1442" t="str">
        <f t="shared" si="31"/>
        <v>271-360</v>
      </c>
      <c r="L1442" s="11">
        <v>46023</v>
      </c>
      <c r="M1442" s="23">
        <f>YEAR(Таблица1[[#This Row],[Дата отчета]])</f>
        <v>2026</v>
      </c>
      <c r="N1442" s="2" t="s">
        <v>4553</v>
      </c>
      <c r="P1442" s="2"/>
    </row>
    <row r="1443" spans="1:16" x14ac:dyDescent="0.25">
      <c r="A1443" t="s">
        <v>12</v>
      </c>
      <c r="B1443" t="s">
        <v>1024</v>
      </c>
      <c r="C1443" t="s">
        <v>1025</v>
      </c>
      <c r="D1443" t="s">
        <v>1026</v>
      </c>
      <c r="E1443" t="s">
        <v>1027</v>
      </c>
      <c r="F1443" s="20">
        <v>22500</v>
      </c>
      <c r="I1443" s="11">
        <f t="shared" si="32"/>
        <v>45896</v>
      </c>
      <c r="J1443" s="12">
        <f t="shared" si="33"/>
        <v>127</v>
      </c>
      <c r="K1443" t="str">
        <f t="shared" si="31"/>
        <v>121-180</v>
      </c>
      <c r="L1443" s="11">
        <v>46023</v>
      </c>
      <c r="M1443" s="23">
        <f>YEAR(Таблица1[[#This Row],[Дата отчета]])</f>
        <v>2026</v>
      </c>
    </row>
    <row r="1444" spans="1:16" x14ac:dyDescent="0.25">
      <c r="A1444" t="s">
        <v>12</v>
      </c>
      <c r="B1444" t="s">
        <v>1028</v>
      </c>
      <c r="C1444" t="s">
        <v>1029</v>
      </c>
      <c r="D1444" t="s">
        <v>1030</v>
      </c>
      <c r="E1444" t="s">
        <v>1031</v>
      </c>
      <c r="F1444" s="20">
        <v>60000</v>
      </c>
      <c r="I1444" s="11">
        <f t="shared" si="32"/>
        <v>45812</v>
      </c>
      <c r="J1444" s="12">
        <f t="shared" si="33"/>
        <v>211</v>
      </c>
      <c r="K1444" t="str">
        <f t="shared" si="31"/>
        <v>181-270</v>
      </c>
      <c r="L1444" s="11">
        <v>46023</v>
      </c>
      <c r="M1444" s="23">
        <f>YEAR(Таблица1[[#This Row],[Дата отчета]])</f>
        <v>2026</v>
      </c>
      <c r="N1444" s="2" t="s">
        <v>807</v>
      </c>
    </row>
    <row r="1445" spans="1:16" x14ac:dyDescent="0.25">
      <c r="A1445" t="s">
        <v>12</v>
      </c>
      <c r="B1445" t="s">
        <v>1028</v>
      </c>
      <c r="C1445" t="s">
        <v>1029</v>
      </c>
      <c r="D1445" t="s">
        <v>1032</v>
      </c>
      <c r="E1445" t="s">
        <v>528</v>
      </c>
      <c r="F1445" s="20">
        <v>140000</v>
      </c>
      <c r="I1445" s="11">
        <f t="shared" si="32"/>
        <v>45985</v>
      </c>
      <c r="J1445" s="12">
        <f t="shared" si="33"/>
        <v>38</v>
      </c>
      <c r="K1445" t="str">
        <f t="shared" si="31"/>
        <v>31-90</v>
      </c>
      <c r="L1445" s="11">
        <v>46023</v>
      </c>
      <c r="M1445" s="23">
        <f>YEAR(Таблица1[[#This Row],[Дата отчета]])</f>
        <v>2026</v>
      </c>
    </row>
    <row r="1446" spans="1:16" x14ac:dyDescent="0.25">
      <c r="A1446" t="s">
        <v>12</v>
      </c>
      <c r="B1446" t="s">
        <v>1028</v>
      </c>
      <c r="C1446" t="s">
        <v>1033</v>
      </c>
      <c r="D1446" t="s">
        <v>1034</v>
      </c>
      <c r="E1446" t="s">
        <v>1031</v>
      </c>
      <c r="F1446" s="20">
        <v>40500</v>
      </c>
      <c r="I1446" s="11">
        <f t="shared" si="32"/>
        <v>45812</v>
      </c>
      <c r="J1446" s="12">
        <f t="shared" si="33"/>
        <v>211</v>
      </c>
      <c r="K1446" t="str">
        <f t="shared" si="31"/>
        <v>181-270</v>
      </c>
      <c r="L1446" s="11">
        <v>46023</v>
      </c>
      <c r="M1446" s="23">
        <f>YEAR(Таблица1[[#This Row],[Дата отчета]])</f>
        <v>2026</v>
      </c>
      <c r="N1446" s="2" t="s">
        <v>807</v>
      </c>
    </row>
    <row r="1447" spans="1:16" x14ac:dyDescent="0.25">
      <c r="A1447" t="s">
        <v>12</v>
      </c>
      <c r="B1447" t="s">
        <v>1028</v>
      </c>
      <c r="C1447" t="s">
        <v>1033</v>
      </c>
      <c r="D1447" t="s">
        <v>1035</v>
      </c>
      <c r="E1447" t="s">
        <v>218</v>
      </c>
      <c r="F1447" s="20">
        <v>74250</v>
      </c>
      <c r="I1447" s="11">
        <f t="shared" si="32"/>
        <v>45947</v>
      </c>
      <c r="J1447" s="12">
        <f t="shared" si="33"/>
        <v>76</v>
      </c>
      <c r="K1447" t="str">
        <f t="shared" si="31"/>
        <v>31-90</v>
      </c>
      <c r="L1447" s="11">
        <v>46023</v>
      </c>
      <c r="M1447" s="23">
        <f>YEAR(Таблица1[[#This Row],[Дата отчета]])</f>
        <v>2026</v>
      </c>
    </row>
    <row r="1448" spans="1:16" x14ac:dyDescent="0.25">
      <c r="A1448" t="s">
        <v>12</v>
      </c>
      <c r="B1448" t="s">
        <v>1028</v>
      </c>
      <c r="C1448" t="s">
        <v>1033</v>
      </c>
      <c r="D1448" t="s">
        <v>1036</v>
      </c>
      <c r="E1448" t="s">
        <v>528</v>
      </c>
      <c r="F1448" s="20">
        <v>20250</v>
      </c>
      <c r="I1448" s="11">
        <f t="shared" si="32"/>
        <v>45985</v>
      </c>
      <c r="J1448" s="12">
        <f t="shared" si="33"/>
        <v>38</v>
      </c>
      <c r="K1448" t="str">
        <f t="shared" si="31"/>
        <v>31-90</v>
      </c>
      <c r="L1448" s="11">
        <v>46023</v>
      </c>
      <c r="M1448" s="23">
        <f>YEAR(Таблица1[[#This Row],[Дата отчета]])</f>
        <v>2026</v>
      </c>
    </row>
    <row r="1449" spans="1:16" x14ac:dyDescent="0.25">
      <c r="A1449" t="s">
        <v>12</v>
      </c>
      <c r="B1449" t="s">
        <v>1028</v>
      </c>
      <c r="C1449" t="s">
        <v>1037</v>
      </c>
      <c r="D1449" t="s">
        <v>1038</v>
      </c>
      <c r="E1449" t="s">
        <v>1039</v>
      </c>
      <c r="F1449" s="20">
        <v>90000</v>
      </c>
      <c r="I1449" s="11">
        <f t="shared" si="32"/>
        <v>45831</v>
      </c>
      <c r="J1449" s="12">
        <f t="shared" si="33"/>
        <v>192</v>
      </c>
      <c r="K1449" t="str">
        <f t="shared" si="31"/>
        <v>181-270</v>
      </c>
      <c r="L1449" s="11">
        <v>46023</v>
      </c>
      <c r="M1449" s="23">
        <f>YEAR(Таблица1[[#This Row],[Дата отчета]])</f>
        <v>2026</v>
      </c>
      <c r="N1449" s="2" t="s">
        <v>807</v>
      </c>
    </row>
    <row r="1450" spans="1:16" x14ac:dyDescent="0.25">
      <c r="A1450" t="s">
        <v>12</v>
      </c>
      <c r="B1450" t="s">
        <v>1028</v>
      </c>
      <c r="C1450" t="s">
        <v>1037</v>
      </c>
      <c r="D1450" t="s">
        <v>1040</v>
      </c>
      <c r="E1450" t="s">
        <v>466</v>
      </c>
      <c r="F1450" s="20">
        <v>165000</v>
      </c>
      <c r="I1450" s="11">
        <f t="shared" si="32"/>
        <v>45986</v>
      </c>
      <c r="J1450" s="12">
        <f t="shared" si="33"/>
        <v>37</v>
      </c>
      <c r="K1450" t="str">
        <f t="shared" si="31"/>
        <v>31-90</v>
      </c>
      <c r="L1450" s="11">
        <v>46023</v>
      </c>
      <c r="M1450" s="23">
        <f>YEAR(Таблица1[[#This Row],[Дата отчета]])</f>
        <v>2026</v>
      </c>
    </row>
    <row r="1451" spans="1:16" x14ac:dyDescent="0.25">
      <c r="A1451" t="s">
        <v>12</v>
      </c>
      <c r="B1451" t="s">
        <v>1028</v>
      </c>
      <c r="C1451" t="s">
        <v>1041</v>
      </c>
      <c r="D1451" t="s">
        <v>1042</v>
      </c>
      <c r="E1451" t="s">
        <v>1039</v>
      </c>
      <c r="F1451" s="20">
        <v>84000</v>
      </c>
      <c r="I1451" s="11">
        <f t="shared" si="32"/>
        <v>45831</v>
      </c>
      <c r="J1451" s="12">
        <f t="shared" si="33"/>
        <v>192</v>
      </c>
      <c r="K1451" t="str">
        <f t="shared" si="31"/>
        <v>181-270</v>
      </c>
      <c r="L1451" s="11">
        <v>46023</v>
      </c>
      <c r="M1451" s="23">
        <f>YEAR(Таблица1[[#This Row],[Дата отчета]])</f>
        <v>2026</v>
      </c>
      <c r="N1451" s="2" t="s">
        <v>807</v>
      </c>
    </row>
    <row r="1452" spans="1:16" x14ac:dyDescent="0.25">
      <c r="A1452" t="s">
        <v>12</v>
      </c>
      <c r="B1452" t="s">
        <v>1043</v>
      </c>
      <c r="C1452" t="s">
        <v>1044</v>
      </c>
      <c r="D1452" t="s">
        <v>1045</v>
      </c>
      <c r="E1452" t="s">
        <v>769</v>
      </c>
      <c r="F1452" s="20">
        <v>1165</v>
      </c>
      <c r="I1452" s="11">
        <f t="shared" si="32"/>
        <v>45825</v>
      </c>
      <c r="J1452" s="12">
        <f t="shared" si="33"/>
        <v>198</v>
      </c>
      <c r="K1452" t="str">
        <f t="shared" si="31"/>
        <v>181-270</v>
      </c>
      <c r="L1452" s="11">
        <v>46023</v>
      </c>
      <c r="M1452" s="23">
        <f>YEAR(Таблица1[[#This Row],[Дата отчета]])</f>
        <v>2026</v>
      </c>
      <c r="N1452" s="7" t="s">
        <v>4536</v>
      </c>
    </row>
    <row r="1453" spans="1:16" x14ac:dyDescent="0.25">
      <c r="A1453" t="s">
        <v>12</v>
      </c>
      <c r="B1453" t="s">
        <v>1046</v>
      </c>
      <c r="C1453" t="s">
        <v>1047</v>
      </c>
      <c r="D1453" t="s">
        <v>1048</v>
      </c>
      <c r="E1453" t="s">
        <v>1049</v>
      </c>
      <c r="F1453" s="20">
        <v>9000</v>
      </c>
      <c r="I1453" s="11">
        <f t="shared" si="32"/>
        <v>45861</v>
      </c>
      <c r="J1453" s="12">
        <f t="shared" si="33"/>
        <v>162</v>
      </c>
      <c r="K1453" t="str">
        <f t="shared" si="31"/>
        <v>121-180</v>
      </c>
      <c r="L1453" s="11">
        <v>46023</v>
      </c>
      <c r="M1453" s="23">
        <f>YEAR(Таблица1[[#This Row],[Дата отчета]])</f>
        <v>2026</v>
      </c>
      <c r="N1453" s="2" t="s">
        <v>807</v>
      </c>
    </row>
    <row r="1454" spans="1:16" x14ac:dyDescent="0.25">
      <c r="A1454" t="s">
        <v>12</v>
      </c>
      <c r="B1454" t="s">
        <v>1050</v>
      </c>
      <c r="C1454" t="s">
        <v>1051</v>
      </c>
      <c r="D1454" t="s">
        <v>1052</v>
      </c>
      <c r="E1454" t="s">
        <v>683</v>
      </c>
      <c r="F1454" s="20">
        <v>86800</v>
      </c>
      <c r="I1454" s="11">
        <f t="shared" si="32"/>
        <v>45748</v>
      </c>
      <c r="J1454" s="12">
        <f t="shared" si="33"/>
        <v>275</v>
      </c>
      <c r="K1454" t="str">
        <f t="shared" si="31"/>
        <v>271-360</v>
      </c>
      <c r="L1454" s="11">
        <v>46023</v>
      </c>
      <c r="M1454" s="23">
        <f>YEAR(Таблица1[[#This Row],[Дата отчета]])</f>
        <v>2026</v>
      </c>
      <c r="N1454" s="2" t="s">
        <v>807</v>
      </c>
    </row>
    <row r="1455" spans="1:16" x14ac:dyDescent="0.25">
      <c r="A1455" t="s">
        <v>12</v>
      </c>
      <c r="B1455" t="s">
        <v>1053</v>
      </c>
      <c r="C1455" t="s">
        <v>1054</v>
      </c>
      <c r="D1455" t="s">
        <v>1055</v>
      </c>
      <c r="E1455" t="s">
        <v>239</v>
      </c>
      <c r="F1455" s="20">
        <v>10000000</v>
      </c>
      <c r="I1455" s="11">
        <f t="shared" si="32"/>
        <v>45996</v>
      </c>
      <c r="J1455" s="12">
        <f t="shared" si="33"/>
        <v>27</v>
      </c>
      <c r="K1455" t="str">
        <f t="shared" si="31"/>
        <v>0-30</v>
      </c>
      <c r="L1455" s="11">
        <v>46023</v>
      </c>
      <c r="M1455" s="23">
        <f>YEAR(Таблица1[[#This Row],[Дата отчета]])</f>
        <v>2026</v>
      </c>
    </row>
    <row r="1456" spans="1:16" x14ac:dyDescent="0.25">
      <c r="A1456" t="s">
        <v>12</v>
      </c>
      <c r="B1456" t="s">
        <v>1063</v>
      </c>
      <c r="C1456" t="s">
        <v>1064</v>
      </c>
      <c r="D1456" t="s">
        <v>1065</v>
      </c>
      <c r="E1456" t="s">
        <v>51</v>
      </c>
      <c r="F1456" s="20">
        <v>244320</v>
      </c>
      <c r="I1456" s="11">
        <f t="shared" si="32"/>
        <v>45939</v>
      </c>
      <c r="J1456" s="12">
        <f t="shared" si="33"/>
        <v>84</v>
      </c>
      <c r="K1456" t="str">
        <f t="shared" si="31"/>
        <v>31-90</v>
      </c>
      <c r="L1456" s="11">
        <v>46023</v>
      </c>
      <c r="M1456" s="23">
        <f>YEAR(Таблица1[[#This Row],[Дата отчета]])</f>
        <v>2026</v>
      </c>
    </row>
    <row r="1457" spans="1:15" x14ac:dyDescent="0.25">
      <c r="A1457" t="s">
        <v>12</v>
      </c>
      <c r="B1457" t="s">
        <v>1066</v>
      </c>
      <c r="C1457" t="s">
        <v>269</v>
      </c>
      <c r="D1457" t="s">
        <v>1067</v>
      </c>
      <c r="E1457" t="s">
        <v>528</v>
      </c>
      <c r="F1457" s="20">
        <v>3630</v>
      </c>
      <c r="I1457" s="11">
        <f t="shared" si="32"/>
        <v>45985</v>
      </c>
      <c r="J1457" s="12">
        <f t="shared" si="33"/>
        <v>38</v>
      </c>
      <c r="K1457" t="str">
        <f t="shared" si="31"/>
        <v>31-90</v>
      </c>
      <c r="L1457" s="11">
        <v>46023</v>
      </c>
      <c r="M1457" s="23">
        <f>YEAR(Таблица1[[#This Row],[Дата отчета]])</f>
        <v>2026</v>
      </c>
    </row>
    <row r="1458" spans="1:15" x14ac:dyDescent="0.25">
      <c r="A1458" t="s">
        <v>12</v>
      </c>
      <c r="B1458" t="s">
        <v>1068</v>
      </c>
      <c r="C1458" t="s">
        <v>1069</v>
      </c>
      <c r="D1458" t="s">
        <v>1070</v>
      </c>
      <c r="E1458" t="s">
        <v>1071</v>
      </c>
      <c r="F1458" s="20">
        <v>4</v>
      </c>
      <c r="I1458" s="11">
        <f t="shared" si="32"/>
        <v>44860</v>
      </c>
      <c r="J1458" s="12">
        <f t="shared" si="33"/>
        <v>1163</v>
      </c>
      <c r="K1458" t="str">
        <f t="shared" si="31"/>
        <v>&gt;360</v>
      </c>
      <c r="L1458" s="11">
        <v>46023</v>
      </c>
      <c r="M1458" s="23">
        <f>YEAR(Таблица1[[#This Row],[Дата отчета]])</f>
        <v>2026</v>
      </c>
    </row>
    <row r="1459" spans="1:15" x14ac:dyDescent="0.25">
      <c r="A1459" t="s">
        <v>12</v>
      </c>
      <c r="B1459" t="s">
        <v>1073</v>
      </c>
      <c r="C1459" t="s">
        <v>1074</v>
      </c>
      <c r="D1459" t="s">
        <v>1075</v>
      </c>
      <c r="E1459" t="s">
        <v>161</v>
      </c>
      <c r="F1459" s="20">
        <v>11631.14</v>
      </c>
      <c r="I1459" s="11">
        <f t="shared" si="32"/>
        <v>45890</v>
      </c>
      <c r="J1459" s="12">
        <f t="shared" si="33"/>
        <v>133</v>
      </c>
      <c r="K1459" t="str">
        <f t="shared" si="31"/>
        <v>121-180</v>
      </c>
      <c r="L1459" s="11">
        <v>46023</v>
      </c>
      <c r="M1459" s="23">
        <f>YEAR(Таблица1[[#This Row],[Дата отчета]])</f>
        <v>2026</v>
      </c>
    </row>
    <row r="1460" spans="1:15" x14ac:dyDescent="0.25">
      <c r="A1460" t="s">
        <v>12</v>
      </c>
      <c r="B1460" t="s">
        <v>1076</v>
      </c>
      <c r="C1460" t="s">
        <v>1077</v>
      </c>
      <c r="D1460" t="s">
        <v>1078</v>
      </c>
      <c r="E1460" t="s">
        <v>841</v>
      </c>
      <c r="F1460" s="20">
        <v>93687.05</v>
      </c>
      <c r="I1460" s="11">
        <f t="shared" si="32"/>
        <v>45925</v>
      </c>
      <c r="J1460" s="12">
        <f t="shared" si="33"/>
        <v>98</v>
      </c>
      <c r="K1460" t="str">
        <f t="shared" si="31"/>
        <v>91-120</v>
      </c>
      <c r="L1460" s="11">
        <v>46023</v>
      </c>
      <c r="M1460" s="23">
        <f>YEAR(Таблица1[[#This Row],[Дата отчета]])</f>
        <v>2026</v>
      </c>
    </row>
    <row r="1461" spans="1:15" x14ac:dyDescent="0.25">
      <c r="A1461" t="s">
        <v>12</v>
      </c>
      <c r="B1461" t="s">
        <v>1079</v>
      </c>
      <c r="C1461" t="s">
        <v>1080</v>
      </c>
      <c r="D1461" t="s">
        <v>1081</v>
      </c>
      <c r="E1461" t="s">
        <v>96</v>
      </c>
      <c r="F1461" s="20">
        <v>96000</v>
      </c>
      <c r="I1461" s="11">
        <f t="shared" si="32"/>
        <v>45876</v>
      </c>
      <c r="J1461" s="12">
        <f t="shared" si="33"/>
        <v>147</v>
      </c>
      <c r="K1461" t="str">
        <f t="shared" si="31"/>
        <v>121-180</v>
      </c>
      <c r="L1461" s="11">
        <v>46023</v>
      </c>
      <c r="M1461" s="23">
        <f>YEAR(Таблица1[[#This Row],[Дата отчета]])</f>
        <v>2026</v>
      </c>
    </row>
    <row r="1462" spans="1:15" x14ac:dyDescent="0.25">
      <c r="A1462" t="s">
        <v>1082</v>
      </c>
      <c r="B1462" t="s">
        <v>1083</v>
      </c>
      <c r="C1462" t="s">
        <v>1084</v>
      </c>
      <c r="D1462" t="s">
        <v>1085</v>
      </c>
      <c r="E1462" t="s">
        <v>1086</v>
      </c>
      <c r="F1462" s="20">
        <v>126099.22</v>
      </c>
      <c r="I1462" s="11">
        <f t="shared" si="32"/>
        <v>45847</v>
      </c>
      <c r="J1462" s="12">
        <f t="shared" si="33"/>
        <v>176</v>
      </c>
      <c r="K1462" t="str">
        <f t="shared" si="31"/>
        <v>121-180</v>
      </c>
      <c r="L1462" s="11">
        <v>46023</v>
      </c>
      <c r="M1462" s="23">
        <f>YEAR(Таблица1[[#This Row],[Дата отчета]])</f>
        <v>2026</v>
      </c>
    </row>
    <row r="1463" spans="1:15" x14ac:dyDescent="0.25">
      <c r="A1463" t="s">
        <v>1082</v>
      </c>
      <c r="B1463" t="s">
        <v>1087</v>
      </c>
      <c r="C1463" t="s">
        <v>1090</v>
      </c>
      <c r="D1463" t="s">
        <v>1091</v>
      </c>
      <c r="E1463" t="s">
        <v>1092</v>
      </c>
      <c r="F1463" s="20">
        <v>35421.75</v>
      </c>
      <c r="I1463" s="11">
        <f t="shared" si="32"/>
        <v>45554</v>
      </c>
      <c r="J1463" s="12">
        <f t="shared" si="33"/>
        <v>469</v>
      </c>
      <c r="K1463" t="str">
        <f t="shared" si="31"/>
        <v>&gt;360</v>
      </c>
      <c r="L1463" s="11">
        <v>46023</v>
      </c>
      <c r="M1463" s="23">
        <f>YEAR(Таблица1[[#This Row],[Дата отчета]])</f>
        <v>2026</v>
      </c>
      <c r="N1463" s="7" t="s">
        <v>4535</v>
      </c>
      <c r="O1463" s="24"/>
    </row>
    <row r="1464" spans="1:15" x14ac:dyDescent="0.25">
      <c r="A1464" t="s">
        <v>1082</v>
      </c>
      <c r="B1464" t="s">
        <v>271</v>
      </c>
      <c r="C1464" t="s">
        <v>1093</v>
      </c>
      <c r="D1464" t="s">
        <v>1094</v>
      </c>
      <c r="E1464" t="s">
        <v>841</v>
      </c>
      <c r="F1464" s="20">
        <v>4103412.84</v>
      </c>
      <c r="I1464" s="11">
        <f t="shared" si="32"/>
        <v>45925</v>
      </c>
      <c r="J1464" s="12">
        <f t="shared" si="33"/>
        <v>98</v>
      </c>
      <c r="K1464" t="str">
        <f t="shared" si="31"/>
        <v>91-120</v>
      </c>
      <c r="L1464" s="11">
        <v>46023</v>
      </c>
      <c r="M1464" s="23">
        <f>YEAR(Таблица1[[#This Row],[Дата отчета]])</f>
        <v>2026</v>
      </c>
    </row>
    <row r="1465" spans="1:15" x14ac:dyDescent="0.25">
      <c r="A1465" t="s">
        <v>1082</v>
      </c>
      <c r="B1465" t="s">
        <v>271</v>
      </c>
      <c r="C1465" t="s">
        <v>1095</v>
      </c>
      <c r="D1465" t="s">
        <v>1096</v>
      </c>
      <c r="E1465" t="s">
        <v>571</v>
      </c>
      <c r="F1465" s="20">
        <v>81774.75</v>
      </c>
      <c r="I1465" s="11">
        <f t="shared" si="32"/>
        <v>45951</v>
      </c>
      <c r="J1465" s="12">
        <f t="shared" si="33"/>
        <v>72</v>
      </c>
      <c r="K1465" t="str">
        <f t="shared" si="31"/>
        <v>31-90</v>
      </c>
      <c r="L1465" s="11">
        <v>46023</v>
      </c>
      <c r="M1465" s="23">
        <f>YEAR(Таблица1[[#This Row],[Дата отчета]])</f>
        <v>2026</v>
      </c>
    </row>
    <row r="1466" spans="1:15" x14ac:dyDescent="0.25">
      <c r="A1466" t="s">
        <v>1082</v>
      </c>
      <c r="B1466" t="s">
        <v>271</v>
      </c>
      <c r="C1466" t="s">
        <v>1095</v>
      </c>
      <c r="D1466" t="s">
        <v>1097</v>
      </c>
      <c r="E1466" t="s">
        <v>571</v>
      </c>
      <c r="F1466" s="20">
        <v>381299.85</v>
      </c>
      <c r="I1466" s="11">
        <f t="shared" si="32"/>
        <v>45951</v>
      </c>
      <c r="J1466" s="12">
        <f t="shared" si="33"/>
        <v>72</v>
      </c>
      <c r="K1466" t="str">
        <f t="shared" si="31"/>
        <v>31-90</v>
      </c>
      <c r="L1466" s="11">
        <v>46023</v>
      </c>
      <c r="M1466" s="23">
        <f>YEAR(Таблица1[[#This Row],[Дата отчета]])</f>
        <v>2026</v>
      </c>
    </row>
    <row r="1467" spans="1:15" x14ac:dyDescent="0.25">
      <c r="A1467" t="s">
        <v>1082</v>
      </c>
      <c r="B1467" t="s">
        <v>271</v>
      </c>
      <c r="C1467" t="s">
        <v>1095</v>
      </c>
      <c r="D1467" t="s">
        <v>1098</v>
      </c>
      <c r="E1467" t="s">
        <v>827</v>
      </c>
      <c r="F1467" s="20">
        <v>242292.07</v>
      </c>
      <c r="I1467" s="11">
        <f t="shared" si="32"/>
        <v>45981</v>
      </c>
      <c r="J1467" s="12">
        <f t="shared" si="33"/>
        <v>42</v>
      </c>
      <c r="K1467" t="str">
        <f t="shared" si="31"/>
        <v>31-90</v>
      </c>
      <c r="L1467" s="11">
        <v>46023</v>
      </c>
      <c r="M1467" s="23">
        <f>YEAR(Таблица1[[#This Row],[Дата отчета]])</f>
        <v>2026</v>
      </c>
    </row>
    <row r="1468" spans="1:15" x14ac:dyDescent="0.25">
      <c r="A1468" t="s">
        <v>1082</v>
      </c>
      <c r="B1468" t="s">
        <v>271</v>
      </c>
      <c r="C1468" t="s">
        <v>1095</v>
      </c>
      <c r="D1468" t="s">
        <v>1099</v>
      </c>
      <c r="E1468" t="s">
        <v>692</v>
      </c>
      <c r="F1468" s="20">
        <v>9195.39</v>
      </c>
      <c r="I1468" s="11">
        <f t="shared" si="32"/>
        <v>45982</v>
      </c>
      <c r="J1468" s="12">
        <f t="shared" si="33"/>
        <v>41</v>
      </c>
      <c r="K1468" t="str">
        <f t="shared" si="31"/>
        <v>31-90</v>
      </c>
      <c r="L1468" s="11">
        <v>46023</v>
      </c>
      <c r="M1468" s="23">
        <f>YEAR(Таблица1[[#This Row],[Дата отчета]])</f>
        <v>2026</v>
      </c>
    </row>
    <row r="1469" spans="1:15" x14ac:dyDescent="0.25">
      <c r="A1469" t="s">
        <v>1082</v>
      </c>
      <c r="B1469" t="s">
        <v>271</v>
      </c>
      <c r="C1469" t="s">
        <v>1095</v>
      </c>
      <c r="D1469" t="s">
        <v>1100</v>
      </c>
      <c r="E1469" t="s">
        <v>692</v>
      </c>
      <c r="F1469" s="20">
        <v>96959.25</v>
      </c>
      <c r="I1469" s="11">
        <f t="shared" si="32"/>
        <v>45982</v>
      </c>
      <c r="J1469" s="12">
        <f t="shared" si="33"/>
        <v>41</v>
      </c>
      <c r="K1469" t="str">
        <f t="shared" si="31"/>
        <v>31-90</v>
      </c>
      <c r="L1469" s="11">
        <v>46023</v>
      </c>
      <c r="M1469" s="23">
        <f>YEAR(Таблица1[[#This Row],[Дата отчета]])</f>
        <v>2026</v>
      </c>
    </row>
    <row r="1470" spans="1:15" x14ac:dyDescent="0.25">
      <c r="A1470" t="s">
        <v>1082</v>
      </c>
      <c r="B1470" t="s">
        <v>271</v>
      </c>
      <c r="C1470" t="s">
        <v>1103</v>
      </c>
      <c r="D1470" t="s">
        <v>1104</v>
      </c>
      <c r="E1470" t="s">
        <v>51</v>
      </c>
      <c r="F1470" s="20">
        <v>17940.52</v>
      </c>
      <c r="I1470" s="11">
        <f t="shared" si="32"/>
        <v>45939</v>
      </c>
      <c r="J1470" s="12">
        <f t="shared" si="33"/>
        <v>84</v>
      </c>
      <c r="K1470" t="str">
        <f t="shared" si="31"/>
        <v>31-90</v>
      </c>
      <c r="L1470" s="11">
        <v>46023</v>
      </c>
      <c r="M1470" s="23">
        <f>YEAR(Таблица1[[#This Row],[Дата отчета]])</f>
        <v>2026</v>
      </c>
    </row>
    <row r="1471" spans="1:15" x14ac:dyDescent="0.25">
      <c r="A1471" t="s">
        <v>1082</v>
      </c>
      <c r="B1471" t="s">
        <v>271</v>
      </c>
      <c r="C1471" t="s">
        <v>1105</v>
      </c>
      <c r="D1471" t="s">
        <v>1106</v>
      </c>
      <c r="E1471" t="s">
        <v>75</v>
      </c>
      <c r="F1471" s="20">
        <v>42558293.729999997</v>
      </c>
      <c r="I1471" s="11">
        <f t="shared" si="32"/>
        <v>46016</v>
      </c>
      <c r="J1471" s="12">
        <f t="shared" si="33"/>
        <v>7</v>
      </c>
      <c r="K1471" t="str">
        <f t="shared" ref="K1471:K1534" si="34">IF(J1471&lt;=30,"0-30",IF(J1471&lt;=90,"31-90",IF(J1471&lt;=120,"91-120",IF(J1471&lt;=180,"121-180",IF(J1471&lt;=270,"181-270",IF(J1471&lt;=360,"271-360","&gt;360"))))))</f>
        <v>0-30</v>
      </c>
      <c r="L1471" s="11">
        <v>46023</v>
      </c>
      <c r="M1471" s="23">
        <f>YEAR(Таблица1[[#This Row],[Дата отчета]])</f>
        <v>2026</v>
      </c>
    </row>
    <row r="1472" spans="1:15" x14ac:dyDescent="0.25">
      <c r="A1472" t="s">
        <v>1082</v>
      </c>
      <c r="B1472" t="s">
        <v>561</v>
      </c>
      <c r="C1472" t="s">
        <v>1107</v>
      </c>
      <c r="D1472" t="s">
        <v>1108</v>
      </c>
      <c r="E1472" t="s">
        <v>231</v>
      </c>
      <c r="F1472" s="20">
        <v>100541017.20999999</v>
      </c>
      <c r="I1472" s="11">
        <f t="shared" si="32"/>
        <v>45992</v>
      </c>
      <c r="J1472" s="12">
        <f t="shared" si="33"/>
        <v>31</v>
      </c>
      <c r="K1472" t="str">
        <f t="shared" si="34"/>
        <v>31-90</v>
      </c>
      <c r="L1472" s="11">
        <v>46023</v>
      </c>
      <c r="M1472" s="23">
        <f>YEAR(Таблица1[[#This Row],[Дата отчета]])</f>
        <v>2026</v>
      </c>
    </row>
    <row r="1473" spans="1:13" x14ac:dyDescent="0.25">
      <c r="A1473" t="s">
        <v>1082</v>
      </c>
      <c r="B1473" t="s">
        <v>561</v>
      </c>
      <c r="C1473" t="s">
        <v>1111</v>
      </c>
      <c r="D1473" t="s">
        <v>1112</v>
      </c>
      <c r="E1473" t="s">
        <v>1113</v>
      </c>
      <c r="F1473" s="20">
        <v>4.22</v>
      </c>
      <c r="I1473" s="11">
        <f t="shared" si="32"/>
        <v>45737</v>
      </c>
      <c r="J1473" s="12">
        <f t="shared" si="33"/>
        <v>286</v>
      </c>
      <c r="K1473" t="str">
        <f t="shared" si="34"/>
        <v>271-360</v>
      </c>
      <c r="L1473" s="11">
        <v>46023</v>
      </c>
      <c r="M1473" s="23">
        <f>YEAR(Таблица1[[#This Row],[Дата отчета]])</f>
        <v>2026</v>
      </c>
    </row>
    <row r="1474" spans="1:13" x14ac:dyDescent="0.25">
      <c r="A1474" t="s">
        <v>1082</v>
      </c>
      <c r="B1474" t="s">
        <v>561</v>
      </c>
      <c r="C1474" t="s">
        <v>1114</v>
      </c>
      <c r="D1474" t="s">
        <v>1115</v>
      </c>
      <c r="E1474" t="s">
        <v>824</v>
      </c>
      <c r="F1474" s="20">
        <v>19041986.25</v>
      </c>
      <c r="I1474" s="11">
        <f t="shared" si="32"/>
        <v>45975</v>
      </c>
      <c r="J1474" s="12">
        <f t="shared" si="33"/>
        <v>48</v>
      </c>
      <c r="K1474" t="str">
        <f t="shared" si="34"/>
        <v>31-90</v>
      </c>
      <c r="L1474" s="11">
        <v>46023</v>
      </c>
      <c r="M1474" s="23">
        <f>YEAR(Таблица1[[#This Row],[Дата отчета]])</f>
        <v>2026</v>
      </c>
    </row>
    <row r="1475" spans="1:13" x14ac:dyDescent="0.25">
      <c r="A1475" t="s">
        <v>1082</v>
      </c>
      <c r="B1475" t="s">
        <v>561</v>
      </c>
      <c r="C1475" t="s">
        <v>1116</v>
      </c>
      <c r="D1475" t="s">
        <v>1117</v>
      </c>
      <c r="E1475" t="s">
        <v>332</v>
      </c>
      <c r="F1475" s="20">
        <v>832127.38</v>
      </c>
      <c r="I1475" s="11">
        <f t="shared" si="32"/>
        <v>45936</v>
      </c>
      <c r="J1475" s="12">
        <f t="shared" si="33"/>
        <v>87</v>
      </c>
      <c r="K1475" t="str">
        <f t="shared" si="34"/>
        <v>31-90</v>
      </c>
      <c r="L1475" s="11">
        <v>46023</v>
      </c>
      <c r="M1475" s="23">
        <f>YEAR(Таблица1[[#This Row],[Дата отчета]])</f>
        <v>2026</v>
      </c>
    </row>
    <row r="1476" spans="1:13" x14ac:dyDescent="0.25">
      <c r="A1476" t="s">
        <v>1082</v>
      </c>
      <c r="B1476" t="s">
        <v>561</v>
      </c>
      <c r="C1476" t="s">
        <v>1118</v>
      </c>
      <c r="D1476" t="s">
        <v>1119</v>
      </c>
      <c r="E1476" t="s">
        <v>1120</v>
      </c>
      <c r="F1476" s="20">
        <v>19608750</v>
      </c>
      <c r="I1476" s="11">
        <f t="shared" si="32"/>
        <v>45937</v>
      </c>
      <c r="J1476" s="12">
        <f t="shared" si="33"/>
        <v>86</v>
      </c>
      <c r="K1476" t="str">
        <f t="shared" si="34"/>
        <v>31-90</v>
      </c>
      <c r="L1476" s="11">
        <v>46023</v>
      </c>
      <c r="M1476" s="23">
        <f>YEAR(Таблица1[[#This Row],[Дата отчета]])</f>
        <v>2026</v>
      </c>
    </row>
    <row r="1477" spans="1:13" x14ac:dyDescent="0.25">
      <c r="A1477" t="s">
        <v>1082</v>
      </c>
      <c r="B1477" t="s">
        <v>561</v>
      </c>
      <c r="C1477" t="s">
        <v>1121</v>
      </c>
      <c r="D1477" t="s">
        <v>1122</v>
      </c>
      <c r="E1477" t="s">
        <v>1123</v>
      </c>
      <c r="F1477" s="20">
        <v>8521724.8000000007</v>
      </c>
      <c r="I1477" s="11">
        <f t="shared" si="32"/>
        <v>45944</v>
      </c>
      <c r="J1477" s="12">
        <f t="shared" si="33"/>
        <v>79</v>
      </c>
      <c r="K1477" t="str">
        <f t="shared" si="34"/>
        <v>31-90</v>
      </c>
      <c r="L1477" s="11">
        <v>46023</v>
      </c>
      <c r="M1477" s="23">
        <f>YEAR(Таблица1[[#This Row],[Дата отчета]])</f>
        <v>2026</v>
      </c>
    </row>
    <row r="1478" spans="1:13" x14ac:dyDescent="0.25">
      <c r="A1478" t="s">
        <v>1082</v>
      </c>
      <c r="B1478" t="s">
        <v>561</v>
      </c>
      <c r="C1478" t="s">
        <v>1124</v>
      </c>
      <c r="D1478" t="s">
        <v>1125</v>
      </c>
      <c r="E1478" t="s">
        <v>1123</v>
      </c>
      <c r="F1478" s="20">
        <v>565552.64000000001</v>
      </c>
      <c r="I1478" s="11">
        <f t="shared" si="32"/>
        <v>45944</v>
      </c>
      <c r="J1478" s="12">
        <f t="shared" si="33"/>
        <v>79</v>
      </c>
      <c r="K1478" t="str">
        <f t="shared" si="34"/>
        <v>31-90</v>
      </c>
      <c r="L1478" s="11">
        <v>46023</v>
      </c>
      <c r="M1478" s="23">
        <f>YEAR(Таблица1[[#This Row],[Дата отчета]])</f>
        <v>2026</v>
      </c>
    </row>
    <row r="1479" spans="1:13" x14ac:dyDescent="0.25">
      <c r="A1479" t="s">
        <v>1082</v>
      </c>
      <c r="B1479" t="s">
        <v>1126</v>
      </c>
      <c r="C1479" t="s">
        <v>1127</v>
      </c>
      <c r="D1479" t="s">
        <v>1128</v>
      </c>
      <c r="E1479" t="s">
        <v>31</v>
      </c>
      <c r="F1479" s="20">
        <v>595854</v>
      </c>
      <c r="I1479" s="11">
        <f t="shared" si="32"/>
        <v>46015</v>
      </c>
      <c r="J1479" s="12">
        <f t="shared" si="33"/>
        <v>8</v>
      </c>
      <c r="K1479" t="str">
        <f t="shared" si="34"/>
        <v>0-30</v>
      </c>
      <c r="L1479" s="11">
        <v>46023</v>
      </c>
      <c r="M1479" s="23">
        <f>YEAR(Таблица1[[#This Row],[Дата отчета]])</f>
        <v>2026</v>
      </c>
    </row>
    <row r="1480" spans="1:13" x14ac:dyDescent="0.25">
      <c r="A1480" t="s">
        <v>1082</v>
      </c>
      <c r="B1480" t="s">
        <v>1126</v>
      </c>
      <c r="C1480" t="s">
        <v>1127</v>
      </c>
      <c r="D1480" t="s">
        <v>1129</v>
      </c>
      <c r="E1480" t="s">
        <v>75</v>
      </c>
      <c r="F1480" s="20">
        <v>3400245.12</v>
      </c>
      <c r="I1480" s="11">
        <f t="shared" si="32"/>
        <v>46016</v>
      </c>
      <c r="J1480" s="12">
        <f t="shared" si="33"/>
        <v>7</v>
      </c>
      <c r="K1480" t="str">
        <f t="shared" si="34"/>
        <v>0-30</v>
      </c>
      <c r="L1480" s="11">
        <v>46023</v>
      </c>
      <c r="M1480" s="23">
        <f>YEAR(Таблица1[[#This Row],[Дата отчета]])</f>
        <v>2026</v>
      </c>
    </row>
    <row r="1481" spans="1:13" x14ac:dyDescent="0.25">
      <c r="A1481" t="s">
        <v>1082</v>
      </c>
      <c r="B1481" t="s">
        <v>915</v>
      </c>
      <c r="C1481" t="s">
        <v>1143</v>
      </c>
      <c r="D1481" t="s">
        <v>1144</v>
      </c>
      <c r="E1481" t="s">
        <v>1145</v>
      </c>
      <c r="F1481" s="20">
        <v>948672.83</v>
      </c>
      <c r="I1481" s="11">
        <f t="shared" si="32"/>
        <v>46021</v>
      </c>
      <c r="J1481" s="12">
        <f t="shared" si="33"/>
        <v>2</v>
      </c>
      <c r="K1481" t="str">
        <f t="shared" si="34"/>
        <v>0-30</v>
      </c>
      <c r="L1481" s="11">
        <v>46023</v>
      </c>
      <c r="M1481" s="23">
        <f>YEAR(Таблица1[[#This Row],[Дата отчета]])</f>
        <v>2026</v>
      </c>
    </row>
    <row r="1482" spans="1:13" x14ac:dyDescent="0.25">
      <c r="A1482" t="s">
        <v>12</v>
      </c>
      <c r="B1482" t="s">
        <v>1260</v>
      </c>
      <c r="C1482" t="s">
        <v>1261</v>
      </c>
      <c r="D1482" t="s">
        <v>1262</v>
      </c>
      <c r="E1482" t="s">
        <v>215</v>
      </c>
      <c r="F1482" s="20">
        <v>276760</v>
      </c>
      <c r="I1482" s="11">
        <f t="shared" ref="I1482" si="35">E1482*1</f>
        <v>45929</v>
      </c>
      <c r="J1482" s="12">
        <f t="shared" ref="J1482" si="36">L1482-I1482</f>
        <v>2</v>
      </c>
      <c r="K1482" t="str">
        <f t="shared" si="34"/>
        <v>0-30</v>
      </c>
      <c r="L1482" s="11">
        <v>45931</v>
      </c>
      <c r="M1482" s="23">
        <f>YEAR(Таблица1[[#This Row],[Дата отчета]])</f>
        <v>2025</v>
      </c>
    </row>
    <row r="1483" spans="1:13" x14ac:dyDescent="0.25">
      <c r="A1483" t="s">
        <v>12</v>
      </c>
      <c r="B1483" t="s">
        <v>18</v>
      </c>
      <c r="C1483" t="s">
        <v>1263</v>
      </c>
      <c r="D1483" t="s">
        <v>1264</v>
      </c>
      <c r="E1483" t="s">
        <v>1764</v>
      </c>
      <c r="F1483" s="20">
        <v>2400</v>
      </c>
      <c r="I1483" s="11">
        <f t="shared" ref="I1483:I1546" si="37">E1483*1</f>
        <v>45868</v>
      </c>
      <c r="J1483" s="12">
        <f t="shared" ref="J1483:J1546" si="38">L1483-I1483</f>
        <v>63</v>
      </c>
      <c r="K1483" t="str">
        <f t="shared" si="34"/>
        <v>31-90</v>
      </c>
      <c r="L1483" s="11">
        <v>45931</v>
      </c>
      <c r="M1483" s="23">
        <f>YEAR(Таблица1[[#This Row],[Дата отчета]])</f>
        <v>2025</v>
      </c>
    </row>
    <row r="1484" spans="1:13" x14ac:dyDescent="0.25">
      <c r="A1484" t="s">
        <v>12</v>
      </c>
      <c r="B1484" t="s">
        <v>1265</v>
      </c>
      <c r="C1484" t="s">
        <v>1266</v>
      </c>
      <c r="D1484" t="s">
        <v>1267</v>
      </c>
      <c r="E1484" t="s">
        <v>247</v>
      </c>
      <c r="F1484" s="20">
        <v>24000</v>
      </c>
      <c r="I1484" s="11">
        <f t="shared" si="37"/>
        <v>45798</v>
      </c>
      <c r="J1484" s="12">
        <f t="shared" si="38"/>
        <v>133</v>
      </c>
      <c r="K1484" t="str">
        <f t="shared" si="34"/>
        <v>121-180</v>
      </c>
      <c r="L1484" s="11">
        <v>45931</v>
      </c>
      <c r="M1484" s="23">
        <f>YEAR(Таблица1[[#This Row],[Дата отчета]])</f>
        <v>2025</v>
      </c>
    </row>
    <row r="1485" spans="1:13" x14ac:dyDescent="0.25">
      <c r="A1485" t="s">
        <v>12</v>
      </c>
      <c r="B1485" t="s">
        <v>1265</v>
      </c>
      <c r="C1485" t="s">
        <v>1268</v>
      </c>
      <c r="D1485" t="s">
        <v>1269</v>
      </c>
      <c r="E1485" t="s">
        <v>834</v>
      </c>
      <c r="F1485" s="20">
        <v>731965</v>
      </c>
      <c r="I1485" s="11">
        <f t="shared" si="37"/>
        <v>45824</v>
      </c>
      <c r="J1485" s="12">
        <f t="shared" si="38"/>
        <v>107</v>
      </c>
      <c r="K1485" t="str">
        <f t="shared" si="34"/>
        <v>91-120</v>
      </c>
      <c r="L1485" s="11">
        <v>45931</v>
      </c>
      <c r="M1485" s="23">
        <f>YEAR(Таблица1[[#This Row],[Дата отчета]])</f>
        <v>2025</v>
      </c>
    </row>
    <row r="1486" spans="1:13" x14ac:dyDescent="0.25">
      <c r="A1486" t="s">
        <v>12</v>
      </c>
      <c r="B1486" t="s">
        <v>52</v>
      </c>
      <c r="C1486" t="s">
        <v>64</v>
      </c>
      <c r="D1486" t="s">
        <v>65</v>
      </c>
      <c r="E1486" t="s">
        <v>66</v>
      </c>
      <c r="F1486" s="20">
        <v>143600</v>
      </c>
      <c r="I1486" s="11">
        <f t="shared" si="37"/>
        <v>45895</v>
      </c>
      <c r="J1486" s="12">
        <f t="shared" si="38"/>
        <v>36</v>
      </c>
      <c r="K1486" t="str">
        <f t="shared" si="34"/>
        <v>31-90</v>
      </c>
      <c r="L1486" s="11">
        <v>45931</v>
      </c>
      <c r="M1486" s="23">
        <f>YEAR(Таблица1[[#This Row],[Дата отчета]])</f>
        <v>2025</v>
      </c>
    </row>
    <row r="1487" spans="1:13" x14ac:dyDescent="0.25">
      <c r="A1487" t="s">
        <v>12</v>
      </c>
      <c r="B1487" t="s">
        <v>52</v>
      </c>
      <c r="C1487" t="s">
        <v>1270</v>
      </c>
      <c r="D1487" t="s">
        <v>1271</v>
      </c>
      <c r="E1487" t="s">
        <v>315</v>
      </c>
      <c r="F1487" s="20">
        <v>17600</v>
      </c>
      <c r="I1487" s="11">
        <f t="shared" si="37"/>
        <v>45891</v>
      </c>
      <c r="J1487" s="12">
        <f t="shared" si="38"/>
        <v>40</v>
      </c>
      <c r="K1487" t="str">
        <f t="shared" si="34"/>
        <v>31-90</v>
      </c>
      <c r="L1487" s="11">
        <v>45931</v>
      </c>
      <c r="M1487" s="23">
        <f>YEAR(Таблица1[[#This Row],[Дата отчета]])</f>
        <v>2025</v>
      </c>
    </row>
    <row r="1488" spans="1:13" x14ac:dyDescent="0.25">
      <c r="A1488" t="s">
        <v>12</v>
      </c>
      <c r="B1488" t="s">
        <v>1272</v>
      </c>
      <c r="C1488" t="s">
        <v>1273</v>
      </c>
      <c r="D1488" t="s">
        <v>1274</v>
      </c>
      <c r="E1488" t="s">
        <v>195</v>
      </c>
      <c r="F1488" s="20">
        <v>20000</v>
      </c>
      <c r="I1488" s="11">
        <f t="shared" si="37"/>
        <v>45916</v>
      </c>
      <c r="J1488" s="12">
        <f t="shared" si="38"/>
        <v>15</v>
      </c>
      <c r="K1488" t="str">
        <f t="shared" si="34"/>
        <v>0-30</v>
      </c>
      <c r="L1488" s="11">
        <v>45931</v>
      </c>
      <c r="M1488" s="23">
        <f>YEAR(Таблица1[[#This Row],[Дата отчета]])</f>
        <v>2025</v>
      </c>
    </row>
    <row r="1489" spans="1:15" x14ac:dyDescent="0.25">
      <c r="A1489" t="s">
        <v>12</v>
      </c>
      <c r="B1489" t="s">
        <v>13</v>
      </c>
      <c r="C1489" t="s">
        <v>14</v>
      </c>
      <c r="D1489" t="s">
        <v>15</v>
      </c>
      <c r="E1489" t="s">
        <v>16</v>
      </c>
      <c r="F1489" s="20">
        <v>0.01</v>
      </c>
      <c r="I1489" s="11">
        <f t="shared" si="37"/>
        <v>45051</v>
      </c>
      <c r="J1489" s="12">
        <f t="shared" si="38"/>
        <v>880</v>
      </c>
      <c r="K1489" t="str">
        <f t="shared" si="34"/>
        <v>&gt;360</v>
      </c>
      <c r="L1489" s="11">
        <v>45931</v>
      </c>
      <c r="M1489" s="23">
        <f>YEAR(Таблица1[[#This Row],[Дата отчета]])</f>
        <v>2025</v>
      </c>
    </row>
    <row r="1490" spans="1:15" x14ac:dyDescent="0.25">
      <c r="A1490" t="s">
        <v>12</v>
      </c>
      <c r="B1490" t="s">
        <v>80</v>
      </c>
      <c r="C1490" t="s">
        <v>81</v>
      </c>
      <c r="D1490" t="s">
        <v>82</v>
      </c>
      <c r="E1490" t="s">
        <v>83</v>
      </c>
      <c r="F1490" s="20">
        <v>15280</v>
      </c>
      <c r="I1490" s="11">
        <f t="shared" si="37"/>
        <v>45852</v>
      </c>
      <c r="J1490" s="12">
        <f t="shared" si="38"/>
        <v>79</v>
      </c>
      <c r="K1490" t="str">
        <f t="shared" si="34"/>
        <v>31-90</v>
      </c>
      <c r="L1490" s="11">
        <v>45931</v>
      </c>
      <c r="M1490" s="23">
        <f>YEAR(Таблица1[[#This Row],[Дата отчета]])</f>
        <v>2025</v>
      </c>
    </row>
    <row r="1491" spans="1:15" x14ac:dyDescent="0.25">
      <c r="A1491" t="s">
        <v>12</v>
      </c>
      <c r="B1491" t="s">
        <v>1275</v>
      </c>
      <c r="C1491" t="s">
        <v>1276</v>
      </c>
      <c r="D1491" t="s">
        <v>1277</v>
      </c>
      <c r="E1491" t="s">
        <v>195</v>
      </c>
      <c r="F1491" s="20">
        <v>57360</v>
      </c>
      <c r="I1491" s="11">
        <f t="shared" si="37"/>
        <v>45916</v>
      </c>
      <c r="J1491" s="12">
        <f t="shared" si="38"/>
        <v>15</v>
      </c>
      <c r="K1491" t="str">
        <f t="shared" si="34"/>
        <v>0-30</v>
      </c>
      <c r="L1491" s="11">
        <v>45931</v>
      </c>
      <c r="M1491" s="23">
        <f>YEAR(Таблица1[[#This Row],[Дата отчета]])</f>
        <v>2025</v>
      </c>
    </row>
    <row r="1492" spans="1:15" x14ac:dyDescent="0.25">
      <c r="A1492" t="s">
        <v>12</v>
      </c>
      <c r="B1492" t="s">
        <v>1278</v>
      </c>
      <c r="C1492" t="s">
        <v>1279</v>
      </c>
      <c r="D1492" t="s">
        <v>1280</v>
      </c>
      <c r="E1492" t="s">
        <v>1765</v>
      </c>
      <c r="F1492" s="20">
        <v>63648</v>
      </c>
      <c r="I1492" s="11">
        <f t="shared" si="37"/>
        <v>45735</v>
      </c>
      <c r="J1492" s="12">
        <f t="shared" si="38"/>
        <v>196</v>
      </c>
      <c r="K1492" t="str">
        <f t="shared" si="34"/>
        <v>181-270</v>
      </c>
      <c r="L1492" s="11">
        <v>45931</v>
      </c>
      <c r="M1492" s="23">
        <f>YEAR(Таблица1[[#This Row],[Дата отчета]])</f>
        <v>2025</v>
      </c>
    </row>
    <row r="1493" spans="1:15" x14ac:dyDescent="0.25">
      <c r="A1493" t="s">
        <v>12</v>
      </c>
      <c r="B1493" t="s">
        <v>1278</v>
      </c>
      <c r="C1493" t="s">
        <v>1281</v>
      </c>
      <c r="D1493" t="s">
        <v>1282</v>
      </c>
      <c r="E1493" t="s">
        <v>1765</v>
      </c>
      <c r="F1493" s="20">
        <v>63648</v>
      </c>
      <c r="I1493" s="11">
        <f t="shared" si="37"/>
        <v>45735</v>
      </c>
      <c r="J1493" s="12">
        <f t="shared" si="38"/>
        <v>196</v>
      </c>
      <c r="K1493" t="str">
        <f t="shared" si="34"/>
        <v>181-270</v>
      </c>
      <c r="L1493" s="11">
        <v>45931</v>
      </c>
      <c r="M1493" s="23">
        <f>YEAR(Таблица1[[#This Row],[Дата отчета]])</f>
        <v>2025</v>
      </c>
    </row>
    <row r="1494" spans="1:15" x14ac:dyDescent="0.25">
      <c r="A1494" t="s">
        <v>12</v>
      </c>
      <c r="B1494" t="s">
        <v>1278</v>
      </c>
      <c r="C1494" t="s">
        <v>1283</v>
      </c>
      <c r="D1494" t="s">
        <v>1284</v>
      </c>
      <c r="E1494" t="s">
        <v>1765</v>
      </c>
      <c r="F1494" s="20">
        <v>33408</v>
      </c>
      <c r="I1494" s="11">
        <f t="shared" si="37"/>
        <v>45735</v>
      </c>
      <c r="J1494" s="12">
        <f t="shared" si="38"/>
        <v>196</v>
      </c>
      <c r="K1494" t="str">
        <f t="shared" si="34"/>
        <v>181-270</v>
      </c>
      <c r="L1494" s="11">
        <v>45931</v>
      </c>
      <c r="M1494" s="23">
        <f>YEAR(Таблица1[[#This Row],[Дата отчета]])</f>
        <v>2025</v>
      </c>
    </row>
    <row r="1495" spans="1:15" x14ac:dyDescent="0.25">
      <c r="A1495" t="s">
        <v>12</v>
      </c>
      <c r="B1495" t="s">
        <v>1278</v>
      </c>
      <c r="C1495" t="s">
        <v>1285</v>
      </c>
      <c r="D1495" t="s">
        <v>1286</v>
      </c>
      <c r="E1495" t="s">
        <v>1765</v>
      </c>
      <c r="F1495" s="20">
        <v>33408</v>
      </c>
      <c r="I1495" s="11">
        <f t="shared" si="37"/>
        <v>45735</v>
      </c>
      <c r="J1495" s="12">
        <f t="shared" si="38"/>
        <v>196</v>
      </c>
      <c r="K1495" t="str">
        <f t="shared" si="34"/>
        <v>181-270</v>
      </c>
      <c r="L1495" s="11">
        <v>45931</v>
      </c>
      <c r="M1495" s="23">
        <f>YEAR(Таблица1[[#This Row],[Дата отчета]])</f>
        <v>2025</v>
      </c>
    </row>
    <row r="1496" spans="1:15" x14ac:dyDescent="0.25">
      <c r="A1496" t="s">
        <v>12</v>
      </c>
      <c r="B1496" t="s">
        <v>84</v>
      </c>
      <c r="C1496" t="s">
        <v>1287</v>
      </c>
      <c r="D1496" t="s">
        <v>1288</v>
      </c>
      <c r="E1496" t="s">
        <v>635</v>
      </c>
      <c r="F1496" s="20">
        <v>6650362.7999999998</v>
      </c>
      <c r="I1496" s="11">
        <f t="shared" si="37"/>
        <v>45910</v>
      </c>
      <c r="J1496" s="12">
        <f t="shared" si="38"/>
        <v>21</v>
      </c>
      <c r="K1496" t="str">
        <f t="shared" si="34"/>
        <v>0-30</v>
      </c>
      <c r="L1496" s="11">
        <v>45931</v>
      </c>
      <c r="M1496" s="23">
        <f>YEAR(Таблица1[[#This Row],[Дата отчета]])</f>
        <v>2025</v>
      </c>
    </row>
    <row r="1497" spans="1:15" x14ac:dyDescent="0.25">
      <c r="A1497" t="s">
        <v>12</v>
      </c>
      <c r="B1497" t="s">
        <v>88</v>
      </c>
      <c r="C1497" t="s">
        <v>89</v>
      </c>
      <c r="D1497" t="s">
        <v>90</v>
      </c>
      <c r="E1497" t="s">
        <v>91</v>
      </c>
      <c r="F1497" s="20">
        <v>198000</v>
      </c>
      <c r="I1497" s="11">
        <f t="shared" si="37"/>
        <v>45723</v>
      </c>
      <c r="J1497" s="12">
        <f t="shared" si="38"/>
        <v>208</v>
      </c>
      <c r="K1497" t="str">
        <f t="shared" si="34"/>
        <v>181-270</v>
      </c>
      <c r="L1497" s="11">
        <v>45931</v>
      </c>
      <c r="M1497" s="23">
        <f>YEAR(Таблица1[[#This Row],[Дата отчета]])</f>
        <v>2025</v>
      </c>
      <c r="N1497" s="30" t="s">
        <v>4537</v>
      </c>
      <c r="O1497" s="30"/>
    </row>
    <row r="1498" spans="1:15" x14ac:dyDescent="0.25">
      <c r="A1498" t="s">
        <v>12</v>
      </c>
      <c r="B1498" t="s">
        <v>93</v>
      </c>
      <c r="C1498" t="s">
        <v>94</v>
      </c>
      <c r="D1498" t="s">
        <v>95</v>
      </c>
      <c r="E1498" t="s">
        <v>96</v>
      </c>
      <c r="F1498" s="20">
        <v>17955.38</v>
      </c>
      <c r="I1498" s="11">
        <f t="shared" si="37"/>
        <v>45876</v>
      </c>
      <c r="J1498" s="12">
        <f t="shared" si="38"/>
        <v>55</v>
      </c>
      <c r="K1498" t="str">
        <f t="shared" si="34"/>
        <v>31-90</v>
      </c>
      <c r="L1498" s="11">
        <v>45931</v>
      </c>
      <c r="M1498" s="23">
        <f>YEAR(Таблица1[[#This Row],[Дата отчета]])</f>
        <v>2025</v>
      </c>
      <c r="N1498" s="7" t="s">
        <v>4538</v>
      </c>
      <c r="O1498" s="24"/>
    </row>
    <row r="1499" spans="1:15" x14ac:dyDescent="0.25">
      <c r="A1499" t="s">
        <v>12</v>
      </c>
      <c r="B1499" t="s">
        <v>93</v>
      </c>
      <c r="C1499" t="s">
        <v>97</v>
      </c>
      <c r="D1499" t="s">
        <v>98</v>
      </c>
      <c r="E1499" t="s">
        <v>96</v>
      </c>
      <c r="F1499" s="20">
        <v>67008.2</v>
      </c>
      <c r="I1499" s="11">
        <f t="shared" si="37"/>
        <v>45876</v>
      </c>
      <c r="J1499" s="12">
        <f t="shared" si="38"/>
        <v>55</v>
      </c>
      <c r="K1499" t="str">
        <f t="shared" si="34"/>
        <v>31-90</v>
      </c>
      <c r="L1499" s="11">
        <v>45931</v>
      </c>
      <c r="M1499" s="23">
        <f>YEAR(Таблица1[[#This Row],[Дата отчета]])</f>
        <v>2025</v>
      </c>
      <c r="N1499" s="2" t="s">
        <v>4538</v>
      </c>
      <c r="O1499" s="31"/>
    </row>
    <row r="1500" spans="1:15" x14ac:dyDescent="0.25">
      <c r="A1500" t="s">
        <v>12</v>
      </c>
      <c r="B1500" t="s">
        <v>93</v>
      </c>
      <c r="C1500" t="s">
        <v>97</v>
      </c>
      <c r="D1500" t="s">
        <v>99</v>
      </c>
      <c r="E1500" t="s">
        <v>100</v>
      </c>
      <c r="F1500" s="20">
        <v>8599.8700000000008</v>
      </c>
      <c r="I1500" s="11">
        <f t="shared" si="37"/>
        <v>45905</v>
      </c>
      <c r="J1500" s="12">
        <f t="shared" si="38"/>
        <v>26</v>
      </c>
      <c r="K1500" t="str">
        <f t="shared" si="34"/>
        <v>0-30</v>
      </c>
      <c r="L1500" s="11">
        <v>45931</v>
      </c>
      <c r="M1500" s="23">
        <f>YEAR(Таблица1[[#This Row],[Дата отчета]])</f>
        <v>2025</v>
      </c>
      <c r="N1500" s="2" t="s">
        <v>4538</v>
      </c>
      <c r="O1500" s="31"/>
    </row>
    <row r="1501" spans="1:15" x14ac:dyDescent="0.25">
      <c r="A1501" t="s">
        <v>12</v>
      </c>
      <c r="B1501" t="s">
        <v>1289</v>
      </c>
      <c r="C1501" t="s">
        <v>269</v>
      </c>
      <c r="D1501" t="s">
        <v>1290</v>
      </c>
      <c r="E1501" t="s">
        <v>66</v>
      </c>
      <c r="F1501" s="20">
        <v>900</v>
      </c>
      <c r="I1501" s="11">
        <f t="shared" si="37"/>
        <v>45895</v>
      </c>
      <c r="J1501" s="12">
        <f t="shared" si="38"/>
        <v>36</v>
      </c>
      <c r="K1501" t="str">
        <f t="shared" si="34"/>
        <v>31-90</v>
      </c>
      <c r="L1501" s="11">
        <v>45931</v>
      </c>
      <c r="M1501" s="23">
        <f>YEAR(Таблица1[[#This Row],[Дата отчета]])</f>
        <v>2025</v>
      </c>
    </row>
    <row r="1502" spans="1:15" x14ac:dyDescent="0.25">
      <c r="A1502" t="s">
        <v>12</v>
      </c>
      <c r="B1502" t="s">
        <v>1291</v>
      </c>
      <c r="C1502" t="s">
        <v>1292</v>
      </c>
      <c r="D1502" t="s">
        <v>1293</v>
      </c>
      <c r="E1502" t="s">
        <v>1766</v>
      </c>
      <c r="F1502" s="20">
        <v>12000</v>
      </c>
      <c r="I1502" s="11">
        <f t="shared" si="37"/>
        <v>45881</v>
      </c>
      <c r="J1502" s="12">
        <f t="shared" si="38"/>
        <v>50</v>
      </c>
      <c r="K1502" t="str">
        <f t="shared" si="34"/>
        <v>31-90</v>
      </c>
      <c r="L1502" s="11">
        <v>45931</v>
      </c>
      <c r="M1502" s="23">
        <f>YEAR(Таблица1[[#This Row],[Дата отчета]])</f>
        <v>2025</v>
      </c>
    </row>
    <row r="1503" spans="1:15" x14ac:dyDescent="0.25">
      <c r="A1503" t="s">
        <v>12</v>
      </c>
      <c r="B1503" t="s">
        <v>1291</v>
      </c>
      <c r="C1503" t="s">
        <v>1294</v>
      </c>
      <c r="D1503" t="s">
        <v>1295</v>
      </c>
      <c r="E1503" t="s">
        <v>560</v>
      </c>
      <c r="F1503" s="20">
        <v>19500</v>
      </c>
      <c r="I1503" s="11">
        <f t="shared" si="37"/>
        <v>45805</v>
      </c>
      <c r="J1503" s="12">
        <f t="shared" si="38"/>
        <v>126</v>
      </c>
      <c r="K1503" t="str">
        <f t="shared" si="34"/>
        <v>121-180</v>
      </c>
      <c r="L1503" s="11">
        <v>45931</v>
      </c>
      <c r="M1503" s="23">
        <f>YEAR(Таблица1[[#This Row],[Дата отчета]])</f>
        <v>2025</v>
      </c>
    </row>
    <row r="1504" spans="1:15" x14ac:dyDescent="0.25">
      <c r="A1504" t="s">
        <v>12</v>
      </c>
      <c r="B1504" t="s">
        <v>1296</v>
      </c>
      <c r="C1504" t="s">
        <v>1297</v>
      </c>
      <c r="D1504" t="s">
        <v>1298</v>
      </c>
      <c r="E1504" t="s">
        <v>1767</v>
      </c>
      <c r="F1504" s="20">
        <v>10865</v>
      </c>
      <c r="I1504" s="11">
        <f t="shared" si="37"/>
        <v>45762</v>
      </c>
      <c r="J1504" s="12">
        <f t="shared" si="38"/>
        <v>169</v>
      </c>
      <c r="K1504" t="str">
        <f t="shared" si="34"/>
        <v>121-180</v>
      </c>
      <c r="L1504" s="11">
        <v>45931</v>
      </c>
      <c r="M1504" s="23">
        <f>YEAR(Таблица1[[#This Row],[Дата отчета]])</f>
        <v>2025</v>
      </c>
    </row>
    <row r="1505" spans="1:16" x14ac:dyDescent="0.25">
      <c r="A1505" t="s">
        <v>12</v>
      </c>
      <c r="B1505" t="s">
        <v>120</v>
      </c>
      <c r="C1505" t="s">
        <v>121</v>
      </c>
      <c r="D1505" t="s">
        <v>122</v>
      </c>
      <c r="E1505" t="s">
        <v>123</v>
      </c>
      <c r="F1505" s="20">
        <v>691600</v>
      </c>
      <c r="I1505" s="11">
        <f t="shared" si="37"/>
        <v>45782</v>
      </c>
      <c r="J1505" s="12">
        <f t="shared" si="38"/>
        <v>149</v>
      </c>
      <c r="K1505" t="str">
        <f t="shared" si="34"/>
        <v>121-180</v>
      </c>
      <c r="L1505" s="11">
        <v>45931</v>
      </c>
      <c r="M1505" s="23">
        <f>YEAR(Таблица1[[#This Row],[Дата отчета]])</f>
        <v>2025</v>
      </c>
      <c r="N1505" s="2" t="s">
        <v>4541</v>
      </c>
      <c r="O1505" s="31"/>
    </row>
    <row r="1506" spans="1:16" x14ac:dyDescent="0.25">
      <c r="A1506" t="s">
        <v>12</v>
      </c>
      <c r="B1506" t="s">
        <v>124</v>
      </c>
      <c r="C1506" t="s">
        <v>125</v>
      </c>
      <c r="D1506" t="s">
        <v>1299</v>
      </c>
      <c r="E1506" t="s">
        <v>1768</v>
      </c>
      <c r="F1506" s="20">
        <v>16500</v>
      </c>
      <c r="I1506" s="11">
        <f t="shared" si="37"/>
        <v>45639</v>
      </c>
      <c r="J1506" s="12">
        <f t="shared" si="38"/>
        <v>292</v>
      </c>
      <c r="K1506" t="str">
        <f t="shared" si="34"/>
        <v>271-360</v>
      </c>
      <c r="L1506" s="11">
        <v>45931</v>
      </c>
      <c r="M1506" s="23">
        <f>YEAR(Таблица1[[#This Row],[Дата отчета]])</f>
        <v>2025</v>
      </c>
    </row>
    <row r="1507" spans="1:16" x14ac:dyDescent="0.25">
      <c r="A1507" t="s">
        <v>12</v>
      </c>
      <c r="B1507" t="s">
        <v>1300</v>
      </c>
      <c r="C1507" t="s">
        <v>1301</v>
      </c>
      <c r="D1507" t="s">
        <v>1302</v>
      </c>
      <c r="E1507" t="s">
        <v>669</v>
      </c>
      <c r="F1507" s="20">
        <v>15000</v>
      </c>
      <c r="I1507" s="11">
        <f t="shared" si="37"/>
        <v>45930</v>
      </c>
      <c r="J1507" s="12">
        <f t="shared" si="38"/>
        <v>1</v>
      </c>
      <c r="K1507" t="str">
        <f t="shared" si="34"/>
        <v>0-30</v>
      </c>
      <c r="L1507" s="11">
        <v>45931</v>
      </c>
      <c r="M1507" s="23">
        <f>YEAR(Таблица1[[#This Row],[Дата отчета]])</f>
        <v>2025</v>
      </c>
    </row>
    <row r="1508" spans="1:16" x14ac:dyDescent="0.25">
      <c r="A1508" t="s">
        <v>12</v>
      </c>
      <c r="B1508" t="s">
        <v>128</v>
      </c>
      <c r="C1508" t="s">
        <v>132</v>
      </c>
      <c r="D1508" t="s">
        <v>133</v>
      </c>
      <c r="E1508" t="s">
        <v>134</v>
      </c>
      <c r="F1508" s="20">
        <v>1600000</v>
      </c>
      <c r="I1508" s="11">
        <f t="shared" si="37"/>
        <v>45856</v>
      </c>
      <c r="J1508" s="12">
        <f t="shared" si="38"/>
        <v>75</v>
      </c>
      <c r="K1508" t="str">
        <f t="shared" si="34"/>
        <v>31-90</v>
      </c>
      <c r="L1508" s="11">
        <v>45931</v>
      </c>
      <c r="M1508" s="23">
        <f>YEAR(Таблица1[[#This Row],[Дата отчета]])</f>
        <v>2025</v>
      </c>
      <c r="N1508" s="2"/>
      <c r="O1508" s="8"/>
      <c r="P1508" s="2"/>
    </row>
    <row r="1509" spans="1:16" x14ac:dyDescent="0.25">
      <c r="A1509" t="s">
        <v>12</v>
      </c>
      <c r="B1509" t="s">
        <v>128</v>
      </c>
      <c r="C1509" t="s">
        <v>138</v>
      </c>
      <c r="D1509" t="s">
        <v>139</v>
      </c>
      <c r="E1509" t="s">
        <v>140</v>
      </c>
      <c r="F1509" s="20">
        <v>250000</v>
      </c>
      <c r="I1509" s="11">
        <f t="shared" si="37"/>
        <v>45917</v>
      </c>
      <c r="J1509" s="12">
        <f t="shared" si="38"/>
        <v>14</v>
      </c>
      <c r="K1509" t="str">
        <f t="shared" si="34"/>
        <v>0-30</v>
      </c>
      <c r="L1509" s="11">
        <v>45931</v>
      </c>
      <c r="M1509" s="23">
        <f>YEAR(Таблица1[[#This Row],[Дата отчета]])</f>
        <v>2025</v>
      </c>
      <c r="N1509" s="2" t="s">
        <v>4544</v>
      </c>
      <c r="O1509" s="3">
        <v>45986</v>
      </c>
      <c r="P1509" s="2" t="s">
        <v>4546</v>
      </c>
    </row>
    <row r="1510" spans="1:16" x14ac:dyDescent="0.25">
      <c r="A1510" t="s">
        <v>12</v>
      </c>
      <c r="B1510" t="s">
        <v>128</v>
      </c>
      <c r="C1510" t="s">
        <v>141</v>
      </c>
      <c r="D1510" t="s">
        <v>142</v>
      </c>
      <c r="E1510" t="s">
        <v>140</v>
      </c>
      <c r="F1510" s="20">
        <v>250000</v>
      </c>
      <c r="I1510" s="11">
        <f t="shared" si="37"/>
        <v>45917</v>
      </c>
      <c r="J1510" s="12">
        <f t="shared" si="38"/>
        <v>14</v>
      </c>
      <c r="K1510" t="str">
        <f t="shared" si="34"/>
        <v>0-30</v>
      </c>
      <c r="L1510" s="11">
        <v>45931</v>
      </c>
      <c r="M1510" s="23">
        <f>YEAR(Таблица1[[#This Row],[Дата отчета]])</f>
        <v>2025</v>
      </c>
      <c r="N1510" s="2" t="s">
        <v>4544</v>
      </c>
      <c r="O1510" s="8">
        <v>45986</v>
      </c>
      <c r="P1510" s="2" t="s">
        <v>4546</v>
      </c>
    </row>
    <row r="1511" spans="1:16" x14ac:dyDescent="0.25">
      <c r="A1511" t="s">
        <v>12</v>
      </c>
      <c r="B1511" t="s">
        <v>1303</v>
      </c>
      <c r="C1511" t="s">
        <v>1304</v>
      </c>
      <c r="D1511" t="s">
        <v>1305</v>
      </c>
      <c r="E1511" t="s">
        <v>1769</v>
      </c>
      <c r="F1511" s="20">
        <v>492685</v>
      </c>
      <c r="I1511" s="11">
        <f t="shared" si="37"/>
        <v>45923</v>
      </c>
      <c r="J1511" s="12">
        <f t="shared" si="38"/>
        <v>8</v>
      </c>
      <c r="K1511" t="str">
        <f t="shared" si="34"/>
        <v>0-30</v>
      </c>
      <c r="L1511" s="11">
        <v>45931</v>
      </c>
      <c r="M1511" s="23">
        <f>YEAR(Таблица1[[#This Row],[Дата отчета]])</f>
        <v>2025</v>
      </c>
    </row>
    <row r="1512" spans="1:16" x14ac:dyDescent="0.25">
      <c r="A1512" t="s">
        <v>12</v>
      </c>
      <c r="B1512" t="s">
        <v>143</v>
      </c>
      <c r="C1512" t="s">
        <v>144</v>
      </c>
      <c r="D1512" t="s">
        <v>145</v>
      </c>
      <c r="E1512" t="s">
        <v>146</v>
      </c>
      <c r="F1512" s="20">
        <v>7000</v>
      </c>
      <c r="I1512" s="11">
        <f t="shared" si="37"/>
        <v>45838</v>
      </c>
      <c r="J1512" s="12">
        <f t="shared" si="38"/>
        <v>93</v>
      </c>
      <c r="K1512" t="str">
        <f t="shared" si="34"/>
        <v>91-120</v>
      </c>
      <c r="L1512" s="11">
        <v>45931</v>
      </c>
      <c r="M1512" s="23">
        <f>YEAR(Таблица1[[#This Row],[Дата отчета]])</f>
        <v>2025</v>
      </c>
      <c r="N1512" s="2" t="s">
        <v>807</v>
      </c>
    </row>
    <row r="1513" spans="1:16" x14ac:dyDescent="0.25">
      <c r="A1513" t="s">
        <v>12</v>
      </c>
      <c r="B1513" t="s">
        <v>150</v>
      </c>
      <c r="C1513" t="s">
        <v>1306</v>
      </c>
      <c r="D1513" t="s">
        <v>1307</v>
      </c>
      <c r="E1513" t="s">
        <v>606</v>
      </c>
      <c r="F1513" s="20">
        <v>279503.82</v>
      </c>
      <c r="I1513" s="11">
        <f t="shared" si="37"/>
        <v>45873</v>
      </c>
      <c r="J1513" s="12">
        <f t="shared" si="38"/>
        <v>58</v>
      </c>
      <c r="K1513" t="str">
        <f t="shared" si="34"/>
        <v>31-90</v>
      </c>
      <c r="L1513" s="11">
        <v>45931</v>
      </c>
      <c r="M1513" s="23">
        <f>YEAR(Таблица1[[#This Row],[Дата отчета]])</f>
        <v>2025</v>
      </c>
    </row>
    <row r="1514" spans="1:16" x14ac:dyDescent="0.25">
      <c r="A1514" t="s">
        <v>12</v>
      </c>
      <c r="B1514" t="s">
        <v>150</v>
      </c>
      <c r="C1514" t="s">
        <v>1308</v>
      </c>
      <c r="D1514" t="s">
        <v>1309</v>
      </c>
      <c r="E1514" t="s">
        <v>1770</v>
      </c>
      <c r="F1514" s="20">
        <v>97883.9</v>
      </c>
      <c r="I1514" s="11">
        <f t="shared" si="37"/>
        <v>45713</v>
      </c>
      <c r="J1514" s="12">
        <f t="shared" si="38"/>
        <v>218</v>
      </c>
      <c r="K1514" t="str">
        <f t="shared" si="34"/>
        <v>181-270</v>
      </c>
      <c r="L1514" s="11">
        <v>45931</v>
      </c>
      <c r="M1514" s="23">
        <f>YEAR(Таблица1[[#This Row],[Дата отчета]])</f>
        <v>2025</v>
      </c>
    </row>
    <row r="1515" spans="1:16" x14ac:dyDescent="0.25">
      <c r="A1515" t="s">
        <v>12</v>
      </c>
      <c r="B1515" t="s">
        <v>150</v>
      </c>
      <c r="C1515" t="s">
        <v>1310</v>
      </c>
      <c r="D1515" t="s">
        <v>1311</v>
      </c>
      <c r="E1515" t="s">
        <v>1771</v>
      </c>
      <c r="F1515" s="20">
        <v>204925.15</v>
      </c>
      <c r="I1515" s="11">
        <f t="shared" si="37"/>
        <v>45687</v>
      </c>
      <c r="J1515" s="12">
        <f t="shared" si="38"/>
        <v>244</v>
      </c>
      <c r="K1515" t="str">
        <f t="shared" si="34"/>
        <v>181-270</v>
      </c>
      <c r="L1515" s="11">
        <v>45931</v>
      </c>
      <c r="M1515" s="23">
        <f>YEAR(Таблица1[[#This Row],[Дата отчета]])</f>
        <v>2025</v>
      </c>
    </row>
    <row r="1516" spans="1:16" x14ac:dyDescent="0.25">
      <c r="A1516" t="s">
        <v>12</v>
      </c>
      <c r="B1516" t="s">
        <v>158</v>
      </c>
      <c r="C1516" t="s">
        <v>159</v>
      </c>
      <c r="D1516" t="s">
        <v>160</v>
      </c>
      <c r="E1516" t="s">
        <v>161</v>
      </c>
      <c r="F1516" s="20">
        <v>52154.400000000001</v>
      </c>
      <c r="I1516" s="11">
        <f t="shared" si="37"/>
        <v>45890</v>
      </c>
      <c r="J1516" s="12">
        <f t="shared" si="38"/>
        <v>41</v>
      </c>
      <c r="K1516" t="str">
        <f t="shared" si="34"/>
        <v>31-90</v>
      </c>
      <c r="L1516" s="11">
        <v>45931</v>
      </c>
      <c r="M1516" s="23">
        <f>YEAR(Таблица1[[#This Row],[Дата отчета]])</f>
        <v>2025</v>
      </c>
    </row>
    <row r="1517" spans="1:16" x14ac:dyDescent="0.25">
      <c r="A1517" t="s">
        <v>12</v>
      </c>
      <c r="B1517" t="s">
        <v>162</v>
      </c>
      <c r="C1517" t="s">
        <v>163</v>
      </c>
      <c r="D1517" t="s">
        <v>1312</v>
      </c>
      <c r="E1517" t="s">
        <v>497</v>
      </c>
      <c r="F1517" s="20">
        <v>4000</v>
      </c>
      <c r="I1517" s="11">
        <f t="shared" si="37"/>
        <v>45875</v>
      </c>
      <c r="J1517" s="12">
        <f t="shared" si="38"/>
        <v>56</v>
      </c>
      <c r="K1517" t="str">
        <f t="shared" si="34"/>
        <v>31-90</v>
      </c>
      <c r="L1517" s="11">
        <v>45931</v>
      </c>
      <c r="M1517" s="23">
        <f>YEAR(Таблица1[[#This Row],[Дата отчета]])</f>
        <v>2025</v>
      </c>
    </row>
    <row r="1518" spans="1:16" x14ac:dyDescent="0.25">
      <c r="A1518" t="s">
        <v>12</v>
      </c>
      <c r="B1518" t="s">
        <v>172</v>
      </c>
      <c r="C1518" t="s">
        <v>173</v>
      </c>
      <c r="D1518" t="s">
        <v>174</v>
      </c>
      <c r="E1518" t="s">
        <v>175</v>
      </c>
      <c r="F1518" s="20">
        <v>12630</v>
      </c>
      <c r="I1518" s="11">
        <f t="shared" si="37"/>
        <v>45399</v>
      </c>
      <c r="J1518" s="12">
        <f t="shared" si="38"/>
        <v>532</v>
      </c>
      <c r="K1518" t="str">
        <f t="shared" si="34"/>
        <v>&gt;360</v>
      </c>
      <c r="L1518" s="11">
        <v>45931</v>
      </c>
      <c r="M1518" s="23">
        <f>YEAR(Таблица1[[#This Row],[Дата отчета]])</f>
        <v>2025</v>
      </c>
      <c r="N1518" s="7" t="s">
        <v>4547</v>
      </c>
    </row>
    <row r="1519" spans="1:16" x14ac:dyDescent="0.25">
      <c r="A1519" t="s">
        <v>12</v>
      </c>
      <c r="B1519" t="s">
        <v>1313</v>
      </c>
      <c r="C1519" t="s">
        <v>269</v>
      </c>
      <c r="D1519" t="s">
        <v>1314</v>
      </c>
      <c r="E1519" t="s">
        <v>1766</v>
      </c>
      <c r="F1519" s="20">
        <v>8800</v>
      </c>
      <c r="I1519" s="11">
        <f t="shared" si="37"/>
        <v>45881</v>
      </c>
      <c r="J1519" s="12">
        <f t="shared" si="38"/>
        <v>50</v>
      </c>
      <c r="K1519" t="str">
        <f t="shared" si="34"/>
        <v>31-90</v>
      </c>
      <c r="L1519" s="11">
        <v>45931</v>
      </c>
      <c r="M1519" s="23">
        <f>YEAR(Таблица1[[#This Row],[Дата отчета]])</f>
        <v>2025</v>
      </c>
    </row>
    <row r="1520" spans="1:16" x14ac:dyDescent="0.25">
      <c r="A1520" t="s">
        <v>12</v>
      </c>
      <c r="B1520" t="s">
        <v>1313</v>
      </c>
      <c r="C1520" t="s">
        <v>269</v>
      </c>
      <c r="D1520" t="s">
        <v>1290</v>
      </c>
      <c r="E1520" t="s">
        <v>66</v>
      </c>
      <c r="F1520" s="20">
        <v>8000</v>
      </c>
      <c r="I1520" s="11">
        <f t="shared" si="37"/>
        <v>45895</v>
      </c>
      <c r="J1520" s="12">
        <f t="shared" si="38"/>
        <v>36</v>
      </c>
      <c r="K1520" t="str">
        <f t="shared" si="34"/>
        <v>31-90</v>
      </c>
      <c r="L1520" s="11">
        <v>45931</v>
      </c>
      <c r="M1520" s="23">
        <f>YEAR(Таблица1[[#This Row],[Дата отчета]])</f>
        <v>2025</v>
      </c>
    </row>
    <row r="1521" spans="1:14" x14ac:dyDescent="0.25">
      <c r="A1521" t="s">
        <v>12</v>
      </c>
      <c r="B1521" t="s">
        <v>1313</v>
      </c>
      <c r="C1521" t="s">
        <v>269</v>
      </c>
      <c r="D1521" t="s">
        <v>1315</v>
      </c>
      <c r="E1521" t="s">
        <v>1173</v>
      </c>
      <c r="F1521" s="20">
        <v>11600</v>
      </c>
      <c r="I1521" s="11">
        <f t="shared" si="37"/>
        <v>45922</v>
      </c>
      <c r="J1521" s="12">
        <f t="shared" si="38"/>
        <v>9</v>
      </c>
      <c r="K1521" t="str">
        <f t="shared" si="34"/>
        <v>0-30</v>
      </c>
      <c r="L1521" s="11">
        <v>45931</v>
      </c>
      <c r="M1521" s="23">
        <f>YEAR(Таблица1[[#This Row],[Дата отчета]])</f>
        <v>2025</v>
      </c>
    </row>
    <row r="1522" spans="1:14" x14ac:dyDescent="0.25">
      <c r="A1522" t="s">
        <v>12</v>
      </c>
      <c r="B1522" t="s">
        <v>1161</v>
      </c>
      <c r="C1522" t="s">
        <v>1162</v>
      </c>
      <c r="D1522" t="s">
        <v>1163</v>
      </c>
      <c r="E1522" t="s">
        <v>1164</v>
      </c>
      <c r="F1522" s="20">
        <v>496840</v>
      </c>
      <c r="I1522" s="11">
        <f t="shared" si="37"/>
        <v>45912</v>
      </c>
      <c r="J1522" s="12">
        <f t="shared" si="38"/>
        <v>19</v>
      </c>
      <c r="K1522" t="str">
        <f t="shared" si="34"/>
        <v>0-30</v>
      </c>
      <c r="L1522" s="11">
        <v>45931</v>
      </c>
      <c r="M1522" s="23">
        <f>YEAR(Таблица1[[#This Row],[Дата отчета]])</f>
        <v>2025</v>
      </c>
    </row>
    <row r="1523" spans="1:14" x14ac:dyDescent="0.25">
      <c r="A1523" t="s">
        <v>12</v>
      </c>
      <c r="B1523" t="s">
        <v>180</v>
      </c>
      <c r="C1523" t="s">
        <v>1316</v>
      </c>
      <c r="D1523" t="s">
        <v>1317</v>
      </c>
      <c r="E1523" t="s">
        <v>821</v>
      </c>
      <c r="F1523" s="20">
        <v>38009</v>
      </c>
      <c r="I1523" s="11">
        <f t="shared" si="37"/>
        <v>45924</v>
      </c>
      <c r="J1523" s="12">
        <f t="shared" si="38"/>
        <v>7</v>
      </c>
      <c r="K1523" t="str">
        <f t="shared" si="34"/>
        <v>0-30</v>
      </c>
      <c r="L1523" s="11">
        <v>45931</v>
      </c>
      <c r="M1523" s="23">
        <f>YEAR(Таблица1[[#This Row],[Дата отчета]])</f>
        <v>2025</v>
      </c>
    </row>
    <row r="1524" spans="1:14" x14ac:dyDescent="0.25">
      <c r="A1524" t="s">
        <v>12</v>
      </c>
      <c r="B1524" t="s">
        <v>180</v>
      </c>
      <c r="C1524" t="s">
        <v>181</v>
      </c>
      <c r="D1524" t="s">
        <v>182</v>
      </c>
      <c r="E1524" t="s">
        <v>183</v>
      </c>
      <c r="F1524" s="20">
        <v>14178</v>
      </c>
      <c r="I1524" s="11">
        <f t="shared" si="37"/>
        <v>45817</v>
      </c>
      <c r="J1524" s="12">
        <f t="shared" si="38"/>
        <v>114</v>
      </c>
      <c r="K1524" t="str">
        <f t="shared" si="34"/>
        <v>91-120</v>
      </c>
      <c r="L1524" s="11">
        <v>45931</v>
      </c>
      <c r="M1524" s="23">
        <f>YEAR(Таблица1[[#This Row],[Дата отчета]])</f>
        <v>2025</v>
      </c>
      <c r="N1524" s="7" t="s">
        <v>4538</v>
      </c>
    </row>
    <row r="1525" spans="1:14" x14ac:dyDescent="0.25">
      <c r="A1525" t="s">
        <v>12</v>
      </c>
      <c r="B1525" t="s">
        <v>180</v>
      </c>
      <c r="C1525" t="s">
        <v>1318</v>
      </c>
      <c r="D1525" t="s">
        <v>1319</v>
      </c>
      <c r="E1525" t="s">
        <v>1772</v>
      </c>
      <c r="F1525" s="20">
        <v>2890</v>
      </c>
      <c r="I1525" s="11">
        <f t="shared" si="37"/>
        <v>45903</v>
      </c>
      <c r="J1525" s="12">
        <f t="shared" si="38"/>
        <v>28</v>
      </c>
      <c r="K1525" t="str">
        <f t="shared" si="34"/>
        <v>0-30</v>
      </c>
      <c r="L1525" s="11">
        <v>45931</v>
      </c>
      <c r="M1525" s="23">
        <f>YEAR(Таблица1[[#This Row],[Дата отчета]])</f>
        <v>2025</v>
      </c>
    </row>
    <row r="1526" spans="1:14" x14ac:dyDescent="0.25">
      <c r="A1526" t="s">
        <v>12</v>
      </c>
      <c r="B1526" t="s">
        <v>186</v>
      </c>
      <c r="C1526" t="s">
        <v>187</v>
      </c>
      <c r="D1526" t="s">
        <v>188</v>
      </c>
      <c r="E1526" t="s">
        <v>189</v>
      </c>
      <c r="F1526" s="20">
        <v>6600</v>
      </c>
      <c r="I1526" s="11">
        <f t="shared" si="37"/>
        <v>45471</v>
      </c>
      <c r="J1526" s="12">
        <f t="shared" si="38"/>
        <v>460</v>
      </c>
      <c r="K1526" t="str">
        <f t="shared" si="34"/>
        <v>&gt;360</v>
      </c>
      <c r="L1526" s="11">
        <v>45931</v>
      </c>
      <c r="M1526" s="23">
        <f>YEAR(Таблица1[[#This Row],[Дата отчета]])</f>
        <v>2025</v>
      </c>
    </row>
    <row r="1527" spans="1:14" x14ac:dyDescent="0.25">
      <c r="A1527" t="s">
        <v>12</v>
      </c>
      <c r="B1527" t="s">
        <v>186</v>
      </c>
      <c r="C1527" t="s">
        <v>187</v>
      </c>
      <c r="D1527" t="s">
        <v>1320</v>
      </c>
      <c r="E1527" t="s">
        <v>207</v>
      </c>
      <c r="F1527" s="20">
        <v>25000</v>
      </c>
      <c r="I1527" s="11">
        <f t="shared" si="37"/>
        <v>45901</v>
      </c>
      <c r="J1527" s="12">
        <f t="shared" si="38"/>
        <v>30</v>
      </c>
      <c r="K1527" t="str">
        <f t="shared" si="34"/>
        <v>0-30</v>
      </c>
      <c r="L1527" s="11">
        <v>45931</v>
      </c>
      <c r="M1527" s="23">
        <f>YEAR(Таблица1[[#This Row],[Дата отчета]])</f>
        <v>2025</v>
      </c>
    </row>
    <row r="1528" spans="1:14" x14ac:dyDescent="0.25">
      <c r="A1528" t="s">
        <v>12</v>
      </c>
      <c r="B1528" t="s">
        <v>186</v>
      </c>
      <c r="C1528" t="s">
        <v>187</v>
      </c>
      <c r="D1528" t="s">
        <v>1321</v>
      </c>
      <c r="E1528" t="s">
        <v>841</v>
      </c>
      <c r="F1528" s="20">
        <v>6600</v>
      </c>
      <c r="I1528" s="11">
        <f t="shared" si="37"/>
        <v>45925</v>
      </c>
      <c r="J1528" s="12">
        <f t="shared" si="38"/>
        <v>6</v>
      </c>
      <c r="K1528" t="str">
        <f t="shared" si="34"/>
        <v>0-30</v>
      </c>
      <c r="L1528" s="11">
        <v>45931</v>
      </c>
      <c r="M1528" s="23">
        <f>YEAR(Таблица1[[#This Row],[Дата отчета]])</f>
        <v>2025</v>
      </c>
    </row>
    <row r="1529" spans="1:14" x14ac:dyDescent="0.25">
      <c r="A1529" t="s">
        <v>12</v>
      </c>
      <c r="B1529" t="s">
        <v>186</v>
      </c>
      <c r="C1529" t="s">
        <v>1322</v>
      </c>
      <c r="D1529" t="s">
        <v>1323</v>
      </c>
      <c r="E1529" t="s">
        <v>769</v>
      </c>
      <c r="F1529" s="20">
        <v>6600</v>
      </c>
      <c r="I1529" s="11">
        <f t="shared" si="37"/>
        <v>45825</v>
      </c>
      <c r="J1529" s="12">
        <f t="shared" si="38"/>
        <v>106</v>
      </c>
      <c r="K1529" t="str">
        <f t="shared" si="34"/>
        <v>91-120</v>
      </c>
      <c r="L1529" s="11">
        <v>45931</v>
      </c>
      <c r="M1529" s="23">
        <f>YEAR(Таблица1[[#This Row],[Дата отчета]])</f>
        <v>2025</v>
      </c>
    </row>
    <row r="1530" spans="1:14" x14ac:dyDescent="0.25">
      <c r="A1530" t="s">
        <v>12</v>
      </c>
      <c r="B1530" t="s">
        <v>186</v>
      </c>
      <c r="C1530" t="s">
        <v>190</v>
      </c>
      <c r="D1530" t="s">
        <v>191</v>
      </c>
      <c r="E1530" t="s">
        <v>192</v>
      </c>
      <c r="F1530" s="20">
        <v>6600</v>
      </c>
      <c r="I1530" s="11">
        <f t="shared" si="37"/>
        <v>45467</v>
      </c>
      <c r="J1530" s="12">
        <f t="shared" si="38"/>
        <v>464</v>
      </c>
      <c r="K1530" t="str">
        <f t="shared" si="34"/>
        <v>&gt;360</v>
      </c>
      <c r="L1530" s="11">
        <v>45931</v>
      </c>
      <c r="M1530" s="23">
        <f>YEAR(Таблица1[[#This Row],[Дата отчета]])</f>
        <v>2025</v>
      </c>
    </row>
    <row r="1531" spans="1:14" x14ac:dyDescent="0.25">
      <c r="A1531" t="s">
        <v>12</v>
      </c>
      <c r="B1531" t="s">
        <v>186</v>
      </c>
      <c r="C1531" t="s">
        <v>1324</v>
      </c>
      <c r="D1531" t="s">
        <v>1325</v>
      </c>
      <c r="E1531" t="s">
        <v>1773</v>
      </c>
      <c r="F1531" s="20">
        <v>25000</v>
      </c>
      <c r="I1531" s="11">
        <f t="shared" si="37"/>
        <v>45889</v>
      </c>
      <c r="J1531" s="12">
        <f t="shared" si="38"/>
        <v>42</v>
      </c>
      <c r="K1531" t="str">
        <f t="shared" si="34"/>
        <v>31-90</v>
      </c>
      <c r="L1531" s="11">
        <v>45931</v>
      </c>
      <c r="M1531" s="23">
        <f>YEAR(Таблица1[[#This Row],[Дата отчета]])</f>
        <v>2025</v>
      </c>
    </row>
    <row r="1532" spans="1:14" x14ac:dyDescent="0.25">
      <c r="A1532" t="s">
        <v>12</v>
      </c>
      <c r="B1532" t="s">
        <v>186</v>
      </c>
      <c r="C1532" t="s">
        <v>1324</v>
      </c>
      <c r="D1532" t="s">
        <v>1326</v>
      </c>
      <c r="E1532" t="s">
        <v>1167</v>
      </c>
      <c r="F1532" s="20">
        <v>25000</v>
      </c>
      <c r="I1532" s="11">
        <f t="shared" si="37"/>
        <v>45908</v>
      </c>
      <c r="J1532" s="12">
        <f t="shared" si="38"/>
        <v>23</v>
      </c>
      <c r="K1532" t="str">
        <f t="shared" si="34"/>
        <v>0-30</v>
      </c>
      <c r="L1532" s="11">
        <v>45931</v>
      </c>
      <c r="M1532" s="23">
        <f>YEAR(Таблица1[[#This Row],[Дата отчета]])</f>
        <v>2025</v>
      </c>
    </row>
    <row r="1533" spans="1:14" x14ac:dyDescent="0.25">
      <c r="A1533" t="s">
        <v>12</v>
      </c>
      <c r="B1533" t="s">
        <v>186</v>
      </c>
      <c r="C1533" t="s">
        <v>193</v>
      </c>
      <c r="D1533" t="s">
        <v>194</v>
      </c>
      <c r="E1533" t="s">
        <v>195</v>
      </c>
      <c r="F1533" s="20">
        <v>25000</v>
      </c>
      <c r="I1533" s="11">
        <f t="shared" si="37"/>
        <v>45916</v>
      </c>
      <c r="J1533" s="12">
        <f t="shared" si="38"/>
        <v>15</v>
      </c>
      <c r="K1533" t="str">
        <f t="shared" si="34"/>
        <v>0-30</v>
      </c>
      <c r="L1533" s="11">
        <v>45931</v>
      </c>
      <c r="M1533" s="23">
        <f>YEAR(Таблица1[[#This Row],[Дата отчета]])</f>
        <v>2025</v>
      </c>
    </row>
    <row r="1534" spans="1:14" x14ac:dyDescent="0.25">
      <c r="A1534" t="s">
        <v>12</v>
      </c>
      <c r="B1534" t="s">
        <v>186</v>
      </c>
      <c r="C1534" t="s">
        <v>1327</v>
      </c>
      <c r="D1534" t="s">
        <v>1328</v>
      </c>
      <c r="E1534" t="s">
        <v>1773</v>
      </c>
      <c r="F1534" s="20">
        <v>6600</v>
      </c>
      <c r="I1534" s="11">
        <f t="shared" si="37"/>
        <v>45889</v>
      </c>
      <c r="J1534" s="12">
        <f t="shared" si="38"/>
        <v>42</v>
      </c>
      <c r="K1534" t="str">
        <f t="shared" si="34"/>
        <v>31-90</v>
      </c>
      <c r="L1534" s="11">
        <v>45931</v>
      </c>
      <c r="M1534" s="23">
        <f>YEAR(Таблица1[[#This Row],[Дата отчета]])</f>
        <v>2025</v>
      </c>
    </row>
    <row r="1535" spans="1:14" x14ac:dyDescent="0.25">
      <c r="A1535" t="s">
        <v>12</v>
      </c>
      <c r="B1535" t="s">
        <v>186</v>
      </c>
      <c r="C1535" t="s">
        <v>1329</v>
      </c>
      <c r="D1535" t="s">
        <v>1330</v>
      </c>
      <c r="E1535" t="s">
        <v>207</v>
      </c>
      <c r="F1535" s="20">
        <v>25000</v>
      </c>
      <c r="I1535" s="11">
        <f t="shared" si="37"/>
        <v>45901</v>
      </c>
      <c r="J1535" s="12">
        <f t="shared" si="38"/>
        <v>30</v>
      </c>
      <c r="K1535" t="str">
        <f t="shared" ref="K1535:K1598" si="39">IF(J1535&lt;=30,"0-30",IF(J1535&lt;=90,"31-90",IF(J1535&lt;=120,"91-120",IF(J1535&lt;=180,"121-180",IF(J1535&lt;=270,"181-270",IF(J1535&lt;=360,"271-360","&gt;360"))))))</f>
        <v>0-30</v>
      </c>
      <c r="L1535" s="11">
        <v>45931</v>
      </c>
      <c r="M1535" s="23">
        <f>YEAR(Таблица1[[#This Row],[Дата отчета]])</f>
        <v>2025</v>
      </c>
    </row>
    <row r="1536" spans="1:14" x14ac:dyDescent="0.25">
      <c r="A1536" t="s">
        <v>12</v>
      </c>
      <c r="B1536" t="s">
        <v>186</v>
      </c>
      <c r="C1536" t="s">
        <v>1329</v>
      </c>
      <c r="D1536" t="s">
        <v>1331</v>
      </c>
      <c r="E1536" t="s">
        <v>195</v>
      </c>
      <c r="F1536" s="20">
        <v>25000</v>
      </c>
      <c r="I1536" s="11">
        <f t="shared" si="37"/>
        <v>45916</v>
      </c>
      <c r="J1536" s="12">
        <f t="shared" si="38"/>
        <v>15</v>
      </c>
      <c r="K1536" t="str">
        <f t="shared" si="39"/>
        <v>0-30</v>
      </c>
      <c r="L1536" s="11">
        <v>45931</v>
      </c>
      <c r="M1536" s="23">
        <f>YEAR(Таблица1[[#This Row],[Дата отчета]])</f>
        <v>2025</v>
      </c>
    </row>
    <row r="1537" spans="1:13" x14ac:dyDescent="0.25">
      <c r="A1537" t="s">
        <v>12</v>
      </c>
      <c r="B1537" t="s">
        <v>186</v>
      </c>
      <c r="C1537" t="s">
        <v>1332</v>
      </c>
      <c r="D1537" t="s">
        <v>1333</v>
      </c>
      <c r="E1537" t="s">
        <v>195</v>
      </c>
      <c r="F1537" s="20">
        <v>25000</v>
      </c>
      <c r="I1537" s="11">
        <f t="shared" si="37"/>
        <v>45916</v>
      </c>
      <c r="J1537" s="12">
        <f t="shared" si="38"/>
        <v>15</v>
      </c>
      <c r="K1537" t="str">
        <f t="shared" si="39"/>
        <v>0-30</v>
      </c>
      <c r="L1537" s="11">
        <v>45931</v>
      </c>
      <c r="M1537" s="23">
        <f>YEAR(Таблица1[[#This Row],[Дата отчета]])</f>
        <v>2025</v>
      </c>
    </row>
    <row r="1538" spans="1:13" x14ac:dyDescent="0.25">
      <c r="A1538" t="s">
        <v>12</v>
      </c>
      <c r="B1538" t="s">
        <v>186</v>
      </c>
      <c r="C1538" t="s">
        <v>196</v>
      </c>
      <c r="D1538" t="s">
        <v>197</v>
      </c>
      <c r="E1538" t="s">
        <v>198</v>
      </c>
      <c r="F1538" s="20">
        <v>6600</v>
      </c>
      <c r="I1538" s="11">
        <f t="shared" si="37"/>
        <v>45439</v>
      </c>
      <c r="J1538" s="12">
        <f t="shared" si="38"/>
        <v>492</v>
      </c>
      <c r="K1538" t="str">
        <f t="shared" si="39"/>
        <v>&gt;360</v>
      </c>
      <c r="L1538" s="11">
        <v>45931</v>
      </c>
      <c r="M1538" s="23">
        <f>YEAR(Таблица1[[#This Row],[Дата отчета]])</f>
        <v>2025</v>
      </c>
    </row>
    <row r="1539" spans="1:13" x14ac:dyDescent="0.25">
      <c r="A1539" t="s">
        <v>12</v>
      </c>
      <c r="B1539" t="s">
        <v>186</v>
      </c>
      <c r="C1539" t="s">
        <v>199</v>
      </c>
      <c r="D1539" t="s">
        <v>200</v>
      </c>
      <c r="E1539" t="s">
        <v>201</v>
      </c>
      <c r="F1539" s="20">
        <v>6600</v>
      </c>
      <c r="I1539" s="11">
        <f t="shared" si="37"/>
        <v>45800</v>
      </c>
      <c r="J1539" s="12">
        <f t="shared" si="38"/>
        <v>131</v>
      </c>
      <c r="K1539" t="str">
        <f t="shared" si="39"/>
        <v>121-180</v>
      </c>
      <c r="L1539" s="11">
        <v>45931</v>
      </c>
      <c r="M1539" s="23">
        <f>YEAR(Таблица1[[#This Row],[Дата отчета]])</f>
        <v>2025</v>
      </c>
    </row>
    <row r="1540" spans="1:13" x14ac:dyDescent="0.25">
      <c r="A1540" t="s">
        <v>12</v>
      </c>
      <c r="B1540" t="s">
        <v>186</v>
      </c>
      <c r="C1540" t="s">
        <v>1334</v>
      </c>
      <c r="D1540" t="s">
        <v>1335</v>
      </c>
      <c r="E1540" t="s">
        <v>890</v>
      </c>
      <c r="F1540" s="20">
        <v>25000</v>
      </c>
      <c r="I1540" s="11">
        <f t="shared" si="37"/>
        <v>45894</v>
      </c>
      <c r="J1540" s="12">
        <f t="shared" si="38"/>
        <v>37</v>
      </c>
      <c r="K1540" t="str">
        <f t="shared" si="39"/>
        <v>31-90</v>
      </c>
      <c r="L1540" s="11">
        <v>45931</v>
      </c>
      <c r="M1540" s="23">
        <f>YEAR(Таблица1[[#This Row],[Дата отчета]])</f>
        <v>2025</v>
      </c>
    </row>
    <row r="1541" spans="1:13" x14ac:dyDescent="0.25">
      <c r="A1541" t="s">
        <v>12</v>
      </c>
      <c r="B1541" t="s">
        <v>186</v>
      </c>
      <c r="C1541" t="s">
        <v>1336</v>
      </c>
      <c r="D1541" t="s">
        <v>1337</v>
      </c>
      <c r="E1541" t="s">
        <v>1773</v>
      </c>
      <c r="F1541" s="20">
        <v>25000</v>
      </c>
      <c r="I1541" s="11">
        <f t="shared" si="37"/>
        <v>45889</v>
      </c>
      <c r="J1541" s="12">
        <f t="shared" si="38"/>
        <v>42</v>
      </c>
      <c r="K1541" t="str">
        <f t="shared" si="39"/>
        <v>31-90</v>
      </c>
      <c r="L1541" s="11">
        <v>45931</v>
      </c>
      <c r="M1541" s="23">
        <f>YEAR(Таблица1[[#This Row],[Дата отчета]])</f>
        <v>2025</v>
      </c>
    </row>
    <row r="1542" spans="1:13" x14ac:dyDescent="0.25">
      <c r="A1542" t="s">
        <v>12</v>
      </c>
      <c r="B1542" t="s">
        <v>186</v>
      </c>
      <c r="C1542" t="s">
        <v>1336</v>
      </c>
      <c r="D1542" t="s">
        <v>1338</v>
      </c>
      <c r="E1542" t="s">
        <v>207</v>
      </c>
      <c r="F1542" s="20">
        <v>25000</v>
      </c>
      <c r="I1542" s="11">
        <f t="shared" si="37"/>
        <v>45901</v>
      </c>
      <c r="J1542" s="12">
        <f t="shared" si="38"/>
        <v>30</v>
      </c>
      <c r="K1542" t="str">
        <f t="shared" si="39"/>
        <v>0-30</v>
      </c>
      <c r="L1542" s="11">
        <v>45931</v>
      </c>
      <c r="M1542" s="23">
        <f>YEAR(Таблица1[[#This Row],[Дата отчета]])</f>
        <v>2025</v>
      </c>
    </row>
    <row r="1543" spans="1:13" x14ac:dyDescent="0.25">
      <c r="A1543" t="s">
        <v>12</v>
      </c>
      <c r="B1543" t="s">
        <v>186</v>
      </c>
      <c r="C1543" t="s">
        <v>1336</v>
      </c>
      <c r="D1543" t="s">
        <v>1339</v>
      </c>
      <c r="E1543" t="s">
        <v>195</v>
      </c>
      <c r="F1543" s="20">
        <v>25000</v>
      </c>
      <c r="I1543" s="11">
        <f t="shared" si="37"/>
        <v>45916</v>
      </c>
      <c r="J1543" s="12">
        <f t="shared" si="38"/>
        <v>15</v>
      </c>
      <c r="K1543" t="str">
        <f t="shared" si="39"/>
        <v>0-30</v>
      </c>
      <c r="L1543" s="11">
        <v>45931</v>
      </c>
      <c r="M1543" s="23">
        <f>YEAR(Таблица1[[#This Row],[Дата отчета]])</f>
        <v>2025</v>
      </c>
    </row>
    <row r="1544" spans="1:13" x14ac:dyDescent="0.25">
      <c r="A1544" t="s">
        <v>12</v>
      </c>
      <c r="B1544" t="s">
        <v>186</v>
      </c>
      <c r="C1544" t="s">
        <v>202</v>
      </c>
      <c r="D1544" t="s">
        <v>203</v>
      </c>
      <c r="E1544" t="s">
        <v>204</v>
      </c>
      <c r="F1544" s="20">
        <v>25000</v>
      </c>
      <c r="I1544" s="11">
        <f t="shared" si="37"/>
        <v>45481</v>
      </c>
      <c r="J1544" s="12">
        <f t="shared" si="38"/>
        <v>450</v>
      </c>
      <c r="K1544" t="str">
        <f t="shared" si="39"/>
        <v>&gt;360</v>
      </c>
      <c r="L1544" s="11">
        <v>45931</v>
      </c>
      <c r="M1544" s="23">
        <f>YEAR(Таблица1[[#This Row],[Дата отчета]])</f>
        <v>2025</v>
      </c>
    </row>
    <row r="1545" spans="1:13" x14ac:dyDescent="0.25">
      <c r="A1545" t="s">
        <v>12</v>
      </c>
      <c r="B1545" t="s">
        <v>186</v>
      </c>
      <c r="C1545" t="s">
        <v>1340</v>
      </c>
      <c r="D1545" t="s">
        <v>1341</v>
      </c>
      <c r="E1545" t="s">
        <v>1774</v>
      </c>
      <c r="F1545" s="20">
        <v>25000</v>
      </c>
      <c r="I1545" s="11">
        <f t="shared" si="37"/>
        <v>45869</v>
      </c>
      <c r="J1545" s="12">
        <f t="shared" si="38"/>
        <v>62</v>
      </c>
      <c r="K1545" t="str">
        <f t="shared" si="39"/>
        <v>31-90</v>
      </c>
      <c r="L1545" s="11">
        <v>45931</v>
      </c>
      <c r="M1545" s="23">
        <f>YEAR(Таблица1[[#This Row],[Дата отчета]])</f>
        <v>2025</v>
      </c>
    </row>
    <row r="1546" spans="1:13" x14ac:dyDescent="0.25">
      <c r="A1546" t="s">
        <v>12</v>
      </c>
      <c r="B1546" t="s">
        <v>186</v>
      </c>
      <c r="C1546" t="s">
        <v>1342</v>
      </c>
      <c r="D1546" t="s">
        <v>1343</v>
      </c>
      <c r="E1546" t="s">
        <v>834</v>
      </c>
      <c r="F1546" s="20">
        <v>6600</v>
      </c>
      <c r="I1546" s="11">
        <f t="shared" si="37"/>
        <v>45824</v>
      </c>
      <c r="J1546" s="12">
        <f t="shared" si="38"/>
        <v>107</v>
      </c>
      <c r="K1546" t="str">
        <f t="shared" si="39"/>
        <v>91-120</v>
      </c>
      <c r="L1546" s="11">
        <v>45931</v>
      </c>
      <c r="M1546" s="23">
        <f>YEAR(Таблица1[[#This Row],[Дата отчета]])</f>
        <v>2025</v>
      </c>
    </row>
    <row r="1547" spans="1:13" x14ac:dyDescent="0.25">
      <c r="A1547" t="s">
        <v>12</v>
      </c>
      <c r="B1547" t="s">
        <v>186</v>
      </c>
      <c r="C1547" t="s">
        <v>205</v>
      </c>
      <c r="D1547" t="s">
        <v>206</v>
      </c>
      <c r="E1547" t="s">
        <v>207</v>
      </c>
      <c r="F1547" s="20">
        <v>25000</v>
      </c>
      <c r="I1547" s="11">
        <f t="shared" ref="I1547:I1610" si="40">E1547*1</f>
        <v>45901</v>
      </c>
      <c r="J1547" s="12">
        <f t="shared" ref="J1547:J1610" si="41">L1547-I1547</f>
        <v>30</v>
      </c>
      <c r="K1547" t="str">
        <f t="shared" si="39"/>
        <v>0-30</v>
      </c>
      <c r="L1547" s="11">
        <v>45931</v>
      </c>
      <c r="M1547" s="23">
        <f>YEAR(Таблица1[[#This Row],[Дата отчета]])</f>
        <v>2025</v>
      </c>
    </row>
    <row r="1548" spans="1:13" x14ac:dyDescent="0.25">
      <c r="A1548" t="s">
        <v>12</v>
      </c>
      <c r="B1548" t="s">
        <v>186</v>
      </c>
      <c r="C1548" t="s">
        <v>1344</v>
      </c>
      <c r="D1548" t="s">
        <v>1345</v>
      </c>
      <c r="E1548" t="s">
        <v>201</v>
      </c>
      <c r="F1548" s="20">
        <v>6600</v>
      </c>
      <c r="I1548" s="11">
        <f t="shared" si="40"/>
        <v>45800</v>
      </c>
      <c r="J1548" s="12">
        <f t="shared" si="41"/>
        <v>131</v>
      </c>
      <c r="K1548" t="str">
        <f t="shared" si="39"/>
        <v>121-180</v>
      </c>
      <c r="L1548" s="11">
        <v>45931</v>
      </c>
      <c r="M1548" s="23">
        <f>YEAR(Таблица1[[#This Row],[Дата отчета]])</f>
        <v>2025</v>
      </c>
    </row>
    <row r="1549" spans="1:13" x14ac:dyDescent="0.25">
      <c r="A1549" t="s">
        <v>12</v>
      </c>
      <c r="B1549" t="s">
        <v>186</v>
      </c>
      <c r="C1549" t="s">
        <v>1346</v>
      </c>
      <c r="D1549" t="s">
        <v>1347</v>
      </c>
      <c r="E1549" t="s">
        <v>195</v>
      </c>
      <c r="F1549" s="20">
        <v>18400</v>
      </c>
      <c r="I1549" s="11">
        <f t="shared" si="40"/>
        <v>45916</v>
      </c>
      <c r="J1549" s="12">
        <f t="shared" si="41"/>
        <v>15</v>
      </c>
      <c r="K1549" t="str">
        <f t="shared" si="39"/>
        <v>0-30</v>
      </c>
      <c r="L1549" s="11">
        <v>45931</v>
      </c>
      <c r="M1549" s="23">
        <f>YEAR(Таблица1[[#This Row],[Дата отчета]])</f>
        <v>2025</v>
      </c>
    </row>
    <row r="1550" spans="1:13" x14ac:dyDescent="0.25">
      <c r="A1550" t="s">
        <v>12</v>
      </c>
      <c r="B1550" t="s">
        <v>186</v>
      </c>
      <c r="C1550" t="s">
        <v>1165</v>
      </c>
      <c r="D1550" t="s">
        <v>1348</v>
      </c>
      <c r="E1550" t="s">
        <v>1773</v>
      </c>
      <c r="F1550" s="20">
        <v>25000</v>
      </c>
      <c r="I1550" s="11">
        <f t="shared" si="40"/>
        <v>45889</v>
      </c>
      <c r="J1550" s="12">
        <f t="shared" si="41"/>
        <v>42</v>
      </c>
      <c r="K1550" t="str">
        <f t="shared" si="39"/>
        <v>31-90</v>
      </c>
      <c r="L1550" s="11">
        <v>45931</v>
      </c>
      <c r="M1550" s="23">
        <f>YEAR(Таблица1[[#This Row],[Дата отчета]])</f>
        <v>2025</v>
      </c>
    </row>
    <row r="1551" spans="1:13" x14ac:dyDescent="0.25">
      <c r="A1551" t="s">
        <v>12</v>
      </c>
      <c r="B1551" t="s">
        <v>186</v>
      </c>
      <c r="C1551" t="s">
        <v>1165</v>
      </c>
      <c r="D1551" t="s">
        <v>1349</v>
      </c>
      <c r="E1551" t="s">
        <v>207</v>
      </c>
      <c r="F1551" s="20">
        <v>25000</v>
      </c>
      <c r="I1551" s="11">
        <f t="shared" si="40"/>
        <v>45901</v>
      </c>
      <c r="J1551" s="12">
        <f t="shared" si="41"/>
        <v>30</v>
      </c>
      <c r="K1551" t="str">
        <f t="shared" si="39"/>
        <v>0-30</v>
      </c>
      <c r="L1551" s="11">
        <v>45931</v>
      </c>
      <c r="M1551" s="23">
        <f>YEAR(Таблица1[[#This Row],[Дата отчета]])</f>
        <v>2025</v>
      </c>
    </row>
    <row r="1552" spans="1:13" x14ac:dyDescent="0.25">
      <c r="A1552" t="s">
        <v>12</v>
      </c>
      <c r="B1552" t="s">
        <v>186</v>
      </c>
      <c r="C1552" t="s">
        <v>1165</v>
      </c>
      <c r="D1552" t="s">
        <v>1166</v>
      </c>
      <c r="E1552" t="s">
        <v>1167</v>
      </c>
      <c r="F1552" s="20">
        <v>25000</v>
      </c>
      <c r="I1552" s="11">
        <f t="shared" si="40"/>
        <v>45908</v>
      </c>
      <c r="J1552" s="12">
        <f t="shared" si="41"/>
        <v>23</v>
      </c>
      <c r="K1552" t="str">
        <f t="shared" si="39"/>
        <v>0-30</v>
      </c>
      <c r="L1552" s="11">
        <v>45931</v>
      </c>
      <c r="M1552" s="23">
        <f>YEAR(Таблица1[[#This Row],[Дата отчета]])</f>
        <v>2025</v>
      </c>
    </row>
    <row r="1553" spans="1:14" x14ac:dyDescent="0.25">
      <c r="A1553" t="s">
        <v>12</v>
      </c>
      <c r="B1553" t="s">
        <v>1350</v>
      </c>
      <c r="C1553" t="s">
        <v>1351</v>
      </c>
      <c r="D1553" t="s">
        <v>1352</v>
      </c>
      <c r="E1553" t="s">
        <v>1775</v>
      </c>
      <c r="F1553" s="20">
        <v>360000</v>
      </c>
      <c r="I1553" s="11">
        <f t="shared" si="40"/>
        <v>45629</v>
      </c>
      <c r="J1553" s="12">
        <f t="shared" si="41"/>
        <v>302</v>
      </c>
      <c r="K1553" t="str">
        <f t="shared" si="39"/>
        <v>271-360</v>
      </c>
      <c r="L1553" s="11">
        <v>45931</v>
      </c>
      <c r="M1553" s="23">
        <f>YEAR(Таблица1[[#This Row],[Дата отчета]])</f>
        <v>2025</v>
      </c>
    </row>
    <row r="1554" spans="1:14" x14ac:dyDescent="0.25">
      <c r="A1554" t="s">
        <v>12</v>
      </c>
      <c r="B1554" t="s">
        <v>1353</v>
      </c>
      <c r="C1554" t="s">
        <v>1354</v>
      </c>
      <c r="D1554" t="s">
        <v>1355</v>
      </c>
      <c r="E1554" t="s">
        <v>1776</v>
      </c>
      <c r="F1554" s="20">
        <v>41994</v>
      </c>
      <c r="I1554" s="11">
        <f t="shared" si="40"/>
        <v>45882</v>
      </c>
      <c r="J1554" s="12">
        <f t="shared" si="41"/>
        <v>49</v>
      </c>
      <c r="K1554" t="str">
        <f t="shared" si="39"/>
        <v>31-90</v>
      </c>
      <c r="L1554" s="11">
        <v>45931</v>
      </c>
      <c r="M1554" s="23">
        <f>YEAR(Таблица1[[#This Row],[Дата отчета]])</f>
        <v>2025</v>
      </c>
    </row>
    <row r="1555" spans="1:14" x14ac:dyDescent="0.25">
      <c r="A1555" t="s">
        <v>12</v>
      </c>
      <c r="B1555" t="s">
        <v>1221</v>
      </c>
      <c r="C1555" t="s">
        <v>1226</v>
      </c>
      <c r="D1555" t="s">
        <v>1239</v>
      </c>
      <c r="E1555" t="s">
        <v>893</v>
      </c>
      <c r="F1555" s="20">
        <v>600000</v>
      </c>
      <c r="I1555" s="11">
        <f t="shared" si="40"/>
        <v>45898</v>
      </c>
      <c r="J1555" s="12">
        <f t="shared" si="41"/>
        <v>33</v>
      </c>
      <c r="K1555" t="str">
        <f t="shared" si="39"/>
        <v>31-90</v>
      </c>
      <c r="L1555" s="11">
        <v>45931</v>
      </c>
      <c r="M1555" s="23">
        <f>YEAR(Таблица1[[#This Row],[Дата отчета]])</f>
        <v>2025</v>
      </c>
    </row>
    <row r="1556" spans="1:14" x14ac:dyDescent="0.25">
      <c r="A1556" t="s">
        <v>12</v>
      </c>
      <c r="B1556" t="s">
        <v>212</v>
      </c>
      <c r="C1556" t="s">
        <v>213</v>
      </c>
      <c r="D1556" t="s">
        <v>214</v>
      </c>
      <c r="E1556" t="s">
        <v>215</v>
      </c>
      <c r="F1556" s="20">
        <v>1750000</v>
      </c>
      <c r="I1556" s="11">
        <f t="shared" si="40"/>
        <v>45929</v>
      </c>
      <c r="J1556" s="12">
        <f t="shared" si="41"/>
        <v>2</v>
      </c>
      <c r="K1556" t="str">
        <f t="shared" si="39"/>
        <v>0-30</v>
      </c>
      <c r="L1556" s="11">
        <v>45931</v>
      </c>
      <c r="M1556" s="23">
        <f>YEAR(Таблица1[[#This Row],[Дата отчета]])</f>
        <v>2025</v>
      </c>
    </row>
    <row r="1557" spans="1:14" x14ac:dyDescent="0.25">
      <c r="A1557" t="s">
        <v>12</v>
      </c>
      <c r="B1557" t="s">
        <v>212</v>
      </c>
      <c r="C1557" t="s">
        <v>219</v>
      </c>
      <c r="D1557" t="s">
        <v>220</v>
      </c>
      <c r="E1557" t="s">
        <v>215</v>
      </c>
      <c r="F1557" s="20">
        <v>1750000</v>
      </c>
      <c r="I1557" s="11">
        <f t="shared" si="40"/>
        <v>45929</v>
      </c>
      <c r="J1557" s="12">
        <f t="shared" si="41"/>
        <v>2</v>
      </c>
      <c r="K1557" t="str">
        <f t="shared" si="39"/>
        <v>0-30</v>
      </c>
      <c r="L1557" s="11">
        <v>45931</v>
      </c>
      <c r="M1557" s="23">
        <f>YEAR(Таблица1[[#This Row],[Дата отчета]])</f>
        <v>2025</v>
      </c>
    </row>
    <row r="1558" spans="1:14" x14ac:dyDescent="0.25">
      <c r="A1558" t="s">
        <v>12</v>
      </c>
      <c r="B1558" t="s">
        <v>212</v>
      </c>
      <c r="C1558" t="s">
        <v>223</v>
      </c>
      <c r="D1558" t="s">
        <v>224</v>
      </c>
      <c r="E1558" t="s">
        <v>215</v>
      </c>
      <c r="F1558" s="20">
        <v>1750000</v>
      </c>
      <c r="I1558" s="11">
        <f t="shared" si="40"/>
        <v>45929</v>
      </c>
      <c r="J1558" s="12">
        <f t="shared" si="41"/>
        <v>2</v>
      </c>
      <c r="K1558" t="str">
        <f t="shared" si="39"/>
        <v>0-30</v>
      </c>
      <c r="L1558" s="11">
        <v>45931</v>
      </c>
      <c r="M1558" s="23">
        <f>YEAR(Таблица1[[#This Row],[Дата отчета]])</f>
        <v>2025</v>
      </c>
    </row>
    <row r="1559" spans="1:14" x14ac:dyDescent="0.25">
      <c r="A1559" t="s">
        <v>12</v>
      </c>
      <c r="B1559" t="s">
        <v>1356</v>
      </c>
      <c r="C1559" t="s">
        <v>1357</v>
      </c>
      <c r="D1559" t="s">
        <v>1358</v>
      </c>
      <c r="E1559" t="s">
        <v>1777</v>
      </c>
      <c r="F1559" s="20">
        <v>82000</v>
      </c>
      <c r="I1559" s="11">
        <f t="shared" si="40"/>
        <v>45911</v>
      </c>
      <c r="J1559" s="12">
        <f t="shared" si="41"/>
        <v>20</v>
      </c>
      <c r="K1559" t="str">
        <f t="shared" si="39"/>
        <v>0-30</v>
      </c>
      <c r="L1559" s="11">
        <v>45931</v>
      </c>
      <c r="M1559" s="23">
        <f>YEAR(Таблица1[[#This Row],[Дата отчета]])</f>
        <v>2025</v>
      </c>
    </row>
    <row r="1560" spans="1:14" x14ac:dyDescent="0.25">
      <c r="A1560" t="s">
        <v>12</v>
      </c>
      <c r="B1560" t="s">
        <v>244</v>
      </c>
      <c r="C1560" t="s">
        <v>245</v>
      </c>
      <c r="D1560" t="s">
        <v>246</v>
      </c>
      <c r="E1560" t="s">
        <v>247</v>
      </c>
      <c r="F1560" s="20">
        <v>275272</v>
      </c>
      <c r="I1560" s="11">
        <f t="shared" si="40"/>
        <v>45798</v>
      </c>
      <c r="J1560" s="12">
        <f t="shared" si="41"/>
        <v>133</v>
      </c>
      <c r="K1560" t="str">
        <f t="shared" si="39"/>
        <v>121-180</v>
      </c>
      <c r="L1560" s="11">
        <v>45931</v>
      </c>
      <c r="M1560" s="23">
        <f>YEAR(Таблица1[[#This Row],[Дата отчета]])</f>
        <v>2025</v>
      </c>
      <c r="N1560" s="2" t="s">
        <v>4548</v>
      </c>
    </row>
    <row r="1561" spans="1:14" x14ac:dyDescent="0.25">
      <c r="A1561" t="s">
        <v>12</v>
      </c>
      <c r="B1561" t="s">
        <v>1359</v>
      </c>
      <c r="C1561" t="s">
        <v>1360</v>
      </c>
      <c r="D1561" t="s">
        <v>1361</v>
      </c>
      <c r="E1561" t="s">
        <v>201</v>
      </c>
      <c r="F1561" s="20">
        <v>114279</v>
      </c>
      <c r="I1561" s="11">
        <f t="shared" si="40"/>
        <v>45800</v>
      </c>
      <c r="J1561" s="12">
        <f t="shared" si="41"/>
        <v>131</v>
      </c>
      <c r="K1561" t="str">
        <f t="shared" si="39"/>
        <v>121-180</v>
      </c>
      <c r="L1561" s="11">
        <v>45931</v>
      </c>
      <c r="M1561" s="23">
        <f>YEAR(Таблица1[[#This Row],[Дата отчета]])</f>
        <v>2025</v>
      </c>
    </row>
    <row r="1562" spans="1:14" x14ac:dyDescent="0.25">
      <c r="A1562" t="s">
        <v>12</v>
      </c>
      <c r="B1562" t="s">
        <v>248</v>
      </c>
      <c r="C1562" t="s">
        <v>1362</v>
      </c>
      <c r="D1562" t="s">
        <v>1363</v>
      </c>
      <c r="E1562" t="s">
        <v>821</v>
      </c>
      <c r="F1562" s="20">
        <v>2626275</v>
      </c>
      <c r="I1562" s="11">
        <f t="shared" si="40"/>
        <v>45924</v>
      </c>
      <c r="J1562" s="12">
        <f t="shared" si="41"/>
        <v>7</v>
      </c>
      <c r="K1562" t="str">
        <f t="shared" si="39"/>
        <v>0-30</v>
      </c>
      <c r="L1562" s="11">
        <v>45931</v>
      </c>
      <c r="M1562" s="23">
        <f>YEAR(Таблица1[[#This Row],[Дата отчета]])</f>
        <v>2025</v>
      </c>
    </row>
    <row r="1563" spans="1:14" x14ac:dyDescent="0.25">
      <c r="A1563" t="s">
        <v>12</v>
      </c>
      <c r="B1563" t="s">
        <v>1364</v>
      </c>
      <c r="C1563" t="s">
        <v>775</v>
      </c>
      <c r="D1563" t="s">
        <v>1365</v>
      </c>
      <c r="E1563" t="s">
        <v>1778</v>
      </c>
      <c r="F1563" s="20">
        <v>5433.05</v>
      </c>
      <c r="I1563" s="11">
        <f t="shared" si="40"/>
        <v>44403</v>
      </c>
      <c r="J1563" s="12">
        <f t="shared" si="41"/>
        <v>1528</v>
      </c>
      <c r="K1563" t="str">
        <f t="shared" si="39"/>
        <v>&gt;360</v>
      </c>
      <c r="L1563" s="11">
        <v>45931</v>
      </c>
      <c r="M1563" s="23">
        <f>YEAR(Таблица1[[#This Row],[Дата отчета]])</f>
        <v>2025</v>
      </c>
    </row>
    <row r="1564" spans="1:14" x14ac:dyDescent="0.25">
      <c r="A1564" t="s">
        <v>12</v>
      </c>
      <c r="B1564" t="s">
        <v>271</v>
      </c>
      <c r="C1564" t="s">
        <v>274</v>
      </c>
      <c r="D1564" t="s">
        <v>1366</v>
      </c>
      <c r="E1564" t="s">
        <v>1779</v>
      </c>
      <c r="F1564" s="20">
        <v>13936</v>
      </c>
      <c r="I1564" s="11">
        <f t="shared" si="40"/>
        <v>45818</v>
      </c>
      <c r="J1564" s="12">
        <f t="shared" si="41"/>
        <v>113</v>
      </c>
      <c r="K1564" t="str">
        <f t="shared" si="39"/>
        <v>91-120</v>
      </c>
      <c r="L1564" s="11">
        <v>45931</v>
      </c>
      <c r="M1564" s="23">
        <f>YEAR(Таблица1[[#This Row],[Дата отчета]])</f>
        <v>2025</v>
      </c>
    </row>
    <row r="1565" spans="1:14" x14ac:dyDescent="0.25">
      <c r="A1565" t="s">
        <v>12</v>
      </c>
      <c r="B1565" t="s">
        <v>271</v>
      </c>
      <c r="C1565" t="s">
        <v>274</v>
      </c>
      <c r="D1565" t="s">
        <v>275</v>
      </c>
      <c r="E1565" t="s">
        <v>276</v>
      </c>
      <c r="F1565" s="20">
        <v>682568</v>
      </c>
      <c r="I1565" s="11">
        <f t="shared" si="40"/>
        <v>45827</v>
      </c>
      <c r="J1565" s="12">
        <f t="shared" si="41"/>
        <v>104</v>
      </c>
      <c r="K1565" t="str">
        <f t="shared" si="39"/>
        <v>91-120</v>
      </c>
      <c r="L1565" s="11">
        <v>45931</v>
      </c>
      <c r="M1565" s="23">
        <f>YEAR(Таблица1[[#This Row],[Дата отчета]])</f>
        <v>2025</v>
      </c>
    </row>
    <row r="1566" spans="1:14" x14ac:dyDescent="0.25">
      <c r="A1566" t="s">
        <v>12</v>
      </c>
      <c r="B1566" t="s">
        <v>271</v>
      </c>
      <c r="C1566" t="s">
        <v>282</v>
      </c>
      <c r="D1566" t="s">
        <v>283</v>
      </c>
      <c r="E1566" t="s">
        <v>284</v>
      </c>
      <c r="F1566" s="20">
        <v>600</v>
      </c>
      <c r="I1566" s="11">
        <f t="shared" si="40"/>
        <v>45398</v>
      </c>
      <c r="J1566" s="12">
        <f t="shared" si="41"/>
        <v>533</v>
      </c>
      <c r="K1566" t="str">
        <f t="shared" si="39"/>
        <v>&gt;360</v>
      </c>
      <c r="L1566" s="11">
        <v>45931</v>
      </c>
      <c r="M1566" s="23">
        <f>YEAR(Таблица1[[#This Row],[Дата отчета]])</f>
        <v>2025</v>
      </c>
    </row>
    <row r="1567" spans="1:14" x14ac:dyDescent="0.25">
      <c r="A1567" t="s">
        <v>12</v>
      </c>
      <c r="B1567" t="s">
        <v>271</v>
      </c>
      <c r="C1567" t="s">
        <v>287</v>
      </c>
      <c r="D1567" t="s">
        <v>288</v>
      </c>
      <c r="E1567" t="s">
        <v>289</v>
      </c>
      <c r="F1567" s="20">
        <v>29963</v>
      </c>
      <c r="I1567" s="11">
        <f t="shared" si="40"/>
        <v>45716</v>
      </c>
      <c r="J1567" s="12">
        <f t="shared" si="41"/>
        <v>215</v>
      </c>
      <c r="K1567" t="str">
        <f t="shared" si="39"/>
        <v>181-270</v>
      </c>
      <c r="L1567" s="11">
        <v>45931</v>
      </c>
      <c r="M1567" s="23">
        <f>YEAR(Таблица1[[#This Row],[Дата отчета]])</f>
        <v>2025</v>
      </c>
      <c r="N1567" s="2" t="s">
        <v>4538</v>
      </c>
    </row>
    <row r="1568" spans="1:14" x14ac:dyDescent="0.25">
      <c r="A1568" t="s">
        <v>12</v>
      </c>
      <c r="B1568" t="s">
        <v>271</v>
      </c>
      <c r="C1568" t="s">
        <v>1367</v>
      </c>
      <c r="D1568" t="s">
        <v>1368</v>
      </c>
      <c r="E1568" t="s">
        <v>821</v>
      </c>
      <c r="F1568" s="20">
        <v>44000</v>
      </c>
      <c r="I1568" s="11">
        <f t="shared" si="40"/>
        <v>45924</v>
      </c>
      <c r="J1568" s="12">
        <f t="shared" si="41"/>
        <v>7</v>
      </c>
      <c r="K1568" t="str">
        <f t="shared" si="39"/>
        <v>0-30</v>
      </c>
      <c r="L1568" s="11">
        <v>45931</v>
      </c>
      <c r="M1568" s="23">
        <f>YEAR(Таблица1[[#This Row],[Дата отчета]])</f>
        <v>2025</v>
      </c>
    </row>
    <row r="1569" spans="1:14" x14ac:dyDescent="0.25">
      <c r="A1569" t="s">
        <v>12</v>
      </c>
      <c r="B1569" t="s">
        <v>1369</v>
      </c>
      <c r="C1569" t="s">
        <v>1370</v>
      </c>
      <c r="D1569" t="s">
        <v>1371</v>
      </c>
      <c r="E1569" t="s">
        <v>1769</v>
      </c>
      <c r="F1569" s="20">
        <v>17390</v>
      </c>
      <c r="I1569" s="11">
        <f t="shared" si="40"/>
        <v>45923</v>
      </c>
      <c r="J1569" s="12">
        <f t="shared" si="41"/>
        <v>8</v>
      </c>
      <c r="K1569" t="str">
        <f t="shared" si="39"/>
        <v>0-30</v>
      </c>
      <c r="L1569" s="11">
        <v>45931</v>
      </c>
      <c r="M1569" s="23">
        <f>YEAR(Таблица1[[#This Row],[Дата отчета]])</f>
        <v>2025</v>
      </c>
    </row>
    <row r="1570" spans="1:14" x14ac:dyDescent="0.25">
      <c r="A1570" t="s">
        <v>12</v>
      </c>
      <c r="B1570" t="s">
        <v>1372</v>
      </c>
      <c r="C1570" t="s">
        <v>1373</v>
      </c>
      <c r="D1570" t="s">
        <v>1374</v>
      </c>
      <c r="E1570" t="s">
        <v>1086</v>
      </c>
      <c r="F1570" s="20">
        <v>28320</v>
      </c>
      <c r="I1570" s="11">
        <f t="shared" si="40"/>
        <v>45847</v>
      </c>
      <c r="J1570" s="12">
        <f t="shared" si="41"/>
        <v>84</v>
      </c>
      <c r="K1570" t="str">
        <f t="shared" si="39"/>
        <v>31-90</v>
      </c>
      <c r="L1570" s="11">
        <v>45931</v>
      </c>
      <c r="M1570" s="23">
        <f>YEAR(Таблица1[[#This Row],[Дата отчета]])</f>
        <v>2025</v>
      </c>
    </row>
    <row r="1571" spans="1:14" x14ac:dyDescent="0.25">
      <c r="A1571" t="s">
        <v>12</v>
      </c>
      <c r="B1571" t="s">
        <v>1372</v>
      </c>
      <c r="C1571" t="s">
        <v>1375</v>
      </c>
      <c r="D1571" t="s">
        <v>1376</v>
      </c>
      <c r="E1571" t="s">
        <v>247</v>
      </c>
      <c r="F1571" s="20">
        <v>3460</v>
      </c>
      <c r="I1571" s="11">
        <f t="shared" si="40"/>
        <v>45798</v>
      </c>
      <c r="J1571" s="12">
        <f t="shared" si="41"/>
        <v>133</v>
      </c>
      <c r="K1571" t="str">
        <f t="shared" si="39"/>
        <v>121-180</v>
      </c>
      <c r="L1571" s="11">
        <v>45931</v>
      </c>
      <c r="M1571" s="23">
        <f>YEAR(Таблица1[[#This Row],[Дата отчета]])</f>
        <v>2025</v>
      </c>
    </row>
    <row r="1572" spans="1:14" x14ac:dyDescent="0.25">
      <c r="A1572" t="s">
        <v>12</v>
      </c>
      <c r="B1572" t="s">
        <v>297</v>
      </c>
      <c r="C1572" t="s">
        <v>298</v>
      </c>
      <c r="D1572" t="s">
        <v>299</v>
      </c>
      <c r="E1572" t="s">
        <v>300</v>
      </c>
      <c r="F1572" s="20">
        <v>3959</v>
      </c>
      <c r="I1572" s="11">
        <f t="shared" si="40"/>
        <v>45449</v>
      </c>
      <c r="J1572" s="12">
        <f t="shared" si="41"/>
        <v>482</v>
      </c>
      <c r="K1572" t="str">
        <f t="shared" si="39"/>
        <v>&gt;360</v>
      </c>
      <c r="L1572" s="11">
        <v>45931</v>
      </c>
      <c r="M1572" s="23">
        <f>YEAR(Таблица1[[#This Row],[Дата отчета]])</f>
        <v>2025</v>
      </c>
      <c r="N1572" s="7" t="s">
        <v>4547</v>
      </c>
    </row>
    <row r="1573" spans="1:14" x14ac:dyDescent="0.25">
      <c r="A1573" t="s">
        <v>12</v>
      </c>
      <c r="B1573" t="s">
        <v>297</v>
      </c>
      <c r="C1573" t="s">
        <v>1377</v>
      </c>
      <c r="D1573" t="s">
        <v>1378</v>
      </c>
      <c r="E1573" t="s">
        <v>215</v>
      </c>
      <c r="F1573" s="20">
        <v>2178</v>
      </c>
      <c r="I1573" s="11">
        <f t="shared" si="40"/>
        <v>45929</v>
      </c>
      <c r="J1573" s="12">
        <f t="shared" si="41"/>
        <v>2</v>
      </c>
      <c r="K1573" t="str">
        <f t="shared" si="39"/>
        <v>0-30</v>
      </c>
      <c r="L1573" s="11">
        <v>45931</v>
      </c>
      <c r="M1573" s="23">
        <f>YEAR(Таблица1[[#This Row],[Дата отчета]])</f>
        <v>2025</v>
      </c>
    </row>
    <row r="1574" spans="1:14" x14ac:dyDescent="0.25">
      <c r="A1574" t="s">
        <v>12</v>
      </c>
      <c r="B1574" t="s">
        <v>297</v>
      </c>
      <c r="C1574" t="s">
        <v>1379</v>
      </c>
      <c r="D1574" t="s">
        <v>1380</v>
      </c>
      <c r="E1574" t="s">
        <v>1777</v>
      </c>
      <c r="F1574" s="20">
        <v>177294</v>
      </c>
      <c r="I1574" s="11">
        <f t="shared" si="40"/>
        <v>45911</v>
      </c>
      <c r="J1574" s="12">
        <f t="shared" si="41"/>
        <v>20</v>
      </c>
      <c r="K1574" t="str">
        <f t="shared" si="39"/>
        <v>0-30</v>
      </c>
      <c r="L1574" s="11">
        <v>45931</v>
      </c>
      <c r="M1574" s="23">
        <f>YEAR(Таблица1[[#This Row],[Дата отчета]])</f>
        <v>2025</v>
      </c>
    </row>
    <row r="1575" spans="1:14" x14ac:dyDescent="0.25">
      <c r="A1575" t="s">
        <v>12</v>
      </c>
      <c r="B1575" t="s">
        <v>297</v>
      </c>
      <c r="C1575" t="s">
        <v>1381</v>
      </c>
      <c r="D1575" t="s">
        <v>1382</v>
      </c>
      <c r="E1575" t="s">
        <v>321</v>
      </c>
      <c r="F1575" s="20">
        <v>2377</v>
      </c>
      <c r="I1575" s="11">
        <f t="shared" si="40"/>
        <v>45880</v>
      </c>
      <c r="J1575" s="12">
        <f t="shared" si="41"/>
        <v>51</v>
      </c>
      <c r="K1575" t="str">
        <f t="shared" si="39"/>
        <v>31-90</v>
      </c>
      <c r="L1575" s="11">
        <v>45931</v>
      </c>
      <c r="M1575" s="23">
        <f>YEAR(Таблица1[[#This Row],[Дата отчета]])</f>
        <v>2025</v>
      </c>
    </row>
    <row r="1576" spans="1:14" x14ac:dyDescent="0.25">
      <c r="A1576" t="s">
        <v>12</v>
      </c>
      <c r="B1576" t="s">
        <v>297</v>
      </c>
      <c r="C1576" t="s">
        <v>1383</v>
      </c>
      <c r="D1576" t="s">
        <v>1384</v>
      </c>
      <c r="E1576" t="s">
        <v>841</v>
      </c>
      <c r="F1576" s="20">
        <v>1821</v>
      </c>
      <c r="I1576" s="11">
        <f t="shared" si="40"/>
        <v>45925</v>
      </c>
      <c r="J1576" s="12">
        <f t="shared" si="41"/>
        <v>6</v>
      </c>
      <c r="K1576" t="str">
        <f t="shared" si="39"/>
        <v>0-30</v>
      </c>
      <c r="L1576" s="11">
        <v>45931</v>
      </c>
      <c r="M1576" s="23">
        <f>YEAR(Таблица1[[#This Row],[Дата отчета]])</f>
        <v>2025</v>
      </c>
    </row>
    <row r="1577" spans="1:14" x14ac:dyDescent="0.25">
      <c r="A1577" t="s">
        <v>12</v>
      </c>
      <c r="B1577" t="s">
        <v>297</v>
      </c>
      <c r="C1577" t="s">
        <v>1385</v>
      </c>
      <c r="D1577" t="s">
        <v>1386</v>
      </c>
      <c r="E1577" t="s">
        <v>669</v>
      </c>
      <c r="F1577" s="20">
        <v>2347</v>
      </c>
      <c r="I1577" s="11">
        <f t="shared" si="40"/>
        <v>45930</v>
      </c>
      <c r="J1577" s="12">
        <f t="shared" si="41"/>
        <v>1</v>
      </c>
      <c r="K1577" t="str">
        <f t="shared" si="39"/>
        <v>0-30</v>
      </c>
      <c r="L1577" s="11">
        <v>45931</v>
      </c>
      <c r="M1577" s="23">
        <f>YEAR(Таблица1[[#This Row],[Дата отчета]])</f>
        <v>2025</v>
      </c>
    </row>
    <row r="1578" spans="1:14" x14ac:dyDescent="0.25">
      <c r="A1578" t="s">
        <v>12</v>
      </c>
      <c r="B1578" t="s">
        <v>297</v>
      </c>
      <c r="C1578" t="s">
        <v>1387</v>
      </c>
      <c r="D1578" t="s">
        <v>1388</v>
      </c>
      <c r="E1578" t="s">
        <v>1207</v>
      </c>
      <c r="F1578" s="20">
        <v>21382</v>
      </c>
      <c r="I1578" s="11">
        <f t="shared" si="40"/>
        <v>45926</v>
      </c>
      <c r="J1578" s="12">
        <f t="shared" si="41"/>
        <v>5</v>
      </c>
      <c r="K1578" t="str">
        <f t="shared" si="39"/>
        <v>0-30</v>
      </c>
      <c r="L1578" s="11">
        <v>45931</v>
      </c>
      <c r="M1578" s="23">
        <f>YEAR(Таблица1[[#This Row],[Дата отчета]])</f>
        <v>2025</v>
      </c>
    </row>
    <row r="1579" spans="1:14" x14ac:dyDescent="0.25">
      <c r="A1579" t="s">
        <v>12</v>
      </c>
      <c r="B1579" t="s">
        <v>297</v>
      </c>
      <c r="C1579" t="s">
        <v>1389</v>
      </c>
      <c r="D1579" t="s">
        <v>1390</v>
      </c>
      <c r="E1579" t="s">
        <v>841</v>
      </c>
      <c r="F1579" s="20">
        <v>53919</v>
      </c>
      <c r="I1579" s="11">
        <f t="shared" si="40"/>
        <v>45925</v>
      </c>
      <c r="J1579" s="12">
        <f t="shared" si="41"/>
        <v>6</v>
      </c>
      <c r="K1579" t="str">
        <f t="shared" si="39"/>
        <v>0-30</v>
      </c>
      <c r="L1579" s="11">
        <v>45931</v>
      </c>
      <c r="M1579" s="23">
        <f>YEAR(Таблица1[[#This Row],[Дата отчета]])</f>
        <v>2025</v>
      </c>
    </row>
    <row r="1580" spans="1:14" x14ac:dyDescent="0.25">
      <c r="A1580" t="s">
        <v>12</v>
      </c>
      <c r="B1580" t="s">
        <v>297</v>
      </c>
      <c r="C1580" t="s">
        <v>1391</v>
      </c>
      <c r="D1580" t="s">
        <v>1392</v>
      </c>
      <c r="E1580" t="s">
        <v>841</v>
      </c>
      <c r="F1580" s="20">
        <v>1346</v>
      </c>
      <c r="I1580" s="11">
        <f t="shared" si="40"/>
        <v>45925</v>
      </c>
      <c r="J1580" s="12">
        <f t="shared" si="41"/>
        <v>6</v>
      </c>
      <c r="K1580" t="str">
        <f t="shared" si="39"/>
        <v>0-30</v>
      </c>
      <c r="L1580" s="11">
        <v>45931</v>
      </c>
      <c r="M1580" s="23">
        <f>YEAR(Таблица1[[#This Row],[Дата отчета]])</f>
        <v>2025</v>
      </c>
    </row>
    <row r="1581" spans="1:14" x14ac:dyDescent="0.25">
      <c r="A1581" t="s">
        <v>12</v>
      </c>
      <c r="B1581" t="s">
        <v>297</v>
      </c>
      <c r="C1581" t="s">
        <v>1393</v>
      </c>
      <c r="D1581" t="s">
        <v>1394</v>
      </c>
      <c r="E1581" t="s">
        <v>1164</v>
      </c>
      <c r="F1581" s="20">
        <v>1966</v>
      </c>
      <c r="I1581" s="11">
        <f t="shared" si="40"/>
        <v>45912</v>
      </c>
      <c r="J1581" s="12">
        <f t="shared" si="41"/>
        <v>19</v>
      </c>
      <c r="K1581" t="str">
        <f t="shared" si="39"/>
        <v>0-30</v>
      </c>
      <c r="L1581" s="11">
        <v>45931</v>
      </c>
      <c r="M1581" s="23">
        <f>YEAR(Таблица1[[#This Row],[Дата отчета]])</f>
        <v>2025</v>
      </c>
    </row>
    <row r="1582" spans="1:14" x14ac:dyDescent="0.25">
      <c r="A1582" t="s">
        <v>12</v>
      </c>
      <c r="B1582" t="s">
        <v>297</v>
      </c>
      <c r="C1582" t="s">
        <v>1395</v>
      </c>
      <c r="D1582" t="s">
        <v>1396</v>
      </c>
      <c r="E1582" t="s">
        <v>1769</v>
      </c>
      <c r="F1582" s="20">
        <v>4696</v>
      </c>
      <c r="I1582" s="11">
        <f t="shared" si="40"/>
        <v>45923</v>
      </c>
      <c r="J1582" s="12">
        <f t="shared" si="41"/>
        <v>8</v>
      </c>
      <c r="K1582" t="str">
        <f t="shared" si="39"/>
        <v>0-30</v>
      </c>
      <c r="L1582" s="11">
        <v>45931</v>
      </c>
      <c r="M1582" s="23">
        <f>YEAR(Таблица1[[#This Row],[Дата отчета]])</f>
        <v>2025</v>
      </c>
    </row>
    <row r="1583" spans="1:14" x14ac:dyDescent="0.25">
      <c r="A1583" t="s">
        <v>12</v>
      </c>
      <c r="B1583" t="s">
        <v>297</v>
      </c>
      <c r="C1583" t="s">
        <v>313</v>
      </c>
      <c r="D1583" t="s">
        <v>314</v>
      </c>
      <c r="E1583" t="s">
        <v>315</v>
      </c>
      <c r="F1583" s="20">
        <v>39046</v>
      </c>
      <c r="I1583" s="11">
        <f t="shared" si="40"/>
        <v>45891</v>
      </c>
      <c r="J1583" s="12">
        <f t="shared" si="41"/>
        <v>40</v>
      </c>
      <c r="K1583" t="str">
        <f t="shared" si="39"/>
        <v>31-90</v>
      </c>
      <c r="L1583" s="11">
        <v>45931</v>
      </c>
      <c r="M1583" s="23">
        <f>YEAR(Таблица1[[#This Row],[Дата отчета]])</f>
        <v>2025</v>
      </c>
    </row>
    <row r="1584" spans="1:14" x14ac:dyDescent="0.25">
      <c r="A1584" t="s">
        <v>12</v>
      </c>
      <c r="B1584" t="s">
        <v>297</v>
      </c>
      <c r="C1584" t="s">
        <v>1171</v>
      </c>
      <c r="D1584" t="s">
        <v>1172</v>
      </c>
      <c r="E1584" t="s">
        <v>1173</v>
      </c>
      <c r="F1584" s="20">
        <v>3629</v>
      </c>
      <c r="I1584" s="11">
        <f t="shared" si="40"/>
        <v>45922</v>
      </c>
      <c r="J1584" s="12">
        <f t="shared" si="41"/>
        <v>9</v>
      </c>
      <c r="K1584" t="str">
        <f t="shared" si="39"/>
        <v>0-30</v>
      </c>
      <c r="L1584" s="11">
        <v>45931</v>
      </c>
      <c r="M1584" s="23">
        <f>YEAR(Таблица1[[#This Row],[Дата отчета]])</f>
        <v>2025</v>
      </c>
    </row>
    <row r="1585" spans="1:13" x14ac:dyDescent="0.25">
      <c r="A1585" t="s">
        <v>12</v>
      </c>
      <c r="B1585" t="s">
        <v>297</v>
      </c>
      <c r="C1585" t="s">
        <v>1397</v>
      </c>
      <c r="D1585" t="s">
        <v>1398</v>
      </c>
      <c r="E1585" t="s">
        <v>215</v>
      </c>
      <c r="F1585" s="20">
        <v>5509</v>
      </c>
      <c r="I1585" s="11">
        <f t="shared" si="40"/>
        <v>45929</v>
      </c>
      <c r="J1585" s="12">
        <f t="shared" si="41"/>
        <v>2</v>
      </c>
      <c r="K1585" t="str">
        <f t="shared" si="39"/>
        <v>0-30</v>
      </c>
      <c r="L1585" s="11">
        <v>45931</v>
      </c>
      <c r="M1585" s="23">
        <f>YEAR(Таблица1[[#This Row],[Дата отчета]])</f>
        <v>2025</v>
      </c>
    </row>
    <row r="1586" spans="1:13" x14ac:dyDescent="0.25">
      <c r="A1586" t="s">
        <v>12</v>
      </c>
      <c r="B1586" t="s">
        <v>297</v>
      </c>
      <c r="C1586" t="s">
        <v>316</v>
      </c>
      <c r="D1586" t="s">
        <v>317</v>
      </c>
      <c r="E1586" t="s">
        <v>318</v>
      </c>
      <c r="F1586" s="20">
        <v>780</v>
      </c>
      <c r="I1586" s="11">
        <f t="shared" si="40"/>
        <v>45845</v>
      </c>
      <c r="J1586" s="12">
        <f t="shared" si="41"/>
        <v>86</v>
      </c>
      <c r="K1586" t="str">
        <f t="shared" si="39"/>
        <v>31-90</v>
      </c>
      <c r="L1586" s="11">
        <v>45931</v>
      </c>
      <c r="M1586" s="23">
        <f>YEAR(Таблица1[[#This Row],[Дата отчета]])</f>
        <v>2025</v>
      </c>
    </row>
    <row r="1587" spans="1:13" x14ac:dyDescent="0.25">
      <c r="A1587" t="s">
        <v>12</v>
      </c>
      <c r="B1587" t="s">
        <v>297</v>
      </c>
      <c r="C1587" t="s">
        <v>319</v>
      </c>
      <c r="D1587" t="s">
        <v>320</v>
      </c>
      <c r="E1587" t="s">
        <v>321</v>
      </c>
      <c r="F1587" s="20">
        <v>2154</v>
      </c>
      <c r="I1587" s="11">
        <f t="shared" si="40"/>
        <v>45880</v>
      </c>
      <c r="J1587" s="12">
        <f t="shared" si="41"/>
        <v>51</v>
      </c>
      <c r="K1587" t="str">
        <f t="shared" si="39"/>
        <v>31-90</v>
      </c>
      <c r="L1587" s="11">
        <v>45931</v>
      </c>
      <c r="M1587" s="23">
        <f>YEAR(Таблица1[[#This Row],[Дата отчета]])</f>
        <v>2025</v>
      </c>
    </row>
    <row r="1588" spans="1:13" x14ac:dyDescent="0.25">
      <c r="A1588" t="s">
        <v>12</v>
      </c>
      <c r="B1588" t="s">
        <v>297</v>
      </c>
      <c r="C1588" t="s">
        <v>1399</v>
      </c>
      <c r="D1588" t="s">
        <v>1400</v>
      </c>
      <c r="E1588" t="s">
        <v>1167</v>
      </c>
      <c r="F1588" s="20">
        <v>2375</v>
      </c>
      <c r="I1588" s="11">
        <f t="shared" si="40"/>
        <v>45908</v>
      </c>
      <c r="J1588" s="12">
        <f t="shared" si="41"/>
        <v>23</v>
      </c>
      <c r="K1588" t="str">
        <f t="shared" si="39"/>
        <v>0-30</v>
      </c>
      <c r="L1588" s="11">
        <v>45931</v>
      </c>
      <c r="M1588" s="23">
        <f>YEAR(Таблица1[[#This Row],[Дата отчета]])</f>
        <v>2025</v>
      </c>
    </row>
    <row r="1589" spans="1:13" x14ac:dyDescent="0.25">
      <c r="A1589" t="s">
        <v>12</v>
      </c>
      <c r="B1589" t="s">
        <v>297</v>
      </c>
      <c r="C1589" t="s">
        <v>1401</v>
      </c>
      <c r="D1589" t="s">
        <v>1402</v>
      </c>
      <c r="E1589" t="s">
        <v>1167</v>
      </c>
      <c r="F1589" s="20">
        <v>59209</v>
      </c>
      <c r="I1589" s="11">
        <f t="shared" si="40"/>
        <v>45908</v>
      </c>
      <c r="J1589" s="12">
        <f t="shared" si="41"/>
        <v>23</v>
      </c>
      <c r="K1589" t="str">
        <f t="shared" si="39"/>
        <v>0-30</v>
      </c>
      <c r="L1589" s="11">
        <v>45931</v>
      </c>
      <c r="M1589" s="23">
        <f>YEAR(Таблица1[[#This Row],[Дата отчета]])</f>
        <v>2025</v>
      </c>
    </row>
    <row r="1590" spans="1:13" x14ac:dyDescent="0.25">
      <c r="A1590" t="s">
        <v>12</v>
      </c>
      <c r="B1590" t="s">
        <v>297</v>
      </c>
      <c r="C1590" t="s">
        <v>1403</v>
      </c>
      <c r="D1590" t="s">
        <v>1404</v>
      </c>
      <c r="E1590" t="s">
        <v>1777</v>
      </c>
      <c r="F1590" s="20">
        <v>59988</v>
      </c>
      <c r="I1590" s="11">
        <f t="shared" si="40"/>
        <v>45911</v>
      </c>
      <c r="J1590" s="12">
        <f t="shared" si="41"/>
        <v>20</v>
      </c>
      <c r="K1590" t="str">
        <f t="shared" si="39"/>
        <v>0-30</v>
      </c>
      <c r="L1590" s="11">
        <v>45931</v>
      </c>
      <c r="M1590" s="23">
        <f>YEAR(Таблица1[[#This Row],[Дата отчета]])</f>
        <v>2025</v>
      </c>
    </row>
    <row r="1591" spans="1:13" x14ac:dyDescent="0.25">
      <c r="A1591" t="s">
        <v>12</v>
      </c>
      <c r="B1591" t="s">
        <v>297</v>
      </c>
      <c r="C1591" t="s">
        <v>337</v>
      </c>
      <c r="D1591" t="s">
        <v>338</v>
      </c>
      <c r="E1591" t="s">
        <v>339</v>
      </c>
      <c r="F1591" s="20">
        <v>1140</v>
      </c>
      <c r="I1591" s="11">
        <f t="shared" si="40"/>
        <v>45867</v>
      </c>
      <c r="J1591" s="12">
        <f t="shared" si="41"/>
        <v>64</v>
      </c>
      <c r="K1591" t="str">
        <f t="shared" si="39"/>
        <v>31-90</v>
      </c>
      <c r="L1591" s="11">
        <v>45931</v>
      </c>
      <c r="M1591" s="23">
        <f>YEAR(Таблица1[[#This Row],[Дата отчета]])</f>
        <v>2025</v>
      </c>
    </row>
    <row r="1592" spans="1:13" x14ac:dyDescent="0.25">
      <c r="A1592" t="s">
        <v>12</v>
      </c>
      <c r="B1592" t="s">
        <v>297</v>
      </c>
      <c r="C1592" t="s">
        <v>1405</v>
      </c>
      <c r="D1592" t="s">
        <v>1406</v>
      </c>
      <c r="E1592" t="s">
        <v>841</v>
      </c>
      <c r="F1592" s="20">
        <v>839</v>
      </c>
      <c r="I1592" s="11">
        <f t="shared" si="40"/>
        <v>45925</v>
      </c>
      <c r="J1592" s="12">
        <f t="shared" si="41"/>
        <v>6</v>
      </c>
      <c r="K1592" t="str">
        <f t="shared" si="39"/>
        <v>0-30</v>
      </c>
      <c r="L1592" s="11">
        <v>45931</v>
      </c>
      <c r="M1592" s="23">
        <f>YEAR(Таблица1[[#This Row],[Дата отчета]])</f>
        <v>2025</v>
      </c>
    </row>
    <row r="1593" spans="1:13" x14ac:dyDescent="0.25">
      <c r="A1593" t="s">
        <v>12</v>
      </c>
      <c r="B1593" t="s">
        <v>297</v>
      </c>
      <c r="C1593" t="s">
        <v>343</v>
      </c>
      <c r="D1593" t="s">
        <v>344</v>
      </c>
      <c r="E1593" t="s">
        <v>345</v>
      </c>
      <c r="F1593" s="20">
        <v>6411</v>
      </c>
      <c r="I1593" s="11">
        <f t="shared" si="40"/>
        <v>45919</v>
      </c>
      <c r="J1593" s="12">
        <f t="shared" si="41"/>
        <v>12</v>
      </c>
      <c r="K1593" t="str">
        <f t="shared" si="39"/>
        <v>0-30</v>
      </c>
      <c r="L1593" s="11">
        <v>45931</v>
      </c>
      <c r="M1593" s="23">
        <f>YEAR(Таблица1[[#This Row],[Дата отчета]])</f>
        <v>2025</v>
      </c>
    </row>
    <row r="1594" spans="1:13" x14ac:dyDescent="0.25">
      <c r="A1594" t="s">
        <v>12</v>
      </c>
      <c r="B1594" t="s">
        <v>297</v>
      </c>
      <c r="C1594" t="s">
        <v>1407</v>
      </c>
      <c r="D1594" t="s">
        <v>1408</v>
      </c>
      <c r="E1594" t="s">
        <v>66</v>
      </c>
      <c r="F1594" s="20">
        <v>7533</v>
      </c>
      <c r="I1594" s="11">
        <f t="shared" si="40"/>
        <v>45895</v>
      </c>
      <c r="J1594" s="12">
        <f t="shared" si="41"/>
        <v>36</v>
      </c>
      <c r="K1594" t="str">
        <f t="shared" si="39"/>
        <v>31-90</v>
      </c>
      <c r="L1594" s="11">
        <v>45931</v>
      </c>
      <c r="M1594" s="23">
        <f>YEAR(Таблица1[[#This Row],[Дата отчета]])</f>
        <v>2025</v>
      </c>
    </row>
    <row r="1595" spans="1:13" x14ac:dyDescent="0.25">
      <c r="A1595" t="s">
        <v>12</v>
      </c>
      <c r="B1595" t="s">
        <v>383</v>
      </c>
      <c r="C1595" t="s">
        <v>1409</v>
      </c>
      <c r="D1595" t="s">
        <v>1410</v>
      </c>
      <c r="E1595" t="s">
        <v>1780</v>
      </c>
      <c r="F1595" s="20">
        <v>35398</v>
      </c>
      <c r="I1595" s="11">
        <f t="shared" si="40"/>
        <v>45877</v>
      </c>
      <c r="J1595" s="12">
        <f t="shared" si="41"/>
        <v>54</v>
      </c>
      <c r="K1595" t="str">
        <f t="shared" si="39"/>
        <v>31-90</v>
      </c>
      <c r="L1595" s="11">
        <v>45931</v>
      </c>
      <c r="M1595" s="23">
        <f>YEAR(Таблица1[[#This Row],[Дата отчета]])</f>
        <v>2025</v>
      </c>
    </row>
    <row r="1596" spans="1:13" x14ac:dyDescent="0.25">
      <c r="A1596" t="s">
        <v>12</v>
      </c>
      <c r="B1596" t="s">
        <v>1411</v>
      </c>
      <c r="C1596" t="s">
        <v>1412</v>
      </c>
      <c r="D1596" t="s">
        <v>1413</v>
      </c>
      <c r="E1596" t="s">
        <v>1769</v>
      </c>
      <c r="F1596" s="20">
        <v>68367</v>
      </c>
      <c r="I1596" s="11">
        <f t="shared" si="40"/>
        <v>45923</v>
      </c>
      <c r="J1596" s="12">
        <f t="shared" si="41"/>
        <v>8</v>
      </c>
      <c r="K1596" t="str">
        <f t="shared" si="39"/>
        <v>0-30</v>
      </c>
      <c r="L1596" s="11">
        <v>45931</v>
      </c>
      <c r="M1596" s="23">
        <f>YEAR(Таблица1[[#This Row],[Дата отчета]])</f>
        <v>2025</v>
      </c>
    </row>
    <row r="1597" spans="1:13" x14ac:dyDescent="0.25">
      <c r="A1597" t="s">
        <v>12</v>
      </c>
      <c r="B1597" t="s">
        <v>1411</v>
      </c>
      <c r="C1597" t="s">
        <v>1414</v>
      </c>
      <c r="D1597" t="s">
        <v>1415</v>
      </c>
      <c r="E1597" t="s">
        <v>821</v>
      </c>
      <c r="F1597" s="20">
        <v>1100</v>
      </c>
      <c r="I1597" s="11">
        <f t="shared" si="40"/>
        <v>45924</v>
      </c>
      <c r="J1597" s="12">
        <f t="shared" si="41"/>
        <v>7</v>
      </c>
      <c r="K1597" t="str">
        <f t="shared" si="39"/>
        <v>0-30</v>
      </c>
      <c r="L1597" s="11">
        <v>45931</v>
      </c>
      <c r="M1597" s="23">
        <f>YEAR(Таблица1[[#This Row],[Дата отчета]])</f>
        <v>2025</v>
      </c>
    </row>
    <row r="1598" spans="1:13" x14ac:dyDescent="0.25">
      <c r="A1598" t="s">
        <v>12</v>
      </c>
      <c r="B1598" t="s">
        <v>1411</v>
      </c>
      <c r="C1598" t="s">
        <v>1416</v>
      </c>
      <c r="D1598" t="s">
        <v>1417</v>
      </c>
      <c r="E1598" t="s">
        <v>669</v>
      </c>
      <c r="F1598" s="20">
        <v>4156</v>
      </c>
      <c r="I1598" s="11">
        <f t="shared" si="40"/>
        <v>45930</v>
      </c>
      <c r="J1598" s="12">
        <f t="shared" si="41"/>
        <v>1</v>
      </c>
      <c r="K1598" t="str">
        <f t="shared" si="39"/>
        <v>0-30</v>
      </c>
      <c r="L1598" s="11">
        <v>45931</v>
      </c>
      <c r="M1598" s="23">
        <f>YEAR(Таблица1[[#This Row],[Дата отчета]])</f>
        <v>2025</v>
      </c>
    </row>
    <row r="1599" spans="1:13" x14ac:dyDescent="0.25">
      <c r="A1599" t="s">
        <v>12</v>
      </c>
      <c r="B1599" t="s">
        <v>1411</v>
      </c>
      <c r="C1599" t="s">
        <v>1418</v>
      </c>
      <c r="D1599" t="s">
        <v>1419</v>
      </c>
      <c r="E1599" t="s">
        <v>821</v>
      </c>
      <c r="F1599" s="20">
        <v>32535</v>
      </c>
      <c r="I1599" s="11">
        <f t="shared" si="40"/>
        <v>45924</v>
      </c>
      <c r="J1599" s="12">
        <f t="shared" si="41"/>
        <v>7</v>
      </c>
      <c r="K1599" t="str">
        <f t="shared" ref="K1599:K1662" si="42">IF(J1599&lt;=30,"0-30",IF(J1599&lt;=90,"31-90",IF(J1599&lt;=120,"91-120",IF(J1599&lt;=180,"121-180",IF(J1599&lt;=270,"181-270",IF(J1599&lt;=360,"271-360","&gt;360"))))))</f>
        <v>0-30</v>
      </c>
      <c r="L1599" s="11">
        <v>45931</v>
      </c>
      <c r="M1599" s="23">
        <f>YEAR(Таблица1[[#This Row],[Дата отчета]])</f>
        <v>2025</v>
      </c>
    </row>
    <row r="1600" spans="1:13" x14ac:dyDescent="0.25">
      <c r="A1600" t="s">
        <v>12</v>
      </c>
      <c r="B1600" t="s">
        <v>1420</v>
      </c>
      <c r="C1600" t="s">
        <v>1421</v>
      </c>
      <c r="D1600" t="s">
        <v>1422</v>
      </c>
      <c r="E1600" t="s">
        <v>1781</v>
      </c>
      <c r="F1600" s="20">
        <v>10236</v>
      </c>
      <c r="I1600" s="11">
        <f t="shared" si="40"/>
        <v>45902</v>
      </c>
      <c r="J1600" s="12">
        <f t="shared" si="41"/>
        <v>29</v>
      </c>
      <c r="K1600" t="str">
        <f t="shared" si="42"/>
        <v>0-30</v>
      </c>
      <c r="L1600" s="11">
        <v>45931</v>
      </c>
      <c r="M1600" s="23">
        <f>YEAR(Таблица1[[#This Row],[Дата отчета]])</f>
        <v>2025</v>
      </c>
    </row>
    <row r="1601" spans="1:14" x14ac:dyDescent="0.25">
      <c r="A1601" t="s">
        <v>12</v>
      </c>
      <c r="B1601" t="s">
        <v>1420</v>
      </c>
      <c r="C1601" t="s">
        <v>1421</v>
      </c>
      <c r="D1601" t="s">
        <v>1423</v>
      </c>
      <c r="E1601" t="s">
        <v>1781</v>
      </c>
      <c r="F1601" s="20">
        <v>34130</v>
      </c>
      <c r="I1601" s="11">
        <f t="shared" si="40"/>
        <v>45902</v>
      </c>
      <c r="J1601" s="12">
        <f t="shared" si="41"/>
        <v>29</v>
      </c>
      <c r="K1601" t="str">
        <f t="shared" si="42"/>
        <v>0-30</v>
      </c>
      <c r="L1601" s="11">
        <v>45931</v>
      </c>
      <c r="M1601" s="23">
        <f>YEAR(Таблица1[[#This Row],[Дата отчета]])</f>
        <v>2025</v>
      </c>
    </row>
    <row r="1602" spans="1:14" x14ac:dyDescent="0.25">
      <c r="A1602" t="s">
        <v>12</v>
      </c>
      <c r="B1602" t="s">
        <v>1424</v>
      </c>
      <c r="C1602" t="s">
        <v>1425</v>
      </c>
      <c r="D1602" t="s">
        <v>1426</v>
      </c>
      <c r="E1602" t="s">
        <v>1049</v>
      </c>
      <c r="F1602" s="20">
        <v>90000</v>
      </c>
      <c r="I1602" s="11">
        <f t="shared" si="40"/>
        <v>45861</v>
      </c>
      <c r="J1602" s="12">
        <f t="shared" si="41"/>
        <v>70</v>
      </c>
      <c r="K1602" t="str">
        <f t="shared" si="42"/>
        <v>31-90</v>
      </c>
      <c r="L1602" s="11">
        <v>45931</v>
      </c>
      <c r="M1602" s="23">
        <f>YEAR(Таблица1[[#This Row],[Дата отчета]])</f>
        <v>2025</v>
      </c>
    </row>
    <row r="1603" spans="1:14" x14ac:dyDescent="0.25">
      <c r="A1603" t="s">
        <v>12</v>
      </c>
      <c r="B1603" t="s">
        <v>1222</v>
      </c>
      <c r="C1603" t="s">
        <v>1227</v>
      </c>
      <c r="D1603" t="s">
        <v>1241</v>
      </c>
      <c r="E1603" t="s">
        <v>769</v>
      </c>
      <c r="F1603" s="20">
        <v>70000</v>
      </c>
      <c r="I1603" s="11">
        <f t="shared" si="40"/>
        <v>45825</v>
      </c>
      <c r="J1603" s="12">
        <f t="shared" si="41"/>
        <v>106</v>
      </c>
      <c r="K1603" t="str">
        <f t="shared" si="42"/>
        <v>91-120</v>
      </c>
      <c r="L1603" s="11">
        <v>45931</v>
      </c>
      <c r="M1603" s="23">
        <f>YEAR(Таблица1[[#This Row],[Дата отчета]])</f>
        <v>2025</v>
      </c>
    </row>
    <row r="1604" spans="1:14" x14ac:dyDescent="0.25">
      <c r="A1604" t="s">
        <v>12</v>
      </c>
      <c r="B1604" t="s">
        <v>1222</v>
      </c>
      <c r="C1604" t="s">
        <v>1227</v>
      </c>
      <c r="D1604" t="s">
        <v>1242</v>
      </c>
      <c r="E1604" t="s">
        <v>1255</v>
      </c>
      <c r="F1604" s="20">
        <v>180000</v>
      </c>
      <c r="I1604" s="11">
        <f t="shared" si="40"/>
        <v>45841</v>
      </c>
      <c r="J1604" s="12">
        <f t="shared" si="41"/>
        <v>90</v>
      </c>
      <c r="K1604" t="str">
        <f t="shared" si="42"/>
        <v>31-90</v>
      </c>
      <c r="L1604" s="11">
        <v>45931</v>
      </c>
      <c r="M1604" s="23">
        <f>YEAR(Таблица1[[#This Row],[Дата отчета]])</f>
        <v>2025</v>
      </c>
    </row>
    <row r="1605" spans="1:14" x14ac:dyDescent="0.25">
      <c r="A1605" t="s">
        <v>12</v>
      </c>
      <c r="B1605" t="s">
        <v>1427</v>
      </c>
      <c r="C1605" t="s">
        <v>269</v>
      </c>
      <c r="D1605" t="s">
        <v>1290</v>
      </c>
      <c r="E1605" t="s">
        <v>66</v>
      </c>
      <c r="F1605" s="20">
        <v>1555</v>
      </c>
      <c r="I1605" s="11">
        <f t="shared" si="40"/>
        <v>45895</v>
      </c>
      <c r="J1605" s="12">
        <f t="shared" si="41"/>
        <v>36</v>
      </c>
      <c r="K1605" t="str">
        <f t="shared" si="42"/>
        <v>31-90</v>
      </c>
      <c r="L1605" s="11">
        <v>45931</v>
      </c>
      <c r="M1605" s="23">
        <f>YEAR(Таблица1[[#This Row],[Дата отчета]])</f>
        <v>2025</v>
      </c>
    </row>
    <row r="1606" spans="1:14" x14ac:dyDescent="0.25">
      <c r="A1606" t="s">
        <v>12</v>
      </c>
      <c r="B1606" t="s">
        <v>1428</v>
      </c>
      <c r="C1606" t="s">
        <v>1429</v>
      </c>
      <c r="D1606" t="s">
        <v>1430</v>
      </c>
      <c r="E1606" t="s">
        <v>1782</v>
      </c>
      <c r="F1606" s="20">
        <v>1000</v>
      </c>
      <c r="I1606" s="11">
        <f t="shared" si="40"/>
        <v>45450</v>
      </c>
      <c r="J1606" s="12">
        <f t="shared" si="41"/>
        <v>481</v>
      </c>
      <c r="K1606" t="str">
        <f t="shared" si="42"/>
        <v>&gt;360</v>
      </c>
      <c r="L1606" s="11">
        <v>45931</v>
      </c>
      <c r="M1606" s="23">
        <f>YEAR(Таблица1[[#This Row],[Дата отчета]])</f>
        <v>2025</v>
      </c>
    </row>
    <row r="1607" spans="1:14" x14ac:dyDescent="0.25">
      <c r="A1607" t="s">
        <v>12</v>
      </c>
      <c r="B1607" t="s">
        <v>1431</v>
      </c>
      <c r="C1607" t="s">
        <v>1432</v>
      </c>
      <c r="D1607" t="s">
        <v>1433</v>
      </c>
      <c r="E1607" t="s">
        <v>1783</v>
      </c>
      <c r="F1607" s="20">
        <v>2000</v>
      </c>
      <c r="I1607" s="11">
        <f t="shared" si="40"/>
        <v>45772</v>
      </c>
      <c r="J1607" s="12">
        <f t="shared" si="41"/>
        <v>159</v>
      </c>
      <c r="K1607" t="str">
        <f t="shared" si="42"/>
        <v>121-180</v>
      </c>
      <c r="L1607" s="11">
        <v>45931</v>
      </c>
      <c r="M1607" s="23">
        <f>YEAR(Таблица1[[#This Row],[Дата отчета]])</f>
        <v>2025</v>
      </c>
    </row>
    <row r="1608" spans="1:14" x14ac:dyDescent="0.25">
      <c r="A1608" t="s">
        <v>12</v>
      </c>
      <c r="B1608" t="s">
        <v>1434</v>
      </c>
      <c r="C1608" t="s">
        <v>1435</v>
      </c>
      <c r="D1608" t="s">
        <v>1436</v>
      </c>
      <c r="E1608" t="s">
        <v>1784</v>
      </c>
      <c r="F1608" s="20">
        <v>4583.33</v>
      </c>
      <c r="I1608" s="11">
        <f t="shared" si="40"/>
        <v>44600</v>
      </c>
      <c r="J1608" s="12">
        <f t="shared" si="41"/>
        <v>1331</v>
      </c>
      <c r="K1608" t="str">
        <f t="shared" si="42"/>
        <v>&gt;360</v>
      </c>
      <c r="L1608" s="11">
        <v>45931</v>
      </c>
      <c r="M1608" s="23">
        <f>YEAR(Таблица1[[#This Row],[Дата отчета]])</f>
        <v>2025</v>
      </c>
      <c r="N1608" s="2" t="s">
        <v>807</v>
      </c>
    </row>
    <row r="1609" spans="1:14" x14ac:dyDescent="0.25">
      <c r="A1609" t="s">
        <v>12</v>
      </c>
      <c r="B1609" t="s">
        <v>402</v>
      </c>
      <c r="C1609" t="s">
        <v>403</v>
      </c>
      <c r="D1609" t="s">
        <v>404</v>
      </c>
      <c r="E1609" t="s">
        <v>405</v>
      </c>
      <c r="F1609" s="20">
        <v>6881.46</v>
      </c>
      <c r="I1609" s="11">
        <f t="shared" si="40"/>
        <v>44773</v>
      </c>
      <c r="J1609" s="12">
        <f t="shared" si="41"/>
        <v>1158</v>
      </c>
      <c r="K1609" t="str">
        <f t="shared" si="42"/>
        <v>&gt;360</v>
      </c>
      <c r="L1609" s="11">
        <v>45931</v>
      </c>
      <c r="M1609" s="23">
        <f>YEAR(Таблица1[[#This Row],[Дата отчета]])</f>
        <v>2025</v>
      </c>
      <c r="N1609" s="7" t="s">
        <v>4538</v>
      </c>
    </row>
    <row r="1610" spans="1:14" x14ac:dyDescent="0.25">
      <c r="A1610" t="s">
        <v>12</v>
      </c>
      <c r="B1610" t="s">
        <v>412</v>
      </c>
      <c r="C1610" t="s">
        <v>413</v>
      </c>
      <c r="D1610" t="s">
        <v>414</v>
      </c>
      <c r="E1610" t="s">
        <v>415</v>
      </c>
      <c r="F1610" s="20">
        <v>298613.92</v>
      </c>
      <c r="I1610" s="11">
        <f t="shared" si="40"/>
        <v>45833</v>
      </c>
      <c r="J1610" s="12">
        <f t="shared" si="41"/>
        <v>98</v>
      </c>
      <c r="K1610" t="str">
        <f t="shared" si="42"/>
        <v>91-120</v>
      </c>
      <c r="L1610" s="11">
        <v>45931</v>
      </c>
      <c r="M1610" s="23">
        <f>YEAR(Таблица1[[#This Row],[Дата отчета]])</f>
        <v>2025</v>
      </c>
    </row>
    <row r="1611" spans="1:14" x14ac:dyDescent="0.25">
      <c r="A1611" t="s">
        <v>12</v>
      </c>
      <c r="B1611" t="s">
        <v>416</v>
      </c>
      <c r="C1611" t="s">
        <v>417</v>
      </c>
      <c r="D1611" t="s">
        <v>418</v>
      </c>
      <c r="E1611" t="s">
        <v>419</v>
      </c>
      <c r="F1611" s="20">
        <v>5478</v>
      </c>
      <c r="I1611" s="11">
        <f t="shared" ref="I1611:I1674" si="43">E1611*1</f>
        <v>45883</v>
      </c>
      <c r="J1611" s="12">
        <f t="shared" ref="J1611:J1674" si="44">L1611-I1611</f>
        <v>48</v>
      </c>
      <c r="K1611" t="str">
        <f t="shared" si="42"/>
        <v>31-90</v>
      </c>
      <c r="L1611" s="11">
        <v>45931</v>
      </c>
      <c r="M1611" s="23">
        <f>YEAR(Таблица1[[#This Row],[Дата отчета]])</f>
        <v>2025</v>
      </c>
    </row>
    <row r="1612" spans="1:14" x14ac:dyDescent="0.25">
      <c r="A1612" t="s">
        <v>12</v>
      </c>
      <c r="B1612" t="s">
        <v>416</v>
      </c>
      <c r="C1612" t="s">
        <v>1437</v>
      </c>
      <c r="D1612" t="s">
        <v>1438</v>
      </c>
      <c r="E1612" t="s">
        <v>1781</v>
      </c>
      <c r="F1612" s="20">
        <v>11849</v>
      </c>
      <c r="I1612" s="11">
        <f t="shared" si="43"/>
        <v>45902</v>
      </c>
      <c r="J1612" s="12">
        <f t="shared" si="44"/>
        <v>29</v>
      </c>
      <c r="K1612" t="str">
        <f t="shared" si="42"/>
        <v>0-30</v>
      </c>
      <c r="L1612" s="11">
        <v>45931</v>
      </c>
      <c r="M1612" s="23">
        <f>YEAR(Таблица1[[#This Row],[Дата отчета]])</f>
        <v>2025</v>
      </c>
    </row>
    <row r="1613" spans="1:14" x14ac:dyDescent="0.25">
      <c r="A1613" t="s">
        <v>12</v>
      </c>
      <c r="B1613" t="s">
        <v>416</v>
      </c>
      <c r="C1613" t="s">
        <v>1439</v>
      </c>
      <c r="D1613" t="s">
        <v>1440</v>
      </c>
      <c r="E1613" t="s">
        <v>1772</v>
      </c>
      <c r="F1613" s="20">
        <v>15728</v>
      </c>
      <c r="I1613" s="11">
        <f t="shared" si="43"/>
        <v>45903</v>
      </c>
      <c r="J1613" s="12">
        <f t="shared" si="44"/>
        <v>28</v>
      </c>
      <c r="K1613" t="str">
        <f t="shared" si="42"/>
        <v>0-30</v>
      </c>
      <c r="L1613" s="11">
        <v>45931</v>
      </c>
      <c r="M1613" s="23">
        <f>YEAR(Таблица1[[#This Row],[Дата отчета]])</f>
        <v>2025</v>
      </c>
    </row>
    <row r="1614" spans="1:14" x14ac:dyDescent="0.25">
      <c r="A1614" t="s">
        <v>12</v>
      </c>
      <c r="B1614" t="s">
        <v>416</v>
      </c>
      <c r="C1614" t="s">
        <v>1441</v>
      </c>
      <c r="D1614" t="s">
        <v>1442</v>
      </c>
      <c r="E1614" t="s">
        <v>195</v>
      </c>
      <c r="F1614" s="20">
        <v>2576</v>
      </c>
      <c r="I1614" s="11">
        <f t="shared" si="43"/>
        <v>45916</v>
      </c>
      <c r="J1614" s="12">
        <f t="shared" si="44"/>
        <v>15</v>
      </c>
      <c r="K1614" t="str">
        <f t="shared" si="42"/>
        <v>0-30</v>
      </c>
      <c r="L1614" s="11">
        <v>45931</v>
      </c>
      <c r="M1614" s="23">
        <f>YEAR(Таблица1[[#This Row],[Дата отчета]])</f>
        <v>2025</v>
      </c>
    </row>
    <row r="1615" spans="1:14" x14ac:dyDescent="0.25">
      <c r="A1615" t="s">
        <v>12</v>
      </c>
      <c r="B1615" t="s">
        <v>416</v>
      </c>
      <c r="C1615" t="s">
        <v>1443</v>
      </c>
      <c r="D1615" t="s">
        <v>1444</v>
      </c>
      <c r="E1615" t="s">
        <v>1772</v>
      </c>
      <c r="F1615" s="20">
        <v>2037</v>
      </c>
      <c r="I1615" s="11">
        <f t="shared" si="43"/>
        <v>45903</v>
      </c>
      <c r="J1615" s="12">
        <f t="shared" si="44"/>
        <v>28</v>
      </c>
      <c r="K1615" t="str">
        <f t="shared" si="42"/>
        <v>0-30</v>
      </c>
      <c r="L1615" s="11">
        <v>45931</v>
      </c>
      <c r="M1615" s="23">
        <f>YEAR(Таблица1[[#This Row],[Дата отчета]])</f>
        <v>2025</v>
      </c>
    </row>
    <row r="1616" spans="1:14" x14ac:dyDescent="0.25">
      <c r="A1616" t="s">
        <v>12</v>
      </c>
      <c r="B1616" t="s">
        <v>416</v>
      </c>
      <c r="C1616" t="s">
        <v>1445</v>
      </c>
      <c r="D1616" t="s">
        <v>1446</v>
      </c>
      <c r="E1616" t="s">
        <v>907</v>
      </c>
      <c r="F1616" s="20">
        <v>27006</v>
      </c>
      <c r="I1616" s="11">
        <f t="shared" si="43"/>
        <v>45909</v>
      </c>
      <c r="J1616" s="12">
        <f t="shared" si="44"/>
        <v>22</v>
      </c>
      <c r="K1616" t="str">
        <f t="shared" si="42"/>
        <v>0-30</v>
      </c>
      <c r="L1616" s="11">
        <v>45931</v>
      </c>
      <c r="M1616" s="23">
        <f>YEAR(Таблица1[[#This Row],[Дата отчета]])</f>
        <v>2025</v>
      </c>
    </row>
    <row r="1617" spans="1:14" x14ac:dyDescent="0.25">
      <c r="A1617" t="s">
        <v>12</v>
      </c>
      <c r="B1617" t="s">
        <v>416</v>
      </c>
      <c r="C1617" t="s">
        <v>1447</v>
      </c>
      <c r="D1617" t="s">
        <v>1448</v>
      </c>
      <c r="E1617" t="s">
        <v>635</v>
      </c>
      <c r="F1617" s="20">
        <v>32775</v>
      </c>
      <c r="I1617" s="11">
        <f t="shared" si="43"/>
        <v>45910</v>
      </c>
      <c r="J1617" s="12">
        <f t="shared" si="44"/>
        <v>21</v>
      </c>
      <c r="K1617" t="str">
        <f t="shared" si="42"/>
        <v>0-30</v>
      </c>
      <c r="L1617" s="11">
        <v>45931</v>
      </c>
      <c r="M1617" s="23">
        <f>YEAR(Таблица1[[#This Row],[Дата отчета]])</f>
        <v>2025</v>
      </c>
    </row>
    <row r="1618" spans="1:14" x14ac:dyDescent="0.25">
      <c r="A1618" t="s">
        <v>12</v>
      </c>
      <c r="B1618" t="s">
        <v>416</v>
      </c>
      <c r="C1618" t="s">
        <v>1449</v>
      </c>
      <c r="D1618" t="s">
        <v>1450</v>
      </c>
      <c r="E1618" t="s">
        <v>841</v>
      </c>
      <c r="F1618" s="20">
        <v>6679</v>
      </c>
      <c r="I1618" s="11">
        <f t="shared" si="43"/>
        <v>45925</v>
      </c>
      <c r="J1618" s="12">
        <f t="shared" si="44"/>
        <v>6</v>
      </c>
      <c r="K1618" t="str">
        <f t="shared" si="42"/>
        <v>0-30</v>
      </c>
      <c r="L1618" s="11">
        <v>45931</v>
      </c>
      <c r="M1618" s="23">
        <f>YEAR(Таблица1[[#This Row],[Дата отчета]])</f>
        <v>2025</v>
      </c>
    </row>
    <row r="1619" spans="1:14" x14ac:dyDescent="0.25">
      <c r="A1619" t="s">
        <v>12</v>
      </c>
      <c r="B1619" t="s">
        <v>416</v>
      </c>
      <c r="C1619" t="s">
        <v>1451</v>
      </c>
      <c r="D1619" t="s">
        <v>1452</v>
      </c>
      <c r="E1619" t="s">
        <v>841</v>
      </c>
      <c r="F1619" s="20">
        <v>1989</v>
      </c>
      <c r="I1619" s="11">
        <f t="shared" si="43"/>
        <v>45925</v>
      </c>
      <c r="J1619" s="12">
        <f t="shared" si="44"/>
        <v>6</v>
      </c>
      <c r="K1619" t="str">
        <f t="shared" si="42"/>
        <v>0-30</v>
      </c>
      <c r="L1619" s="11">
        <v>45931</v>
      </c>
      <c r="M1619" s="23">
        <f>YEAR(Таблица1[[#This Row],[Дата отчета]])</f>
        <v>2025</v>
      </c>
    </row>
    <row r="1620" spans="1:14" x14ac:dyDescent="0.25">
      <c r="A1620" t="s">
        <v>12</v>
      </c>
      <c r="B1620" t="s">
        <v>416</v>
      </c>
      <c r="C1620" t="s">
        <v>1453</v>
      </c>
      <c r="D1620" t="s">
        <v>1454</v>
      </c>
      <c r="E1620" t="s">
        <v>669</v>
      </c>
      <c r="F1620" s="20">
        <v>23675</v>
      </c>
      <c r="I1620" s="11">
        <f t="shared" si="43"/>
        <v>45930</v>
      </c>
      <c r="J1620" s="12">
        <f t="shared" si="44"/>
        <v>1</v>
      </c>
      <c r="K1620" t="str">
        <f t="shared" si="42"/>
        <v>0-30</v>
      </c>
      <c r="L1620" s="11">
        <v>45931</v>
      </c>
      <c r="M1620" s="23">
        <f>YEAR(Таблица1[[#This Row],[Дата отчета]])</f>
        <v>2025</v>
      </c>
    </row>
    <row r="1621" spans="1:14" x14ac:dyDescent="0.25">
      <c r="A1621" t="s">
        <v>12</v>
      </c>
      <c r="B1621" t="s">
        <v>416</v>
      </c>
      <c r="C1621" t="s">
        <v>1455</v>
      </c>
      <c r="D1621" t="s">
        <v>1456</v>
      </c>
      <c r="E1621" t="s">
        <v>1173</v>
      </c>
      <c r="F1621" s="20">
        <v>1980</v>
      </c>
      <c r="I1621" s="11">
        <f t="shared" si="43"/>
        <v>45922</v>
      </c>
      <c r="J1621" s="12">
        <f t="shared" si="44"/>
        <v>9</v>
      </c>
      <c r="K1621" t="str">
        <f t="shared" si="42"/>
        <v>0-30</v>
      </c>
      <c r="L1621" s="11">
        <v>45931</v>
      </c>
      <c r="M1621" s="23">
        <f>YEAR(Таблица1[[#This Row],[Дата отчета]])</f>
        <v>2025</v>
      </c>
    </row>
    <row r="1622" spans="1:14" x14ac:dyDescent="0.25">
      <c r="A1622" t="s">
        <v>12</v>
      </c>
      <c r="B1622" t="s">
        <v>416</v>
      </c>
      <c r="C1622" t="s">
        <v>1457</v>
      </c>
      <c r="D1622" t="s">
        <v>1458</v>
      </c>
      <c r="E1622" t="s">
        <v>1173</v>
      </c>
      <c r="F1622" s="20">
        <v>15628</v>
      </c>
      <c r="I1622" s="11">
        <f t="shared" si="43"/>
        <v>45922</v>
      </c>
      <c r="J1622" s="12">
        <f t="shared" si="44"/>
        <v>9</v>
      </c>
      <c r="K1622" t="str">
        <f t="shared" si="42"/>
        <v>0-30</v>
      </c>
      <c r="L1622" s="11">
        <v>45931</v>
      </c>
      <c r="M1622" s="23">
        <f>YEAR(Таблица1[[#This Row],[Дата отчета]])</f>
        <v>2025</v>
      </c>
    </row>
    <row r="1623" spans="1:14" x14ac:dyDescent="0.25">
      <c r="A1623" t="s">
        <v>12</v>
      </c>
      <c r="B1623" t="s">
        <v>416</v>
      </c>
      <c r="C1623" t="s">
        <v>1459</v>
      </c>
      <c r="D1623" t="s">
        <v>1460</v>
      </c>
      <c r="E1623" t="s">
        <v>1769</v>
      </c>
      <c r="F1623" s="20">
        <v>21250</v>
      </c>
      <c r="I1623" s="11">
        <f t="shared" si="43"/>
        <v>45923</v>
      </c>
      <c r="J1623" s="12">
        <f t="shared" si="44"/>
        <v>8</v>
      </c>
      <c r="K1623" t="str">
        <f t="shared" si="42"/>
        <v>0-30</v>
      </c>
      <c r="L1623" s="11">
        <v>45931</v>
      </c>
      <c r="M1623" s="23">
        <f>YEAR(Таблица1[[#This Row],[Дата отчета]])</f>
        <v>2025</v>
      </c>
    </row>
    <row r="1624" spans="1:14" x14ac:dyDescent="0.25">
      <c r="A1624" t="s">
        <v>12</v>
      </c>
      <c r="B1624" t="s">
        <v>416</v>
      </c>
      <c r="C1624" t="s">
        <v>1461</v>
      </c>
      <c r="D1624" t="s">
        <v>1462</v>
      </c>
      <c r="E1624" t="s">
        <v>1769</v>
      </c>
      <c r="F1624" s="20">
        <v>1870</v>
      </c>
      <c r="I1624" s="11">
        <f t="shared" si="43"/>
        <v>45923</v>
      </c>
      <c r="J1624" s="12">
        <f t="shared" si="44"/>
        <v>8</v>
      </c>
      <c r="K1624" t="str">
        <f t="shared" si="42"/>
        <v>0-30</v>
      </c>
      <c r="L1624" s="11">
        <v>45931</v>
      </c>
      <c r="M1624" s="23">
        <f>YEAR(Таблица1[[#This Row],[Дата отчета]])</f>
        <v>2025</v>
      </c>
    </row>
    <row r="1625" spans="1:14" x14ac:dyDescent="0.25">
      <c r="A1625" t="s">
        <v>12</v>
      </c>
      <c r="B1625" t="s">
        <v>425</v>
      </c>
      <c r="C1625" t="s">
        <v>426</v>
      </c>
      <c r="D1625" t="s">
        <v>427</v>
      </c>
      <c r="E1625" t="s">
        <v>415</v>
      </c>
      <c r="F1625" s="20">
        <v>52500</v>
      </c>
      <c r="I1625" s="11">
        <f t="shared" si="43"/>
        <v>45833</v>
      </c>
      <c r="J1625" s="12">
        <f t="shared" si="44"/>
        <v>98</v>
      </c>
      <c r="K1625" t="str">
        <f t="shared" si="42"/>
        <v>91-120</v>
      </c>
      <c r="L1625" s="11">
        <v>45931</v>
      </c>
      <c r="M1625" s="23">
        <f>YEAR(Таблица1[[#This Row],[Дата отчета]])</f>
        <v>2025</v>
      </c>
    </row>
    <row r="1626" spans="1:14" x14ac:dyDescent="0.25">
      <c r="A1626" t="s">
        <v>12</v>
      </c>
      <c r="B1626" t="s">
        <v>425</v>
      </c>
      <c r="C1626" t="s">
        <v>426</v>
      </c>
      <c r="D1626" t="s">
        <v>428</v>
      </c>
      <c r="E1626" t="s">
        <v>429</v>
      </c>
      <c r="F1626" s="20">
        <v>297500</v>
      </c>
      <c r="I1626" s="11">
        <f t="shared" si="43"/>
        <v>45897</v>
      </c>
      <c r="J1626" s="12">
        <f t="shared" si="44"/>
        <v>34</v>
      </c>
      <c r="K1626" t="str">
        <f t="shared" si="42"/>
        <v>31-90</v>
      </c>
      <c r="L1626" s="11">
        <v>45931</v>
      </c>
      <c r="M1626" s="23">
        <f>YEAR(Таблица1[[#This Row],[Дата отчета]])</f>
        <v>2025</v>
      </c>
    </row>
    <row r="1627" spans="1:14" x14ac:dyDescent="0.25">
      <c r="A1627" t="s">
        <v>12</v>
      </c>
      <c r="B1627" t="s">
        <v>1463</v>
      </c>
      <c r="C1627" t="s">
        <v>1464</v>
      </c>
      <c r="D1627" t="s">
        <v>1465</v>
      </c>
      <c r="E1627" t="s">
        <v>345</v>
      </c>
      <c r="F1627" s="20">
        <v>19500</v>
      </c>
      <c r="I1627" s="11">
        <f t="shared" si="43"/>
        <v>45919</v>
      </c>
      <c r="J1627" s="12">
        <f t="shared" si="44"/>
        <v>12</v>
      </c>
      <c r="K1627" t="str">
        <f t="shared" si="42"/>
        <v>0-30</v>
      </c>
      <c r="L1627" s="11">
        <v>45931</v>
      </c>
      <c r="M1627" s="23">
        <f>YEAR(Таблица1[[#This Row],[Дата отчета]])</f>
        <v>2025</v>
      </c>
    </row>
    <row r="1628" spans="1:14" x14ac:dyDescent="0.25">
      <c r="A1628" t="s">
        <v>12</v>
      </c>
      <c r="B1628" t="s">
        <v>1176</v>
      </c>
      <c r="C1628" t="s">
        <v>1177</v>
      </c>
      <c r="D1628" t="s">
        <v>1178</v>
      </c>
      <c r="E1628" t="s">
        <v>635</v>
      </c>
      <c r="F1628" s="20">
        <v>207900</v>
      </c>
      <c r="I1628" s="11">
        <f t="shared" si="43"/>
        <v>45910</v>
      </c>
      <c r="J1628" s="12">
        <f t="shared" si="44"/>
        <v>21</v>
      </c>
      <c r="K1628" t="str">
        <f t="shared" si="42"/>
        <v>0-30</v>
      </c>
      <c r="L1628" s="11">
        <v>45931</v>
      </c>
      <c r="M1628" s="23">
        <f>YEAR(Таблица1[[#This Row],[Дата отчета]])</f>
        <v>2025</v>
      </c>
    </row>
    <row r="1629" spans="1:14" x14ac:dyDescent="0.25">
      <c r="A1629" t="s">
        <v>12</v>
      </c>
      <c r="B1629" t="s">
        <v>1466</v>
      </c>
      <c r="C1629" t="s">
        <v>1467</v>
      </c>
      <c r="D1629" t="s">
        <v>1468</v>
      </c>
      <c r="E1629" t="s">
        <v>687</v>
      </c>
      <c r="F1629" s="20">
        <v>38960</v>
      </c>
      <c r="I1629" s="11">
        <f t="shared" si="43"/>
        <v>45771</v>
      </c>
      <c r="J1629" s="12">
        <f t="shared" si="44"/>
        <v>160</v>
      </c>
      <c r="K1629" t="str">
        <f t="shared" si="42"/>
        <v>121-180</v>
      </c>
      <c r="L1629" s="11">
        <v>45931</v>
      </c>
      <c r="M1629" s="23">
        <f>YEAR(Таблица1[[#This Row],[Дата отчета]])</f>
        <v>2025</v>
      </c>
    </row>
    <row r="1630" spans="1:14" x14ac:dyDescent="0.25">
      <c r="A1630" t="s">
        <v>12</v>
      </c>
      <c r="B1630" t="s">
        <v>1469</v>
      </c>
      <c r="C1630" t="s">
        <v>1470</v>
      </c>
      <c r="D1630" t="s">
        <v>1471</v>
      </c>
      <c r="E1630" t="s">
        <v>1785</v>
      </c>
      <c r="F1630" s="20">
        <v>2220000</v>
      </c>
      <c r="I1630" s="11">
        <f t="shared" si="43"/>
        <v>45448</v>
      </c>
      <c r="J1630" s="12">
        <f t="shared" si="44"/>
        <v>483</v>
      </c>
      <c r="K1630" t="str">
        <f t="shared" si="42"/>
        <v>&gt;360</v>
      </c>
      <c r="L1630" s="11">
        <v>45931</v>
      </c>
      <c r="M1630" s="23">
        <f>YEAR(Таблица1[[#This Row],[Дата отчета]])</f>
        <v>2025</v>
      </c>
      <c r="N1630" s="7" t="s">
        <v>4536</v>
      </c>
    </row>
    <row r="1631" spans="1:14" x14ac:dyDescent="0.25">
      <c r="A1631" t="s">
        <v>12</v>
      </c>
      <c r="B1631" t="s">
        <v>1469</v>
      </c>
      <c r="C1631" t="s">
        <v>1472</v>
      </c>
      <c r="D1631" t="s">
        <v>1473</v>
      </c>
      <c r="E1631" t="s">
        <v>1258</v>
      </c>
      <c r="F1631" s="20">
        <v>352732.55</v>
      </c>
      <c r="I1631" s="11">
        <f t="shared" si="43"/>
        <v>45288</v>
      </c>
      <c r="J1631" s="12">
        <f t="shared" si="44"/>
        <v>643</v>
      </c>
      <c r="K1631" t="str">
        <f t="shared" si="42"/>
        <v>&gt;360</v>
      </c>
      <c r="L1631" s="11">
        <v>45931</v>
      </c>
      <c r="M1631" s="23">
        <f>YEAR(Таблица1[[#This Row],[Дата отчета]])</f>
        <v>2025</v>
      </c>
      <c r="N1631" s="7" t="s">
        <v>4536</v>
      </c>
    </row>
    <row r="1632" spans="1:14" x14ac:dyDescent="0.25">
      <c r="A1632" t="s">
        <v>12</v>
      </c>
      <c r="B1632" t="s">
        <v>441</v>
      </c>
      <c r="C1632" t="s">
        <v>1228</v>
      </c>
      <c r="D1632" t="s">
        <v>1474</v>
      </c>
      <c r="E1632" t="s">
        <v>1786</v>
      </c>
      <c r="F1632" s="20">
        <v>1586.1</v>
      </c>
      <c r="I1632" s="11">
        <f t="shared" si="43"/>
        <v>45832</v>
      </c>
      <c r="J1632" s="12">
        <f t="shared" si="44"/>
        <v>99</v>
      </c>
      <c r="K1632" t="str">
        <f t="shared" si="42"/>
        <v>91-120</v>
      </c>
      <c r="L1632" s="11">
        <v>45931</v>
      </c>
      <c r="M1632" s="23">
        <f>YEAR(Таблица1[[#This Row],[Дата отчета]])</f>
        <v>2025</v>
      </c>
    </row>
    <row r="1633" spans="1:13" x14ac:dyDescent="0.25">
      <c r="A1633" t="s">
        <v>12</v>
      </c>
      <c r="B1633" t="s">
        <v>441</v>
      </c>
      <c r="C1633" t="s">
        <v>1475</v>
      </c>
      <c r="D1633" t="s">
        <v>1476</v>
      </c>
      <c r="E1633" t="s">
        <v>1787</v>
      </c>
      <c r="F1633" s="20">
        <v>3424</v>
      </c>
      <c r="I1633" s="11">
        <f t="shared" si="43"/>
        <v>45742</v>
      </c>
      <c r="J1633" s="12">
        <f t="shared" si="44"/>
        <v>189</v>
      </c>
      <c r="K1633" t="str">
        <f t="shared" si="42"/>
        <v>181-270</v>
      </c>
      <c r="L1633" s="11">
        <v>45931</v>
      </c>
      <c r="M1633" s="23">
        <f>YEAR(Таблица1[[#This Row],[Дата отчета]])</f>
        <v>2025</v>
      </c>
    </row>
    <row r="1634" spans="1:13" x14ac:dyDescent="0.25">
      <c r="A1634" t="s">
        <v>12</v>
      </c>
      <c r="B1634" t="s">
        <v>441</v>
      </c>
      <c r="C1634" t="s">
        <v>1477</v>
      </c>
      <c r="D1634" t="s">
        <v>1478</v>
      </c>
      <c r="E1634" t="s">
        <v>140</v>
      </c>
      <c r="F1634" s="20">
        <v>60</v>
      </c>
      <c r="I1634" s="11">
        <f t="shared" si="43"/>
        <v>45917</v>
      </c>
      <c r="J1634" s="12">
        <f t="shared" si="44"/>
        <v>14</v>
      </c>
      <c r="K1634" t="str">
        <f t="shared" si="42"/>
        <v>0-30</v>
      </c>
      <c r="L1634" s="11">
        <v>45931</v>
      </c>
      <c r="M1634" s="23">
        <f>YEAR(Таблица1[[#This Row],[Дата отчета]])</f>
        <v>2025</v>
      </c>
    </row>
    <row r="1635" spans="1:13" x14ac:dyDescent="0.25">
      <c r="A1635" t="s">
        <v>12</v>
      </c>
      <c r="B1635" t="s">
        <v>441</v>
      </c>
      <c r="C1635" t="s">
        <v>1230</v>
      </c>
      <c r="D1635" t="s">
        <v>1245</v>
      </c>
      <c r="E1635" t="s">
        <v>1256</v>
      </c>
      <c r="F1635" s="20">
        <v>88390</v>
      </c>
      <c r="I1635" s="11">
        <f t="shared" si="43"/>
        <v>45754</v>
      </c>
      <c r="J1635" s="12">
        <f t="shared" si="44"/>
        <v>177</v>
      </c>
      <c r="K1635" t="str">
        <f t="shared" si="42"/>
        <v>121-180</v>
      </c>
      <c r="L1635" s="11">
        <v>45931</v>
      </c>
      <c r="M1635" s="23">
        <f>YEAR(Таблица1[[#This Row],[Дата отчета]])</f>
        <v>2025</v>
      </c>
    </row>
    <row r="1636" spans="1:13" x14ac:dyDescent="0.25">
      <c r="A1636" t="s">
        <v>12</v>
      </c>
      <c r="B1636" t="s">
        <v>448</v>
      </c>
      <c r="C1636" t="s">
        <v>449</v>
      </c>
      <c r="D1636" t="s">
        <v>450</v>
      </c>
      <c r="E1636" t="s">
        <v>451</v>
      </c>
      <c r="F1636" s="20">
        <v>7941</v>
      </c>
      <c r="I1636" s="11">
        <f t="shared" si="43"/>
        <v>45884</v>
      </c>
      <c r="J1636" s="12">
        <f t="shared" si="44"/>
        <v>47</v>
      </c>
      <c r="K1636" t="str">
        <f t="shared" si="42"/>
        <v>31-90</v>
      </c>
      <c r="L1636" s="11">
        <v>45931</v>
      </c>
      <c r="M1636" s="23">
        <f>YEAR(Таблица1[[#This Row],[Дата отчета]])</f>
        <v>2025</v>
      </c>
    </row>
    <row r="1637" spans="1:13" x14ac:dyDescent="0.25">
      <c r="A1637" t="s">
        <v>12</v>
      </c>
      <c r="B1637" t="s">
        <v>452</v>
      </c>
      <c r="C1637" t="s">
        <v>453</v>
      </c>
      <c r="D1637" t="s">
        <v>1479</v>
      </c>
      <c r="E1637" t="s">
        <v>669</v>
      </c>
      <c r="F1637" s="20">
        <v>30000</v>
      </c>
      <c r="I1637" s="11">
        <f t="shared" si="43"/>
        <v>45930</v>
      </c>
      <c r="J1637" s="12">
        <f t="shared" si="44"/>
        <v>1</v>
      </c>
      <c r="K1637" t="str">
        <f t="shared" si="42"/>
        <v>0-30</v>
      </c>
      <c r="L1637" s="11">
        <v>45931</v>
      </c>
      <c r="M1637" s="23">
        <f>YEAR(Таблица1[[#This Row],[Дата отчета]])</f>
        <v>2025</v>
      </c>
    </row>
    <row r="1638" spans="1:13" x14ac:dyDescent="0.25">
      <c r="A1638" t="s">
        <v>12</v>
      </c>
      <c r="B1638" t="s">
        <v>456</v>
      </c>
      <c r="C1638" t="s">
        <v>457</v>
      </c>
      <c r="D1638" t="s">
        <v>458</v>
      </c>
      <c r="E1638" t="s">
        <v>459</v>
      </c>
      <c r="F1638" s="20">
        <v>5500</v>
      </c>
      <c r="I1638" s="11">
        <f t="shared" si="43"/>
        <v>45195</v>
      </c>
      <c r="J1638" s="12">
        <f t="shared" si="44"/>
        <v>736</v>
      </c>
      <c r="K1638" t="str">
        <f t="shared" si="42"/>
        <v>&gt;360</v>
      </c>
      <c r="L1638" s="11">
        <v>45931</v>
      </c>
      <c r="M1638" s="23">
        <f>YEAR(Таблица1[[#This Row],[Дата отчета]])</f>
        <v>2025</v>
      </c>
    </row>
    <row r="1639" spans="1:13" x14ac:dyDescent="0.25">
      <c r="A1639" t="s">
        <v>12</v>
      </c>
      <c r="B1639" t="s">
        <v>1480</v>
      </c>
      <c r="C1639" t="s">
        <v>1481</v>
      </c>
      <c r="D1639" t="s">
        <v>1482</v>
      </c>
      <c r="E1639" t="s">
        <v>1779</v>
      </c>
      <c r="F1639" s="20">
        <v>50000000</v>
      </c>
      <c r="I1639" s="11">
        <f t="shared" si="43"/>
        <v>45818</v>
      </c>
      <c r="J1639" s="12">
        <f t="shared" si="44"/>
        <v>113</v>
      </c>
      <c r="K1639" t="str">
        <f t="shared" si="42"/>
        <v>91-120</v>
      </c>
      <c r="L1639" s="11">
        <v>45931</v>
      </c>
      <c r="M1639" s="23">
        <f>YEAR(Таблица1[[#This Row],[Дата отчета]])</f>
        <v>2025</v>
      </c>
    </row>
    <row r="1640" spans="1:13" x14ac:dyDescent="0.25">
      <c r="A1640" t="s">
        <v>12</v>
      </c>
      <c r="B1640" t="s">
        <v>1480</v>
      </c>
      <c r="C1640" t="s">
        <v>1481</v>
      </c>
      <c r="D1640" t="s">
        <v>1483</v>
      </c>
      <c r="E1640" t="s">
        <v>1049</v>
      </c>
      <c r="F1640" s="20">
        <v>35000000</v>
      </c>
      <c r="I1640" s="11">
        <f t="shared" si="43"/>
        <v>45861</v>
      </c>
      <c r="J1640" s="12">
        <f t="shared" si="44"/>
        <v>70</v>
      </c>
      <c r="K1640" t="str">
        <f t="shared" si="42"/>
        <v>31-90</v>
      </c>
      <c r="L1640" s="11">
        <v>45931</v>
      </c>
      <c r="M1640" s="23">
        <f>YEAR(Таблица1[[#This Row],[Дата отчета]])</f>
        <v>2025</v>
      </c>
    </row>
    <row r="1641" spans="1:13" x14ac:dyDescent="0.25">
      <c r="A1641" t="s">
        <v>12</v>
      </c>
      <c r="B1641" t="s">
        <v>1480</v>
      </c>
      <c r="C1641" t="s">
        <v>1481</v>
      </c>
      <c r="D1641" t="s">
        <v>1484</v>
      </c>
      <c r="E1641" t="s">
        <v>315</v>
      </c>
      <c r="F1641" s="20">
        <v>35000000</v>
      </c>
      <c r="I1641" s="11">
        <f t="shared" si="43"/>
        <v>45891</v>
      </c>
      <c r="J1641" s="12">
        <f t="shared" si="44"/>
        <v>40</v>
      </c>
      <c r="K1641" t="str">
        <f t="shared" si="42"/>
        <v>31-90</v>
      </c>
      <c r="L1641" s="11">
        <v>45931</v>
      </c>
      <c r="M1641" s="23">
        <f>YEAR(Таблица1[[#This Row],[Дата отчета]])</f>
        <v>2025</v>
      </c>
    </row>
    <row r="1642" spans="1:13" x14ac:dyDescent="0.25">
      <c r="A1642" t="s">
        <v>12</v>
      </c>
      <c r="B1642" t="s">
        <v>1480</v>
      </c>
      <c r="C1642" t="s">
        <v>1481</v>
      </c>
      <c r="D1642" t="s">
        <v>1485</v>
      </c>
      <c r="E1642" t="s">
        <v>195</v>
      </c>
      <c r="F1642" s="20">
        <v>35000000</v>
      </c>
      <c r="I1642" s="11">
        <f t="shared" si="43"/>
        <v>45916</v>
      </c>
      <c r="J1642" s="12">
        <f t="shared" si="44"/>
        <v>15</v>
      </c>
      <c r="K1642" t="str">
        <f t="shared" si="42"/>
        <v>0-30</v>
      </c>
      <c r="L1642" s="11">
        <v>45931</v>
      </c>
      <c r="M1642" s="23">
        <f>YEAR(Таблица1[[#This Row],[Дата отчета]])</f>
        <v>2025</v>
      </c>
    </row>
    <row r="1643" spans="1:13" x14ac:dyDescent="0.25">
      <c r="A1643" t="s">
        <v>12</v>
      </c>
      <c r="B1643" t="s">
        <v>1486</v>
      </c>
      <c r="C1643" t="s">
        <v>1487</v>
      </c>
      <c r="D1643" t="s">
        <v>1488</v>
      </c>
      <c r="E1643" t="s">
        <v>1788</v>
      </c>
      <c r="F1643" s="20">
        <v>62909.32</v>
      </c>
      <c r="I1643" s="11">
        <f t="shared" si="43"/>
        <v>45870</v>
      </c>
      <c r="J1643" s="12">
        <f t="shared" si="44"/>
        <v>61</v>
      </c>
      <c r="K1643" t="str">
        <f t="shared" si="42"/>
        <v>31-90</v>
      </c>
      <c r="L1643" s="11">
        <v>45931</v>
      </c>
      <c r="M1643" s="23">
        <f>YEAR(Таблица1[[#This Row],[Дата отчета]])</f>
        <v>2025</v>
      </c>
    </row>
    <row r="1644" spans="1:13" x14ac:dyDescent="0.25">
      <c r="A1644" t="s">
        <v>12</v>
      </c>
      <c r="B1644" t="s">
        <v>1486</v>
      </c>
      <c r="C1644" t="s">
        <v>1489</v>
      </c>
      <c r="D1644" t="s">
        <v>1490</v>
      </c>
      <c r="E1644" t="s">
        <v>215</v>
      </c>
      <c r="F1644" s="20">
        <v>2891892</v>
      </c>
      <c r="I1644" s="11">
        <f t="shared" si="43"/>
        <v>45929</v>
      </c>
      <c r="J1644" s="12">
        <f t="shared" si="44"/>
        <v>2</v>
      </c>
      <c r="K1644" t="str">
        <f t="shared" si="42"/>
        <v>0-30</v>
      </c>
      <c r="L1644" s="11">
        <v>45931</v>
      </c>
      <c r="M1644" s="23">
        <f>YEAR(Таблица1[[#This Row],[Дата отчета]])</f>
        <v>2025</v>
      </c>
    </row>
    <row r="1645" spans="1:13" x14ac:dyDescent="0.25">
      <c r="A1645" t="s">
        <v>12</v>
      </c>
      <c r="B1645" t="s">
        <v>467</v>
      </c>
      <c r="C1645" t="s">
        <v>468</v>
      </c>
      <c r="D1645" t="s">
        <v>469</v>
      </c>
      <c r="E1645" t="s">
        <v>470</v>
      </c>
      <c r="F1645" s="20">
        <v>2000</v>
      </c>
      <c r="I1645" s="11">
        <f t="shared" si="43"/>
        <v>44551</v>
      </c>
      <c r="J1645" s="12">
        <f t="shared" si="44"/>
        <v>1380</v>
      </c>
      <c r="K1645" t="str">
        <f t="shared" si="42"/>
        <v>&gt;360</v>
      </c>
      <c r="L1645" s="11">
        <v>45931</v>
      </c>
      <c r="M1645" s="23">
        <f>YEAR(Таблица1[[#This Row],[Дата отчета]])</f>
        <v>2025</v>
      </c>
    </row>
    <row r="1646" spans="1:13" x14ac:dyDescent="0.25">
      <c r="A1646" t="s">
        <v>12</v>
      </c>
      <c r="B1646" t="s">
        <v>1491</v>
      </c>
      <c r="C1646" t="s">
        <v>1492</v>
      </c>
      <c r="D1646" t="s">
        <v>1493</v>
      </c>
      <c r="E1646" t="s">
        <v>1769</v>
      </c>
      <c r="F1646" s="20">
        <v>63507.6</v>
      </c>
      <c r="I1646" s="11">
        <f t="shared" si="43"/>
        <v>45923</v>
      </c>
      <c r="J1646" s="12">
        <f t="shared" si="44"/>
        <v>8</v>
      </c>
      <c r="K1646" t="str">
        <f t="shared" si="42"/>
        <v>0-30</v>
      </c>
      <c r="L1646" s="11">
        <v>45931</v>
      </c>
      <c r="M1646" s="23">
        <f>YEAR(Таблица1[[#This Row],[Дата отчета]])</f>
        <v>2025</v>
      </c>
    </row>
    <row r="1647" spans="1:13" x14ac:dyDescent="0.25">
      <c r="A1647" t="s">
        <v>12</v>
      </c>
      <c r="B1647" t="s">
        <v>471</v>
      </c>
      <c r="C1647" t="s">
        <v>472</v>
      </c>
      <c r="D1647" t="s">
        <v>473</v>
      </c>
      <c r="E1647" t="s">
        <v>429</v>
      </c>
      <c r="F1647" s="20">
        <v>25866</v>
      </c>
      <c r="I1647" s="11">
        <f t="shared" si="43"/>
        <v>45897</v>
      </c>
      <c r="J1647" s="12">
        <f t="shared" si="44"/>
        <v>34</v>
      </c>
      <c r="K1647" t="str">
        <f t="shared" si="42"/>
        <v>31-90</v>
      </c>
      <c r="L1647" s="11">
        <v>45931</v>
      </c>
      <c r="M1647" s="23">
        <f>YEAR(Таблица1[[#This Row],[Дата отчета]])</f>
        <v>2025</v>
      </c>
    </row>
    <row r="1648" spans="1:13" x14ac:dyDescent="0.25">
      <c r="A1648" t="s">
        <v>12</v>
      </c>
      <c r="B1648" t="s">
        <v>474</v>
      </c>
      <c r="C1648" t="s">
        <v>475</v>
      </c>
      <c r="D1648" t="s">
        <v>476</v>
      </c>
      <c r="E1648" t="s">
        <v>477</v>
      </c>
      <c r="F1648" s="20">
        <v>8850</v>
      </c>
      <c r="I1648" s="11">
        <f t="shared" si="43"/>
        <v>45401</v>
      </c>
      <c r="J1648" s="12">
        <f t="shared" si="44"/>
        <v>530</v>
      </c>
      <c r="K1648" t="str">
        <f t="shared" si="42"/>
        <v>&gt;360</v>
      </c>
      <c r="L1648" s="11">
        <v>45931</v>
      </c>
      <c r="M1648" s="23">
        <f>YEAR(Таблица1[[#This Row],[Дата отчета]])</f>
        <v>2025</v>
      </c>
    </row>
    <row r="1649" spans="1:14" x14ac:dyDescent="0.25">
      <c r="A1649" t="s">
        <v>12</v>
      </c>
      <c r="B1649" t="s">
        <v>478</v>
      </c>
      <c r="C1649" t="s">
        <v>1494</v>
      </c>
      <c r="D1649" t="s">
        <v>1495</v>
      </c>
      <c r="E1649" t="s">
        <v>1173</v>
      </c>
      <c r="F1649" s="20">
        <v>280000</v>
      </c>
      <c r="I1649" s="11">
        <f t="shared" si="43"/>
        <v>45922</v>
      </c>
      <c r="J1649" s="12">
        <f t="shared" si="44"/>
        <v>9</v>
      </c>
      <c r="K1649" t="str">
        <f t="shared" si="42"/>
        <v>0-30</v>
      </c>
      <c r="L1649" s="11">
        <v>45931</v>
      </c>
      <c r="M1649" s="23">
        <f>YEAR(Таблица1[[#This Row],[Дата отчета]])</f>
        <v>2025</v>
      </c>
    </row>
    <row r="1650" spans="1:14" x14ac:dyDescent="0.25">
      <c r="A1650" t="s">
        <v>12</v>
      </c>
      <c r="B1650" t="s">
        <v>478</v>
      </c>
      <c r="C1650" t="s">
        <v>1496</v>
      </c>
      <c r="D1650" t="s">
        <v>1497</v>
      </c>
      <c r="E1650" t="s">
        <v>1173</v>
      </c>
      <c r="F1650" s="20">
        <v>295000</v>
      </c>
      <c r="I1650" s="11">
        <f t="shared" si="43"/>
        <v>45922</v>
      </c>
      <c r="J1650" s="12">
        <f t="shared" si="44"/>
        <v>9</v>
      </c>
      <c r="K1650" t="str">
        <f t="shared" si="42"/>
        <v>0-30</v>
      </c>
      <c r="L1650" s="11">
        <v>45931</v>
      </c>
      <c r="M1650" s="23">
        <f>YEAR(Таблица1[[#This Row],[Дата отчета]])</f>
        <v>2025</v>
      </c>
    </row>
    <row r="1651" spans="1:14" x14ac:dyDescent="0.25">
      <c r="A1651" t="s">
        <v>12</v>
      </c>
      <c r="B1651" t="s">
        <v>478</v>
      </c>
      <c r="C1651" t="s">
        <v>1498</v>
      </c>
      <c r="D1651" t="s">
        <v>1499</v>
      </c>
      <c r="E1651" t="s">
        <v>183</v>
      </c>
      <c r="F1651" s="20">
        <v>18000</v>
      </c>
      <c r="I1651" s="11">
        <f t="shared" si="43"/>
        <v>45817</v>
      </c>
      <c r="J1651" s="12">
        <f t="shared" si="44"/>
        <v>114</v>
      </c>
      <c r="K1651" t="str">
        <f t="shared" si="42"/>
        <v>91-120</v>
      </c>
      <c r="L1651" s="11">
        <v>45931</v>
      </c>
      <c r="M1651" s="23">
        <f>YEAR(Таблица1[[#This Row],[Дата отчета]])</f>
        <v>2025</v>
      </c>
    </row>
    <row r="1652" spans="1:14" x14ac:dyDescent="0.25">
      <c r="A1652" t="s">
        <v>12</v>
      </c>
      <c r="B1652" t="s">
        <v>1223</v>
      </c>
      <c r="C1652" t="s">
        <v>1231</v>
      </c>
      <c r="D1652" t="s">
        <v>1246</v>
      </c>
      <c r="E1652" t="s">
        <v>1167</v>
      </c>
      <c r="F1652" s="20">
        <v>14000</v>
      </c>
      <c r="I1652" s="11">
        <f t="shared" si="43"/>
        <v>45908</v>
      </c>
      <c r="J1652" s="12">
        <f t="shared" si="44"/>
        <v>23</v>
      </c>
      <c r="K1652" t="str">
        <f t="shared" si="42"/>
        <v>0-30</v>
      </c>
      <c r="L1652" s="11">
        <v>45931</v>
      </c>
      <c r="M1652" s="23">
        <f>YEAR(Таблица1[[#This Row],[Дата отчета]])</f>
        <v>2025</v>
      </c>
    </row>
    <row r="1653" spans="1:14" x14ac:dyDescent="0.25">
      <c r="A1653" t="s">
        <v>12</v>
      </c>
      <c r="B1653" t="s">
        <v>481</v>
      </c>
      <c r="C1653" t="s">
        <v>484</v>
      </c>
      <c r="D1653" t="s">
        <v>485</v>
      </c>
      <c r="E1653" t="s">
        <v>486</v>
      </c>
      <c r="F1653" s="20">
        <v>0.01</v>
      </c>
      <c r="I1653" s="11">
        <f t="shared" si="43"/>
        <v>45848</v>
      </c>
      <c r="J1653" s="12">
        <f t="shared" si="44"/>
        <v>83</v>
      </c>
      <c r="K1653" t="str">
        <f t="shared" si="42"/>
        <v>31-90</v>
      </c>
      <c r="L1653" s="11">
        <v>45931</v>
      </c>
      <c r="M1653" s="23">
        <f>YEAR(Таблица1[[#This Row],[Дата отчета]])</f>
        <v>2025</v>
      </c>
    </row>
    <row r="1654" spans="1:14" x14ac:dyDescent="0.25">
      <c r="A1654" t="s">
        <v>12</v>
      </c>
      <c r="B1654" t="s">
        <v>487</v>
      </c>
      <c r="C1654" t="s">
        <v>488</v>
      </c>
      <c r="D1654" t="s">
        <v>489</v>
      </c>
      <c r="E1654" t="s">
        <v>490</v>
      </c>
      <c r="F1654" s="20">
        <v>299500</v>
      </c>
      <c r="I1654" s="11">
        <f t="shared" si="43"/>
        <v>45631</v>
      </c>
      <c r="J1654" s="12">
        <f t="shared" si="44"/>
        <v>300</v>
      </c>
      <c r="K1654" t="str">
        <f t="shared" si="42"/>
        <v>271-360</v>
      </c>
      <c r="L1654" s="11">
        <v>45931</v>
      </c>
      <c r="M1654" s="23">
        <f>YEAR(Таблица1[[#This Row],[Дата отчета]])</f>
        <v>2025</v>
      </c>
      <c r="N1654" s="7" t="s">
        <v>4554</v>
      </c>
    </row>
    <row r="1655" spans="1:14" x14ac:dyDescent="0.25">
      <c r="A1655" t="s">
        <v>12</v>
      </c>
      <c r="B1655" t="s">
        <v>1500</v>
      </c>
      <c r="C1655" t="s">
        <v>1501</v>
      </c>
      <c r="D1655" t="s">
        <v>1502</v>
      </c>
      <c r="E1655" t="s">
        <v>1173</v>
      </c>
      <c r="F1655" s="20">
        <v>6700</v>
      </c>
      <c r="I1655" s="11">
        <f t="shared" si="43"/>
        <v>45922</v>
      </c>
      <c r="J1655" s="12">
        <f t="shared" si="44"/>
        <v>9</v>
      </c>
      <c r="K1655" t="str">
        <f t="shared" si="42"/>
        <v>0-30</v>
      </c>
      <c r="L1655" s="11">
        <v>45931</v>
      </c>
      <c r="M1655" s="23">
        <f>YEAR(Таблица1[[#This Row],[Дата отчета]])</f>
        <v>2025</v>
      </c>
    </row>
    <row r="1656" spans="1:14" x14ac:dyDescent="0.25">
      <c r="A1656" t="s">
        <v>12</v>
      </c>
      <c r="B1656" t="s">
        <v>494</v>
      </c>
      <c r="C1656" t="s">
        <v>495</v>
      </c>
      <c r="D1656" t="s">
        <v>496</v>
      </c>
      <c r="E1656" t="s">
        <v>497</v>
      </c>
      <c r="F1656" s="20">
        <v>23544</v>
      </c>
      <c r="I1656" s="11">
        <f t="shared" si="43"/>
        <v>45875</v>
      </c>
      <c r="J1656" s="12">
        <f t="shared" si="44"/>
        <v>56</v>
      </c>
      <c r="K1656" t="str">
        <f t="shared" si="42"/>
        <v>31-90</v>
      </c>
      <c r="L1656" s="11">
        <v>45931</v>
      </c>
      <c r="M1656" s="23">
        <f>YEAR(Таблица1[[#This Row],[Дата отчета]])</f>
        <v>2025</v>
      </c>
    </row>
    <row r="1657" spans="1:14" x14ac:dyDescent="0.25">
      <c r="A1657" t="s">
        <v>12</v>
      </c>
      <c r="B1657" t="s">
        <v>502</v>
      </c>
      <c r="C1657" t="s">
        <v>503</v>
      </c>
      <c r="D1657" t="s">
        <v>504</v>
      </c>
      <c r="E1657" t="s">
        <v>505</v>
      </c>
      <c r="F1657" s="20">
        <v>1334.4</v>
      </c>
      <c r="I1657" s="11">
        <f t="shared" si="43"/>
        <v>45587</v>
      </c>
      <c r="J1657" s="12">
        <f t="shared" si="44"/>
        <v>344</v>
      </c>
      <c r="K1657" t="str">
        <f t="shared" si="42"/>
        <v>271-360</v>
      </c>
      <c r="L1657" s="11">
        <v>45931</v>
      </c>
      <c r="M1657" s="23">
        <f>YEAR(Таблица1[[#This Row],[Дата отчета]])</f>
        <v>2025</v>
      </c>
      <c r="N1657" s="7" t="s">
        <v>4538</v>
      </c>
    </row>
    <row r="1658" spans="1:14" x14ac:dyDescent="0.25">
      <c r="A1658" t="s">
        <v>12</v>
      </c>
      <c r="B1658" t="s">
        <v>502</v>
      </c>
      <c r="C1658" t="s">
        <v>506</v>
      </c>
      <c r="D1658" t="s">
        <v>507</v>
      </c>
      <c r="E1658" t="s">
        <v>508</v>
      </c>
      <c r="F1658" s="20">
        <v>6990</v>
      </c>
      <c r="I1658" s="11">
        <f t="shared" si="43"/>
        <v>45593</v>
      </c>
      <c r="J1658" s="12">
        <f t="shared" si="44"/>
        <v>338</v>
      </c>
      <c r="K1658" t="str">
        <f t="shared" si="42"/>
        <v>271-360</v>
      </c>
      <c r="L1658" s="11">
        <v>45931</v>
      </c>
      <c r="M1658" s="23">
        <f>YEAR(Таблица1[[#This Row],[Дата отчета]])</f>
        <v>2025</v>
      </c>
      <c r="N1658" s="7" t="s">
        <v>4538</v>
      </c>
    </row>
    <row r="1659" spans="1:14" x14ac:dyDescent="0.25">
      <c r="A1659" t="s">
        <v>12</v>
      </c>
      <c r="B1659" t="s">
        <v>512</v>
      </c>
      <c r="C1659" t="s">
        <v>1503</v>
      </c>
      <c r="D1659" t="s">
        <v>1504</v>
      </c>
      <c r="E1659" t="s">
        <v>1789</v>
      </c>
      <c r="F1659" s="20">
        <v>27420</v>
      </c>
      <c r="I1659" s="11">
        <f t="shared" si="43"/>
        <v>45887</v>
      </c>
      <c r="J1659" s="12">
        <f t="shared" si="44"/>
        <v>44</v>
      </c>
      <c r="K1659" t="str">
        <f t="shared" si="42"/>
        <v>31-90</v>
      </c>
      <c r="L1659" s="11">
        <v>45931</v>
      </c>
      <c r="M1659" s="23">
        <f>YEAR(Таблица1[[#This Row],[Дата отчета]])</f>
        <v>2025</v>
      </c>
    </row>
    <row r="1660" spans="1:14" x14ac:dyDescent="0.25">
      <c r="A1660" t="s">
        <v>12</v>
      </c>
      <c r="B1660" t="s">
        <v>512</v>
      </c>
      <c r="C1660" t="s">
        <v>513</v>
      </c>
      <c r="D1660" t="s">
        <v>514</v>
      </c>
      <c r="E1660" t="s">
        <v>183</v>
      </c>
      <c r="F1660" s="20">
        <v>24500</v>
      </c>
      <c r="I1660" s="11">
        <f t="shared" si="43"/>
        <v>45817</v>
      </c>
      <c r="J1660" s="12">
        <f t="shared" si="44"/>
        <v>114</v>
      </c>
      <c r="K1660" t="str">
        <f t="shared" si="42"/>
        <v>91-120</v>
      </c>
      <c r="L1660" s="11">
        <v>45931</v>
      </c>
      <c r="M1660" s="23">
        <f>YEAR(Таблица1[[#This Row],[Дата отчета]])</f>
        <v>2025</v>
      </c>
    </row>
    <row r="1661" spans="1:14" x14ac:dyDescent="0.25">
      <c r="A1661" t="s">
        <v>12</v>
      </c>
      <c r="B1661" t="s">
        <v>512</v>
      </c>
      <c r="C1661" t="s">
        <v>515</v>
      </c>
      <c r="D1661" t="s">
        <v>516</v>
      </c>
      <c r="E1661" t="s">
        <v>517</v>
      </c>
      <c r="F1661" s="20">
        <v>58485</v>
      </c>
      <c r="I1661" s="11">
        <f t="shared" si="43"/>
        <v>45797</v>
      </c>
      <c r="J1661" s="12">
        <f t="shared" si="44"/>
        <v>134</v>
      </c>
      <c r="K1661" t="str">
        <f t="shared" si="42"/>
        <v>121-180</v>
      </c>
      <c r="L1661" s="11">
        <v>45931</v>
      </c>
      <c r="M1661" s="23">
        <f>YEAR(Таблица1[[#This Row],[Дата отчета]])</f>
        <v>2025</v>
      </c>
    </row>
    <row r="1662" spans="1:14" x14ac:dyDescent="0.25">
      <c r="A1662" t="s">
        <v>12</v>
      </c>
      <c r="B1662" t="s">
        <v>512</v>
      </c>
      <c r="C1662" t="s">
        <v>518</v>
      </c>
      <c r="D1662" t="s">
        <v>519</v>
      </c>
      <c r="E1662" t="s">
        <v>520</v>
      </c>
      <c r="F1662" s="20">
        <v>2690</v>
      </c>
      <c r="I1662" s="11">
        <f t="shared" si="43"/>
        <v>45811</v>
      </c>
      <c r="J1662" s="12">
        <f t="shared" si="44"/>
        <v>120</v>
      </c>
      <c r="K1662" t="str">
        <f t="shared" si="42"/>
        <v>91-120</v>
      </c>
      <c r="L1662" s="11">
        <v>45931</v>
      </c>
      <c r="M1662" s="23">
        <f>YEAR(Таблица1[[#This Row],[Дата отчета]])</f>
        <v>2025</v>
      </c>
    </row>
    <row r="1663" spans="1:14" x14ac:dyDescent="0.25">
      <c r="A1663" t="s">
        <v>12</v>
      </c>
      <c r="B1663" t="s">
        <v>512</v>
      </c>
      <c r="C1663" t="s">
        <v>521</v>
      </c>
      <c r="D1663" t="s">
        <v>522</v>
      </c>
      <c r="E1663" t="s">
        <v>83</v>
      </c>
      <c r="F1663" s="20">
        <v>16020</v>
      </c>
      <c r="I1663" s="11">
        <f t="shared" si="43"/>
        <v>45852</v>
      </c>
      <c r="J1663" s="12">
        <f t="shared" si="44"/>
        <v>79</v>
      </c>
      <c r="K1663" t="str">
        <f t="shared" ref="K1663:K1726" si="45">IF(J1663&lt;=30,"0-30",IF(J1663&lt;=90,"31-90",IF(J1663&lt;=120,"91-120",IF(J1663&lt;=180,"121-180",IF(J1663&lt;=270,"181-270",IF(J1663&lt;=360,"271-360","&gt;360"))))))</f>
        <v>31-90</v>
      </c>
      <c r="L1663" s="11">
        <v>45931</v>
      </c>
      <c r="M1663" s="23">
        <f>YEAR(Таблица1[[#This Row],[Дата отчета]])</f>
        <v>2025</v>
      </c>
    </row>
    <row r="1664" spans="1:14" x14ac:dyDescent="0.25">
      <c r="A1664" t="s">
        <v>12</v>
      </c>
      <c r="B1664" t="s">
        <v>512</v>
      </c>
      <c r="C1664" t="s">
        <v>1505</v>
      </c>
      <c r="D1664" t="s">
        <v>1506</v>
      </c>
      <c r="E1664" t="s">
        <v>1790</v>
      </c>
      <c r="F1664" s="20">
        <v>9310</v>
      </c>
      <c r="I1664" s="11">
        <f t="shared" si="43"/>
        <v>45828</v>
      </c>
      <c r="J1664" s="12">
        <f t="shared" si="44"/>
        <v>103</v>
      </c>
      <c r="K1664" t="str">
        <f t="shared" si="45"/>
        <v>91-120</v>
      </c>
      <c r="L1664" s="11">
        <v>45931</v>
      </c>
      <c r="M1664" s="23">
        <f>YEAR(Таблица1[[#This Row],[Дата отчета]])</f>
        <v>2025</v>
      </c>
    </row>
    <row r="1665" spans="1:14" x14ac:dyDescent="0.25">
      <c r="A1665" t="s">
        <v>12</v>
      </c>
      <c r="B1665" t="s">
        <v>512</v>
      </c>
      <c r="C1665" t="s">
        <v>1507</v>
      </c>
      <c r="D1665" t="s">
        <v>1508</v>
      </c>
      <c r="E1665" t="s">
        <v>907</v>
      </c>
      <c r="F1665" s="20">
        <v>30510</v>
      </c>
      <c r="I1665" s="11">
        <f t="shared" si="43"/>
        <v>45909</v>
      </c>
      <c r="J1665" s="12">
        <f t="shared" si="44"/>
        <v>22</v>
      </c>
      <c r="K1665" t="str">
        <f t="shared" si="45"/>
        <v>0-30</v>
      </c>
      <c r="L1665" s="11">
        <v>45931</v>
      </c>
      <c r="M1665" s="23">
        <f>YEAR(Таблица1[[#This Row],[Дата отчета]])</f>
        <v>2025</v>
      </c>
    </row>
    <row r="1666" spans="1:14" x14ac:dyDescent="0.25">
      <c r="A1666" t="s">
        <v>12</v>
      </c>
      <c r="B1666" t="s">
        <v>512</v>
      </c>
      <c r="C1666" t="s">
        <v>1509</v>
      </c>
      <c r="D1666" t="s">
        <v>1510</v>
      </c>
      <c r="E1666" t="s">
        <v>1791</v>
      </c>
      <c r="F1666" s="20">
        <v>39380</v>
      </c>
      <c r="I1666" s="11">
        <f t="shared" si="43"/>
        <v>45915</v>
      </c>
      <c r="J1666" s="12">
        <f t="shared" si="44"/>
        <v>16</v>
      </c>
      <c r="K1666" t="str">
        <f t="shared" si="45"/>
        <v>0-30</v>
      </c>
      <c r="L1666" s="11">
        <v>45931</v>
      </c>
      <c r="M1666" s="23">
        <f>YEAR(Таблица1[[#This Row],[Дата отчета]])</f>
        <v>2025</v>
      </c>
    </row>
    <row r="1667" spans="1:14" x14ac:dyDescent="0.25">
      <c r="A1667" t="s">
        <v>12</v>
      </c>
      <c r="B1667" t="s">
        <v>512</v>
      </c>
      <c r="C1667" t="s">
        <v>1511</v>
      </c>
      <c r="D1667" t="s">
        <v>1512</v>
      </c>
      <c r="E1667" t="s">
        <v>1791</v>
      </c>
      <c r="F1667" s="20">
        <v>22500</v>
      </c>
      <c r="I1667" s="11">
        <f t="shared" si="43"/>
        <v>45915</v>
      </c>
      <c r="J1667" s="12">
        <f t="shared" si="44"/>
        <v>16</v>
      </c>
      <c r="K1667" t="str">
        <f t="shared" si="45"/>
        <v>0-30</v>
      </c>
      <c r="L1667" s="11">
        <v>45931</v>
      </c>
      <c r="M1667" s="23">
        <f>YEAR(Таблица1[[#This Row],[Дата отчета]])</f>
        <v>2025</v>
      </c>
    </row>
    <row r="1668" spans="1:14" x14ac:dyDescent="0.25">
      <c r="A1668" t="s">
        <v>12</v>
      </c>
      <c r="B1668" t="s">
        <v>512</v>
      </c>
      <c r="C1668" t="s">
        <v>1513</v>
      </c>
      <c r="D1668" t="s">
        <v>1514</v>
      </c>
      <c r="E1668" t="s">
        <v>1792</v>
      </c>
      <c r="F1668" s="20">
        <v>78800</v>
      </c>
      <c r="I1668" s="11">
        <f t="shared" si="43"/>
        <v>45918</v>
      </c>
      <c r="J1668" s="12">
        <f t="shared" si="44"/>
        <v>13</v>
      </c>
      <c r="K1668" t="str">
        <f t="shared" si="45"/>
        <v>0-30</v>
      </c>
      <c r="L1668" s="11">
        <v>45931</v>
      </c>
      <c r="M1668" s="23">
        <f>YEAR(Таблица1[[#This Row],[Дата отчета]])</f>
        <v>2025</v>
      </c>
    </row>
    <row r="1669" spans="1:14" x14ac:dyDescent="0.25">
      <c r="A1669" t="s">
        <v>12</v>
      </c>
      <c r="B1669" t="s">
        <v>529</v>
      </c>
      <c r="C1669" t="s">
        <v>530</v>
      </c>
      <c r="D1669" t="s">
        <v>531</v>
      </c>
      <c r="E1669" t="s">
        <v>532</v>
      </c>
      <c r="F1669" s="20">
        <v>5900</v>
      </c>
      <c r="I1669" s="11">
        <f t="shared" si="43"/>
        <v>45813</v>
      </c>
      <c r="J1669" s="12">
        <f t="shared" si="44"/>
        <v>118</v>
      </c>
      <c r="K1669" t="str">
        <f t="shared" si="45"/>
        <v>91-120</v>
      </c>
      <c r="L1669" s="11">
        <v>45931</v>
      </c>
      <c r="M1669" s="23">
        <f>YEAR(Таблица1[[#This Row],[Дата отчета]])</f>
        <v>2025</v>
      </c>
    </row>
    <row r="1670" spans="1:14" x14ac:dyDescent="0.25">
      <c r="A1670" t="s">
        <v>12</v>
      </c>
      <c r="B1670" t="s">
        <v>529</v>
      </c>
      <c r="C1670" t="s">
        <v>533</v>
      </c>
      <c r="D1670" t="s">
        <v>534</v>
      </c>
      <c r="E1670" t="s">
        <v>535</v>
      </c>
      <c r="F1670" s="20">
        <v>76000</v>
      </c>
      <c r="I1670" s="11">
        <f t="shared" si="43"/>
        <v>45796</v>
      </c>
      <c r="J1670" s="12">
        <f t="shared" si="44"/>
        <v>135</v>
      </c>
      <c r="K1670" t="str">
        <f t="shared" si="45"/>
        <v>121-180</v>
      </c>
      <c r="L1670" s="11">
        <v>45931</v>
      </c>
      <c r="M1670" s="23">
        <f>YEAR(Таблица1[[#This Row],[Дата отчета]])</f>
        <v>2025</v>
      </c>
    </row>
    <row r="1671" spans="1:14" x14ac:dyDescent="0.25">
      <c r="A1671" t="s">
        <v>12</v>
      </c>
      <c r="B1671" t="s">
        <v>536</v>
      </c>
      <c r="C1671" t="s">
        <v>537</v>
      </c>
      <c r="D1671" t="s">
        <v>538</v>
      </c>
      <c r="E1671" t="s">
        <v>91</v>
      </c>
      <c r="F1671" s="20">
        <v>9000</v>
      </c>
      <c r="I1671" s="11">
        <f t="shared" si="43"/>
        <v>45723</v>
      </c>
      <c r="J1671" s="12">
        <f t="shared" si="44"/>
        <v>208</v>
      </c>
      <c r="K1671" t="str">
        <f t="shared" si="45"/>
        <v>181-270</v>
      </c>
      <c r="L1671" s="11">
        <v>45931</v>
      </c>
      <c r="M1671" s="23">
        <f>YEAR(Таблица1[[#This Row],[Дата отчета]])</f>
        <v>2025</v>
      </c>
      <c r="N1671" s="2" t="s">
        <v>807</v>
      </c>
    </row>
    <row r="1672" spans="1:14" x14ac:dyDescent="0.25">
      <c r="A1672" t="s">
        <v>12</v>
      </c>
      <c r="B1672" t="s">
        <v>1515</v>
      </c>
      <c r="C1672" t="s">
        <v>1516</v>
      </c>
      <c r="D1672" t="s">
        <v>1517</v>
      </c>
      <c r="E1672" t="s">
        <v>247</v>
      </c>
      <c r="F1672" s="20">
        <v>1383437.71</v>
      </c>
      <c r="I1672" s="11">
        <f t="shared" si="43"/>
        <v>45798</v>
      </c>
      <c r="J1672" s="12">
        <f t="shared" si="44"/>
        <v>133</v>
      </c>
      <c r="K1672" t="str">
        <f t="shared" si="45"/>
        <v>121-180</v>
      </c>
      <c r="L1672" s="11">
        <v>45931</v>
      </c>
      <c r="M1672" s="23">
        <f>YEAR(Таблица1[[#This Row],[Дата отчета]])</f>
        <v>2025</v>
      </c>
    </row>
    <row r="1673" spans="1:14" x14ac:dyDescent="0.25">
      <c r="A1673" t="s">
        <v>12</v>
      </c>
      <c r="B1673" t="s">
        <v>1515</v>
      </c>
      <c r="C1673" t="s">
        <v>1518</v>
      </c>
      <c r="D1673" t="s">
        <v>1519</v>
      </c>
      <c r="E1673" t="s">
        <v>907</v>
      </c>
      <c r="F1673" s="20">
        <v>193854</v>
      </c>
      <c r="I1673" s="11">
        <f t="shared" si="43"/>
        <v>45909</v>
      </c>
      <c r="J1673" s="12">
        <f t="shared" si="44"/>
        <v>22</v>
      </c>
      <c r="K1673" t="str">
        <f t="shared" si="45"/>
        <v>0-30</v>
      </c>
      <c r="L1673" s="11">
        <v>45931</v>
      </c>
      <c r="M1673" s="23">
        <f>YEAR(Таблица1[[#This Row],[Дата отчета]])</f>
        <v>2025</v>
      </c>
    </row>
    <row r="1674" spans="1:14" x14ac:dyDescent="0.25">
      <c r="A1674" t="s">
        <v>12</v>
      </c>
      <c r="B1674" t="s">
        <v>1520</v>
      </c>
      <c r="C1674" t="s">
        <v>1521</v>
      </c>
      <c r="D1674" t="s">
        <v>1522</v>
      </c>
      <c r="E1674" t="s">
        <v>1793</v>
      </c>
      <c r="F1674" s="20">
        <v>1972921</v>
      </c>
      <c r="I1674" s="11">
        <f t="shared" si="43"/>
        <v>45849</v>
      </c>
      <c r="J1674" s="12">
        <f t="shared" si="44"/>
        <v>82</v>
      </c>
      <c r="K1674" t="str">
        <f t="shared" si="45"/>
        <v>31-90</v>
      </c>
      <c r="L1674" s="11">
        <v>45931</v>
      </c>
      <c r="M1674" s="23">
        <f>YEAR(Таблица1[[#This Row],[Дата отчета]])</f>
        <v>2025</v>
      </c>
    </row>
    <row r="1675" spans="1:14" x14ac:dyDescent="0.25">
      <c r="A1675" t="s">
        <v>12</v>
      </c>
      <c r="B1675" t="s">
        <v>1523</v>
      </c>
      <c r="C1675" t="s">
        <v>269</v>
      </c>
      <c r="D1675" t="s">
        <v>1524</v>
      </c>
      <c r="E1675" t="s">
        <v>1765</v>
      </c>
      <c r="F1675" s="20">
        <v>725</v>
      </c>
      <c r="I1675" s="11">
        <f t="shared" ref="I1675:I1738" si="46">E1675*1</f>
        <v>45735</v>
      </c>
      <c r="J1675" s="12">
        <f t="shared" ref="J1675:J1738" si="47">L1675-I1675</f>
        <v>196</v>
      </c>
      <c r="K1675" t="str">
        <f t="shared" si="45"/>
        <v>181-270</v>
      </c>
      <c r="L1675" s="11">
        <v>45931</v>
      </c>
      <c r="M1675" s="23">
        <f>YEAR(Таблица1[[#This Row],[Дата отчета]])</f>
        <v>2025</v>
      </c>
    </row>
    <row r="1676" spans="1:14" x14ac:dyDescent="0.25">
      <c r="A1676" t="s">
        <v>12</v>
      </c>
      <c r="B1676" t="s">
        <v>557</v>
      </c>
      <c r="C1676" t="s">
        <v>558</v>
      </c>
      <c r="D1676" t="s">
        <v>559</v>
      </c>
      <c r="E1676" t="s">
        <v>560</v>
      </c>
      <c r="F1676" s="20">
        <v>53476.3</v>
      </c>
      <c r="I1676" s="11">
        <f t="shared" si="46"/>
        <v>45805</v>
      </c>
      <c r="J1676" s="12">
        <f t="shared" si="47"/>
        <v>126</v>
      </c>
      <c r="K1676" t="str">
        <f t="shared" si="45"/>
        <v>121-180</v>
      </c>
      <c r="L1676" s="11">
        <v>45931</v>
      </c>
      <c r="M1676" s="23">
        <f>YEAR(Таблица1[[#This Row],[Дата отчета]])</f>
        <v>2025</v>
      </c>
    </row>
    <row r="1677" spans="1:14" x14ac:dyDescent="0.25">
      <c r="A1677" t="s">
        <v>12</v>
      </c>
      <c r="B1677" t="s">
        <v>561</v>
      </c>
      <c r="C1677" t="s">
        <v>1525</v>
      </c>
      <c r="D1677" t="s">
        <v>1526</v>
      </c>
      <c r="E1677" t="s">
        <v>215</v>
      </c>
      <c r="F1677" s="20">
        <v>321062.40000000002</v>
      </c>
      <c r="I1677" s="11">
        <f t="shared" si="46"/>
        <v>45929</v>
      </c>
      <c r="J1677" s="12">
        <f t="shared" si="47"/>
        <v>2</v>
      </c>
      <c r="K1677" t="str">
        <f t="shared" si="45"/>
        <v>0-30</v>
      </c>
      <c r="L1677" s="11">
        <v>45931</v>
      </c>
      <c r="M1677" s="23">
        <f>YEAR(Таблица1[[#This Row],[Дата отчета]])</f>
        <v>2025</v>
      </c>
    </row>
    <row r="1678" spans="1:14" x14ac:dyDescent="0.25">
      <c r="A1678" t="s">
        <v>12</v>
      </c>
      <c r="B1678" t="s">
        <v>561</v>
      </c>
      <c r="C1678" t="s">
        <v>1527</v>
      </c>
      <c r="D1678" t="s">
        <v>1528</v>
      </c>
      <c r="E1678" t="s">
        <v>1794</v>
      </c>
      <c r="F1678" s="20">
        <v>1715565.24</v>
      </c>
      <c r="I1678" s="11">
        <f t="shared" si="46"/>
        <v>45069</v>
      </c>
      <c r="J1678" s="12">
        <f t="shared" si="47"/>
        <v>862</v>
      </c>
      <c r="K1678" t="str">
        <f t="shared" si="45"/>
        <v>&gt;360</v>
      </c>
      <c r="L1678" s="11">
        <v>45931</v>
      </c>
      <c r="M1678" s="23">
        <f>YEAR(Таблица1[[#This Row],[Дата отчета]])</f>
        <v>2025</v>
      </c>
    </row>
    <row r="1679" spans="1:14" x14ac:dyDescent="0.25">
      <c r="A1679" t="s">
        <v>12</v>
      </c>
      <c r="B1679" t="s">
        <v>561</v>
      </c>
      <c r="C1679" t="s">
        <v>1529</v>
      </c>
      <c r="D1679" t="s">
        <v>1530</v>
      </c>
      <c r="E1679" t="s">
        <v>1795</v>
      </c>
      <c r="F1679" s="20">
        <v>5092824.9400000004</v>
      </c>
      <c r="I1679" s="11">
        <f t="shared" si="46"/>
        <v>45391</v>
      </c>
      <c r="J1679" s="12">
        <f t="shared" si="47"/>
        <v>540</v>
      </c>
      <c r="K1679" t="str">
        <f t="shared" si="45"/>
        <v>&gt;360</v>
      </c>
      <c r="L1679" s="11">
        <v>45931</v>
      </c>
      <c r="M1679" s="23">
        <f>YEAR(Таблица1[[#This Row],[Дата отчета]])</f>
        <v>2025</v>
      </c>
    </row>
    <row r="1680" spans="1:14" x14ac:dyDescent="0.25">
      <c r="A1680" t="s">
        <v>12</v>
      </c>
      <c r="B1680" t="s">
        <v>561</v>
      </c>
      <c r="C1680" t="s">
        <v>1531</v>
      </c>
      <c r="D1680" t="s">
        <v>1532</v>
      </c>
      <c r="E1680" t="s">
        <v>765</v>
      </c>
      <c r="F1680" s="20">
        <v>38458.660000000003</v>
      </c>
      <c r="I1680" s="11">
        <f t="shared" si="46"/>
        <v>45751</v>
      </c>
      <c r="J1680" s="12">
        <f t="shared" si="47"/>
        <v>180</v>
      </c>
      <c r="K1680" t="str">
        <f t="shared" si="45"/>
        <v>121-180</v>
      </c>
      <c r="L1680" s="11">
        <v>45931</v>
      </c>
      <c r="M1680" s="23">
        <f>YEAR(Таблица1[[#This Row],[Дата отчета]])</f>
        <v>2025</v>
      </c>
    </row>
    <row r="1681" spans="1:13" x14ac:dyDescent="0.25">
      <c r="A1681" t="s">
        <v>12</v>
      </c>
      <c r="B1681" t="s">
        <v>561</v>
      </c>
      <c r="C1681" t="s">
        <v>1533</v>
      </c>
      <c r="D1681" t="s">
        <v>1534</v>
      </c>
      <c r="E1681" t="s">
        <v>175</v>
      </c>
      <c r="F1681" s="20">
        <v>0.02</v>
      </c>
      <c r="I1681" s="11">
        <f t="shared" si="46"/>
        <v>45399</v>
      </c>
      <c r="J1681" s="12">
        <f t="shared" si="47"/>
        <v>532</v>
      </c>
      <c r="K1681" t="str">
        <f t="shared" si="45"/>
        <v>&gt;360</v>
      </c>
      <c r="L1681" s="11">
        <v>45931</v>
      </c>
      <c r="M1681" s="23">
        <f>YEAR(Таблица1[[#This Row],[Дата отчета]])</f>
        <v>2025</v>
      </c>
    </row>
    <row r="1682" spans="1:13" x14ac:dyDescent="0.25">
      <c r="A1682" t="s">
        <v>12</v>
      </c>
      <c r="B1682" t="s">
        <v>561</v>
      </c>
      <c r="C1682" t="s">
        <v>1535</v>
      </c>
      <c r="D1682" t="s">
        <v>1536</v>
      </c>
      <c r="E1682" t="s">
        <v>1796</v>
      </c>
      <c r="F1682" s="20">
        <v>42035.61</v>
      </c>
      <c r="I1682" s="11">
        <f t="shared" si="46"/>
        <v>45763</v>
      </c>
      <c r="J1682" s="12">
        <f t="shared" si="47"/>
        <v>168</v>
      </c>
      <c r="K1682" t="str">
        <f t="shared" si="45"/>
        <v>121-180</v>
      </c>
      <c r="L1682" s="11">
        <v>45931</v>
      </c>
      <c r="M1682" s="23">
        <f>YEAR(Таблица1[[#This Row],[Дата отчета]])</f>
        <v>2025</v>
      </c>
    </row>
    <row r="1683" spans="1:13" x14ac:dyDescent="0.25">
      <c r="A1683" t="s">
        <v>12</v>
      </c>
      <c r="B1683" t="s">
        <v>561</v>
      </c>
      <c r="C1683" t="s">
        <v>1537</v>
      </c>
      <c r="D1683" t="s">
        <v>1538</v>
      </c>
      <c r="E1683" t="s">
        <v>1797</v>
      </c>
      <c r="F1683" s="20">
        <v>30.6</v>
      </c>
      <c r="I1683" s="11">
        <f t="shared" si="46"/>
        <v>45784</v>
      </c>
      <c r="J1683" s="12">
        <f t="shared" si="47"/>
        <v>147</v>
      </c>
      <c r="K1683" t="str">
        <f t="shared" si="45"/>
        <v>121-180</v>
      </c>
      <c r="L1683" s="11">
        <v>45931</v>
      </c>
      <c r="M1683" s="23">
        <f>YEAR(Таблица1[[#This Row],[Дата отчета]])</f>
        <v>2025</v>
      </c>
    </row>
    <row r="1684" spans="1:13" x14ac:dyDescent="0.25">
      <c r="A1684" t="s">
        <v>12</v>
      </c>
      <c r="B1684" t="s">
        <v>561</v>
      </c>
      <c r="C1684" t="s">
        <v>1539</v>
      </c>
      <c r="D1684" t="s">
        <v>1540</v>
      </c>
      <c r="E1684" t="s">
        <v>535</v>
      </c>
      <c r="F1684" s="20">
        <v>175922.59</v>
      </c>
      <c r="I1684" s="11">
        <f t="shared" si="46"/>
        <v>45796</v>
      </c>
      <c r="J1684" s="12">
        <f t="shared" si="47"/>
        <v>135</v>
      </c>
      <c r="K1684" t="str">
        <f t="shared" si="45"/>
        <v>121-180</v>
      </c>
      <c r="L1684" s="11">
        <v>45931</v>
      </c>
      <c r="M1684" s="23">
        <f>YEAR(Таблица1[[#This Row],[Дата отчета]])</f>
        <v>2025</v>
      </c>
    </row>
    <row r="1685" spans="1:13" x14ac:dyDescent="0.25">
      <c r="A1685" t="s">
        <v>12</v>
      </c>
      <c r="B1685" t="s">
        <v>561</v>
      </c>
      <c r="C1685" t="s">
        <v>1541</v>
      </c>
      <c r="D1685" t="s">
        <v>1542</v>
      </c>
      <c r="E1685" t="s">
        <v>192</v>
      </c>
      <c r="F1685" s="20">
        <v>6277.48</v>
      </c>
      <c r="I1685" s="11">
        <f t="shared" si="46"/>
        <v>45467</v>
      </c>
      <c r="J1685" s="12">
        <f t="shared" si="47"/>
        <v>464</v>
      </c>
      <c r="K1685" t="str">
        <f t="shared" si="45"/>
        <v>&gt;360</v>
      </c>
      <c r="L1685" s="11">
        <v>45931</v>
      </c>
      <c r="M1685" s="23">
        <f>YEAR(Таблица1[[#This Row],[Дата отчета]])</f>
        <v>2025</v>
      </c>
    </row>
    <row r="1686" spans="1:13" x14ac:dyDescent="0.25">
      <c r="A1686" t="s">
        <v>12</v>
      </c>
      <c r="B1686" t="s">
        <v>561</v>
      </c>
      <c r="C1686" t="s">
        <v>1543</v>
      </c>
      <c r="D1686" t="s">
        <v>1544</v>
      </c>
      <c r="E1686" t="s">
        <v>1798</v>
      </c>
      <c r="F1686" s="20">
        <v>2474.62</v>
      </c>
      <c r="I1686" s="11">
        <f t="shared" si="46"/>
        <v>45470</v>
      </c>
      <c r="J1686" s="12">
        <f t="shared" si="47"/>
        <v>461</v>
      </c>
      <c r="K1686" t="str">
        <f t="shared" si="45"/>
        <v>&gt;360</v>
      </c>
      <c r="L1686" s="11">
        <v>45931</v>
      </c>
      <c r="M1686" s="23">
        <f>YEAR(Таблица1[[#This Row],[Дата отчета]])</f>
        <v>2025</v>
      </c>
    </row>
    <row r="1687" spans="1:13" x14ac:dyDescent="0.25">
      <c r="A1687" t="s">
        <v>12</v>
      </c>
      <c r="B1687" t="s">
        <v>561</v>
      </c>
      <c r="C1687" t="s">
        <v>1545</v>
      </c>
      <c r="D1687" t="s">
        <v>566</v>
      </c>
      <c r="E1687" t="s">
        <v>204</v>
      </c>
      <c r="F1687" s="20">
        <v>995281.85</v>
      </c>
      <c r="I1687" s="11">
        <f t="shared" si="46"/>
        <v>45481</v>
      </c>
      <c r="J1687" s="12">
        <f t="shared" si="47"/>
        <v>450</v>
      </c>
      <c r="K1687" t="str">
        <f t="shared" si="45"/>
        <v>&gt;360</v>
      </c>
      <c r="L1687" s="11">
        <v>45931</v>
      </c>
      <c r="M1687" s="23">
        <f>YEAR(Таблица1[[#This Row],[Дата отчета]])</f>
        <v>2025</v>
      </c>
    </row>
    <row r="1688" spans="1:13" x14ac:dyDescent="0.25">
      <c r="A1688" t="s">
        <v>12</v>
      </c>
      <c r="B1688" t="s">
        <v>561</v>
      </c>
      <c r="C1688" t="s">
        <v>1546</v>
      </c>
      <c r="D1688" t="s">
        <v>1547</v>
      </c>
      <c r="E1688" t="s">
        <v>1255</v>
      </c>
      <c r="F1688" s="20">
        <v>318089.56</v>
      </c>
      <c r="I1688" s="11">
        <f t="shared" si="46"/>
        <v>45841</v>
      </c>
      <c r="J1688" s="12">
        <f t="shared" si="47"/>
        <v>90</v>
      </c>
      <c r="K1688" t="str">
        <f t="shared" si="45"/>
        <v>31-90</v>
      </c>
      <c r="L1688" s="11">
        <v>45931</v>
      </c>
      <c r="M1688" s="23">
        <f>YEAR(Таблица1[[#This Row],[Дата отчета]])</f>
        <v>2025</v>
      </c>
    </row>
    <row r="1689" spans="1:13" x14ac:dyDescent="0.25">
      <c r="A1689" t="s">
        <v>12</v>
      </c>
      <c r="B1689" t="s">
        <v>561</v>
      </c>
      <c r="C1689" t="s">
        <v>1548</v>
      </c>
      <c r="D1689" t="s">
        <v>1549</v>
      </c>
      <c r="E1689" t="s">
        <v>1799</v>
      </c>
      <c r="F1689" s="20">
        <v>2.4</v>
      </c>
      <c r="I1689" s="11">
        <f t="shared" si="46"/>
        <v>45478</v>
      </c>
      <c r="J1689" s="12">
        <f t="shared" si="47"/>
        <v>453</v>
      </c>
      <c r="K1689" t="str">
        <f t="shared" si="45"/>
        <v>&gt;360</v>
      </c>
      <c r="L1689" s="11">
        <v>45931</v>
      </c>
      <c r="M1689" s="23">
        <f>YEAR(Таблица1[[#This Row],[Дата отчета]])</f>
        <v>2025</v>
      </c>
    </row>
    <row r="1690" spans="1:13" x14ac:dyDescent="0.25">
      <c r="A1690" t="s">
        <v>12</v>
      </c>
      <c r="B1690" t="s">
        <v>561</v>
      </c>
      <c r="C1690" t="s">
        <v>1550</v>
      </c>
      <c r="D1690" t="s">
        <v>565</v>
      </c>
      <c r="E1690" t="s">
        <v>204</v>
      </c>
      <c r="F1690" s="20">
        <v>31.2</v>
      </c>
      <c r="I1690" s="11">
        <f t="shared" si="46"/>
        <v>45481</v>
      </c>
      <c r="J1690" s="12">
        <f t="shared" si="47"/>
        <v>450</v>
      </c>
      <c r="K1690" t="str">
        <f t="shared" si="45"/>
        <v>&gt;360</v>
      </c>
      <c r="L1690" s="11">
        <v>45931</v>
      </c>
      <c r="M1690" s="23">
        <f>YEAR(Таблица1[[#This Row],[Дата отчета]])</f>
        <v>2025</v>
      </c>
    </row>
    <row r="1691" spans="1:13" x14ac:dyDescent="0.25">
      <c r="A1691" t="s">
        <v>12</v>
      </c>
      <c r="B1691" t="s">
        <v>561</v>
      </c>
      <c r="C1691" t="s">
        <v>1551</v>
      </c>
      <c r="D1691" t="s">
        <v>1552</v>
      </c>
      <c r="E1691" t="s">
        <v>183</v>
      </c>
      <c r="F1691" s="20">
        <v>27963.83</v>
      </c>
      <c r="I1691" s="11">
        <f t="shared" si="46"/>
        <v>45817</v>
      </c>
      <c r="J1691" s="12">
        <f t="shared" si="47"/>
        <v>114</v>
      </c>
      <c r="K1691" t="str">
        <f t="shared" si="45"/>
        <v>91-120</v>
      </c>
      <c r="L1691" s="11">
        <v>45931</v>
      </c>
      <c r="M1691" s="23">
        <f>YEAR(Таблица1[[#This Row],[Дата отчета]])</f>
        <v>2025</v>
      </c>
    </row>
    <row r="1692" spans="1:13" x14ac:dyDescent="0.25">
      <c r="A1692" t="s">
        <v>12</v>
      </c>
      <c r="B1692" t="s">
        <v>561</v>
      </c>
      <c r="C1692" t="s">
        <v>1553</v>
      </c>
      <c r="D1692" t="s">
        <v>1554</v>
      </c>
      <c r="E1692" t="s">
        <v>1786</v>
      </c>
      <c r="F1692" s="20">
        <v>341731.34</v>
      </c>
      <c r="I1692" s="11">
        <f t="shared" si="46"/>
        <v>45832</v>
      </c>
      <c r="J1692" s="12">
        <f t="shared" si="47"/>
        <v>99</v>
      </c>
      <c r="K1692" t="str">
        <f t="shared" si="45"/>
        <v>91-120</v>
      </c>
      <c r="L1692" s="11">
        <v>45931</v>
      </c>
      <c r="M1692" s="23">
        <f>YEAR(Таблица1[[#This Row],[Дата отчета]])</f>
        <v>2025</v>
      </c>
    </row>
    <row r="1693" spans="1:13" x14ac:dyDescent="0.25">
      <c r="A1693" t="s">
        <v>12</v>
      </c>
      <c r="B1693" t="s">
        <v>561</v>
      </c>
      <c r="C1693" t="s">
        <v>1555</v>
      </c>
      <c r="D1693" t="s">
        <v>1556</v>
      </c>
      <c r="E1693" t="s">
        <v>1790</v>
      </c>
      <c r="F1693" s="20">
        <v>11481.41</v>
      </c>
      <c r="I1693" s="11">
        <f t="shared" si="46"/>
        <v>45828</v>
      </c>
      <c r="J1693" s="12">
        <f t="shared" si="47"/>
        <v>103</v>
      </c>
      <c r="K1693" t="str">
        <f t="shared" si="45"/>
        <v>91-120</v>
      </c>
      <c r="L1693" s="11">
        <v>45931</v>
      </c>
      <c r="M1693" s="23">
        <f>YEAR(Таблица1[[#This Row],[Дата отчета]])</f>
        <v>2025</v>
      </c>
    </row>
    <row r="1694" spans="1:13" x14ac:dyDescent="0.25">
      <c r="A1694" t="s">
        <v>12</v>
      </c>
      <c r="B1694" t="s">
        <v>561</v>
      </c>
      <c r="C1694" t="s">
        <v>1557</v>
      </c>
      <c r="D1694" t="s">
        <v>1558</v>
      </c>
      <c r="E1694" t="s">
        <v>146</v>
      </c>
      <c r="F1694" s="20">
        <v>115791.98</v>
      </c>
      <c r="I1694" s="11">
        <f t="shared" si="46"/>
        <v>45838</v>
      </c>
      <c r="J1694" s="12">
        <f t="shared" si="47"/>
        <v>93</v>
      </c>
      <c r="K1694" t="str">
        <f t="shared" si="45"/>
        <v>91-120</v>
      </c>
      <c r="L1694" s="11">
        <v>45931</v>
      </c>
      <c r="M1694" s="23">
        <f>YEAR(Таблица1[[#This Row],[Дата отчета]])</f>
        <v>2025</v>
      </c>
    </row>
    <row r="1695" spans="1:13" x14ac:dyDescent="0.25">
      <c r="A1695" t="s">
        <v>12</v>
      </c>
      <c r="B1695" t="s">
        <v>561</v>
      </c>
      <c r="C1695" t="s">
        <v>1559</v>
      </c>
      <c r="D1695" t="s">
        <v>567</v>
      </c>
      <c r="E1695" t="s">
        <v>568</v>
      </c>
      <c r="F1695" s="20">
        <v>395493.5</v>
      </c>
      <c r="I1695" s="11">
        <f t="shared" si="46"/>
        <v>45527</v>
      </c>
      <c r="J1695" s="12">
        <f t="shared" si="47"/>
        <v>404</v>
      </c>
      <c r="K1695" t="str">
        <f t="shared" si="45"/>
        <v>&gt;360</v>
      </c>
      <c r="L1695" s="11">
        <v>45931</v>
      </c>
      <c r="M1695" s="23">
        <f>YEAR(Таблица1[[#This Row],[Дата отчета]])</f>
        <v>2025</v>
      </c>
    </row>
    <row r="1696" spans="1:13" x14ac:dyDescent="0.25">
      <c r="A1696" t="s">
        <v>12</v>
      </c>
      <c r="B1696" t="s">
        <v>561</v>
      </c>
      <c r="C1696" t="s">
        <v>1560</v>
      </c>
      <c r="D1696" t="s">
        <v>1561</v>
      </c>
      <c r="E1696" t="s">
        <v>739</v>
      </c>
      <c r="F1696" s="20">
        <v>673.94</v>
      </c>
      <c r="I1696" s="11">
        <f t="shared" si="46"/>
        <v>45839</v>
      </c>
      <c r="J1696" s="12">
        <f t="shared" si="47"/>
        <v>92</v>
      </c>
      <c r="K1696" t="str">
        <f t="shared" si="45"/>
        <v>91-120</v>
      </c>
      <c r="L1696" s="11">
        <v>45931</v>
      </c>
      <c r="M1696" s="23">
        <f>YEAR(Таблица1[[#This Row],[Дата отчета]])</f>
        <v>2025</v>
      </c>
    </row>
    <row r="1697" spans="1:13" x14ac:dyDescent="0.25">
      <c r="A1697" t="s">
        <v>12</v>
      </c>
      <c r="B1697" t="s">
        <v>561</v>
      </c>
      <c r="C1697" t="s">
        <v>1562</v>
      </c>
      <c r="D1697" t="s">
        <v>1563</v>
      </c>
      <c r="E1697" t="s">
        <v>1800</v>
      </c>
      <c r="F1697" s="20">
        <v>13920</v>
      </c>
      <c r="I1697" s="11">
        <f t="shared" si="46"/>
        <v>45512</v>
      </c>
      <c r="J1697" s="12">
        <f t="shared" si="47"/>
        <v>419</v>
      </c>
      <c r="K1697" t="str">
        <f t="shared" si="45"/>
        <v>&gt;360</v>
      </c>
      <c r="L1697" s="11">
        <v>45931</v>
      </c>
      <c r="M1697" s="23">
        <f>YEAR(Таблица1[[#This Row],[Дата отчета]])</f>
        <v>2025</v>
      </c>
    </row>
    <row r="1698" spans="1:13" x14ac:dyDescent="0.25">
      <c r="A1698" t="s">
        <v>12</v>
      </c>
      <c r="B1698" t="s">
        <v>561</v>
      </c>
      <c r="C1698" t="s">
        <v>1564</v>
      </c>
      <c r="D1698" t="s">
        <v>1565</v>
      </c>
      <c r="E1698" t="s">
        <v>1086</v>
      </c>
      <c r="F1698" s="20">
        <v>71248.039999999994</v>
      </c>
      <c r="I1698" s="11">
        <f t="shared" si="46"/>
        <v>45847</v>
      </c>
      <c r="J1698" s="12">
        <f t="shared" si="47"/>
        <v>84</v>
      </c>
      <c r="K1698" t="str">
        <f t="shared" si="45"/>
        <v>31-90</v>
      </c>
      <c r="L1698" s="11">
        <v>45931</v>
      </c>
      <c r="M1698" s="23">
        <f>YEAR(Таблица1[[#This Row],[Дата отчета]])</f>
        <v>2025</v>
      </c>
    </row>
    <row r="1699" spans="1:13" x14ac:dyDescent="0.25">
      <c r="A1699" t="s">
        <v>12</v>
      </c>
      <c r="B1699" t="s">
        <v>561</v>
      </c>
      <c r="C1699" t="s">
        <v>1566</v>
      </c>
      <c r="D1699" t="s">
        <v>1567</v>
      </c>
      <c r="E1699" t="s">
        <v>1801</v>
      </c>
      <c r="F1699" s="20">
        <v>355885.99</v>
      </c>
      <c r="I1699" s="11">
        <f t="shared" si="46"/>
        <v>45524</v>
      </c>
      <c r="J1699" s="12">
        <f t="shared" si="47"/>
        <v>407</v>
      </c>
      <c r="K1699" t="str">
        <f t="shared" si="45"/>
        <v>&gt;360</v>
      </c>
      <c r="L1699" s="11">
        <v>45931</v>
      </c>
      <c r="M1699" s="23">
        <f>YEAR(Таблица1[[#This Row],[Дата отчета]])</f>
        <v>2025</v>
      </c>
    </row>
    <row r="1700" spans="1:13" x14ac:dyDescent="0.25">
      <c r="A1700" t="s">
        <v>12</v>
      </c>
      <c r="B1700" t="s">
        <v>561</v>
      </c>
      <c r="C1700" t="s">
        <v>1568</v>
      </c>
      <c r="D1700" t="s">
        <v>1569</v>
      </c>
      <c r="E1700" t="s">
        <v>1802</v>
      </c>
      <c r="F1700" s="20">
        <v>21441.599999999999</v>
      </c>
      <c r="I1700" s="11">
        <f t="shared" si="46"/>
        <v>45531</v>
      </c>
      <c r="J1700" s="12">
        <f t="shared" si="47"/>
        <v>400</v>
      </c>
      <c r="K1700" t="str">
        <f t="shared" si="45"/>
        <v>&gt;360</v>
      </c>
      <c r="L1700" s="11">
        <v>45931</v>
      </c>
      <c r="M1700" s="23">
        <f>YEAR(Таблица1[[#This Row],[Дата отчета]])</f>
        <v>2025</v>
      </c>
    </row>
    <row r="1701" spans="1:13" x14ac:dyDescent="0.25">
      <c r="A1701" t="s">
        <v>12</v>
      </c>
      <c r="B1701" t="s">
        <v>561</v>
      </c>
      <c r="C1701" t="s">
        <v>1570</v>
      </c>
      <c r="D1701" t="s">
        <v>1571</v>
      </c>
      <c r="E1701" t="s">
        <v>734</v>
      </c>
      <c r="F1701" s="20">
        <v>121190.09</v>
      </c>
      <c r="I1701" s="11">
        <f t="shared" si="46"/>
        <v>45541</v>
      </c>
      <c r="J1701" s="12">
        <f t="shared" si="47"/>
        <v>390</v>
      </c>
      <c r="K1701" t="str">
        <f t="shared" si="45"/>
        <v>&gt;360</v>
      </c>
      <c r="L1701" s="11">
        <v>45931</v>
      </c>
      <c r="M1701" s="23">
        <f>YEAR(Таблица1[[#This Row],[Дата отчета]])</f>
        <v>2025</v>
      </c>
    </row>
    <row r="1702" spans="1:13" x14ac:dyDescent="0.25">
      <c r="A1702" t="s">
        <v>12</v>
      </c>
      <c r="B1702" t="s">
        <v>561</v>
      </c>
      <c r="C1702" t="s">
        <v>1572</v>
      </c>
      <c r="D1702" t="s">
        <v>1573</v>
      </c>
      <c r="E1702" t="s">
        <v>1781</v>
      </c>
      <c r="F1702" s="20">
        <v>24644.9</v>
      </c>
      <c r="I1702" s="11">
        <f t="shared" si="46"/>
        <v>45902</v>
      </c>
      <c r="J1702" s="12">
        <f t="shared" si="47"/>
        <v>29</v>
      </c>
      <c r="K1702" t="str">
        <f t="shared" si="45"/>
        <v>0-30</v>
      </c>
      <c r="L1702" s="11">
        <v>45931</v>
      </c>
      <c r="M1702" s="23">
        <f>YEAR(Таблица1[[#This Row],[Дата отчета]])</f>
        <v>2025</v>
      </c>
    </row>
    <row r="1703" spans="1:13" x14ac:dyDescent="0.25">
      <c r="A1703" t="s">
        <v>12</v>
      </c>
      <c r="B1703" t="s">
        <v>561</v>
      </c>
      <c r="C1703" t="s">
        <v>1574</v>
      </c>
      <c r="D1703" t="s">
        <v>1575</v>
      </c>
      <c r="E1703" t="s">
        <v>195</v>
      </c>
      <c r="F1703" s="20">
        <v>3394486.59</v>
      </c>
      <c r="I1703" s="11">
        <f t="shared" si="46"/>
        <v>45916</v>
      </c>
      <c r="J1703" s="12">
        <f t="shared" si="47"/>
        <v>15</v>
      </c>
      <c r="K1703" t="str">
        <f t="shared" si="45"/>
        <v>0-30</v>
      </c>
      <c r="L1703" s="11">
        <v>45931</v>
      </c>
      <c r="M1703" s="23">
        <f>YEAR(Таблица1[[#This Row],[Дата отчета]])</f>
        <v>2025</v>
      </c>
    </row>
    <row r="1704" spans="1:13" x14ac:dyDescent="0.25">
      <c r="A1704" t="s">
        <v>12</v>
      </c>
      <c r="B1704" t="s">
        <v>561</v>
      </c>
      <c r="C1704" t="s">
        <v>1576</v>
      </c>
      <c r="D1704" t="s">
        <v>1577</v>
      </c>
      <c r="E1704" t="s">
        <v>821</v>
      </c>
      <c r="F1704" s="20">
        <v>1342.38</v>
      </c>
      <c r="I1704" s="11">
        <f t="shared" si="46"/>
        <v>45924</v>
      </c>
      <c r="J1704" s="12">
        <f t="shared" si="47"/>
        <v>7</v>
      </c>
      <c r="K1704" t="str">
        <f t="shared" si="45"/>
        <v>0-30</v>
      </c>
      <c r="L1704" s="11">
        <v>45931</v>
      </c>
      <c r="M1704" s="23">
        <f>YEAR(Таблица1[[#This Row],[Дата отчета]])</f>
        <v>2025</v>
      </c>
    </row>
    <row r="1705" spans="1:13" x14ac:dyDescent="0.25">
      <c r="A1705" t="s">
        <v>12</v>
      </c>
      <c r="B1705" t="s">
        <v>561</v>
      </c>
      <c r="C1705" t="s">
        <v>1578</v>
      </c>
      <c r="D1705" t="s">
        <v>1579</v>
      </c>
      <c r="E1705" t="s">
        <v>1781</v>
      </c>
      <c r="F1705" s="20">
        <v>448315.47</v>
      </c>
      <c r="I1705" s="11">
        <f t="shared" si="46"/>
        <v>45902</v>
      </c>
      <c r="J1705" s="12">
        <f t="shared" si="47"/>
        <v>29</v>
      </c>
      <c r="K1705" t="str">
        <f t="shared" si="45"/>
        <v>0-30</v>
      </c>
      <c r="L1705" s="11">
        <v>45931</v>
      </c>
      <c r="M1705" s="23">
        <f>YEAR(Таблица1[[#This Row],[Дата отчета]])</f>
        <v>2025</v>
      </c>
    </row>
    <row r="1706" spans="1:13" x14ac:dyDescent="0.25">
      <c r="A1706" t="s">
        <v>12</v>
      </c>
      <c r="B1706" t="s">
        <v>561</v>
      </c>
      <c r="C1706" t="s">
        <v>1580</v>
      </c>
      <c r="D1706" t="s">
        <v>1581</v>
      </c>
      <c r="E1706" t="s">
        <v>100</v>
      </c>
      <c r="F1706" s="20">
        <v>2809058.6</v>
      </c>
      <c r="I1706" s="11">
        <f t="shared" si="46"/>
        <v>45905</v>
      </c>
      <c r="J1706" s="12">
        <f t="shared" si="47"/>
        <v>26</v>
      </c>
      <c r="K1706" t="str">
        <f t="shared" si="45"/>
        <v>0-30</v>
      </c>
      <c r="L1706" s="11">
        <v>45931</v>
      </c>
      <c r="M1706" s="23">
        <f>YEAR(Таблица1[[#This Row],[Дата отчета]])</f>
        <v>2025</v>
      </c>
    </row>
    <row r="1707" spans="1:13" x14ac:dyDescent="0.25">
      <c r="A1707" t="s">
        <v>12</v>
      </c>
      <c r="B1707" t="s">
        <v>561</v>
      </c>
      <c r="C1707" t="s">
        <v>1582</v>
      </c>
      <c r="D1707" t="s">
        <v>1583</v>
      </c>
      <c r="E1707" t="s">
        <v>1167</v>
      </c>
      <c r="F1707" s="20">
        <v>10340.5</v>
      </c>
      <c r="I1707" s="11">
        <f t="shared" si="46"/>
        <v>45908</v>
      </c>
      <c r="J1707" s="12">
        <f t="shared" si="47"/>
        <v>23</v>
      </c>
      <c r="K1707" t="str">
        <f t="shared" si="45"/>
        <v>0-30</v>
      </c>
      <c r="L1707" s="11">
        <v>45931</v>
      </c>
      <c r="M1707" s="23">
        <f>YEAR(Таблица1[[#This Row],[Дата отчета]])</f>
        <v>2025</v>
      </c>
    </row>
    <row r="1708" spans="1:13" x14ac:dyDescent="0.25">
      <c r="A1708" t="s">
        <v>12</v>
      </c>
      <c r="B1708" t="s">
        <v>561</v>
      </c>
      <c r="C1708" t="s">
        <v>1584</v>
      </c>
      <c r="D1708" t="s">
        <v>1585</v>
      </c>
      <c r="E1708" t="s">
        <v>195</v>
      </c>
      <c r="F1708" s="20">
        <v>16736.59</v>
      </c>
      <c r="I1708" s="11">
        <f t="shared" si="46"/>
        <v>45916</v>
      </c>
      <c r="J1708" s="12">
        <f t="shared" si="47"/>
        <v>15</v>
      </c>
      <c r="K1708" t="str">
        <f t="shared" si="45"/>
        <v>0-30</v>
      </c>
      <c r="L1708" s="11">
        <v>45931</v>
      </c>
      <c r="M1708" s="23">
        <f>YEAR(Таблица1[[#This Row],[Дата отчета]])</f>
        <v>2025</v>
      </c>
    </row>
    <row r="1709" spans="1:13" x14ac:dyDescent="0.25">
      <c r="A1709" t="s">
        <v>12</v>
      </c>
      <c r="B1709" t="s">
        <v>561</v>
      </c>
      <c r="C1709" t="s">
        <v>1586</v>
      </c>
      <c r="D1709" t="s">
        <v>1587</v>
      </c>
      <c r="E1709" t="s">
        <v>1769</v>
      </c>
      <c r="F1709" s="20">
        <v>16629.939999999999</v>
      </c>
      <c r="I1709" s="11">
        <f t="shared" si="46"/>
        <v>45923</v>
      </c>
      <c r="J1709" s="12">
        <f t="shared" si="47"/>
        <v>8</v>
      </c>
      <c r="K1709" t="str">
        <f t="shared" si="45"/>
        <v>0-30</v>
      </c>
      <c r="L1709" s="11">
        <v>45931</v>
      </c>
      <c r="M1709" s="23">
        <f>YEAR(Таблица1[[#This Row],[Дата отчета]])</f>
        <v>2025</v>
      </c>
    </row>
    <row r="1710" spans="1:13" x14ac:dyDescent="0.25">
      <c r="A1710" t="s">
        <v>12</v>
      </c>
      <c r="B1710" t="s">
        <v>561</v>
      </c>
      <c r="C1710" t="s">
        <v>1588</v>
      </c>
      <c r="D1710" t="s">
        <v>1589</v>
      </c>
      <c r="E1710" t="s">
        <v>215</v>
      </c>
      <c r="F1710" s="20">
        <v>1929755.32</v>
      </c>
      <c r="I1710" s="11">
        <f t="shared" si="46"/>
        <v>45929</v>
      </c>
      <c r="J1710" s="12">
        <f t="shared" si="47"/>
        <v>2</v>
      </c>
      <c r="K1710" t="str">
        <f t="shared" si="45"/>
        <v>0-30</v>
      </c>
      <c r="L1710" s="11">
        <v>45931</v>
      </c>
      <c r="M1710" s="23">
        <f>YEAR(Таблица1[[#This Row],[Дата отчета]])</f>
        <v>2025</v>
      </c>
    </row>
    <row r="1711" spans="1:13" x14ac:dyDescent="0.25">
      <c r="A1711" t="s">
        <v>12</v>
      </c>
      <c r="B1711" t="s">
        <v>561</v>
      </c>
      <c r="C1711" t="s">
        <v>1590</v>
      </c>
      <c r="D1711" t="s">
        <v>1591</v>
      </c>
      <c r="E1711" t="s">
        <v>1207</v>
      </c>
      <c r="F1711" s="20">
        <v>1958397.91</v>
      </c>
      <c r="I1711" s="11">
        <f t="shared" si="46"/>
        <v>45926</v>
      </c>
      <c r="J1711" s="12">
        <f t="shared" si="47"/>
        <v>5</v>
      </c>
      <c r="K1711" t="str">
        <f t="shared" si="45"/>
        <v>0-30</v>
      </c>
      <c r="L1711" s="11">
        <v>45931</v>
      </c>
      <c r="M1711" s="23">
        <f>YEAR(Таблица1[[#This Row],[Дата отчета]])</f>
        <v>2025</v>
      </c>
    </row>
    <row r="1712" spans="1:13" x14ac:dyDescent="0.25">
      <c r="A1712" t="s">
        <v>12</v>
      </c>
      <c r="B1712" t="s">
        <v>561</v>
      </c>
      <c r="C1712" t="s">
        <v>1592</v>
      </c>
      <c r="D1712" t="s">
        <v>1593</v>
      </c>
      <c r="E1712" t="s">
        <v>841</v>
      </c>
      <c r="F1712" s="20">
        <v>2234381.46</v>
      </c>
      <c r="I1712" s="11">
        <f t="shared" si="46"/>
        <v>45925</v>
      </c>
      <c r="J1712" s="12">
        <f t="shared" si="47"/>
        <v>6</v>
      </c>
      <c r="K1712" t="str">
        <f t="shared" si="45"/>
        <v>0-30</v>
      </c>
      <c r="L1712" s="11">
        <v>45931</v>
      </c>
      <c r="M1712" s="23">
        <f>YEAR(Таблица1[[#This Row],[Дата отчета]])</f>
        <v>2025</v>
      </c>
    </row>
    <row r="1713" spans="1:13" x14ac:dyDescent="0.25">
      <c r="A1713" t="s">
        <v>12</v>
      </c>
      <c r="B1713" t="s">
        <v>561</v>
      </c>
      <c r="C1713" t="s">
        <v>1594</v>
      </c>
      <c r="D1713" t="s">
        <v>1595</v>
      </c>
      <c r="E1713" t="s">
        <v>1207</v>
      </c>
      <c r="F1713" s="20">
        <v>2780806.06</v>
      </c>
      <c r="I1713" s="11">
        <f t="shared" si="46"/>
        <v>45926</v>
      </c>
      <c r="J1713" s="12">
        <f t="shared" si="47"/>
        <v>5</v>
      </c>
      <c r="K1713" t="str">
        <f t="shared" si="45"/>
        <v>0-30</v>
      </c>
      <c r="L1713" s="11">
        <v>45931</v>
      </c>
      <c r="M1713" s="23">
        <f>YEAR(Таблица1[[#This Row],[Дата отчета]])</f>
        <v>2025</v>
      </c>
    </row>
    <row r="1714" spans="1:13" x14ac:dyDescent="0.25">
      <c r="A1714" t="s">
        <v>12</v>
      </c>
      <c r="B1714" t="s">
        <v>561</v>
      </c>
      <c r="C1714" t="s">
        <v>1596</v>
      </c>
      <c r="D1714" t="s">
        <v>1597</v>
      </c>
      <c r="E1714" t="s">
        <v>215</v>
      </c>
      <c r="F1714" s="20">
        <v>2721499.71</v>
      </c>
      <c r="I1714" s="11">
        <f t="shared" si="46"/>
        <v>45929</v>
      </c>
      <c r="J1714" s="12">
        <f t="shared" si="47"/>
        <v>2</v>
      </c>
      <c r="K1714" t="str">
        <f t="shared" si="45"/>
        <v>0-30</v>
      </c>
      <c r="L1714" s="11">
        <v>45931</v>
      </c>
      <c r="M1714" s="23">
        <f>YEAR(Таблица1[[#This Row],[Дата отчета]])</f>
        <v>2025</v>
      </c>
    </row>
    <row r="1715" spans="1:13" x14ac:dyDescent="0.25">
      <c r="A1715" t="s">
        <v>12</v>
      </c>
      <c r="B1715" t="s">
        <v>561</v>
      </c>
      <c r="C1715" t="s">
        <v>1598</v>
      </c>
      <c r="D1715" t="s">
        <v>1599</v>
      </c>
      <c r="E1715" t="s">
        <v>841</v>
      </c>
      <c r="F1715" s="20">
        <v>200051.52</v>
      </c>
      <c r="I1715" s="11">
        <f t="shared" si="46"/>
        <v>45925</v>
      </c>
      <c r="J1715" s="12">
        <f t="shared" si="47"/>
        <v>6</v>
      </c>
      <c r="K1715" t="str">
        <f t="shared" si="45"/>
        <v>0-30</v>
      </c>
      <c r="L1715" s="11">
        <v>45931</v>
      </c>
      <c r="M1715" s="23">
        <f>YEAR(Таблица1[[#This Row],[Дата отчета]])</f>
        <v>2025</v>
      </c>
    </row>
    <row r="1716" spans="1:13" x14ac:dyDescent="0.25">
      <c r="A1716" t="s">
        <v>12</v>
      </c>
      <c r="B1716" t="s">
        <v>561</v>
      </c>
      <c r="C1716" t="s">
        <v>1600</v>
      </c>
      <c r="D1716" t="s">
        <v>1601</v>
      </c>
      <c r="E1716" t="s">
        <v>1803</v>
      </c>
      <c r="F1716" s="20">
        <v>3399271.54</v>
      </c>
      <c r="I1716" s="11">
        <f t="shared" si="46"/>
        <v>45673</v>
      </c>
      <c r="J1716" s="12">
        <f t="shared" si="47"/>
        <v>258</v>
      </c>
      <c r="K1716" t="str">
        <f t="shared" si="45"/>
        <v>181-270</v>
      </c>
      <c r="L1716" s="11">
        <v>45931</v>
      </c>
      <c r="M1716" s="23">
        <f>YEAR(Таблица1[[#This Row],[Дата отчета]])</f>
        <v>2025</v>
      </c>
    </row>
    <row r="1717" spans="1:13" x14ac:dyDescent="0.25">
      <c r="A1717" t="s">
        <v>12</v>
      </c>
      <c r="B1717" t="s">
        <v>1602</v>
      </c>
      <c r="C1717" t="s">
        <v>1603</v>
      </c>
      <c r="D1717" t="s">
        <v>1604</v>
      </c>
      <c r="E1717" t="s">
        <v>1167</v>
      </c>
      <c r="F1717" s="20">
        <v>52000</v>
      </c>
      <c r="I1717" s="11">
        <f t="shared" si="46"/>
        <v>45908</v>
      </c>
      <c r="J1717" s="12">
        <f t="shared" si="47"/>
        <v>23</v>
      </c>
      <c r="K1717" t="str">
        <f t="shared" si="45"/>
        <v>0-30</v>
      </c>
      <c r="L1717" s="11">
        <v>45931</v>
      </c>
      <c r="M1717" s="23">
        <f>YEAR(Таблица1[[#This Row],[Дата отчета]])</f>
        <v>2025</v>
      </c>
    </row>
    <row r="1718" spans="1:13" x14ac:dyDescent="0.25">
      <c r="A1718" t="s">
        <v>12</v>
      </c>
      <c r="B1718" t="s">
        <v>589</v>
      </c>
      <c r="C1718" t="s">
        <v>590</v>
      </c>
      <c r="D1718" t="s">
        <v>1248</v>
      </c>
      <c r="E1718" t="s">
        <v>606</v>
      </c>
      <c r="F1718" s="20">
        <v>1912.02</v>
      </c>
      <c r="I1718" s="11">
        <f t="shared" si="46"/>
        <v>45873</v>
      </c>
      <c r="J1718" s="12">
        <f t="shared" si="47"/>
        <v>58</v>
      </c>
      <c r="K1718" t="str">
        <f t="shared" si="45"/>
        <v>31-90</v>
      </c>
      <c r="L1718" s="11">
        <v>45931</v>
      </c>
      <c r="M1718" s="23">
        <f>YEAR(Таблица1[[#This Row],[Дата отчета]])</f>
        <v>2025</v>
      </c>
    </row>
    <row r="1719" spans="1:13" x14ac:dyDescent="0.25">
      <c r="A1719" t="s">
        <v>12</v>
      </c>
      <c r="B1719" t="s">
        <v>589</v>
      </c>
      <c r="C1719" t="s">
        <v>594</v>
      </c>
      <c r="D1719" t="s">
        <v>1605</v>
      </c>
      <c r="E1719" t="s">
        <v>606</v>
      </c>
      <c r="F1719" s="20">
        <v>1460.14</v>
      </c>
      <c r="I1719" s="11">
        <f t="shared" si="46"/>
        <v>45873</v>
      </c>
      <c r="J1719" s="12">
        <f t="shared" si="47"/>
        <v>58</v>
      </c>
      <c r="K1719" t="str">
        <f t="shared" si="45"/>
        <v>31-90</v>
      </c>
      <c r="L1719" s="11">
        <v>45931</v>
      </c>
      <c r="M1719" s="23">
        <f>YEAR(Таблица1[[#This Row],[Дата отчета]])</f>
        <v>2025</v>
      </c>
    </row>
    <row r="1720" spans="1:13" x14ac:dyDescent="0.25">
      <c r="A1720" t="s">
        <v>12</v>
      </c>
      <c r="B1720" t="s">
        <v>589</v>
      </c>
      <c r="C1720" t="s">
        <v>596</v>
      </c>
      <c r="D1720" t="s">
        <v>1606</v>
      </c>
      <c r="E1720" t="s">
        <v>520</v>
      </c>
      <c r="F1720" s="20">
        <v>405.65</v>
      </c>
      <c r="I1720" s="11">
        <f t="shared" si="46"/>
        <v>45811</v>
      </c>
      <c r="J1720" s="12">
        <f t="shared" si="47"/>
        <v>120</v>
      </c>
      <c r="K1720" t="str">
        <f t="shared" si="45"/>
        <v>91-120</v>
      </c>
      <c r="L1720" s="11">
        <v>45931</v>
      </c>
      <c r="M1720" s="23">
        <f>YEAR(Таблица1[[#This Row],[Дата отчета]])</f>
        <v>2025</v>
      </c>
    </row>
    <row r="1721" spans="1:13" x14ac:dyDescent="0.25">
      <c r="A1721" t="s">
        <v>12</v>
      </c>
      <c r="B1721" t="s">
        <v>589</v>
      </c>
      <c r="C1721" t="s">
        <v>596</v>
      </c>
      <c r="D1721" t="s">
        <v>1184</v>
      </c>
      <c r="E1721" t="s">
        <v>606</v>
      </c>
      <c r="F1721" s="20">
        <v>15000</v>
      </c>
      <c r="I1721" s="11">
        <f t="shared" si="46"/>
        <v>45873</v>
      </c>
      <c r="J1721" s="12">
        <f t="shared" si="47"/>
        <v>58</v>
      </c>
      <c r="K1721" t="str">
        <f t="shared" si="45"/>
        <v>31-90</v>
      </c>
      <c r="L1721" s="11">
        <v>45931</v>
      </c>
      <c r="M1721" s="23">
        <f>YEAR(Таблица1[[#This Row],[Дата отчета]])</f>
        <v>2025</v>
      </c>
    </row>
    <row r="1722" spans="1:13" x14ac:dyDescent="0.25">
      <c r="A1722" t="s">
        <v>12</v>
      </c>
      <c r="B1722" t="s">
        <v>589</v>
      </c>
      <c r="C1722" t="s">
        <v>598</v>
      </c>
      <c r="D1722" t="s">
        <v>599</v>
      </c>
      <c r="E1722" t="s">
        <v>600</v>
      </c>
      <c r="F1722" s="20">
        <v>45.91</v>
      </c>
      <c r="I1722" s="11">
        <f t="shared" si="46"/>
        <v>43560</v>
      </c>
      <c r="J1722" s="12">
        <f t="shared" si="47"/>
        <v>2371</v>
      </c>
      <c r="K1722" t="str">
        <f t="shared" si="45"/>
        <v>&gt;360</v>
      </c>
      <c r="L1722" s="11">
        <v>45931</v>
      </c>
      <c r="M1722" s="23">
        <f>YEAR(Таблица1[[#This Row],[Дата отчета]])</f>
        <v>2025</v>
      </c>
    </row>
    <row r="1723" spans="1:13" x14ac:dyDescent="0.25">
      <c r="A1723" t="s">
        <v>12</v>
      </c>
      <c r="B1723" t="s">
        <v>589</v>
      </c>
      <c r="C1723" t="s">
        <v>601</v>
      </c>
      <c r="D1723" t="s">
        <v>1607</v>
      </c>
      <c r="E1723" t="s">
        <v>123</v>
      </c>
      <c r="F1723" s="20">
        <v>12.16</v>
      </c>
      <c r="I1723" s="11">
        <f t="shared" si="46"/>
        <v>45782</v>
      </c>
      <c r="J1723" s="12">
        <f t="shared" si="47"/>
        <v>149</v>
      </c>
      <c r="K1723" t="str">
        <f t="shared" si="45"/>
        <v>121-180</v>
      </c>
      <c r="L1723" s="11">
        <v>45931</v>
      </c>
      <c r="M1723" s="23">
        <f>YEAR(Таблица1[[#This Row],[Дата отчета]])</f>
        <v>2025</v>
      </c>
    </row>
    <row r="1724" spans="1:13" x14ac:dyDescent="0.25">
      <c r="A1724" t="s">
        <v>12</v>
      </c>
      <c r="B1724" t="s">
        <v>589</v>
      </c>
      <c r="C1724" t="s">
        <v>601</v>
      </c>
      <c r="D1724" t="s">
        <v>1608</v>
      </c>
      <c r="E1724" t="s">
        <v>606</v>
      </c>
      <c r="F1724" s="20">
        <v>3000</v>
      </c>
      <c r="I1724" s="11">
        <f t="shared" si="46"/>
        <v>45873</v>
      </c>
      <c r="J1724" s="12">
        <f t="shared" si="47"/>
        <v>58</v>
      </c>
      <c r="K1724" t="str">
        <f t="shared" si="45"/>
        <v>31-90</v>
      </c>
      <c r="L1724" s="11">
        <v>45931</v>
      </c>
      <c r="M1724" s="23">
        <f>YEAR(Таблица1[[#This Row],[Дата отчета]])</f>
        <v>2025</v>
      </c>
    </row>
    <row r="1725" spans="1:13" x14ac:dyDescent="0.25">
      <c r="A1725" t="s">
        <v>12</v>
      </c>
      <c r="B1725" t="s">
        <v>589</v>
      </c>
      <c r="C1725" t="s">
        <v>604</v>
      </c>
      <c r="D1725" t="s">
        <v>1609</v>
      </c>
      <c r="E1725" t="s">
        <v>1804</v>
      </c>
      <c r="F1725" s="20">
        <v>42.63</v>
      </c>
      <c r="I1725" s="11">
        <f t="shared" si="46"/>
        <v>45477</v>
      </c>
      <c r="J1725" s="12">
        <f t="shared" si="47"/>
        <v>454</v>
      </c>
      <c r="K1725" t="str">
        <f t="shared" si="45"/>
        <v>&gt;360</v>
      </c>
      <c r="L1725" s="11">
        <v>45931</v>
      </c>
      <c r="M1725" s="23">
        <f>YEAR(Таблица1[[#This Row],[Дата отчета]])</f>
        <v>2025</v>
      </c>
    </row>
    <row r="1726" spans="1:13" x14ac:dyDescent="0.25">
      <c r="A1726" t="s">
        <v>12</v>
      </c>
      <c r="B1726" t="s">
        <v>589</v>
      </c>
      <c r="C1726" t="s">
        <v>604</v>
      </c>
      <c r="D1726" t="s">
        <v>605</v>
      </c>
      <c r="E1726" t="s">
        <v>606</v>
      </c>
      <c r="F1726" s="20">
        <v>500</v>
      </c>
      <c r="I1726" s="11">
        <f t="shared" si="46"/>
        <v>45873</v>
      </c>
      <c r="J1726" s="12">
        <f t="shared" si="47"/>
        <v>58</v>
      </c>
      <c r="K1726" t="str">
        <f t="shared" si="45"/>
        <v>31-90</v>
      </c>
      <c r="L1726" s="11">
        <v>45931</v>
      </c>
      <c r="M1726" s="23">
        <f>YEAR(Таблица1[[#This Row],[Дата отчета]])</f>
        <v>2025</v>
      </c>
    </row>
    <row r="1727" spans="1:13" x14ac:dyDescent="0.25">
      <c r="A1727" t="s">
        <v>12</v>
      </c>
      <c r="B1727" t="s">
        <v>589</v>
      </c>
      <c r="C1727" t="s">
        <v>607</v>
      </c>
      <c r="D1727" t="s">
        <v>608</v>
      </c>
      <c r="E1727" t="s">
        <v>609</v>
      </c>
      <c r="F1727" s="20">
        <v>771.25</v>
      </c>
      <c r="I1727" s="11">
        <f t="shared" si="46"/>
        <v>45233</v>
      </c>
      <c r="J1727" s="12">
        <f t="shared" si="47"/>
        <v>698</v>
      </c>
      <c r="K1727" t="str">
        <f t="shared" ref="K1727:K1790" si="48">IF(J1727&lt;=30,"0-30",IF(J1727&lt;=90,"31-90",IF(J1727&lt;=120,"91-120",IF(J1727&lt;=180,"121-180",IF(J1727&lt;=270,"181-270",IF(J1727&lt;=360,"271-360","&gt;360"))))))</f>
        <v>&gt;360</v>
      </c>
      <c r="L1727" s="11">
        <v>45931</v>
      </c>
      <c r="M1727" s="23">
        <f>YEAR(Таблица1[[#This Row],[Дата отчета]])</f>
        <v>2025</v>
      </c>
    </row>
    <row r="1728" spans="1:13" x14ac:dyDescent="0.25">
      <c r="A1728" t="s">
        <v>12</v>
      </c>
      <c r="B1728" t="s">
        <v>589</v>
      </c>
      <c r="C1728" t="s">
        <v>607</v>
      </c>
      <c r="D1728" t="s">
        <v>610</v>
      </c>
      <c r="E1728" t="s">
        <v>611</v>
      </c>
      <c r="F1728" s="20">
        <v>500</v>
      </c>
      <c r="I1728" s="11">
        <f t="shared" si="46"/>
        <v>45335</v>
      </c>
      <c r="J1728" s="12">
        <f t="shared" si="47"/>
        <v>596</v>
      </c>
      <c r="K1728" t="str">
        <f t="shared" si="48"/>
        <v>&gt;360</v>
      </c>
      <c r="L1728" s="11">
        <v>45931</v>
      </c>
      <c r="M1728" s="23">
        <f>YEAR(Таблица1[[#This Row],[Дата отчета]])</f>
        <v>2025</v>
      </c>
    </row>
    <row r="1729" spans="1:13" x14ac:dyDescent="0.25">
      <c r="A1729" t="s">
        <v>12</v>
      </c>
      <c r="B1729" t="s">
        <v>589</v>
      </c>
      <c r="C1729" t="s">
        <v>612</v>
      </c>
      <c r="D1729" t="s">
        <v>1610</v>
      </c>
      <c r="E1729" t="s">
        <v>123</v>
      </c>
      <c r="F1729" s="20">
        <v>920.72</v>
      </c>
      <c r="I1729" s="11">
        <f t="shared" si="46"/>
        <v>45782</v>
      </c>
      <c r="J1729" s="12">
        <f t="shared" si="47"/>
        <v>149</v>
      </c>
      <c r="K1729" t="str">
        <f t="shared" si="48"/>
        <v>121-180</v>
      </c>
      <c r="L1729" s="11">
        <v>45931</v>
      </c>
      <c r="M1729" s="23">
        <f>YEAR(Таблица1[[#This Row],[Дата отчета]])</f>
        <v>2025</v>
      </c>
    </row>
    <row r="1730" spans="1:13" x14ac:dyDescent="0.25">
      <c r="A1730" t="s">
        <v>12</v>
      </c>
      <c r="B1730" t="s">
        <v>589</v>
      </c>
      <c r="C1730" t="s">
        <v>612</v>
      </c>
      <c r="D1730" t="s">
        <v>1611</v>
      </c>
      <c r="E1730" t="s">
        <v>606</v>
      </c>
      <c r="F1730" s="20">
        <v>2000</v>
      </c>
      <c r="I1730" s="11">
        <f t="shared" si="46"/>
        <v>45873</v>
      </c>
      <c r="J1730" s="12">
        <f t="shared" si="47"/>
        <v>58</v>
      </c>
      <c r="K1730" t="str">
        <f t="shared" si="48"/>
        <v>31-90</v>
      </c>
      <c r="L1730" s="11">
        <v>45931</v>
      </c>
      <c r="M1730" s="23">
        <f>YEAR(Таблица1[[#This Row],[Дата отчета]])</f>
        <v>2025</v>
      </c>
    </row>
    <row r="1731" spans="1:13" x14ac:dyDescent="0.25">
      <c r="A1731" t="s">
        <v>12</v>
      </c>
      <c r="B1731" t="s">
        <v>589</v>
      </c>
      <c r="C1731" t="s">
        <v>615</v>
      </c>
      <c r="D1731" t="s">
        <v>616</v>
      </c>
      <c r="E1731" t="s">
        <v>617</v>
      </c>
      <c r="F1731" s="20">
        <v>127.6</v>
      </c>
      <c r="I1731" s="11">
        <f t="shared" si="46"/>
        <v>42468</v>
      </c>
      <c r="J1731" s="12">
        <f t="shared" si="47"/>
        <v>3463</v>
      </c>
      <c r="K1731" t="str">
        <f t="shared" si="48"/>
        <v>&gt;360</v>
      </c>
      <c r="L1731" s="11">
        <v>45931</v>
      </c>
      <c r="M1731" s="23">
        <f>YEAR(Таблица1[[#This Row],[Дата отчета]])</f>
        <v>2025</v>
      </c>
    </row>
    <row r="1732" spans="1:13" x14ac:dyDescent="0.25">
      <c r="A1732" t="s">
        <v>12</v>
      </c>
      <c r="B1732" t="s">
        <v>589</v>
      </c>
      <c r="C1732" t="s">
        <v>615</v>
      </c>
      <c r="D1732" t="s">
        <v>618</v>
      </c>
      <c r="E1732" t="s">
        <v>619</v>
      </c>
      <c r="F1732" s="20">
        <v>430</v>
      </c>
      <c r="I1732" s="11">
        <f t="shared" si="46"/>
        <v>42501</v>
      </c>
      <c r="J1732" s="12">
        <f t="shared" si="47"/>
        <v>3430</v>
      </c>
      <c r="K1732" t="str">
        <f t="shared" si="48"/>
        <v>&gt;360</v>
      </c>
      <c r="L1732" s="11">
        <v>45931</v>
      </c>
      <c r="M1732" s="23">
        <f>YEAR(Таблица1[[#This Row],[Дата отчета]])</f>
        <v>2025</v>
      </c>
    </row>
    <row r="1733" spans="1:13" x14ac:dyDescent="0.25">
      <c r="A1733" t="s">
        <v>12</v>
      </c>
      <c r="B1733" t="s">
        <v>589</v>
      </c>
      <c r="C1733" t="s">
        <v>615</v>
      </c>
      <c r="D1733" t="s">
        <v>620</v>
      </c>
      <c r="E1733" t="s">
        <v>621</v>
      </c>
      <c r="F1733" s="20">
        <v>0.01</v>
      </c>
      <c r="I1733" s="11">
        <f t="shared" si="46"/>
        <v>43817</v>
      </c>
      <c r="J1733" s="12">
        <f t="shared" si="47"/>
        <v>2114</v>
      </c>
      <c r="K1733" t="str">
        <f t="shared" si="48"/>
        <v>&gt;360</v>
      </c>
      <c r="L1733" s="11">
        <v>45931</v>
      </c>
      <c r="M1733" s="23">
        <f>YEAR(Таблица1[[#This Row],[Дата отчета]])</f>
        <v>2025</v>
      </c>
    </row>
    <row r="1734" spans="1:13" x14ac:dyDescent="0.25">
      <c r="A1734" t="s">
        <v>12</v>
      </c>
      <c r="B1734" t="s">
        <v>589</v>
      </c>
      <c r="C1734" t="s">
        <v>622</v>
      </c>
      <c r="F1734" s="20">
        <v>68.27</v>
      </c>
      <c r="I1734" s="11">
        <f t="shared" si="46"/>
        <v>0</v>
      </c>
      <c r="J1734" s="12">
        <f t="shared" si="47"/>
        <v>45931</v>
      </c>
      <c r="K1734" t="str">
        <f t="shared" si="48"/>
        <v>&gt;360</v>
      </c>
      <c r="L1734" s="11">
        <v>45931</v>
      </c>
      <c r="M1734" s="23">
        <f>YEAR(Таблица1[[#This Row],[Дата отчета]])</f>
        <v>2025</v>
      </c>
    </row>
    <row r="1735" spans="1:13" x14ac:dyDescent="0.25">
      <c r="A1735" t="s">
        <v>12</v>
      </c>
      <c r="B1735" t="s">
        <v>589</v>
      </c>
      <c r="C1735" t="s">
        <v>623</v>
      </c>
      <c r="D1735" t="s">
        <v>624</v>
      </c>
      <c r="E1735" t="s">
        <v>625</v>
      </c>
      <c r="F1735" s="20">
        <v>799.94</v>
      </c>
      <c r="I1735" s="11">
        <f t="shared" si="46"/>
        <v>42429</v>
      </c>
      <c r="J1735" s="12">
        <f t="shared" si="47"/>
        <v>3502</v>
      </c>
      <c r="K1735" t="str">
        <f t="shared" si="48"/>
        <v>&gt;360</v>
      </c>
      <c r="L1735" s="11">
        <v>45931</v>
      </c>
      <c r="M1735" s="23">
        <f>YEAR(Таблица1[[#This Row],[Дата отчета]])</f>
        <v>2025</v>
      </c>
    </row>
    <row r="1736" spans="1:13" x14ac:dyDescent="0.25">
      <c r="A1736" t="s">
        <v>12</v>
      </c>
      <c r="B1736" t="s">
        <v>589</v>
      </c>
      <c r="C1736" t="s">
        <v>626</v>
      </c>
      <c r="D1736" t="s">
        <v>627</v>
      </c>
      <c r="E1736" t="s">
        <v>606</v>
      </c>
      <c r="F1736" s="20">
        <v>14275.96</v>
      </c>
      <c r="I1736" s="11">
        <f t="shared" si="46"/>
        <v>45873</v>
      </c>
      <c r="J1736" s="12">
        <f t="shared" si="47"/>
        <v>58</v>
      </c>
      <c r="K1736" t="str">
        <f t="shared" si="48"/>
        <v>31-90</v>
      </c>
      <c r="L1736" s="11">
        <v>45931</v>
      </c>
      <c r="M1736" s="23">
        <f>YEAR(Таблица1[[#This Row],[Дата отчета]])</f>
        <v>2025</v>
      </c>
    </row>
    <row r="1737" spans="1:13" x14ac:dyDescent="0.25">
      <c r="A1737" t="s">
        <v>12</v>
      </c>
      <c r="B1737" t="s">
        <v>632</v>
      </c>
      <c r="C1737" t="s">
        <v>633</v>
      </c>
      <c r="D1737" t="s">
        <v>634</v>
      </c>
      <c r="E1737" t="s">
        <v>635</v>
      </c>
      <c r="F1737" s="20">
        <v>45000</v>
      </c>
      <c r="I1737" s="11">
        <f t="shared" si="46"/>
        <v>45910</v>
      </c>
      <c r="J1737" s="12">
        <f t="shared" si="47"/>
        <v>21</v>
      </c>
      <c r="K1737" t="str">
        <f t="shared" si="48"/>
        <v>0-30</v>
      </c>
      <c r="L1737" s="11">
        <v>45931</v>
      </c>
      <c r="M1737" s="23">
        <f>YEAR(Таблица1[[#This Row],[Дата отчета]])</f>
        <v>2025</v>
      </c>
    </row>
    <row r="1738" spans="1:13" x14ac:dyDescent="0.25">
      <c r="A1738" t="s">
        <v>12</v>
      </c>
      <c r="B1738" t="s">
        <v>1612</v>
      </c>
      <c r="C1738" t="s">
        <v>1613</v>
      </c>
      <c r="D1738" t="s">
        <v>1614</v>
      </c>
      <c r="E1738" t="s">
        <v>841</v>
      </c>
      <c r="F1738" s="20">
        <v>6542</v>
      </c>
      <c r="I1738" s="11">
        <f t="shared" si="46"/>
        <v>45925</v>
      </c>
      <c r="J1738" s="12">
        <f t="shared" si="47"/>
        <v>6</v>
      </c>
      <c r="K1738" t="str">
        <f t="shared" si="48"/>
        <v>0-30</v>
      </c>
      <c r="L1738" s="11">
        <v>45931</v>
      </c>
      <c r="M1738" s="23">
        <f>YEAR(Таблица1[[#This Row],[Дата отчета]])</f>
        <v>2025</v>
      </c>
    </row>
    <row r="1739" spans="1:13" x14ac:dyDescent="0.25">
      <c r="A1739" t="s">
        <v>12</v>
      </c>
      <c r="B1739" t="s">
        <v>1186</v>
      </c>
      <c r="C1739" t="s">
        <v>1187</v>
      </c>
      <c r="D1739" t="s">
        <v>1188</v>
      </c>
      <c r="E1739" t="s">
        <v>339</v>
      </c>
      <c r="F1739" s="20">
        <v>170820</v>
      </c>
      <c r="I1739" s="11">
        <f t="shared" ref="I1739:I1802" si="49">E1739*1</f>
        <v>45867</v>
      </c>
      <c r="J1739" s="12">
        <f t="shared" ref="J1739:J1802" si="50">L1739-I1739</f>
        <v>64</v>
      </c>
      <c r="K1739" t="str">
        <f t="shared" si="48"/>
        <v>31-90</v>
      </c>
      <c r="L1739" s="11">
        <v>45931</v>
      </c>
      <c r="M1739" s="23">
        <f>YEAR(Таблица1[[#This Row],[Дата отчета]])</f>
        <v>2025</v>
      </c>
    </row>
    <row r="1740" spans="1:13" x14ac:dyDescent="0.25">
      <c r="A1740" t="s">
        <v>12</v>
      </c>
      <c r="B1740" t="s">
        <v>1615</v>
      </c>
      <c r="C1740" t="s">
        <v>269</v>
      </c>
      <c r="D1740" t="s">
        <v>1524</v>
      </c>
      <c r="E1740" t="s">
        <v>1765</v>
      </c>
      <c r="F1740" s="20">
        <v>6300</v>
      </c>
      <c r="I1740" s="11">
        <f t="shared" si="49"/>
        <v>45735</v>
      </c>
      <c r="J1740" s="12">
        <f t="shared" si="50"/>
        <v>196</v>
      </c>
      <c r="K1740" t="str">
        <f t="shared" si="48"/>
        <v>181-270</v>
      </c>
      <c r="L1740" s="11">
        <v>45931</v>
      </c>
      <c r="M1740" s="23">
        <f>YEAR(Таблица1[[#This Row],[Дата отчета]])</f>
        <v>2025</v>
      </c>
    </row>
    <row r="1741" spans="1:13" x14ac:dyDescent="0.25">
      <c r="A1741" t="s">
        <v>12</v>
      </c>
      <c r="B1741" t="s">
        <v>1615</v>
      </c>
      <c r="C1741" t="s">
        <v>269</v>
      </c>
      <c r="D1741" t="s">
        <v>1616</v>
      </c>
      <c r="E1741" t="s">
        <v>1113</v>
      </c>
      <c r="F1741" s="20">
        <v>630</v>
      </c>
      <c r="I1741" s="11">
        <f t="shared" si="49"/>
        <v>45737</v>
      </c>
      <c r="J1741" s="12">
        <f t="shared" si="50"/>
        <v>194</v>
      </c>
      <c r="K1741" t="str">
        <f t="shared" si="48"/>
        <v>181-270</v>
      </c>
      <c r="L1741" s="11">
        <v>45931</v>
      </c>
      <c r="M1741" s="23">
        <f>YEAR(Таблица1[[#This Row],[Дата отчета]])</f>
        <v>2025</v>
      </c>
    </row>
    <row r="1742" spans="1:13" x14ac:dyDescent="0.25">
      <c r="A1742" t="s">
        <v>12</v>
      </c>
      <c r="B1742" t="s">
        <v>1615</v>
      </c>
      <c r="C1742" t="s">
        <v>269</v>
      </c>
      <c r="D1742" t="s">
        <v>1617</v>
      </c>
      <c r="E1742" t="s">
        <v>761</v>
      </c>
      <c r="F1742" s="20">
        <v>560</v>
      </c>
      <c r="I1742" s="11">
        <f t="shared" si="49"/>
        <v>45803</v>
      </c>
      <c r="J1742" s="12">
        <f t="shared" si="50"/>
        <v>128</v>
      </c>
      <c r="K1742" t="str">
        <f t="shared" si="48"/>
        <v>121-180</v>
      </c>
      <c r="L1742" s="11">
        <v>45931</v>
      </c>
      <c r="M1742" s="23">
        <f>YEAR(Таблица1[[#This Row],[Дата отчета]])</f>
        <v>2025</v>
      </c>
    </row>
    <row r="1743" spans="1:13" x14ac:dyDescent="0.25">
      <c r="A1743" t="s">
        <v>12</v>
      </c>
      <c r="B1743" t="s">
        <v>1615</v>
      </c>
      <c r="C1743" t="s">
        <v>269</v>
      </c>
      <c r="D1743" t="s">
        <v>1618</v>
      </c>
      <c r="E1743" t="s">
        <v>415</v>
      </c>
      <c r="F1743" s="20">
        <v>1800</v>
      </c>
      <c r="I1743" s="11">
        <f t="shared" si="49"/>
        <v>45833</v>
      </c>
      <c r="J1743" s="12">
        <f t="shared" si="50"/>
        <v>98</v>
      </c>
      <c r="K1743" t="str">
        <f t="shared" si="48"/>
        <v>91-120</v>
      </c>
      <c r="L1743" s="11">
        <v>45931</v>
      </c>
      <c r="M1743" s="23">
        <f>YEAR(Таблица1[[#This Row],[Дата отчета]])</f>
        <v>2025</v>
      </c>
    </row>
    <row r="1744" spans="1:13" x14ac:dyDescent="0.25">
      <c r="A1744" t="s">
        <v>12</v>
      </c>
      <c r="B1744" t="s">
        <v>1615</v>
      </c>
      <c r="C1744" t="s">
        <v>269</v>
      </c>
      <c r="D1744" t="s">
        <v>1619</v>
      </c>
      <c r="E1744" t="s">
        <v>1255</v>
      </c>
      <c r="F1744" s="20">
        <v>1100</v>
      </c>
      <c r="I1744" s="11">
        <f t="shared" si="49"/>
        <v>45841</v>
      </c>
      <c r="J1744" s="12">
        <f t="shared" si="50"/>
        <v>90</v>
      </c>
      <c r="K1744" t="str">
        <f t="shared" si="48"/>
        <v>31-90</v>
      </c>
      <c r="L1744" s="11">
        <v>45931</v>
      </c>
      <c r="M1744" s="23">
        <f>YEAR(Таблица1[[#This Row],[Дата отчета]])</f>
        <v>2025</v>
      </c>
    </row>
    <row r="1745" spans="1:13" x14ac:dyDescent="0.25">
      <c r="A1745" t="s">
        <v>12</v>
      </c>
      <c r="B1745" t="s">
        <v>1615</v>
      </c>
      <c r="C1745" t="s">
        <v>269</v>
      </c>
      <c r="D1745" t="s">
        <v>1620</v>
      </c>
      <c r="E1745" t="s">
        <v>486</v>
      </c>
      <c r="F1745" s="20">
        <v>3100</v>
      </c>
      <c r="I1745" s="11">
        <f t="shared" si="49"/>
        <v>45848</v>
      </c>
      <c r="J1745" s="12">
        <f t="shared" si="50"/>
        <v>83</v>
      </c>
      <c r="K1745" t="str">
        <f t="shared" si="48"/>
        <v>31-90</v>
      </c>
      <c r="L1745" s="11">
        <v>45931</v>
      </c>
      <c r="M1745" s="23">
        <f>YEAR(Таблица1[[#This Row],[Дата отчета]])</f>
        <v>2025</v>
      </c>
    </row>
    <row r="1746" spans="1:13" x14ac:dyDescent="0.25">
      <c r="A1746" t="s">
        <v>12</v>
      </c>
      <c r="B1746" t="s">
        <v>1615</v>
      </c>
      <c r="C1746" t="s">
        <v>269</v>
      </c>
      <c r="D1746" t="s">
        <v>1621</v>
      </c>
      <c r="E1746" t="s">
        <v>83</v>
      </c>
      <c r="F1746" s="20">
        <v>1200</v>
      </c>
      <c r="I1746" s="11">
        <f t="shared" si="49"/>
        <v>45852</v>
      </c>
      <c r="J1746" s="12">
        <f t="shared" si="50"/>
        <v>79</v>
      </c>
      <c r="K1746" t="str">
        <f t="shared" si="48"/>
        <v>31-90</v>
      </c>
      <c r="L1746" s="11">
        <v>45931</v>
      </c>
      <c r="M1746" s="23">
        <f>YEAR(Таблица1[[#This Row],[Дата отчета]])</f>
        <v>2025</v>
      </c>
    </row>
    <row r="1747" spans="1:13" x14ac:dyDescent="0.25">
      <c r="A1747" t="s">
        <v>12</v>
      </c>
      <c r="B1747" t="s">
        <v>663</v>
      </c>
      <c r="C1747" t="s">
        <v>1622</v>
      </c>
      <c r="D1747" t="s">
        <v>1623</v>
      </c>
      <c r="E1747" t="s">
        <v>1805</v>
      </c>
      <c r="F1747" s="20">
        <v>43250</v>
      </c>
      <c r="I1747" s="11">
        <f t="shared" si="49"/>
        <v>45777</v>
      </c>
      <c r="J1747" s="12">
        <f t="shared" si="50"/>
        <v>154</v>
      </c>
      <c r="K1747" t="str">
        <f t="shared" si="48"/>
        <v>121-180</v>
      </c>
      <c r="L1747" s="11">
        <v>45931</v>
      </c>
      <c r="M1747" s="23">
        <f>YEAR(Таблица1[[#This Row],[Дата отчета]])</f>
        <v>2025</v>
      </c>
    </row>
    <row r="1748" spans="1:13" x14ac:dyDescent="0.25">
      <c r="A1748" t="s">
        <v>12</v>
      </c>
      <c r="B1748" t="s">
        <v>666</v>
      </c>
      <c r="C1748" t="s">
        <v>1624</v>
      </c>
      <c r="D1748" t="s">
        <v>1625</v>
      </c>
      <c r="E1748" t="s">
        <v>345</v>
      </c>
      <c r="F1748" s="20">
        <v>50109</v>
      </c>
      <c r="I1748" s="11">
        <f t="shared" si="49"/>
        <v>45919</v>
      </c>
      <c r="J1748" s="12">
        <f t="shared" si="50"/>
        <v>12</v>
      </c>
      <c r="K1748" t="str">
        <f t="shared" si="48"/>
        <v>0-30</v>
      </c>
      <c r="L1748" s="11">
        <v>45931</v>
      </c>
      <c r="M1748" s="23">
        <f>YEAR(Таблица1[[#This Row],[Дата отчета]])</f>
        <v>2025</v>
      </c>
    </row>
    <row r="1749" spans="1:13" x14ac:dyDescent="0.25">
      <c r="A1749" t="s">
        <v>12</v>
      </c>
      <c r="B1749" t="s">
        <v>666</v>
      </c>
      <c r="C1749" t="s">
        <v>667</v>
      </c>
      <c r="D1749" t="s">
        <v>668</v>
      </c>
      <c r="E1749" t="s">
        <v>669</v>
      </c>
      <c r="F1749" s="20">
        <v>25035</v>
      </c>
      <c r="I1749" s="11">
        <f t="shared" si="49"/>
        <v>45930</v>
      </c>
      <c r="J1749" s="12">
        <f t="shared" si="50"/>
        <v>1</v>
      </c>
      <c r="K1749" t="str">
        <f t="shared" si="48"/>
        <v>0-30</v>
      </c>
      <c r="L1749" s="11">
        <v>45931</v>
      </c>
      <c r="M1749" s="23">
        <f>YEAR(Таблица1[[#This Row],[Дата отчета]])</f>
        <v>2025</v>
      </c>
    </row>
    <row r="1750" spans="1:13" x14ac:dyDescent="0.25">
      <c r="A1750" t="s">
        <v>12</v>
      </c>
      <c r="B1750" t="s">
        <v>666</v>
      </c>
      <c r="C1750" t="s">
        <v>1626</v>
      </c>
      <c r="D1750" t="s">
        <v>1627</v>
      </c>
      <c r="E1750" t="s">
        <v>669</v>
      </c>
      <c r="F1750" s="20">
        <v>20160</v>
      </c>
      <c r="I1750" s="11">
        <f t="shared" si="49"/>
        <v>45930</v>
      </c>
      <c r="J1750" s="12">
        <f t="shared" si="50"/>
        <v>1</v>
      </c>
      <c r="K1750" t="str">
        <f t="shared" si="48"/>
        <v>0-30</v>
      </c>
      <c r="L1750" s="11">
        <v>45931</v>
      </c>
      <c r="M1750" s="23">
        <f>YEAR(Таблица1[[#This Row],[Дата отчета]])</f>
        <v>2025</v>
      </c>
    </row>
    <row r="1751" spans="1:13" x14ac:dyDescent="0.25">
      <c r="A1751" t="s">
        <v>12</v>
      </c>
      <c r="B1751" t="s">
        <v>670</v>
      </c>
      <c r="C1751" t="s">
        <v>671</v>
      </c>
      <c r="D1751" t="s">
        <v>672</v>
      </c>
      <c r="E1751" t="s">
        <v>673</v>
      </c>
      <c r="F1751" s="20">
        <v>114.79</v>
      </c>
      <c r="I1751" s="11">
        <f t="shared" si="49"/>
        <v>45775</v>
      </c>
      <c r="J1751" s="12">
        <f t="shared" si="50"/>
        <v>156</v>
      </c>
      <c r="K1751" t="str">
        <f t="shared" si="48"/>
        <v>121-180</v>
      </c>
      <c r="L1751" s="11">
        <v>45931</v>
      </c>
      <c r="M1751" s="23">
        <f>YEAR(Таблица1[[#This Row],[Дата отчета]])</f>
        <v>2025</v>
      </c>
    </row>
    <row r="1752" spans="1:13" x14ac:dyDescent="0.25">
      <c r="A1752" t="s">
        <v>12</v>
      </c>
      <c r="B1752" t="s">
        <v>1628</v>
      </c>
      <c r="C1752" t="s">
        <v>1629</v>
      </c>
      <c r="D1752" t="s">
        <v>1630</v>
      </c>
      <c r="E1752" t="s">
        <v>1786</v>
      </c>
      <c r="F1752" s="20">
        <v>111117.2</v>
      </c>
      <c r="I1752" s="11">
        <f t="shared" si="49"/>
        <v>45832</v>
      </c>
      <c r="J1752" s="12">
        <f t="shared" si="50"/>
        <v>99</v>
      </c>
      <c r="K1752" t="str">
        <f t="shared" si="48"/>
        <v>91-120</v>
      </c>
      <c r="L1752" s="11">
        <v>45931</v>
      </c>
      <c r="M1752" s="23">
        <f>YEAR(Таблица1[[#This Row],[Дата отчета]])</f>
        <v>2025</v>
      </c>
    </row>
    <row r="1753" spans="1:13" x14ac:dyDescent="0.25">
      <c r="A1753" t="s">
        <v>12</v>
      </c>
      <c r="B1753" t="s">
        <v>1631</v>
      </c>
      <c r="C1753" t="s">
        <v>1632</v>
      </c>
      <c r="D1753" t="s">
        <v>1633</v>
      </c>
      <c r="E1753" t="s">
        <v>1167</v>
      </c>
      <c r="F1753" s="20">
        <v>28900</v>
      </c>
      <c r="I1753" s="11">
        <f t="shared" si="49"/>
        <v>45908</v>
      </c>
      <c r="J1753" s="12">
        <f t="shared" si="50"/>
        <v>23</v>
      </c>
      <c r="K1753" t="str">
        <f t="shared" si="48"/>
        <v>0-30</v>
      </c>
      <c r="L1753" s="11">
        <v>45931</v>
      </c>
      <c r="M1753" s="23">
        <f>YEAR(Таблица1[[#This Row],[Дата отчета]])</f>
        <v>2025</v>
      </c>
    </row>
    <row r="1754" spans="1:13" x14ac:dyDescent="0.25">
      <c r="A1754" t="s">
        <v>12</v>
      </c>
      <c r="B1754" t="s">
        <v>1631</v>
      </c>
      <c r="C1754" t="s">
        <v>1634</v>
      </c>
      <c r="D1754" t="s">
        <v>1635</v>
      </c>
      <c r="E1754" t="s">
        <v>1167</v>
      </c>
      <c r="F1754" s="20">
        <v>66100</v>
      </c>
      <c r="I1754" s="11">
        <f t="shared" si="49"/>
        <v>45908</v>
      </c>
      <c r="J1754" s="12">
        <f t="shared" si="50"/>
        <v>23</v>
      </c>
      <c r="K1754" t="str">
        <f t="shared" si="48"/>
        <v>0-30</v>
      </c>
      <c r="L1754" s="11">
        <v>45931</v>
      </c>
      <c r="M1754" s="23">
        <f>YEAR(Таблица1[[#This Row],[Дата отчета]])</f>
        <v>2025</v>
      </c>
    </row>
    <row r="1755" spans="1:13" x14ac:dyDescent="0.25">
      <c r="A1755" t="s">
        <v>12</v>
      </c>
      <c r="B1755" t="s">
        <v>680</v>
      </c>
      <c r="C1755" t="s">
        <v>681</v>
      </c>
      <c r="D1755" t="s">
        <v>682</v>
      </c>
      <c r="E1755" t="s">
        <v>683</v>
      </c>
      <c r="F1755" s="20">
        <v>128697.35</v>
      </c>
      <c r="I1755" s="11">
        <f t="shared" si="49"/>
        <v>45748</v>
      </c>
      <c r="J1755" s="12">
        <f t="shared" si="50"/>
        <v>183</v>
      </c>
      <c r="K1755" t="str">
        <f t="shared" si="48"/>
        <v>181-270</v>
      </c>
      <c r="L1755" s="11">
        <v>45931</v>
      </c>
      <c r="M1755" s="23">
        <f>YEAR(Таблица1[[#This Row],[Дата отчета]])</f>
        <v>2025</v>
      </c>
    </row>
    <row r="1756" spans="1:13" x14ac:dyDescent="0.25">
      <c r="A1756" t="s">
        <v>12</v>
      </c>
      <c r="B1756" t="s">
        <v>684</v>
      </c>
      <c r="C1756" t="s">
        <v>685</v>
      </c>
      <c r="D1756" t="s">
        <v>686</v>
      </c>
      <c r="E1756" t="s">
        <v>687</v>
      </c>
      <c r="F1756" s="20">
        <v>469639.56</v>
      </c>
      <c r="I1756" s="11">
        <f t="shared" si="49"/>
        <v>45771</v>
      </c>
      <c r="J1756" s="12">
        <f t="shared" si="50"/>
        <v>160</v>
      </c>
      <c r="K1756" t="str">
        <f t="shared" si="48"/>
        <v>121-180</v>
      </c>
      <c r="L1756" s="11">
        <v>45931</v>
      </c>
      <c r="M1756" s="23">
        <f>YEAR(Таблица1[[#This Row],[Дата отчета]])</f>
        <v>2025</v>
      </c>
    </row>
    <row r="1757" spans="1:13" x14ac:dyDescent="0.25">
      <c r="A1757" t="s">
        <v>12</v>
      </c>
      <c r="B1757" t="s">
        <v>684</v>
      </c>
      <c r="C1757" t="s">
        <v>688</v>
      </c>
      <c r="D1757" t="s">
        <v>1636</v>
      </c>
      <c r="E1757" t="s">
        <v>1806</v>
      </c>
      <c r="F1757" s="20">
        <v>67605.58</v>
      </c>
      <c r="I1757" s="11">
        <f t="shared" si="49"/>
        <v>45854</v>
      </c>
      <c r="J1757" s="12">
        <f t="shared" si="50"/>
        <v>77</v>
      </c>
      <c r="K1757" t="str">
        <f t="shared" si="48"/>
        <v>31-90</v>
      </c>
      <c r="L1757" s="11">
        <v>45931</v>
      </c>
      <c r="M1757" s="23">
        <f>YEAR(Таблица1[[#This Row],[Дата отчета]])</f>
        <v>2025</v>
      </c>
    </row>
    <row r="1758" spans="1:13" x14ac:dyDescent="0.25">
      <c r="A1758" t="s">
        <v>12</v>
      </c>
      <c r="B1758" t="s">
        <v>684</v>
      </c>
      <c r="C1758" t="s">
        <v>688</v>
      </c>
      <c r="D1758" t="s">
        <v>1637</v>
      </c>
      <c r="E1758" t="s">
        <v>1807</v>
      </c>
      <c r="F1758" s="20">
        <v>260248.8</v>
      </c>
      <c r="I1758" s="11">
        <f t="shared" si="49"/>
        <v>45859</v>
      </c>
      <c r="J1758" s="12">
        <f t="shared" si="50"/>
        <v>72</v>
      </c>
      <c r="K1758" t="str">
        <f t="shared" si="48"/>
        <v>31-90</v>
      </c>
      <c r="L1758" s="11">
        <v>45931</v>
      </c>
      <c r="M1758" s="23">
        <f>YEAR(Таблица1[[#This Row],[Дата отчета]])</f>
        <v>2025</v>
      </c>
    </row>
    <row r="1759" spans="1:13" x14ac:dyDescent="0.25">
      <c r="A1759" t="s">
        <v>12</v>
      </c>
      <c r="B1759" t="s">
        <v>684</v>
      </c>
      <c r="C1759" t="s">
        <v>688</v>
      </c>
      <c r="D1759" t="s">
        <v>1638</v>
      </c>
      <c r="E1759" t="s">
        <v>1807</v>
      </c>
      <c r="F1759" s="20">
        <v>532114.91</v>
      </c>
      <c r="I1759" s="11">
        <f t="shared" si="49"/>
        <v>45859</v>
      </c>
      <c r="J1759" s="12">
        <f t="shared" si="50"/>
        <v>72</v>
      </c>
      <c r="K1759" t="str">
        <f t="shared" si="48"/>
        <v>31-90</v>
      </c>
      <c r="L1759" s="11">
        <v>45931</v>
      </c>
      <c r="M1759" s="23">
        <f>YEAR(Таблица1[[#This Row],[Дата отчета]])</f>
        <v>2025</v>
      </c>
    </row>
    <row r="1760" spans="1:13" x14ac:dyDescent="0.25">
      <c r="A1760" t="s">
        <v>12</v>
      </c>
      <c r="B1760" t="s">
        <v>684</v>
      </c>
      <c r="C1760" t="s">
        <v>688</v>
      </c>
      <c r="D1760" t="s">
        <v>1639</v>
      </c>
      <c r="E1760" t="s">
        <v>890</v>
      </c>
      <c r="F1760" s="20">
        <v>39738.730000000003</v>
      </c>
      <c r="I1760" s="11">
        <f t="shared" si="49"/>
        <v>45894</v>
      </c>
      <c r="J1760" s="12">
        <f t="shared" si="50"/>
        <v>37</v>
      </c>
      <c r="K1760" t="str">
        <f t="shared" si="48"/>
        <v>31-90</v>
      </c>
      <c r="L1760" s="11">
        <v>45931</v>
      </c>
      <c r="M1760" s="23">
        <f>YEAR(Таблица1[[#This Row],[Дата отчета]])</f>
        <v>2025</v>
      </c>
    </row>
    <row r="1761" spans="1:15" x14ac:dyDescent="0.25">
      <c r="A1761" t="s">
        <v>12</v>
      </c>
      <c r="B1761" t="s">
        <v>684</v>
      </c>
      <c r="C1761" t="s">
        <v>688</v>
      </c>
      <c r="D1761" t="s">
        <v>1640</v>
      </c>
      <c r="E1761" t="s">
        <v>890</v>
      </c>
      <c r="F1761" s="20">
        <v>200221.08</v>
      </c>
      <c r="I1761" s="11">
        <f t="shared" si="49"/>
        <v>45894</v>
      </c>
      <c r="J1761" s="12">
        <f t="shared" si="50"/>
        <v>37</v>
      </c>
      <c r="K1761" t="str">
        <f t="shared" si="48"/>
        <v>31-90</v>
      </c>
      <c r="L1761" s="11">
        <v>45931</v>
      </c>
      <c r="M1761" s="23">
        <f>YEAR(Таблица1[[#This Row],[Дата отчета]])</f>
        <v>2025</v>
      </c>
    </row>
    <row r="1762" spans="1:15" x14ac:dyDescent="0.25">
      <c r="A1762" t="s">
        <v>12</v>
      </c>
      <c r="B1762" t="s">
        <v>684</v>
      </c>
      <c r="C1762" t="s">
        <v>688</v>
      </c>
      <c r="D1762" t="s">
        <v>1194</v>
      </c>
      <c r="E1762" t="s">
        <v>890</v>
      </c>
      <c r="F1762" s="20">
        <v>2451315.77</v>
      </c>
      <c r="I1762" s="11">
        <f t="shared" si="49"/>
        <v>45894</v>
      </c>
      <c r="J1762" s="12">
        <f t="shared" si="50"/>
        <v>37</v>
      </c>
      <c r="K1762" t="str">
        <f t="shared" si="48"/>
        <v>31-90</v>
      </c>
      <c r="L1762" s="11">
        <v>45931</v>
      </c>
      <c r="M1762" s="23">
        <f>YEAR(Таблица1[[#This Row],[Дата отчета]])</f>
        <v>2025</v>
      </c>
    </row>
    <row r="1763" spans="1:15" x14ac:dyDescent="0.25">
      <c r="A1763" t="s">
        <v>12</v>
      </c>
      <c r="B1763" t="s">
        <v>684</v>
      </c>
      <c r="C1763" t="s">
        <v>688</v>
      </c>
      <c r="D1763" t="s">
        <v>1195</v>
      </c>
      <c r="E1763" t="s">
        <v>140</v>
      </c>
      <c r="F1763" s="20">
        <v>750186.92</v>
      </c>
      <c r="I1763" s="11">
        <f t="shared" si="49"/>
        <v>45917</v>
      </c>
      <c r="J1763" s="12">
        <f t="shared" si="50"/>
        <v>14</v>
      </c>
      <c r="K1763" t="str">
        <f t="shared" si="48"/>
        <v>0-30</v>
      </c>
      <c r="L1763" s="11">
        <v>45931</v>
      </c>
      <c r="M1763" s="23">
        <f>YEAR(Таблица1[[#This Row],[Дата отчета]])</f>
        <v>2025</v>
      </c>
    </row>
    <row r="1764" spans="1:15" x14ac:dyDescent="0.25">
      <c r="A1764" t="s">
        <v>12</v>
      </c>
      <c r="B1764" t="s">
        <v>684</v>
      </c>
      <c r="C1764" t="s">
        <v>697</v>
      </c>
      <c r="D1764" t="s">
        <v>698</v>
      </c>
      <c r="E1764" t="s">
        <v>699</v>
      </c>
      <c r="F1764" s="20">
        <v>172161</v>
      </c>
      <c r="I1764" s="11">
        <f t="shared" si="49"/>
        <v>45218</v>
      </c>
      <c r="J1764" s="12">
        <f t="shared" si="50"/>
        <v>713</v>
      </c>
      <c r="K1764" t="str">
        <f t="shared" si="48"/>
        <v>&gt;360</v>
      </c>
      <c r="L1764" s="11">
        <v>45931</v>
      </c>
      <c r="M1764" s="23">
        <f>YEAR(Таблица1[[#This Row],[Дата отчета]])</f>
        <v>2025</v>
      </c>
      <c r="N1764" s="2" t="s">
        <v>4535</v>
      </c>
    </row>
    <row r="1765" spans="1:15" x14ac:dyDescent="0.25">
      <c r="A1765" t="s">
        <v>12</v>
      </c>
      <c r="B1765" t="s">
        <v>684</v>
      </c>
      <c r="C1765" t="s">
        <v>1196</v>
      </c>
      <c r="D1765" t="s">
        <v>1197</v>
      </c>
      <c r="E1765" t="s">
        <v>841</v>
      </c>
      <c r="F1765" s="20">
        <v>71475</v>
      </c>
      <c r="I1765" s="11">
        <f t="shared" si="49"/>
        <v>45925</v>
      </c>
      <c r="J1765" s="12">
        <f t="shared" si="50"/>
        <v>6</v>
      </c>
      <c r="K1765" t="str">
        <f t="shared" si="48"/>
        <v>0-30</v>
      </c>
      <c r="L1765" s="11">
        <v>45931</v>
      </c>
      <c r="M1765" s="23">
        <f>YEAR(Таблица1[[#This Row],[Дата отчета]])</f>
        <v>2025</v>
      </c>
    </row>
    <row r="1766" spans="1:15" x14ac:dyDescent="0.25">
      <c r="A1766" t="s">
        <v>12</v>
      </c>
      <c r="B1766" t="s">
        <v>719</v>
      </c>
      <c r="C1766" t="s">
        <v>722</v>
      </c>
      <c r="D1766" t="s">
        <v>723</v>
      </c>
      <c r="E1766" t="s">
        <v>183</v>
      </c>
      <c r="F1766" s="20">
        <v>1181250</v>
      </c>
      <c r="I1766" s="11">
        <f t="shared" si="49"/>
        <v>45817</v>
      </c>
      <c r="J1766" s="12">
        <f t="shared" si="50"/>
        <v>114</v>
      </c>
      <c r="K1766" t="str">
        <f t="shared" si="48"/>
        <v>91-120</v>
      </c>
      <c r="L1766" s="11">
        <v>45931</v>
      </c>
      <c r="M1766" s="23">
        <f>YEAR(Таблица1[[#This Row],[Дата отчета]])</f>
        <v>2025</v>
      </c>
      <c r="O1766" s="8">
        <v>46099</v>
      </c>
    </row>
    <row r="1767" spans="1:15" x14ac:dyDescent="0.25">
      <c r="A1767" t="s">
        <v>12</v>
      </c>
      <c r="B1767" t="s">
        <v>1641</v>
      </c>
      <c r="C1767" t="s">
        <v>1642</v>
      </c>
      <c r="D1767" t="s">
        <v>1643</v>
      </c>
      <c r="E1767" t="s">
        <v>841</v>
      </c>
      <c r="F1767" s="20">
        <v>4000</v>
      </c>
      <c r="I1767" s="11">
        <f t="shared" si="49"/>
        <v>45925</v>
      </c>
      <c r="J1767" s="12">
        <f t="shared" si="50"/>
        <v>6</v>
      </c>
      <c r="K1767" t="str">
        <f t="shared" si="48"/>
        <v>0-30</v>
      </c>
      <c r="L1767" s="11">
        <v>45931</v>
      </c>
      <c r="M1767" s="23">
        <f>YEAR(Таблица1[[#This Row],[Дата отчета]])</f>
        <v>2025</v>
      </c>
    </row>
    <row r="1768" spans="1:15" x14ac:dyDescent="0.25">
      <c r="A1768" t="s">
        <v>12</v>
      </c>
      <c r="B1768" t="s">
        <v>726</v>
      </c>
      <c r="C1768" t="s">
        <v>727</v>
      </c>
      <c r="D1768" t="s">
        <v>728</v>
      </c>
      <c r="E1768" t="s">
        <v>729</v>
      </c>
      <c r="F1768" s="20">
        <v>6869.56</v>
      </c>
      <c r="I1768" s="11">
        <f t="shared" si="49"/>
        <v>45799</v>
      </c>
      <c r="J1768" s="12">
        <f t="shared" si="50"/>
        <v>132</v>
      </c>
      <c r="K1768" t="str">
        <f t="shared" si="48"/>
        <v>121-180</v>
      </c>
      <c r="L1768" s="11">
        <v>45931</v>
      </c>
      <c r="M1768" s="23">
        <f>YEAR(Таблица1[[#This Row],[Дата отчета]])</f>
        <v>2025</v>
      </c>
      <c r="N1768" s="2" t="s">
        <v>807</v>
      </c>
    </row>
    <row r="1769" spans="1:15" x14ac:dyDescent="0.25">
      <c r="A1769" t="s">
        <v>12</v>
      </c>
      <c r="B1769" t="s">
        <v>726</v>
      </c>
      <c r="C1769" t="s">
        <v>730</v>
      </c>
      <c r="D1769" t="s">
        <v>731</v>
      </c>
      <c r="E1769" t="s">
        <v>535</v>
      </c>
      <c r="F1769" s="20">
        <v>16930</v>
      </c>
      <c r="I1769" s="11">
        <f t="shared" si="49"/>
        <v>45796</v>
      </c>
      <c r="J1769" s="12">
        <f t="shared" si="50"/>
        <v>135</v>
      </c>
      <c r="K1769" t="str">
        <f t="shared" si="48"/>
        <v>121-180</v>
      </c>
      <c r="L1769" s="11">
        <v>45931</v>
      </c>
      <c r="M1769" s="23">
        <f>YEAR(Таблица1[[#This Row],[Дата отчета]])</f>
        <v>2025</v>
      </c>
      <c r="N1769" s="2" t="s">
        <v>807</v>
      </c>
    </row>
    <row r="1770" spans="1:15" x14ac:dyDescent="0.25">
      <c r="A1770" t="s">
        <v>12</v>
      </c>
      <c r="B1770" t="s">
        <v>726</v>
      </c>
      <c r="C1770" t="s">
        <v>732</v>
      </c>
      <c r="D1770" t="s">
        <v>733</v>
      </c>
      <c r="E1770" t="s">
        <v>734</v>
      </c>
      <c r="F1770" s="20">
        <v>2163.48</v>
      </c>
      <c r="I1770" s="11">
        <f t="shared" si="49"/>
        <v>45541</v>
      </c>
      <c r="J1770" s="12">
        <f t="shared" si="50"/>
        <v>390</v>
      </c>
      <c r="K1770" t="str">
        <f t="shared" si="48"/>
        <v>&gt;360</v>
      </c>
      <c r="L1770" s="11">
        <v>45931</v>
      </c>
      <c r="M1770" s="23">
        <f>YEAR(Таблица1[[#This Row],[Дата отчета]])</f>
        <v>2025</v>
      </c>
      <c r="N1770" s="2" t="s">
        <v>807</v>
      </c>
    </row>
    <row r="1771" spans="1:15" x14ac:dyDescent="0.25">
      <c r="A1771" t="s">
        <v>12</v>
      </c>
      <c r="B1771" t="s">
        <v>726</v>
      </c>
      <c r="C1771" t="s">
        <v>735</v>
      </c>
      <c r="D1771" t="s">
        <v>736</v>
      </c>
      <c r="E1771" t="s">
        <v>247</v>
      </c>
      <c r="F1771" s="20">
        <v>35983.96</v>
      </c>
      <c r="I1771" s="11">
        <f t="shared" si="49"/>
        <v>45798</v>
      </c>
      <c r="J1771" s="12">
        <f t="shared" si="50"/>
        <v>133</v>
      </c>
      <c r="K1771" t="str">
        <f t="shared" si="48"/>
        <v>121-180</v>
      </c>
      <c r="L1771" s="11">
        <v>45931</v>
      </c>
      <c r="M1771" s="23">
        <f>YEAR(Таблица1[[#This Row],[Дата отчета]])</f>
        <v>2025</v>
      </c>
      <c r="N1771" s="2" t="s">
        <v>807</v>
      </c>
    </row>
    <row r="1772" spans="1:15" x14ac:dyDescent="0.25">
      <c r="A1772" t="s">
        <v>12</v>
      </c>
      <c r="B1772" t="s">
        <v>726</v>
      </c>
      <c r="C1772" t="s">
        <v>737</v>
      </c>
      <c r="D1772" t="s">
        <v>738</v>
      </c>
      <c r="E1772" t="s">
        <v>739</v>
      </c>
      <c r="F1772" s="20">
        <v>3413.74</v>
      </c>
      <c r="I1772" s="11">
        <f t="shared" si="49"/>
        <v>45839</v>
      </c>
      <c r="J1772" s="12">
        <f t="shared" si="50"/>
        <v>92</v>
      </c>
      <c r="K1772" t="str">
        <f t="shared" si="48"/>
        <v>91-120</v>
      </c>
      <c r="L1772" s="11">
        <v>45931</v>
      </c>
      <c r="M1772" s="23">
        <f>YEAR(Таблица1[[#This Row],[Дата отчета]])</f>
        <v>2025</v>
      </c>
      <c r="N1772" s="2" t="s">
        <v>807</v>
      </c>
    </row>
    <row r="1773" spans="1:15" x14ac:dyDescent="0.25">
      <c r="A1773" t="s">
        <v>12</v>
      </c>
      <c r="B1773" t="s">
        <v>745</v>
      </c>
      <c r="C1773" t="s">
        <v>746</v>
      </c>
      <c r="D1773" t="s">
        <v>747</v>
      </c>
      <c r="E1773" t="s">
        <v>748</v>
      </c>
      <c r="F1773" s="20">
        <v>3762.32</v>
      </c>
      <c r="I1773" s="11">
        <f t="shared" si="49"/>
        <v>45580</v>
      </c>
      <c r="J1773" s="12">
        <f t="shared" si="50"/>
        <v>351</v>
      </c>
      <c r="K1773" t="str">
        <f t="shared" si="48"/>
        <v>271-360</v>
      </c>
      <c r="L1773" s="11">
        <v>45931</v>
      </c>
      <c r="M1773" s="23">
        <f>YEAR(Таблица1[[#This Row],[Дата отчета]])</f>
        <v>2025</v>
      </c>
    </row>
    <row r="1774" spans="1:15" x14ac:dyDescent="0.25">
      <c r="A1774" t="s">
        <v>12</v>
      </c>
      <c r="B1774" t="s">
        <v>1644</v>
      </c>
      <c r="C1774" t="s">
        <v>1645</v>
      </c>
      <c r="D1774" t="s">
        <v>1646</v>
      </c>
      <c r="E1774" t="s">
        <v>1769</v>
      </c>
      <c r="F1774" s="20">
        <v>1539534.6</v>
      </c>
      <c r="I1774" s="11">
        <f t="shared" si="49"/>
        <v>45923</v>
      </c>
      <c r="J1774" s="12">
        <f t="shared" si="50"/>
        <v>8</v>
      </c>
      <c r="K1774" t="str">
        <f t="shared" si="48"/>
        <v>0-30</v>
      </c>
      <c r="L1774" s="11">
        <v>45931</v>
      </c>
      <c r="M1774" s="23">
        <f>YEAR(Таблица1[[#This Row],[Дата отчета]])</f>
        <v>2025</v>
      </c>
    </row>
    <row r="1775" spans="1:15" x14ac:dyDescent="0.25">
      <c r="A1775" t="s">
        <v>12</v>
      </c>
      <c r="B1775" t="s">
        <v>1647</v>
      </c>
      <c r="C1775" t="s">
        <v>1648</v>
      </c>
      <c r="D1775" t="s">
        <v>1649</v>
      </c>
      <c r="E1775" t="s">
        <v>1767</v>
      </c>
      <c r="F1775" s="20">
        <v>57175.43</v>
      </c>
      <c r="I1775" s="11">
        <f t="shared" si="49"/>
        <v>45762</v>
      </c>
      <c r="J1775" s="12">
        <f t="shared" si="50"/>
        <v>169</v>
      </c>
      <c r="K1775" t="str">
        <f t="shared" si="48"/>
        <v>121-180</v>
      </c>
      <c r="L1775" s="11">
        <v>45931</v>
      </c>
      <c r="M1775" s="23">
        <f>YEAR(Таблица1[[#This Row],[Дата отчета]])</f>
        <v>2025</v>
      </c>
    </row>
    <row r="1776" spans="1:15" x14ac:dyDescent="0.25">
      <c r="A1776" t="s">
        <v>12</v>
      </c>
      <c r="B1776" t="s">
        <v>752</v>
      </c>
      <c r="C1776" t="s">
        <v>1650</v>
      </c>
      <c r="D1776" t="s">
        <v>1651</v>
      </c>
      <c r="E1776" t="s">
        <v>161</v>
      </c>
      <c r="F1776" s="20">
        <v>10000</v>
      </c>
      <c r="I1776" s="11">
        <f t="shared" si="49"/>
        <v>45890</v>
      </c>
      <c r="J1776" s="12">
        <f t="shared" si="50"/>
        <v>41</v>
      </c>
      <c r="K1776" t="str">
        <f t="shared" si="48"/>
        <v>31-90</v>
      </c>
      <c r="L1776" s="11">
        <v>45931</v>
      </c>
      <c r="M1776" s="23">
        <f>YEAR(Таблица1[[#This Row],[Дата отчета]])</f>
        <v>2025</v>
      </c>
    </row>
    <row r="1777" spans="1:14" x14ac:dyDescent="0.25">
      <c r="A1777" t="s">
        <v>12</v>
      </c>
      <c r="B1777" t="s">
        <v>1652</v>
      </c>
      <c r="C1777" t="s">
        <v>1653</v>
      </c>
      <c r="D1777" t="s">
        <v>1654</v>
      </c>
      <c r="E1777" t="s">
        <v>1774</v>
      </c>
      <c r="F1777" s="20">
        <v>137068</v>
      </c>
      <c r="I1777" s="11">
        <f t="shared" si="49"/>
        <v>45869</v>
      </c>
      <c r="J1777" s="12">
        <f t="shared" si="50"/>
        <v>62</v>
      </c>
      <c r="K1777" t="str">
        <f t="shared" si="48"/>
        <v>31-90</v>
      </c>
      <c r="L1777" s="11">
        <v>45931</v>
      </c>
      <c r="M1777" s="23">
        <f>YEAR(Таблица1[[#This Row],[Дата отчета]])</f>
        <v>2025</v>
      </c>
    </row>
    <row r="1778" spans="1:14" x14ac:dyDescent="0.25">
      <c r="A1778" t="s">
        <v>12</v>
      </c>
      <c r="B1778" t="s">
        <v>1655</v>
      </c>
      <c r="C1778" t="s">
        <v>1656</v>
      </c>
      <c r="D1778" t="s">
        <v>1657</v>
      </c>
      <c r="E1778" t="s">
        <v>773</v>
      </c>
      <c r="F1778" s="20">
        <v>18500</v>
      </c>
      <c r="I1778" s="11">
        <f t="shared" si="49"/>
        <v>45888</v>
      </c>
      <c r="J1778" s="12">
        <f t="shared" si="50"/>
        <v>43</v>
      </c>
      <c r="K1778" t="str">
        <f t="shared" si="48"/>
        <v>31-90</v>
      </c>
      <c r="L1778" s="11">
        <v>45931</v>
      </c>
      <c r="M1778" s="23">
        <f>YEAR(Таблица1[[#This Row],[Дата отчета]])</f>
        <v>2025</v>
      </c>
    </row>
    <row r="1779" spans="1:14" x14ac:dyDescent="0.25">
      <c r="A1779" t="s">
        <v>12</v>
      </c>
      <c r="B1779" t="s">
        <v>758</v>
      </c>
      <c r="C1779" t="s">
        <v>759</v>
      </c>
      <c r="D1779" t="s">
        <v>760</v>
      </c>
      <c r="E1779" t="s">
        <v>761</v>
      </c>
      <c r="F1779" s="20">
        <v>0.3</v>
      </c>
      <c r="I1779" s="11">
        <f t="shared" si="49"/>
        <v>45803</v>
      </c>
      <c r="J1779" s="12">
        <f t="shared" si="50"/>
        <v>128</v>
      </c>
      <c r="K1779" t="str">
        <f t="shared" si="48"/>
        <v>121-180</v>
      </c>
      <c r="L1779" s="11">
        <v>45931</v>
      </c>
      <c r="M1779" s="23">
        <f>YEAR(Таблица1[[#This Row],[Дата отчета]])</f>
        <v>2025</v>
      </c>
    </row>
    <row r="1780" spans="1:14" x14ac:dyDescent="0.25">
      <c r="A1780" t="s">
        <v>12</v>
      </c>
      <c r="B1780" t="s">
        <v>762</v>
      </c>
      <c r="C1780" t="s">
        <v>763</v>
      </c>
      <c r="D1780" t="s">
        <v>764</v>
      </c>
      <c r="E1780" t="s">
        <v>765</v>
      </c>
      <c r="F1780" s="20">
        <v>74670</v>
      </c>
      <c r="I1780" s="11">
        <f t="shared" si="49"/>
        <v>45751</v>
      </c>
      <c r="J1780" s="12">
        <f t="shared" si="50"/>
        <v>180</v>
      </c>
      <c r="K1780" t="str">
        <f t="shared" si="48"/>
        <v>121-180</v>
      </c>
      <c r="L1780" s="11">
        <v>45931</v>
      </c>
      <c r="M1780" s="23">
        <f>YEAR(Таблица1[[#This Row],[Дата отчета]])</f>
        <v>2025</v>
      </c>
      <c r="N1780" s="7"/>
    </row>
    <row r="1781" spans="1:14" x14ac:dyDescent="0.25">
      <c r="A1781" t="s">
        <v>12</v>
      </c>
      <c r="B1781" t="s">
        <v>766</v>
      </c>
      <c r="C1781" t="s">
        <v>767</v>
      </c>
      <c r="D1781" t="s">
        <v>768</v>
      </c>
      <c r="E1781" t="s">
        <v>769</v>
      </c>
      <c r="F1781" s="20">
        <v>163072</v>
      </c>
      <c r="I1781" s="11">
        <f t="shared" si="49"/>
        <v>45825</v>
      </c>
      <c r="J1781" s="12">
        <f t="shared" si="50"/>
        <v>106</v>
      </c>
      <c r="K1781" t="str">
        <f t="shared" si="48"/>
        <v>91-120</v>
      </c>
      <c r="L1781" s="11">
        <v>45931</v>
      </c>
      <c r="M1781" s="23">
        <f>YEAR(Таблица1[[#This Row],[Дата отчета]])</f>
        <v>2025</v>
      </c>
      <c r="N1781" s="2" t="s">
        <v>4538</v>
      </c>
    </row>
    <row r="1782" spans="1:14" x14ac:dyDescent="0.25">
      <c r="A1782" t="s">
        <v>12</v>
      </c>
      <c r="B1782" t="s">
        <v>766</v>
      </c>
      <c r="C1782" t="s">
        <v>1658</v>
      </c>
      <c r="D1782" t="s">
        <v>1659</v>
      </c>
      <c r="E1782" t="s">
        <v>1786</v>
      </c>
      <c r="F1782" s="20">
        <v>187165.8</v>
      </c>
      <c r="I1782" s="11">
        <f t="shared" si="49"/>
        <v>45832</v>
      </c>
      <c r="J1782" s="12">
        <f t="shared" si="50"/>
        <v>99</v>
      </c>
      <c r="K1782" t="str">
        <f t="shared" si="48"/>
        <v>91-120</v>
      </c>
      <c r="L1782" s="11">
        <v>45931</v>
      </c>
      <c r="M1782" s="23">
        <f>YEAR(Таблица1[[#This Row],[Дата отчета]])</f>
        <v>2025</v>
      </c>
    </row>
    <row r="1783" spans="1:14" x14ac:dyDescent="0.25">
      <c r="A1783" t="s">
        <v>12</v>
      </c>
      <c r="B1783" t="s">
        <v>766</v>
      </c>
      <c r="C1783" t="s">
        <v>1658</v>
      </c>
      <c r="D1783" t="s">
        <v>1660</v>
      </c>
      <c r="E1783" t="s">
        <v>1808</v>
      </c>
      <c r="F1783" s="20">
        <v>345520.2</v>
      </c>
      <c r="I1783" s="11">
        <f t="shared" si="49"/>
        <v>45835</v>
      </c>
      <c r="J1783" s="12">
        <f t="shared" si="50"/>
        <v>96</v>
      </c>
      <c r="K1783" t="str">
        <f t="shared" si="48"/>
        <v>91-120</v>
      </c>
      <c r="L1783" s="11">
        <v>45931</v>
      </c>
      <c r="M1783" s="23">
        <f>YEAR(Таблица1[[#This Row],[Дата отчета]])</f>
        <v>2025</v>
      </c>
    </row>
    <row r="1784" spans="1:14" x14ac:dyDescent="0.25">
      <c r="A1784" t="s">
        <v>12</v>
      </c>
      <c r="B1784" t="s">
        <v>766</v>
      </c>
      <c r="C1784" t="s">
        <v>1661</v>
      </c>
      <c r="D1784" t="s">
        <v>1662</v>
      </c>
      <c r="E1784" t="s">
        <v>1786</v>
      </c>
      <c r="F1784" s="20">
        <v>91200</v>
      </c>
      <c r="I1784" s="11">
        <f t="shared" si="49"/>
        <v>45832</v>
      </c>
      <c r="J1784" s="12">
        <f t="shared" si="50"/>
        <v>99</v>
      </c>
      <c r="K1784" t="str">
        <f t="shared" si="48"/>
        <v>91-120</v>
      </c>
      <c r="L1784" s="11">
        <v>45931</v>
      </c>
      <c r="M1784" s="23">
        <f>YEAR(Таблица1[[#This Row],[Дата отчета]])</f>
        <v>2025</v>
      </c>
    </row>
    <row r="1785" spans="1:14" x14ac:dyDescent="0.25">
      <c r="A1785" t="s">
        <v>12</v>
      </c>
      <c r="B1785" t="s">
        <v>770</v>
      </c>
      <c r="C1785" t="s">
        <v>771</v>
      </c>
      <c r="D1785" t="s">
        <v>772</v>
      </c>
      <c r="E1785" t="s">
        <v>773</v>
      </c>
      <c r="F1785" s="20">
        <v>11240</v>
      </c>
      <c r="I1785" s="11">
        <f t="shared" si="49"/>
        <v>45888</v>
      </c>
      <c r="J1785" s="12">
        <f t="shared" si="50"/>
        <v>43</v>
      </c>
      <c r="K1785" t="str">
        <f t="shared" si="48"/>
        <v>31-90</v>
      </c>
      <c r="L1785" s="11">
        <v>45931</v>
      </c>
      <c r="M1785" s="23">
        <f>YEAR(Таблица1[[#This Row],[Дата отчета]])</f>
        <v>2025</v>
      </c>
    </row>
    <row r="1786" spans="1:14" x14ac:dyDescent="0.25">
      <c r="A1786" t="s">
        <v>12</v>
      </c>
      <c r="B1786" t="s">
        <v>1198</v>
      </c>
      <c r="C1786" t="s">
        <v>1199</v>
      </c>
      <c r="D1786" t="s">
        <v>1200</v>
      </c>
      <c r="E1786" t="s">
        <v>1086</v>
      </c>
      <c r="F1786" s="20">
        <v>205088</v>
      </c>
      <c r="I1786" s="11">
        <f t="shared" si="49"/>
        <v>45847</v>
      </c>
      <c r="J1786" s="12">
        <f t="shared" si="50"/>
        <v>84</v>
      </c>
      <c r="K1786" t="str">
        <f t="shared" si="48"/>
        <v>31-90</v>
      </c>
      <c r="L1786" s="11">
        <v>45931</v>
      </c>
      <c r="M1786" s="23">
        <f>YEAR(Таблица1[[#This Row],[Дата отчета]])</f>
        <v>2025</v>
      </c>
    </row>
    <row r="1787" spans="1:14" x14ac:dyDescent="0.25">
      <c r="A1787" t="s">
        <v>12</v>
      </c>
      <c r="B1787" t="s">
        <v>1663</v>
      </c>
      <c r="C1787" t="s">
        <v>1664</v>
      </c>
      <c r="D1787" t="s">
        <v>1665</v>
      </c>
      <c r="E1787" t="s">
        <v>635</v>
      </c>
      <c r="F1787" s="20">
        <v>16200</v>
      </c>
      <c r="I1787" s="11">
        <f t="shared" si="49"/>
        <v>45910</v>
      </c>
      <c r="J1787" s="12">
        <f t="shared" si="50"/>
        <v>21</v>
      </c>
      <c r="K1787" t="str">
        <f t="shared" si="48"/>
        <v>0-30</v>
      </c>
      <c r="L1787" s="11">
        <v>45931</v>
      </c>
      <c r="M1787" s="23">
        <f>YEAR(Таблица1[[#This Row],[Дата отчета]])</f>
        <v>2025</v>
      </c>
    </row>
    <row r="1788" spans="1:14" x14ac:dyDescent="0.25">
      <c r="A1788" t="s">
        <v>12</v>
      </c>
      <c r="B1788" t="s">
        <v>1666</v>
      </c>
      <c r="C1788" t="s">
        <v>1667</v>
      </c>
      <c r="D1788" t="s">
        <v>1668</v>
      </c>
      <c r="E1788" t="s">
        <v>1769</v>
      </c>
      <c r="F1788" s="20">
        <v>700</v>
      </c>
      <c r="I1788" s="11">
        <f t="shared" si="49"/>
        <v>45923</v>
      </c>
      <c r="J1788" s="12">
        <f t="shared" si="50"/>
        <v>8</v>
      </c>
      <c r="K1788" t="str">
        <f t="shared" si="48"/>
        <v>0-30</v>
      </c>
      <c r="L1788" s="11">
        <v>45931</v>
      </c>
      <c r="M1788" s="23">
        <f>YEAR(Таблица1[[#This Row],[Дата отчета]])</f>
        <v>2025</v>
      </c>
    </row>
    <row r="1789" spans="1:14" x14ac:dyDescent="0.25">
      <c r="A1789" t="s">
        <v>12</v>
      </c>
      <c r="B1789" t="s">
        <v>1669</v>
      </c>
      <c r="C1789" t="s">
        <v>1670</v>
      </c>
      <c r="D1789" t="s">
        <v>1671</v>
      </c>
      <c r="E1789" t="s">
        <v>1808</v>
      </c>
      <c r="F1789" s="20">
        <v>7500</v>
      </c>
      <c r="I1789" s="11">
        <f t="shared" si="49"/>
        <v>45835</v>
      </c>
      <c r="J1789" s="12">
        <f t="shared" si="50"/>
        <v>96</v>
      </c>
      <c r="K1789" t="str">
        <f t="shared" si="48"/>
        <v>91-120</v>
      </c>
      <c r="L1789" s="11">
        <v>45931</v>
      </c>
      <c r="M1789" s="23">
        <f>YEAR(Таблица1[[#This Row],[Дата отчета]])</f>
        <v>2025</v>
      </c>
    </row>
    <row r="1790" spans="1:14" x14ac:dyDescent="0.25">
      <c r="A1790" t="s">
        <v>12</v>
      </c>
      <c r="B1790" t="s">
        <v>777</v>
      </c>
      <c r="C1790" t="s">
        <v>778</v>
      </c>
      <c r="D1790" t="s">
        <v>779</v>
      </c>
      <c r="E1790" t="s">
        <v>780</v>
      </c>
      <c r="F1790" s="20">
        <v>196.02</v>
      </c>
      <c r="I1790" s="11">
        <f t="shared" si="49"/>
        <v>44868</v>
      </c>
      <c r="J1790" s="12">
        <f t="shared" si="50"/>
        <v>1063</v>
      </c>
      <c r="K1790" t="str">
        <f t="shared" si="48"/>
        <v>&gt;360</v>
      </c>
      <c r="L1790" s="11">
        <v>45931</v>
      </c>
      <c r="M1790" s="23">
        <f>YEAR(Таблица1[[#This Row],[Дата отчета]])</f>
        <v>2025</v>
      </c>
      <c r="N1790" s="2" t="s">
        <v>807</v>
      </c>
    </row>
    <row r="1791" spans="1:14" x14ac:dyDescent="0.25">
      <c r="A1791" t="s">
        <v>12</v>
      </c>
      <c r="B1791" t="s">
        <v>781</v>
      </c>
      <c r="C1791" t="s">
        <v>1672</v>
      </c>
      <c r="D1791" t="s">
        <v>1673</v>
      </c>
      <c r="E1791" t="s">
        <v>1796</v>
      </c>
      <c r="F1791" s="20">
        <v>3772.34</v>
      </c>
      <c r="I1791" s="11">
        <f t="shared" si="49"/>
        <v>45763</v>
      </c>
      <c r="J1791" s="12">
        <f t="shared" si="50"/>
        <v>168</v>
      </c>
      <c r="K1791" t="str">
        <f t="shared" ref="K1791:K1854" si="51">IF(J1791&lt;=30,"0-30",IF(J1791&lt;=90,"31-90",IF(J1791&lt;=120,"91-120",IF(J1791&lt;=180,"121-180",IF(J1791&lt;=270,"181-270",IF(J1791&lt;=360,"271-360","&gt;360"))))))</f>
        <v>121-180</v>
      </c>
      <c r="L1791" s="11">
        <v>45931</v>
      </c>
      <c r="M1791" s="23">
        <f>YEAR(Таблица1[[#This Row],[Дата отчета]])</f>
        <v>2025</v>
      </c>
    </row>
    <row r="1792" spans="1:14" x14ac:dyDescent="0.25">
      <c r="A1792" t="s">
        <v>12</v>
      </c>
      <c r="B1792" t="s">
        <v>781</v>
      </c>
      <c r="C1792" t="s">
        <v>1674</v>
      </c>
      <c r="D1792" t="s">
        <v>1675</v>
      </c>
      <c r="E1792" t="s">
        <v>1027</v>
      </c>
      <c r="F1792" s="20">
        <v>118000</v>
      </c>
      <c r="I1792" s="11">
        <f t="shared" si="49"/>
        <v>45896</v>
      </c>
      <c r="J1792" s="12">
        <f t="shared" si="50"/>
        <v>35</v>
      </c>
      <c r="K1792" t="str">
        <f t="shared" si="51"/>
        <v>31-90</v>
      </c>
      <c r="L1792" s="11">
        <v>45931</v>
      </c>
      <c r="M1792" s="23">
        <f>YEAR(Таблица1[[#This Row],[Дата отчета]])</f>
        <v>2025</v>
      </c>
    </row>
    <row r="1793" spans="1:14" x14ac:dyDescent="0.25">
      <c r="A1793" t="s">
        <v>12</v>
      </c>
      <c r="B1793" t="s">
        <v>1676</v>
      </c>
      <c r="C1793" t="s">
        <v>1677</v>
      </c>
      <c r="D1793" t="s">
        <v>1678</v>
      </c>
      <c r="E1793" t="s">
        <v>91</v>
      </c>
      <c r="F1793" s="20">
        <v>125249.76</v>
      </c>
      <c r="I1793" s="11">
        <f t="shared" si="49"/>
        <v>45723</v>
      </c>
      <c r="J1793" s="12">
        <f t="shared" si="50"/>
        <v>208</v>
      </c>
      <c r="K1793" t="str">
        <f t="shared" si="51"/>
        <v>181-270</v>
      </c>
      <c r="L1793" s="11">
        <v>45931</v>
      </c>
      <c r="M1793" s="23">
        <f>YEAR(Таблица1[[#This Row],[Дата отчета]])</f>
        <v>2025</v>
      </c>
    </row>
    <row r="1794" spans="1:14" x14ac:dyDescent="0.25">
      <c r="A1794" t="s">
        <v>12</v>
      </c>
      <c r="B1794" t="s">
        <v>784</v>
      </c>
      <c r="C1794" t="s">
        <v>1679</v>
      </c>
      <c r="D1794" t="s">
        <v>1680</v>
      </c>
      <c r="E1794" t="s">
        <v>1776</v>
      </c>
      <c r="F1794" s="20">
        <v>4800</v>
      </c>
      <c r="I1794" s="11">
        <f t="shared" si="49"/>
        <v>45882</v>
      </c>
      <c r="J1794" s="12">
        <f t="shared" si="50"/>
        <v>49</v>
      </c>
      <c r="K1794" t="str">
        <f t="shared" si="51"/>
        <v>31-90</v>
      </c>
      <c r="L1794" s="11">
        <v>45931</v>
      </c>
      <c r="M1794" s="23">
        <f>YEAR(Таблица1[[#This Row],[Дата отчета]])</f>
        <v>2025</v>
      </c>
    </row>
    <row r="1795" spans="1:14" x14ac:dyDescent="0.25">
      <c r="A1795" t="s">
        <v>12</v>
      </c>
      <c r="B1795" t="s">
        <v>784</v>
      </c>
      <c r="C1795" t="s">
        <v>1681</v>
      </c>
      <c r="D1795" t="s">
        <v>1682</v>
      </c>
      <c r="E1795" t="s">
        <v>635</v>
      </c>
      <c r="F1795" s="20">
        <v>4850</v>
      </c>
      <c r="I1795" s="11">
        <f t="shared" si="49"/>
        <v>45910</v>
      </c>
      <c r="J1795" s="12">
        <f t="shared" si="50"/>
        <v>21</v>
      </c>
      <c r="K1795" t="str">
        <f t="shared" si="51"/>
        <v>0-30</v>
      </c>
      <c r="L1795" s="11">
        <v>45931</v>
      </c>
      <c r="M1795" s="23">
        <f>YEAR(Таблица1[[#This Row],[Дата отчета]])</f>
        <v>2025</v>
      </c>
    </row>
    <row r="1796" spans="1:14" x14ac:dyDescent="0.25">
      <c r="A1796" t="s">
        <v>12</v>
      </c>
      <c r="B1796" t="s">
        <v>784</v>
      </c>
      <c r="C1796" t="s">
        <v>1683</v>
      </c>
      <c r="D1796" t="s">
        <v>1684</v>
      </c>
      <c r="E1796" t="s">
        <v>345</v>
      </c>
      <c r="F1796" s="20">
        <v>193140</v>
      </c>
      <c r="I1796" s="11">
        <f t="shared" si="49"/>
        <v>45919</v>
      </c>
      <c r="J1796" s="12">
        <f t="shared" si="50"/>
        <v>12</v>
      </c>
      <c r="K1796" t="str">
        <f t="shared" si="51"/>
        <v>0-30</v>
      </c>
      <c r="L1796" s="11">
        <v>45931</v>
      </c>
      <c r="M1796" s="23">
        <f>YEAR(Таблица1[[#This Row],[Дата отчета]])</f>
        <v>2025</v>
      </c>
    </row>
    <row r="1797" spans="1:14" x14ac:dyDescent="0.25">
      <c r="A1797" t="s">
        <v>12</v>
      </c>
      <c r="B1797" t="s">
        <v>784</v>
      </c>
      <c r="C1797" t="s">
        <v>791</v>
      </c>
      <c r="D1797" t="s">
        <v>792</v>
      </c>
      <c r="E1797" t="s">
        <v>345</v>
      </c>
      <c r="F1797" s="20">
        <v>88350</v>
      </c>
      <c r="I1797" s="11">
        <f t="shared" si="49"/>
        <v>45919</v>
      </c>
      <c r="J1797" s="12">
        <f t="shared" si="50"/>
        <v>12</v>
      </c>
      <c r="K1797" t="str">
        <f t="shared" si="51"/>
        <v>0-30</v>
      </c>
      <c r="L1797" s="11">
        <v>45931</v>
      </c>
      <c r="M1797" s="23">
        <f>YEAR(Таблица1[[#This Row],[Дата отчета]])</f>
        <v>2025</v>
      </c>
    </row>
    <row r="1798" spans="1:14" x14ac:dyDescent="0.25">
      <c r="A1798" t="s">
        <v>12</v>
      </c>
      <c r="B1798" t="s">
        <v>793</v>
      </c>
      <c r="C1798" t="s">
        <v>794</v>
      </c>
      <c r="D1798" t="s">
        <v>795</v>
      </c>
      <c r="E1798" t="s">
        <v>796</v>
      </c>
      <c r="F1798" s="20">
        <v>650</v>
      </c>
      <c r="I1798" s="11">
        <f t="shared" si="49"/>
        <v>44889</v>
      </c>
      <c r="J1798" s="12">
        <f t="shared" si="50"/>
        <v>1042</v>
      </c>
      <c r="K1798" t="str">
        <f t="shared" si="51"/>
        <v>&gt;360</v>
      </c>
      <c r="L1798" s="11">
        <v>45931</v>
      </c>
      <c r="M1798" s="23">
        <f>YEAR(Таблица1[[#This Row],[Дата отчета]])</f>
        <v>2025</v>
      </c>
      <c r="N1798" s="2" t="s">
        <v>807</v>
      </c>
    </row>
    <row r="1799" spans="1:14" x14ac:dyDescent="0.25">
      <c r="A1799" t="s">
        <v>12</v>
      </c>
      <c r="B1799" t="s">
        <v>1224</v>
      </c>
      <c r="C1799" t="s">
        <v>1234</v>
      </c>
      <c r="D1799" t="s">
        <v>1251</v>
      </c>
      <c r="E1799" t="s">
        <v>1258</v>
      </c>
      <c r="F1799" s="20">
        <v>12</v>
      </c>
      <c r="I1799" s="11">
        <f t="shared" si="49"/>
        <v>45288</v>
      </c>
      <c r="J1799" s="12">
        <f t="shared" si="50"/>
        <v>643</v>
      </c>
      <c r="K1799" t="str">
        <f t="shared" si="51"/>
        <v>&gt;360</v>
      </c>
      <c r="L1799" s="11">
        <v>45931</v>
      </c>
      <c r="M1799" s="23">
        <f>YEAR(Таблица1[[#This Row],[Дата отчета]])</f>
        <v>2025</v>
      </c>
    </row>
    <row r="1800" spans="1:14" x14ac:dyDescent="0.25">
      <c r="A1800" t="s">
        <v>12</v>
      </c>
      <c r="B1800" t="s">
        <v>801</v>
      </c>
      <c r="C1800" t="s">
        <v>802</v>
      </c>
      <c r="D1800" t="s">
        <v>803</v>
      </c>
      <c r="E1800" t="s">
        <v>161</v>
      </c>
      <c r="F1800" s="20">
        <v>1117.75</v>
      </c>
      <c r="I1800" s="11">
        <f t="shared" si="49"/>
        <v>45890</v>
      </c>
      <c r="J1800" s="12">
        <f t="shared" si="50"/>
        <v>41</v>
      </c>
      <c r="K1800" t="str">
        <f t="shared" si="51"/>
        <v>31-90</v>
      </c>
      <c r="L1800" s="11">
        <v>45931</v>
      </c>
      <c r="M1800" s="23">
        <f>YEAR(Таблица1[[#This Row],[Дата отчета]])</f>
        <v>2025</v>
      </c>
    </row>
    <row r="1801" spans="1:14" x14ac:dyDescent="0.25">
      <c r="A1801" t="s">
        <v>12</v>
      </c>
      <c r="B1801" t="s">
        <v>804</v>
      </c>
      <c r="C1801" t="s">
        <v>805</v>
      </c>
      <c r="D1801" t="s">
        <v>806</v>
      </c>
      <c r="E1801" t="s">
        <v>276</v>
      </c>
      <c r="F1801" s="20">
        <v>8840</v>
      </c>
      <c r="I1801" s="11">
        <f t="shared" si="49"/>
        <v>45827</v>
      </c>
      <c r="J1801" s="12">
        <f t="shared" si="50"/>
        <v>104</v>
      </c>
      <c r="K1801" t="str">
        <f t="shared" si="51"/>
        <v>91-120</v>
      </c>
      <c r="L1801" s="11">
        <v>45931</v>
      </c>
      <c r="M1801" s="23">
        <f>YEAR(Таблица1[[#This Row],[Дата отчета]])</f>
        <v>2025</v>
      </c>
    </row>
    <row r="1802" spans="1:14" x14ac:dyDescent="0.25">
      <c r="A1802" t="s">
        <v>12</v>
      </c>
      <c r="B1802" t="s">
        <v>804</v>
      </c>
      <c r="C1802" t="s">
        <v>819</v>
      </c>
      <c r="D1802" t="s">
        <v>820</v>
      </c>
      <c r="E1802" t="s">
        <v>821</v>
      </c>
      <c r="F1802" s="20">
        <v>56500</v>
      </c>
      <c r="I1802" s="11">
        <f t="shared" si="49"/>
        <v>45924</v>
      </c>
      <c r="J1802" s="12">
        <f t="shared" si="50"/>
        <v>7</v>
      </c>
      <c r="K1802" t="str">
        <f t="shared" si="51"/>
        <v>0-30</v>
      </c>
      <c r="L1802" s="11">
        <v>45931</v>
      </c>
      <c r="M1802" s="23">
        <f>YEAR(Таблица1[[#This Row],[Дата отчета]])</f>
        <v>2025</v>
      </c>
    </row>
    <row r="1803" spans="1:14" x14ac:dyDescent="0.25">
      <c r="A1803" t="s">
        <v>12</v>
      </c>
      <c r="B1803" t="s">
        <v>1685</v>
      </c>
      <c r="C1803" t="s">
        <v>1686</v>
      </c>
      <c r="D1803" t="s">
        <v>1687</v>
      </c>
      <c r="E1803" t="s">
        <v>1809</v>
      </c>
      <c r="F1803" s="20">
        <v>33700</v>
      </c>
      <c r="I1803" s="11">
        <f t="shared" ref="I1803:I1866" si="52">E1803*1</f>
        <v>45644</v>
      </c>
      <c r="J1803" s="12">
        <f t="shared" ref="J1803:J1866" si="53">L1803-I1803</f>
        <v>287</v>
      </c>
      <c r="K1803" t="str">
        <f t="shared" si="51"/>
        <v>271-360</v>
      </c>
      <c r="L1803" s="11">
        <v>45931</v>
      </c>
      <c r="M1803" s="23">
        <f>YEAR(Таблица1[[#This Row],[Дата отчета]])</f>
        <v>2025</v>
      </c>
    </row>
    <row r="1804" spans="1:14" x14ac:dyDescent="0.25">
      <c r="A1804" t="s">
        <v>12</v>
      </c>
      <c r="B1804" t="s">
        <v>1685</v>
      </c>
      <c r="C1804" t="s">
        <v>1688</v>
      </c>
      <c r="D1804" t="s">
        <v>1689</v>
      </c>
      <c r="E1804" t="s">
        <v>1777</v>
      </c>
      <c r="F1804" s="20">
        <v>6700</v>
      </c>
      <c r="I1804" s="11">
        <f t="shared" si="52"/>
        <v>45911</v>
      </c>
      <c r="J1804" s="12">
        <f t="shared" si="53"/>
        <v>20</v>
      </c>
      <c r="K1804" t="str">
        <f t="shared" si="51"/>
        <v>0-30</v>
      </c>
      <c r="L1804" s="11">
        <v>45931</v>
      </c>
      <c r="M1804" s="23">
        <f>YEAR(Таблица1[[#This Row],[Дата отчета]])</f>
        <v>2025</v>
      </c>
    </row>
    <row r="1805" spans="1:14" x14ac:dyDescent="0.25">
      <c r="A1805" t="s">
        <v>12</v>
      </c>
      <c r="B1805" t="s">
        <v>1685</v>
      </c>
      <c r="C1805" t="s">
        <v>1690</v>
      </c>
      <c r="D1805" t="s">
        <v>1691</v>
      </c>
      <c r="E1805" t="s">
        <v>195</v>
      </c>
      <c r="F1805" s="20">
        <v>36200</v>
      </c>
      <c r="I1805" s="11">
        <f t="shared" si="52"/>
        <v>45916</v>
      </c>
      <c r="J1805" s="12">
        <f t="shared" si="53"/>
        <v>15</v>
      </c>
      <c r="K1805" t="str">
        <f t="shared" si="51"/>
        <v>0-30</v>
      </c>
      <c r="L1805" s="11">
        <v>45931</v>
      </c>
      <c r="M1805" s="23">
        <f>YEAR(Таблица1[[#This Row],[Дата отчета]])</f>
        <v>2025</v>
      </c>
    </row>
    <row r="1806" spans="1:14" x14ac:dyDescent="0.25">
      <c r="A1806" t="s">
        <v>12</v>
      </c>
      <c r="B1806" t="s">
        <v>831</v>
      </c>
      <c r="C1806" t="s">
        <v>832</v>
      </c>
      <c r="D1806" t="s">
        <v>833</v>
      </c>
      <c r="E1806" t="s">
        <v>834</v>
      </c>
      <c r="F1806" s="20">
        <v>1.8</v>
      </c>
      <c r="I1806" s="11">
        <f t="shared" si="52"/>
        <v>45824</v>
      </c>
      <c r="J1806" s="12">
        <f t="shared" si="53"/>
        <v>107</v>
      </c>
      <c r="K1806" t="str">
        <f t="shared" si="51"/>
        <v>91-120</v>
      </c>
      <c r="L1806" s="11">
        <v>45931</v>
      </c>
      <c r="M1806" s="23">
        <f>YEAR(Таблица1[[#This Row],[Дата отчета]])</f>
        <v>2025</v>
      </c>
    </row>
    <row r="1807" spans="1:14" x14ac:dyDescent="0.25">
      <c r="A1807" t="s">
        <v>12</v>
      </c>
      <c r="B1807" t="s">
        <v>838</v>
      </c>
      <c r="C1807" t="s">
        <v>839</v>
      </c>
      <c r="D1807" t="s">
        <v>840</v>
      </c>
      <c r="E1807" t="s">
        <v>841</v>
      </c>
      <c r="F1807" s="20">
        <v>21420</v>
      </c>
      <c r="I1807" s="11">
        <f t="shared" si="52"/>
        <v>45925</v>
      </c>
      <c r="J1807" s="12">
        <f t="shared" si="53"/>
        <v>6</v>
      </c>
      <c r="K1807" t="str">
        <f t="shared" si="51"/>
        <v>0-30</v>
      </c>
      <c r="L1807" s="11">
        <v>45931</v>
      </c>
      <c r="M1807" s="23">
        <f>YEAR(Таблица1[[#This Row],[Дата отчета]])</f>
        <v>2025</v>
      </c>
    </row>
    <row r="1808" spans="1:14" x14ac:dyDescent="0.25">
      <c r="A1808" t="s">
        <v>12</v>
      </c>
      <c r="B1808" t="s">
        <v>838</v>
      </c>
      <c r="C1808" t="s">
        <v>842</v>
      </c>
      <c r="D1808" t="s">
        <v>843</v>
      </c>
      <c r="E1808" t="s">
        <v>841</v>
      </c>
      <c r="F1808" s="20">
        <v>26000</v>
      </c>
      <c r="I1808" s="11">
        <f t="shared" si="52"/>
        <v>45925</v>
      </c>
      <c r="J1808" s="12">
        <f t="shared" si="53"/>
        <v>6</v>
      </c>
      <c r="K1808" t="str">
        <f t="shared" si="51"/>
        <v>0-30</v>
      </c>
      <c r="L1808" s="11">
        <v>45931</v>
      </c>
      <c r="M1808" s="23">
        <f>YEAR(Таблица1[[#This Row],[Дата отчета]])</f>
        <v>2025</v>
      </c>
    </row>
    <row r="1809" spans="1:14" x14ac:dyDescent="0.25">
      <c r="A1809" t="s">
        <v>12</v>
      </c>
      <c r="B1809" t="s">
        <v>844</v>
      </c>
      <c r="C1809" t="s">
        <v>845</v>
      </c>
      <c r="D1809" t="s">
        <v>846</v>
      </c>
      <c r="E1809" t="s">
        <v>847</v>
      </c>
      <c r="F1809" s="20">
        <v>11834</v>
      </c>
      <c r="I1809" s="11">
        <f t="shared" si="52"/>
        <v>45200</v>
      </c>
      <c r="J1809" s="12">
        <f t="shared" si="53"/>
        <v>731</v>
      </c>
      <c r="K1809" t="str">
        <f t="shared" si="51"/>
        <v>&gt;360</v>
      </c>
      <c r="L1809" s="11">
        <v>45931</v>
      </c>
      <c r="M1809" s="23">
        <f>YEAR(Таблица1[[#This Row],[Дата отчета]])</f>
        <v>2025</v>
      </c>
      <c r="N1809" s="2" t="s">
        <v>807</v>
      </c>
    </row>
    <row r="1810" spans="1:14" x14ac:dyDescent="0.25">
      <c r="A1810" t="s">
        <v>12</v>
      </c>
      <c r="B1810" t="s">
        <v>854</v>
      </c>
      <c r="C1810" t="s">
        <v>855</v>
      </c>
      <c r="D1810" t="s">
        <v>856</v>
      </c>
      <c r="E1810" t="s">
        <v>773</v>
      </c>
      <c r="F1810" s="20">
        <v>3000</v>
      </c>
      <c r="I1810" s="11">
        <f t="shared" si="52"/>
        <v>45888</v>
      </c>
      <c r="J1810" s="12">
        <f t="shared" si="53"/>
        <v>43</v>
      </c>
      <c r="K1810" t="str">
        <f t="shared" si="51"/>
        <v>31-90</v>
      </c>
      <c r="L1810" s="11">
        <v>45931</v>
      </c>
      <c r="M1810" s="23">
        <f>YEAR(Таблица1[[#This Row],[Дата отчета]])</f>
        <v>2025</v>
      </c>
    </row>
    <row r="1811" spans="1:14" x14ac:dyDescent="0.25">
      <c r="A1811" t="s">
        <v>12</v>
      </c>
      <c r="B1811" t="s">
        <v>854</v>
      </c>
      <c r="C1811" t="s">
        <v>857</v>
      </c>
      <c r="D1811" t="s">
        <v>858</v>
      </c>
      <c r="E1811" t="s">
        <v>859</v>
      </c>
      <c r="F1811" s="20">
        <v>9250</v>
      </c>
      <c r="I1811" s="11">
        <f t="shared" si="52"/>
        <v>45110</v>
      </c>
      <c r="J1811" s="12">
        <f t="shared" si="53"/>
        <v>821</v>
      </c>
      <c r="K1811" t="str">
        <f t="shared" si="51"/>
        <v>&gt;360</v>
      </c>
      <c r="L1811" s="11">
        <v>45931</v>
      </c>
      <c r="M1811" s="23">
        <f>YEAR(Таблица1[[#This Row],[Дата отчета]])</f>
        <v>2025</v>
      </c>
      <c r="N1811" s="2" t="s">
        <v>807</v>
      </c>
    </row>
    <row r="1812" spans="1:14" x14ac:dyDescent="0.25">
      <c r="A1812" t="s">
        <v>12</v>
      </c>
      <c r="B1812" t="s">
        <v>854</v>
      </c>
      <c r="C1812" t="s">
        <v>860</v>
      </c>
      <c r="D1812" t="s">
        <v>861</v>
      </c>
      <c r="E1812" t="s">
        <v>862</v>
      </c>
      <c r="F1812" s="20">
        <v>4996</v>
      </c>
      <c r="I1812" s="11">
        <f t="shared" si="52"/>
        <v>45187</v>
      </c>
      <c r="J1812" s="12">
        <f t="shared" si="53"/>
        <v>744</v>
      </c>
      <c r="K1812" t="str">
        <f t="shared" si="51"/>
        <v>&gt;360</v>
      </c>
      <c r="L1812" s="11">
        <v>45931</v>
      </c>
      <c r="M1812" s="23">
        <f>YEAR(Таблица1[[#This Row],[Дата отчета]])</f>
        <v>2025</v>
      </c>
      <c r="N1812" s="2" t="s">
        <v>807</v>
      </c>
    </row>
    <row r="1813" spans="1:14" x14ac:dyDescent="0.25">
      <c r="A1813" t="s">
        <v>12</v>
      </c>
      <c r="B1813" t="s">
        <v>854</v>
      </c>
      <c r="C1813" t="s">
        <v>863</v>
      </c>
      <c r="D1813" t="s">
        <v>864</v>
      </c>
      <c r="E1813" t="s">
        <v>865</v>
      </c>
      <c r="F1813" s="20">
        <v>3100</v>
      </c>
      <c r="I1813" s="11">
        <f t="shared" si="52"/>
        <v>45456</v>
      </c>
      <c r="J1813" s="12">
        <f t="shared" si="53"/>
        <v>475</v>
      </c>
      <c r="K1813" t="str">
        <f t="shared" si="51"/>
        <v>&gt;360</v>
      </c>
      <c r="L1813" s="11">
        <v>45931</v>
      </c>
      <c r="M1813" s="23">
        <f>YEAR(Таблица1[[#This Row],[Дата отчета]])</f>
        <v>2025</v>
      </c>
      <c r="N1813" s="2" t="s">
        <v>807</v>
      </c>
    </row>
    <row r="1814" spans="1:14" x14ac:dyDescent="0.25">
      <c r="A1814" t="s">
        <v>12</v>
      </c>
      <c r="B1814" t="s">
        <v>854</v>
      </c>
      <c r="C1814" t="s">
        <v>866</v>
      </c>
      <c r="D1814" t="s">
        <v>867</v>
      </c>
      <c r="E1814" t="s">
        <v>868</v>
      </c>
      <c r="F1814" s="20">
        <v>2640</v>
      </c>
      <c r="I1814" s="11">
        <f t="shared" si="52"/>
        <v>45252</v>
      </c>
      <c r="J1814" s="12">
        <f t="shared" si="53"/>
        <v>679</v>
      </c>
      <c r="K1814" t="str">
        <f t="shared" si="51"/>
        <v>&gt;360</v>
      </c>
      <c r="L1814" s="11">
        <v>45931</v>
      </c>
      <c r="M1814" s="23">
        <f>YEAR(Таблица1[[#This Row],[Дата отчета]])</f>
        <v>2025</v>
      </c>
      <c r="N1814" s="2" t="s">
        <v>807</v>
      </c>
    </row>
    <row r="1815" spans="1:14" x14ac:dyDescent="0.25">
      <c r="A1815" t="s">
        <v>12</v>
      </c>
      <c r="B1815" t="s">
        <v>854</v>
      </c>
      <c r="C1815" t="s">
        <v>883</v>
      </c>
      <c r="D1815" t="s">
        <v>884</v>
      </c>
      <c r="E1815" t="s">
        <v>885</v>
      </c>
      <c r="F1815" s="20">
        <v>26390</v>
      </c>
      <c r="I1815" s="11">
        <f t="shared" si="52"/>
        <v>45783</v>
      </c>
      <c r="J1815" s="12">
        <f t="shared" si="53"/>
        <v>148</v>
      </c>
      <c r="K1815" t="str">
        <f t="shared" si="51"/>
        <v>121-180</v>
      </c>
      <c r="L1815" s="11">
        <v>45931</v>
      </c>
      <c r="M1815" s="23">
        <f>YEAR(Таблица1[[#This Row],[Дата отчета]])</f>
        <v>2025</v>
      </c>
    </row>
    <row r="1816" spans="1:14" x14ac:dyDescent="0.25">
      <c r="A1816" t="s">
        <v>12</v>
      </c>
      <c r="B1816" t="s">
        <v>854</v>
      </c>
      <c r="C1816" t="s">
        <v>883</v>
      </c>
      <c r="D1816" t="s">
        <v>886</v>
      </c>
      <c r="E1816" t="s">
        <v>669</v>
      </c>
      <c r="F1816" s="20">
        <v>2000</v>
      </c>
      <c r="I1816" s="11">
        <f t="shared" si="52"/>
        <v>45930</v>
      </c>
      <c r="J1816" s="12">
        <f t="shared" si="53"/>
        <v>1</v>
      </c>
      <c r="K1816" t="str">
        <f t="shared" si="51"/>
        <v>0-30</v>
      </c>
      <c r="L1816" s="11">
        <v>45931</v>
      </c>
      <c r="M1816" s="23">
        <f>YEAR(Таблица1[[#This Row],[Дата отчета]])</f>
        <v>2025</v>
      </c>
    </row>
    <row r="1817" spans="1:14" x14ac:dyDescent="0.25">
      <c r="A1817" t="s">
        <v>12</v>
      </c>
      <c r="B1817" t="s">
        <v>854</v>
      </c>
      <c r="C1817" t="s">
        <v>888</v>
      </c>
      <c r="D1817" t="s">
        <v>889</v>
      </c>
      <c r="E1817" t="s">
        <v>890</v>
      </c>
      <c r="F1817" s="20">
        <v>3000</v>
      </c>
      <c r="I1817" s="11">
        <f t="shared" si="52"/>
        <v>45894</v>
      </c>
      <c r="J1817" s="12">
        <f t="shared" si="53"/>
        <v>37</v>
      </c>
      <c r="K1817" t="str">
        <f t="shared" si="51"/>
        <v>31-90</v>
      </c>
      <c r="L1817" s="11">
        <v>45931</v>
      </c>
      <c r="M1817" s="23">
        <f>YEAR(Таблица1[[#This Row],[Дата отчета]])</f>
        <v>2025</v>
      </c>
    </row>
    <row r="1818" spans="1:14" x14ac:dyDescent="0.25">
      <c r="A1818" t="s">
        <v>12</v>
      </c>
      <c r="B1818" t="s">
        <v>854</v>
      </c>
      <c r="C1818" t="s">
        <v>891</v>
      </c>
      <c r="D1818" t="s">
        <v>892</v>
      </c>
      <c r="E1818" t="s">
        <v>893</v>
      </c>
      <c r="F1818" s="20">
        <v>29300</v>
      </c>
      <c r="I1818" s="11">
        <f t="shared" si="52"/>
        <v>45898</v>
      </c>
      <c r="J1818" s="12">
        <f t="shared" si="53"/>
        <v>33</v>
      </c>
      <c r="K1818" t="str">
        <f t="shared" si="51"/>
        <v>31-90</v>
      </c>
      <c r="L1818" s="11">
        <v>45931</v>
      </c>
      <c r="M1818" s="23">
        <f>YEAR(Таблица1[[#This Row],[Дата отчета]])</f>
        <v>2025</v>
      </c>
    </row>
    <row r="1819" spans="1:14" x14ac:dyDescent="0.25">
      <c r="A1819" t="s">
        <v>12</v>
      </c>
      <c r="B1819" t="s">
        <v>854</v>
      </c>
      <c r="C1819" t="s">
        <v>1692</v>
      </c>
      <c r="D1819" t="s">
        <v>1693</v>
      </c>
      <c r="E1819" t="s">
        <v>1769</v>
      </c>
      <c r="F1819" s="20">
        <v>15576</v>
      </c>
      <c r="I1819" s="11">
        <f t="shared" si="52"/>
        <v>45923</v>
      </c>
      <c r="J1819" s="12">
        <f t="shared" si="53"/>
        <v>8</v>
      </c>
      <c r="K1819" t="str">
        <f t="shared" si="51"/>
        <v>0-30</v>
      </c>
      <c r="L1819" s="11">
        <v>45931</v>
      </c>
      <c r="M1819" s="23">
        <f>YEAR(Таблица1[[#This Row],[Дата отчета]])</f>
        <v>2025</v>
      </c>
    </row>
    <row r="1820" spans="1:14" x14ac:dyDescent="0.25">
      <c r="A1820" t="s">
        <v>12</v>
      </c>
      <c r="B1820" t="s">
        <v>854</v>
      </c>
      <c r="C1820" t="s">
        <v>1694</v>
      </c>
      <c r="D1820" t="s">
        <v>1695</v>
      </c>
      <c r="E1820" t="s">
        <v>1207</v>
      </c>
      <c r="F1820" s="20">
        <v>88516</v>
      </c>
      <c r="I1820" s="11">
        <f t="shared" si="52"/>
        <v>45926</v>
      </c>
      <c r="J1820" s="12">
        <f t="shared" si="53"/>
        <v>5</v>
      </c>
      <c r="K1820" t="str">
        <f t="shared" si="51"/>
        <v>0-30</v>
      </c>
      <c r="L1820" s="11">
        <v>45931</v>
      </c>
      <c r="M1820" s="23">
        <f>YEAR(Таблица1[[#This Row],[Дата отчета]])</f>
        <v>2025</v>
      </c>
    </row>
    <row r="1821" spans="1:14" x14ac:dyDescent="0.25">
      <c r="A1821" t="s">
        <v>12</v>
      </c>
      <c r="B1821" t="s">
        <v>854</v>
      </c>
      <c r="C1821" t="s">
        <v>1696</v>
      </c>
      <c r="D1821" t="s">
        <v>1697</v>
      </c>
      <c r="E1821" t="s">
        <v>1207</v>
      </c>
      <c r="F1821" s="20">
        <v>203196</v>
      </c>
      <c r="I1821" s="11">
        <f t="shared" si="52"/>
        <v>45926</v>
      </c>
      <c r="J1821" s="12">
        <f t="shared" si="53"/>
        <v>5</v>
      </c>
      <c r="K1821" t="str">
        <f t="shared" si="51"/>
        <v>0-30</v>
      </c>
      <c r="L1821" s="11">
        <v>45931</v>
      </c>
      <c r="M1821" s="23">
        <f>YEAR(Таблица1[[#This Row],[Дата отчета]])</f>
        <v>2025</v>
      </c>
    </row>
    <row r="1822" spans="1:14" x14ac:dyDescent="0.25">
      <c r="A1822" t="s">
        <v>12</v>
      </c>
      <c r="B1822" t="s">
        <v>854</v>
      </c>
      <c r="C1822" t="s">
        <v>1201</v>
      </c>
      <c r="D1822" t="s">
        <v>1202</v>
      </c>
      <c r="E1822" t="s">
        <v>669</v>
      </c>
      <c r="F1822" s="20">
        <v>7108</v>
      </c>
      <c r="I1822" s="11">
        <f t="shared" si="52"/>
        <v>45930</v>
      </c>
      <c r="J1822" s="12">
        <f t="shared" si="53"/>
        <v>1</v>
      </c>
      <c r="K1822" t="str">
        <f t="shared" si="51"/>
        <v>0-30</v>
      </c>
      <c r="L1822" s="11">
        <v>45931</v>
      </c>
      <c r="M1822" s="23">
        <f>YEAR(Таблица1[[#This Row],[Дата отчета]])</f>
        <v>2025</v>
      </c>
    </row>
    <row r="1823" spans="1:14" x14ac:dyDescent="0.25">
      <c r="A1823" t="s">
        <v>12</v>
      </c>
      <c r="B1823" t="s">
        <v>894</v>
      </c>
      <c r="C1823" t="s">
        <v>895</v>
      </c>
      <c r="D1823" t="s">
        <v>896</v>
      </c>
      <c r="E1823" t="s">
        <v>897</v>
      </c>
      <c r="F1823" s="20">
        <v>2400</v>
      </c>
      <c r="I1823" s="11">
        <f t="shared" si="52"/>
        <v>45022</v>
      </c>
      <c r="J1823" s="12">
        <f t="shared" si="53"/>
        <v>909</v>
      </c>
      <c r="K1823" t="str">
        <f t="shared" si="51"/>
        <v>&gt;360</v>
      </c>
      <c r="L1823" s="11">
        <v>45931</v>
      </c>
      <c r="M1823" s="23">
        <f>YEAR(Таблица1[[#This Row],[Дата отчета]])</f>
        <v>2025</v>
      </c>
      <c r="N1823" s="2" t="s">
        <v>807</v>
      </c>
    </row>
    <row r="1824" spans="1:14" x14ac:dyDescent="0.25">
      <c r="A1824" t="s">
        <v>12</v>
      </c>
      <c r="B1824" t="s">
        <v>894</v>
      </c>
      <c r="C1824" t="s">
        <v>898</v>
      </c>
      <c r="D1824" t="s">
        <v>899</v>
      </c>
      <c r="E1824" t="s">
        <v>900</v>
      </c>
      <c r="F1824" s="20">
        <v>22029</v>
      </c>
      <c r="I1824" s="11">
        <f t="shared" si="52"/>
        <v>45203</v>
      </c>
      <c r="J1824" s="12">
        <f t="shared" si="53"/>
        <v>728</v>
      </c>
      <c r="K1824" t="str">
        <f t="shared" si="51"/>
        <v>&gt;360</v>
      </c>
      <c r="L1824" s="11">
        <v>45931</v>
      </c>
      <c r="M1824" s="23">
        <f>YEAR(Таблица1[[#This Row],[Дата отчета]])</f>
        <v>2025</v>
      </c>
      <c r="N1824" s="2" t="s">
        <v>807</v>
      </c>
    </row>
    <row r="1825" spans="1:14" x14ac:dyDescent="0.25">
      <c r="A1825" t="s">
        <v>12</v>
      </c>
      <c r="B1825" t="s">
        <v>901</v>
      </c>
      <c r="C1825" t="s">
        <v>775</v>
      </c>
      <c r="D1825" t="s">
        <v>902</v>
      </c>
      <c r="E1825" t="s">
        <v>903</v>
      </c>
      <c r="F1825" s="20">
        <v>270</v>
      </c>
      <c r="I1825" s="11">
        <f t="shared" si="52"/>
        <v>43679</v>
      </c>
      <c r="J1825" s="12">
        <f t="shared" si="53"/>
        <v>2252</v>
      </c>
      <c r="K1825" t="str">
        <f t="shared" si="51"/>
        <v>&gt;360</v>
      </c>
      <c r="L1825" s="11">
        <v>45931</v>
      </c>
      <c r="M1825" s="23">
        <f>YEAR(Таблица1[[#This Row],[Дата отчета]])</f>
        <v>2025</v>
      </c>
      <c r="N1825" s="2" t="s">
        <v>807</v>
      </c>
    </row>
    <row r="1826" spans="1:14" x14ac:dyDescent="0.25">
      <c r="A1826" t="s">
        <v>12</v>
      </c>
      <c r="B1826" t="s">
        <v>904</v>
      </c>
      <c r="C1826" t="s">
        <v>905</v>
      </c>
      <c r="D1826" t="s">
        <v>906</v>
      </c>
      <c r="E1826" t="s">
        <v>907</v>
      </c>
      <c r="F1826" s="20">
        <v>479100</v>
      </c>
      <c r="I1826" s="11">
        <f t="shared" si="52"/>
        <v>45909</v>
      </c>
      <c r="J1826" s="12">
        <f t="shared" si="53"/>
        <v>22</v>
      </c>
      <c r="K1826" t="str">
        <f t="shared" si="51"/>
        <v>0-30</v>
      </c>
      <c r="L1826" s="11">
        <v>45931</v>
      </c>
      <c r="M1826" s="23">
        <f>YEAR(Таблица1[[#This Row],[Дата отчета]])</f>
        <v>2025</v>
      </c>
    </row>
    <row r="1827" spans="1:14" x14ac:dyDescent="0.25">
      <c r="A1827" t="s">
        <v>12</v>
      </c>
      <c r="B1827" t="s">
        <v>904</v>
      </c>
      <c r="C1827" t="s">
        <v>1698</v>
      </c>
      <c r="D1827" t="s">
        <v>1699</v>
      </c>
      <c r="E1827" t="s">
        <v>1810</v>
      </c>
      <c r="F1827" s="20">
        <v>50600</v>
      </c>
      <c r="I1827" s="11">
        <f t="shared" si="52"/>
        <v>45761</v>
      </c>
      <c r="J1827" s="12">
        <f t="shared" si="53"/>
        <v>170</v>
      </c>
      <c r="K1827" t="str">
        <f t="shared" si="51"/>
        <v>121-180</v>
      </c>
      <c r="L1827" s="11">
        <v>45931</v>
      </c>
      <c r="M1827" s="23">
        <f>YEAR(Таблица1[[#This Row],[Дата отчета]])</f>
        <v>2025</v>
      </c>
    </row>
    <row r="1828" spans="1:14" x14ac:dyDescent="0.25">
      <c r="A1828" t="s">
        <v>12</v>
      </c>
      <c r="B1828" t="s">
        <v>1700</v>
      </c>
      <c r="C1828" t="s">
        <v>1701</v>
      </c>
      <c r="D1828" t="s">
        <v>1702</v>
      </c>
      <c r="E1828" t="s">
        <v>1811</v>
      </c>
      <c r="F1828" s="20">
        <v>41290</v>
      </c>
      <c r="I1828" s="11">
        <f t="shared" si="52"/>
        <v>45840</v>
      </c>
      <c r="J1828" s="12">
        <f t="shared" si="53"/>
        <v>91</v>
      </c>
      <c r="K1828" t="str">
        <f t="shared" si="51"/>
        <v>91-120</v>
      </c>
      <c r="L1828" s="11">
        <v>45931</v>
      </c>
      <c r="M1828" s="23">
        <f>YEAR(Таблица1[[#This Row],[Дата отчета]])</f>
        <v>2025</v>
      </c>
    </row>
    <row r="1829" spans="1:14" x14ac:dyDescent="0.25">
      <c r="A1829" t="s">
        <v>12</v>
      </c>
      <c r="B1829" t="s">
        <v>1700</v>
      </c>
      <c r="C1829" t="s">
        <v>1703</v>
      </c>
      <c r="D1829" t="s">
        <v>1704</v>
      </c>
      <c r="E1829" t="s">
        <v>1811</v>
      </c>
      <c r="F1829" s="20">
        <v>4600</v>
      </c>
      <c r="I1829" s="11">
        <f t="shared" si="52"/>
        <v>45840</v>
      </c>
      <c r="J1829" s="12">
        <f t="shared" si="53"/>
        <v>91</v>
      </c>
      <c r="K1829" t="str">
        <f t="shared" si="51"/>
        <v>91-120</v>
      </c>
      <c r="L1829" s="11">
        <v>45931</v>
      </c>
      <c r="M1829" s="23">
        <f>YEAR(Таблица1[[#This Row],[Дата отчета]])</f>
        <v>2025</v>
      </c>
    </row>
    <row r="1830" spans="1:14" x14ac:dyDescent="0.25">
      <c r="A1830" t="s">
        <v>12</v>
      </c>
      <c r="B1830" t="s">
        <v>1705</v>
      </c>
      <c r="C1830" t="s">
        <v>1706</v>
      </c>
      <c r="D1830" t="s">
        <v>1707</v>
      </c>
      <c r="E1830" t="s">
        <v>1807</v>
      </c>
      <c r="F1830" s="20">
        <v>8700</v>
      </c>
      <c r="I1830" s="11">
        <f t="shared" si="52"/>
        <v>45859</v>
      </c>
      <c r="J1830" s="12">
        <f t="shared" si="53"/>
        <v>72</v>
      </c>
      <c r="K1830" t="str">
        <f t="shared" si="51"/>
        <v>31-90</v>
      </c>
      <c r="L1830" s="11">
        <v>45931</v>
      </c>
      <c r="M1830" s="23">
        <f>YEAR(Таблица1[[#This Row],[Дата отчета]])</f>
        <v>2025</v>
      </c>
    </row>
    <row r="1831" spans="1:14" x14ac:dyDescent="0.25">
      <c r="A1831" t="s">
        <v>12</v>
      </c>
      <c r="B1831" t="s">
        <v>1708</v>
      </c>
      <c r="C1831" t="s">
        <v>1709</v>
      </c>
      <c r="D1831" t="s">
        <v>1710</v>
      </c>
      <c r="E1831" t="s">
        <v>669</v>
      </c>
      <c r="F1831" s="20">
        <v>44175</v>
      </c>
      <c r="I1831" s="11">
        <f t="shared" si="52"/>
        <v>45930</v>
      </c>
      <c r="J1831" s="12">
        <f t="shared" si="53"/>
        <v>1</v>
      </c>
      <c r="K1831" t="str">
        <f t="shared" si="51"/>
        <v>0-30</v>
      </c>
      <c r="L1831" s="11">
        <v>45931</v>
      </c>
      <c r="M1831" s="23">
        <f>YEAR(Таблица1[[#This Row],[Дата отчета]])</f>
        <v>2025</v>
      </c>
    </row>
    <row r="1832" spans="1:14" x14ac:dyDescent="0.25">
      <c r="A1832" t="s">
        <v>12</v>
      </c>
      <c r="B1832" t="s">
        <v>915</v>
      </c>
      <c r="C1832" t="s">
        <v>918</v>
      </c>
      <c r="D1832" t="s">
        <v>919</v>
      </c>
      <c r="E1832" t="s">
        <v>920</v>
      </c>
      <c r="F1832" s="20">
        <v>37500</v>
      </c>
      <c r="I1832" s="11">
        <f t="shared" si="52"/>
        <v>45392</v>
      </c>
      <c r="J1832" s="12">
        <f t="shared" si="53"/>
        <v>539</v>
      </c>
      <c r="K1832" t="str">
        <f t="shared" si="51"/>
        <v>&gt;360</v>
      </c>
      <c r="L1832" s="11">
        <v>45931</v>
      </c>
      <c r="M1832" s="23">
        <f>YEAR(Таблица1[[#This Row],[Дата отчета]])</f>
        <v>2025</v>
      </c>
      <c r="N1832" s="2" t="s">
        <v>4538</v>
      </c>
    </row>
    <row r="1833" spans="1:14" x14ac:dyDescent="0.25">
      <c r="A1833" t="s">
        <v>12</v>
      </c>
      <c r="B1833" t="s">
        <v>1711</v>
      </c>
      <c r="C1833" t="s">
        <v>1712</v>
      </c>
      <c r="D1833" t="s">
        <v>1713</v>
      </c>
      <c r="E1833" t="s">
        <v>1812</v>
      </c>
      <c r="F1833" s="20">
        <v>7010</v>
      </c>
      <c r="I1833" s="11">
        <f t="shared" si="52"/>
        <v>45744</v>
      </c>
      <c r="J1833" s="12">
        <f t="shared" si="53"/>
        <v>187</v>
      </c>
      <c r="K1833" t="str">
        <f t="shared" si="51"/>
        <v>181-270</v>
      </c>
      <c r="L1833" s="11">
        <v>45931</v>
      </c>
      <c r="M1833" s="23">
        <f>YEAR(Таблица1[[#This Row],[Дата отчета]])</f>
        <v>2025</v>
      </c>
    </row>
    <row r="1834" spans="1:14" x14ac:dyDescent="0.25">
      <c r="A1834" t="s">
        <v>12</v>
      </c>
      <c r="B1834" t="s">
        <v>931</v>
      </c>
      <c r="C1834" t="s">
        <v>1714</v>
      </c>
      <c r="D1834" t="s">
        <v>1715</v>
      </c>
      <c r="E1834" t="s">
        <v>1777</v>
      </c>
      <c r="F1834" s="20">
        <v>743700</v>
      </c>
      <c r="I1834" s="11">
        <f t="shared" si="52"/>
        <v>45911</v>
      </c>
      <c r="J1834" s="12">
        <f t="shared" si="53"/>
        <v>20</v>
      </c>
      <c r="K1834" t="str">
        <f t="shared" si="51"/>
        <v>0-30</v>
      </c>
      <c r="L1834" s="11">
        <v>45931</v>
      </c>
      <c r="M1834" s="23">
        <f>YEAR(Таблица1[[#This Row],[Дата отчета]])</f>
        <v>2025</v>
      </c>
    </row>
    <row r="1835" spans="1:14" x14ac:dyDescent="0.25">
      <c r="A1835" t="s">
        <v>12</v>
      </c>
      <c r="B1835" t="s">
        <v>935</v>
      </c>
      <c r="C1835" t="s">
        <v>1203</v>
      </c>
      <c r="D1835" t="s">
        <v>1204</v>
      </c>
      <c r="E1835" t="s">
        <v>100</v>
      </c>
      <c r="F1835" s="20">
        <v>142190</v>
      </c>
      <c r="I1835" s="11">
        <f t="shared" si="52"/>
        <v>45905</v>
      </c>
      <c r="J1835" s="12">
        <f t="shared" si="53"/>
        <v>26</v>
      </c>
      <c r="K1835" t="str">
        <f t="shared" si="51"/>
        <v>0-30</v>
      </c>
      <c r="L1835" s="11">
        <v>45931</v>
      </c>
      <c r="M1835" s="23">
        <f>YEAR(Таблица1[[#This Row],[Дата отчета]])</f>
        <v>2025</v>
      </c>
    </row>
    <row r="1836" spans="1:14" x14ac:dyDescent="0.25">
      <c r="A1836" t="s">
        <v>12</v>
      </c>
      <c r="B1836" t="s">
        <v>935</v>
      </c>
      <c r="C1836" t="s">
        <v>1716</v>
      </c>
      <c r="D1836" t="s">
        <v>1717</v>
      </c>
      <c r="E1836" t="s">
        <v>100</v>
      </c>
      <c r="F1836" s="20">
        <v>260000</v>
      </c>
      <c r="I1836" s="11">
        <f t="shared" si="52"/>
        <v>45905</v>
      </c>
      <c r="J1836" s="12">
        <f t="shared" si="53"/>
        <v>26</v>
      </c>
      <c r="K1836" t="str">
        <f t="shared" si="51"/>
        <v>0-30</v>
      </c>
      <c r="L1836" s="11">
        <v>45931</v>
      </c>
      <c r="M1836" s="23">
        <f>YEAR(Таблица1[[#This Row],[Дата отчета]])</f>
        <v>2025</v>
      </c>
    </row>
    <row r="1837" spans="1:14" x14ac:dyDescent="0.25">
      <c r="A1837" t="s">
        <v>12</v>
      </c>
      <c r="B1837" t="s">
        <v>935</v>
      </c>
      <c r="C1837" t="s">
        <v>936</v>
      </c>
      <c r="D1837" t="s">
        <v>937</v>
      </c>
      <c r="E1837" t="s">
        <v>841</v>
      </c>
      <c r="F1837" s="20">
        <v>67040</v>
      </c>
      <c r="I1837" s="11">
        <f t="shared" si="52"/>
        <v>45925</v>
      </c>
      <c r="J1837" s="12">
        <f t="shared" si="53"/>
        <v>6</v>
      </c>
      <c r="K1837" t="str">
        <f t="shared" si="51"/>
        <v>0-30</v>
      </c>
      <c r="L1837" s="11">
        <v>45931</v>
      </c>
      <c r="M1837" s="23">
        <f>YEAR(Таблица1[[#This Row],[Дата отчета]])</f>
        <v>2025</v>
      </c>
    </row>
    <row r="1838" spans="1:14" x14ac:dyDescent="0.25">
      <c r="A1838" t="s">
        <v>12</v>
      </c>
      <c r="B1838" t="s">
        <v>935</v>
      </c>
      <c r="C1838" t="s">
        <v>1205</v>
      </c>
      <c r="D1838" t="s">
        <v>1206</v>
      </c>
      <c r="E1838" t="s">
        <v>1207</v>
      </c>
      <c r="F1838" s="20">
        <v>2000</v>
      </c>
      <c r="I1838" s="11">
        <f t="shared" si="52"/>
        <v>45926</v>
      </c>
      <c r="J1838" s="12">
        <f t="shared" si="53"/>
        <v>5</v>
      </c>
      <c r="K1838" t="str">
        <f t="shared" si="51"/>
        <v>0-30</v>
      </c>
      <c r="L1838" s="11">
        <v>45931</v>
      </c>
      <c r="M1838" s="23">
        <f>YEAR(Таблица1[[#This Row],[Дата отчета]])</f>
        <v>2025</v>
      </c>
    </row>
    <row r="1839" spans="1:14" x14ac:dyDescent="0.25">
      <c r="A1839" t="s">
        <v>12</v>
      </c>
      <c r="B1839" t="s">
        <v>935</v>
      </c>
      <c r="C1839" t="s">
        <v>942</v>
      </c>
      <c r="D1839" t="s">
        <v>943</v>
      </c>
      <c r="E1839" t="s">
        <v>944</v>
      </c>
      <c r="F1839" s="20">
        <v>14000</v>
      </c>
      <c r="I1839" s="11">
        <f t="shared" si="52"/>
        <v>45749</v>
      </c>
      <c r="J1839" s="12">
        <f t="shared" si="53"/>
        <v>182</v>
      </c>
      <c r="K1839" t="str">
        <f t="shared" si="51"/>
        <v>181-270</v>
      </c>
      <c r="L1839" s="11">
        <v>45931</v>
      </c>
      <c r="M1839" s="23">
        <f>YEAR(Таблица1[[#This Row],[Дата отчета]])</f>
        <v>2025</v>
      </c>
      <c r="N1839" s="7" t="s">
        <v>4538</v>
      </c>
    </row>
    <row r="1840" spans="1:14" x14ac:dyDescent="0.25">
      <c r="A1840" t="s">
        <v>12</v>
      </c>
      <c r="B1840" t="s">
        <v>1718</v>
      </c>
      <c r="C1840" t="s">
        <v>1719</v>
      </c>
      <c r="D1840" t="s">
        <v>1720</v>
      </c>
      <c r="E1840" t="s">
        <v>195</v>
      </c>
      <c r="F1840" s="20">
        <v>5976</v>
      </c>
      <c r="I1840" s="11">
        <f t="shared" si="52"/>
        <v>45916</v>
      </c>
      <c r="J1840" s="12">
        <f t="shared" si="53"/>
        <v>15</v>
      </c>
      <c r="K1840" t="str">
        <f t="shared" si="51"/>
        <v>0-30</v>
      </c>
      <c r="L1840" s="11">
        <v>45931</v>
      </c>
      <c r="M1840" s="23">
        <f>YEAR(Таблица1[[#This Row],[Дата отчета]])</f>
        <v>2025</v>
      </c>
    </row>
    <row r="1841" spans="1:16" x14ac:dyDescent="0.25">
      <c r="A1841" t="s">
        <v>12</v>
      </c>
      <c r="B1841" t="s">
        <v>1721</v>
      </c>
      <c r="C1841" t="s">
        <v>1722</v>
      </c>
      <c r="D1841" t="s">
        <v>1723</v>
      </c>
      <c r="E1841" t="s">
        <v>1769</v>
      </c>
      <c r="F1841" s="20">
        <v>20176</v>
      </c>
      <c r="I1841" s="11">
        <f t="shared" si="52"/>
        <v>45923</v>
      </c>
      <c r="J1841" s="12">
        <f t="shared" si="53"/>
        <v>8</v>
      </c>
      <c r="K1841" t="str">
        <f t="shared" si="51"/>
        <v>0-30</v>
      </c>
      <c r="L1841" s="11">
        <v>45931</v>
      </c>
      <c r="M1841" s="23">
        <f>YEAR(Таблица1[[#This Row],[Дата отчета]])</f>
        <v>2025</v>
      </c>
    </row>
    <row r="1842" spans="1:16" x14ac:dyDescent="0.25">
      <c r="A1842" t="s">
        <v>12</v>
      </c>
      <c r="B1842" t="s">
        <v>1212</v>
      </c>
      <c r="C1842" t="s">
        <v>1213</v>
      </c>
      <c r="D1842" t="s">
        <v>1214</v>
      </c>
      <c r="E1842" t="s">
        <v>635</v>
      </c>
      <c r="F1842" s="20">
        <v>5852650</v>
      </c>
      <c r="I1842" s="11">
        <f t="shared" si="52"/>
        <v>45910</v>
      </c>
      <c r="J1842" s="12">
        <f t="shared" si="53"/>
        <v>21</v>
      </c>
      <c r="K1842" t="str">
        <f t="shared" si="51"/>
        <v>0-30</v>
      </c>
      <c r="L1842" s="11">
        <v>45931</v>
      </c>
      <c r="M1842" s="23">
        <f>YEAR(Таблица1[[#This Row],[Дата отчета]])</f>
        <v>2025</v>
      </c>
    </row>
    <row r="1843" spans="1:16" x14ac:dyDescent="0.25">
      <c r="A1843" t="s">
        <v>12</v>
      </c>
      <c r="B1843" t="s">
        <v>1724</v>
      </c>
      <c r="C1843" t="s">
        <v>1725</v>
      </c>
      <c r="D1843" t="s">
        <v>1726</v>
      </c>
      <c r="E1843" t="s">
        <v>1813</v>
      </c>
      <c r="F1843" s="20">
        <v>71410</v>
      </c>
      <c r="I1843" s="11">
        <f t="shared" si="52"/>
        <v>45814</v>
      </c>
      <c r="J1843" s="12">
        <f t="shared" si="53"/>
        <v>117</v>
      </c>
      <c r="K1843" t="str">
        <f t="shared" si="51"/>
        <v>91-120</v>
      </c>
      <c r="L1843" s="11">
        <v>45931</v>
      </c>
      <c r="M1843" s="23">
        <f>YEAR(Таблица1[[#This Row],[Дата отчета]])</f>
        <v>2025</v>
      </c>
    </row>
    <row r="1844" spans="1:16" x14ac:dyDescent="0.25">
      <c r="A1844" t="s">
        <v>12</v>
      </c>
      <c r="B1844" t="s">
        <v>1727</v>
      </c>
      <c r="C1844" t="s">
        <v>1728</v>
      </c>
      <c r="D1844" t="s">
        <v>1729</v>
      </c>
      <c r="E1844" t="s">
        <v>1779</v>
      </c>
      <c r="F1844" s="20">
        <v>89060</v>
      </c>
      <c r="I1844" s="11">
        <f t="shared" si="52"/>
        <v>45818</v>
      </c>
      <c r="J1844" s="12">
        <f t="shared" si="53"/>
        <v>113</v>
      </c>
      <c r="K1844" t="str">
        <f t="shared" si="51"/>
        <v>91-120</v>
      </c>
      <c r="L1844" s="11">
        <v>45931</v>
      </c>
      <c r="M1844" s="23">
        <f>YEAR(Таблица1[[#This Row],[Дата отчета]])</f>
        <v>2025</v>
      </c>
    </row>
    <row r="1845" spans="1:16" x14ac:dyDescent="0.25">
      <c r="A1845" t="s">
        <v>12</v>
      </c>
      <c r="B1845" t="s">
        <v>965</v>
      </c>
      <c r="C1845" t="s">
        <v>966</v>
      </c>
      <c r="D1845" t="s">
        <v>967</v>
      </c>
      <c r="E1845" t="s">
        <v>968</v>
      </c>
      <c r="F1845" s="20">
        <v>252667.4</v>
      </c>
      <c r="I1845" s="11">
        <f t="shared" si="52"/>
        <v>45729</v>
      </c>
      <c r="J1845" s="12">
        <f t="shared" si="53"/>
        <v>202</v>
      </c>
      <c r="K1845" t="str">
        <f t="shared" si="51"/>
        <v>181-270</v>
      </c>
      <c r="L1845" s="11">
        <v>45931</v>
      </c>
      <c r="M1845" s="23">
        <f>YEAR(Таблица1[[#This Row],[Дата отчета]])</f>
        <v>2025</v>
      </c>
      <c r="N1845" s="7" t="s">
        <v>4536</v>
      </c>
    </row>
    <row r="1846" spans="1:16" x14ac:dyDescent="0.25">
      <c r="A1846" t="s">
        <v>12</v>
      </c>
      <c r="B1846" t="s">
        <v>980</v>
      </c>
      <c r="C1846" t="s">
        <v>981</v>
      </c>
      <c r="D1846" t="s">
        <v>982</v>
      </c>
      <c r="E1846" t="s">
        <v>983</v>
      </c>
      <c r="F1846" s="20">
        <v>31000</v>
      </c>
      <c r="I1846" s="11">
        <f t="shared" si="52"/>
        <v>45755</v>
      </c>
      <c r="J1846" s="12">
        <f t="shared" si="53"/>
        <v>176</v>
      </c>
      <c r="K1846" t="str">
        <f t="shared" si="51"/>
        <v>121-180</v>
      </c>
      <c r="L1846" s="11">
        <v>45931</v>
      </c>
      <c r="M1846" s="23">
        <f>YEAR(Таблица1[[#This Row],[Дата отчета]])</f>
        <v>2025</v>
      </c>
      <c r="N1846" s="2" t="s">
        <v>807</v>
      </c>
    </row>
    <row r="1847" spans="1:16" x14ac:dyDescent="0.25">
      <c r="A1847" t="s">
        <v>12</v>
      </c>
      <c r="B1847" t="s">
        <v>984</v>
      </c>
      <c r="C1847" t="s">
        <v>985</v>
      </c>
      <c r="D1847" t="s">
        <v>986</v>
      </c>
      <c r="E1847" t="s">
        <v>987</v>
      </c>
      <c r="F1847" s="20">
        <v>32000</v>
      </c>
      <c r="I1847" s="11">
        <f t="shared" si="52"/>
        <v>45747</v>
      </c>
      <c r="J1847" s="12">
        <f t="shared" si="53"/>
        <v>184</v>
      </c>
      <c r="K1847" t="str">
        <f t="shared" si="51"/>
        <v>181-270</v>
      </c>
      <c r="L1847" s="11">
        <v>45931</v>
      </c>
      <c r="M1847" s="23">
        <f>YEAR(Таблица1[[#This Row],[Дата отчета]])</f>
        <v>2025</v>
      </c>
      <c r="N1847" s="2" t="s">
        <v>807</v>
      </c>
    </row>
    <row r="1848" spans="1:16" x14ac:dyDescent="0.25">
      <c r="A1848" t="s">
        <v>12</v>
      </c>
      <c r="B1848" t="s">
        <v>988</v>
      </c>
      <c r="C1848" t="s">
        <v>989</v>
      </c>
      <c r="D1848" t="s">
        <v>990</v>
      </c>
      <c r="E1848" t="s">
        <v>140</v>
      </c>
      <c r="F1848" s="20">
        <v>214283.5</v>
      </c>
      <c r="I1848" s="11">
        <f t="shared" si="52"/>
        <v>45917</v>
      </c>
      <c r="J1848" s="12">
        <f t="shared" si="53"/>
        <v>14</v>
      </c>
      <c r="K1848" t="str">
        <f t="shared" si="51"/>
        <v>0-30</v>
      </c>
      <c r="L1848" s="11">
        <v>45931</v>
      </c>
      <c r="M1848" s="23">
        <f>YEAR(Таблица1[[#This Row],[Дата отчета]])</f>
        <v>2025</v>
      </c>
    </row>
    <row r="1849" spans="1:16" x14ac:dyDescent="0.25">
      <c r="A1849" t="s">
        <v>12</v>
      </c>
      <c r="B1849" t="s">
        <v>1730</v>
      </c>
      <c r="C1849" t="s">
        <v>1731</v>
      </c>
      <c r="D1849" t="s">
        <v>1732</v>
      </c>
      <c r="E1849" t="s">
        <v>1814</v>
      </c>
      <c r="F1849" s="20">
        <v>135000</v>
      </c>
      <c r="I1849" s="11">
        <f t="shared" si="52"/>
        <v>45842</v>
      </c>
      <c r="J1849" s="12">
        <f t="shared" si="53"/>
        <v>89</v>
      </c>
      <c r="K1849" t="str">
        <f t="shared" si="51"/>
        <v>31-90</v>
      </c>
      <c r="L1849" s="11">
        <v>45931</v>
      </c>
      <c r="M1849" s="23">
        <f>YEAR(Таблица1[[#This Row],[Дата отчета]])</f>
        <v>2025</v>
      </c>
    </row>
    <row r="1850" spans="1:16" x14ac:dyDescent="0.25">
      <c r="A1850" t="s">
        <v>12</v>
      </c>
      <c r="B1850" t="s">
        <v>991</v>
      </c>
      <c r="C1850" t="s">
        <v>992</v>
      </c>
      <c r="D1850" t="s">
        <v>993</v>
      </c>
      <c r="E1850" t="s">
        <v>994</v>
      </c>
      <c r="F1850" s="20">
        <v>20740</v>
      </c>
      <c r="I1850" s="11">
        <f t="shared" si="52"/>
        <v>45741</v>
      </c>
      <c r="J1850" s="12">
        <f t="shared" si="53"/>
        <v>190</v>
      </c>
      <c r="K1850" t="str">
        <f t="shared" si="51"/>
        <v>181-270</v>
      </c>
      <c r="L1850" s="11">
        <v>45931</v>
      </c>
      <c r="M1850" s="23">
        <f>YEAR(Таблица1[[#This Row],[Дата отчета]])</f>
        <v>2025</v>
      </c>
      <c r="N1850" s="7" t="s">
        <v>4538</v>
      </c>
    </row>
    <row r="1851" spans="1:16" x14ac:dyDescent="0.25">
      <c r="A1851" t="s">
        <v>12</v>
      </c>
      <c r="B1851" t="s">
        <v>1733</v>
      </c>
      <c r="C1851" t="s">
        <v>1734</v>
      </c>
      <c r="D1851" t="s">
        <v>1735</v>
      </c>
      <c r="E1851" t="s">
        <v>1815</v>
      </c>
      <c r="F1851" s="20">
        <v>30685</v>
      </c>
      <c r="I1851" s="11">
        <f t="shared" si="52"/>
        <v>45855</v>
      </c>
      <c r="J1851" s="12">
        <f t="shared" si="53"/>
        <v>76</v>
      </c>
      <c r="K1851" t="str">
        <f t="shared" si="51"/>
        <v>31-90</v>
      </c>
      <c r="L1851" s="11">
        <v>45931</v>
      </c>
      <c r="M1851" s="23">
        <f>YEAR(Таблица1[[#This Row],[Дата отчета]])</f>
        <v>2025</v>
      </c>
    </row>
    <row r="1852" spans="1:16" x14ac:dyDescent="0.25">
      <c r="A1852" t="s">
        <v>12</v>
      </c>
      <c r="B1852" t="s">
        <v>995</v>
      </c>
      <c r="C1852" t="s">
        <v>996</v>
      </c>
      <c r="D1852" t="s">
        <v>997</v>
      </c>
      <c r="E1852" t="s">
        <v>998</v>
      </c>
      <c r="F1852" s="20">
        <v>401.24</v>
      </c>
      <c r="I1852" s="11">
        <f t="shared" si="52"/>
        <v>45534</v>
      </c>
      <c r="J1852" s="12">
        <f t="shared" si="53"/>
        <v>397</v>
      </c>
      <c r="K1852" t="str">
        <f t="shared" si="51"/>
        <v>&gt;360</v>
      </c>
      <c r="L1852" s="11">
        <v>45931</v>
      </c>
      <c r="M1852" s="23">
        <f>YEAR(Таблица1[[#This Row],[Дата отчета]])</f>
        <v>2025</v>
      </c>
      <c r="N1852" s="7" t="s">
        <v>4536</v>
      </c>
      <c r="P1852" s="2" t="s">
        <v>4552</v>
      </c>
    </row>
    <row r="1853" spans="1:16" x14ac:dyDescent="0.25">
      <c r="A1853" t="s">
        <v>12</v>
      </c>
      <c r="B1853" t="s">
        <v>995</v>
      </c>
      <c r="C1853" t="s">
        <v>999</v>
      </c>
      <c r="D1853" t="s">
        <v>1000</v>
      </c>
      <c r="E1853" t="s">
        <v>1001</v>
      </c>
      <c r="F1853" s="20">
        <v>4012.33</v>
      </c>
      <c r="I1853" s="11">
        <f t="shared" si="52"/>
        <v>45573</v>
      </c>
      <c r="J1853" s="12">
        <f t="shared" si="53"/>
        <v>358</v>
      </c>
      <c r="K1853" t="str">
        <f t="shared" si="51"/>
        <v>271-360</v>
      </c>
      <c r="L1853" s="11">
        <v>45931</v>
      </c>
      <c r="M1853" s="23">
        <f>YEAR(Таблица1[[#This Row],[Дата отчета]])</f>
        <v>2025</v>
      </c>
      <c r="N1853" s="7" t="s">
        <v>4536</v>
      </c>
      <c r="P1853" s="2" t="s">
        <v>4552</v>
      </c>
    </row>
    <row r="1854" spans="1:16" x14ac:dyDescent="0.25">
      <c r="A1854" t="s">
        <v>12</v>
      </c>
      <c r="B1854" t="s">
        <v>1216</v>
      </c>
      <c r="C1854" t="s">
        <v>1217</v>
      </c>
      <c r="D1854" t="s">
        <v>1218</v>
      </c>
      <c r="E1854" t="s">
        <v>669</v>
      </c>
      <c r="F1854" s="20">
        <v>10500</v>
      </c>
      <c r="I1854" s="11">
        <f t="shared" si="52"/>
        <v>45930</v>
      </c>
      <c r="J1854" s="12">
        <f t="shared" si="53"/>
        <v>1</v>
      </c>
      <c r="K1854" t="str">
        <f t="shared" si="51"/>
        <v>0-30</v>
      </c>
      <c r="L1854" s="11">
        <v>45931</v>
      </c>
      <c r="M1854" s="23">
        <f>YEAR(Таблица1[[#This Row],[Дата отчета]])</f>
        <v>2025</v>
      </c>
    </row>
    <row r="1855" spans="1:16" x14ac:dyDescent="0.25">
      <c r="A1855" t="s">
        <v>12</v>
      </c>
      <c r="B1855" t="s">
        <v>1736</v>
      </c>
      <c r="C1855" t="s">
        <v>1737</v>
      </c>
      <c r="D1855" t="s">
        <v>1738</v>
      </c>
      <c r="E1855" t="s">
        <v>1816</v>
      </c>
      <c r="F1855" s="20">
        <v>2974.3</v>
      </c>
      <c r="I1855" s="11">
        <f t="shared" si="52"/>
        <v>44594</v>
      </c>
      <c r="J1855" s="12">
        <f t="shared" si="53"/>
        <v>1337</v>
      </c>
      <c r="K1855" t="str">
        <f t="shared" ref="K1855:K1918" si="54">IF(J1855&lt;=30,"0-30",IF(J1855&lt;=90,"31-90",IF(J1855&lt;=120,"91-120",IF(J1855&lt;=180,"121-180",IF(J1855&lt;=270,"181-270",IF(J1855&lt;=360,"271-360","&gt;360"))))))</f>
        <v>&gt;360</v>
      </c>
      <c r="L1855" s="11">
        <v>45931</v>
      </c>
      <c r="M1855" s="23">
        <f>YEAR(Таблица1[[#This Row],[Дата отчета]])</f>
        <v>2025</v>
      </c>
      <c r="N1855" t="s">
        <v>4538</v>
      </c>
    </row>
    <row r="1856" spans="1:16" x14ac:dyDescent="0.25">
      <c r="A1856" t="s">
        <v>12</v>
      </c>
      <c r="B1856" t="s">
        <v>1739</v>
      </c>
      <c r="C1856" t="s">
        <v>1740</v>
      </c>
      <c r="D1856" t="s">
        <v>1741</v>
      </c>
      <c r="E1856" t="s">
        <v>669</v>
      </c>
      <c r="F1856" s="20">
        <v>-1920</v>
      </c>
      <c r="I1856" s="11">
        <f t="shared" si="52"/>
        <v>45930</v>
      </c>
      <c r="J1856" s="12">
        <f t="shared" si="53"/>
        <v>1</v>
      </c>
      <c r="K1856" t="str">
        <f t="shared" si="54"/>
        <v>0-30</v>
      </c>
      <c r="L1856" s="11">
        <v>45931</v>
      </c>
      <c r="M1856" s="23">
        <f>YEAR(Таблица1[[#This Row],[Дата отчета]])</f>
        <v>2025</v>
      </c>
    </row>
    <row r="1857" spans="1:16" x14ac:dyDescent="0.25">
      <c r="A1857" t="s">
        <v>12</v>
      </c>
      <c r="B1857" t="s">
        <v>1739</v>
      </c>
      <c r="C1857" t="s">
        <v>1742</v>
      </c>
      <c r="D1857" t="s">
        <v>1743</v>
      </c>
      <c r="E1857" t="s">
        <v>669</v>
      </c>
      <c r="F1857" s="20">
        <v>-9600</v>
      </c>
      <c r="I1857" s="11">
        <f t="shared" si="52"/>
        <v>45930</v>
      </c>
      <c r="J1857" s="12">
        <f t="shared" si="53"/>
        <v>1</v>
      </c>
      <c r="K1857" t="str">
        <f t="shared" si="54"/>
        <v>0-30</v>
      </c>
      <c r="L1857" s="11">
        <v>45931</v>
      </c>
      <c r="M1857" s="23">
        <f>YEAR(Таблица1[[#This Row],[Дата отчета]])</f>
        <v>2025</v>
      </c>
    </row>
    <row r="1858" spans="1:16" x14ac:dyDescent="0.25">
      <c r="A1858" t="s">
        <v>12</v>
      </c>
      <c r="B1858" t="s">
        <v>1005</v>
      </c>
      <c r="C1858" t="s">
        <v>1219</v>
      </c>
      <c r="D1858" t="s">
        <v>1220</v>
      </c>
      <c r="E1858" t="s">
        <v>994</v>
      </c>
      <c r="F1858" s="20">
        <v>164474</v>
      </c>
      <c r="I1858" s="11">
        <f t="shared" si="52"/>
        <v>45741</v>
      </c>
      <c r="J1858" s="12">
        <f t="shared" si="53"/>
        <v>190</v>
      </c>
      <c r="K1858" t="str">
        <f t="shared" si="54"/>
        <v>181-270</v>
      </c>
      <c r="L1858" s="11">
        <v>45931</v>
      </c>
      <c r="M1858" s="23">
        <f>YEAR(Таблица1[[#This Row],[Дата отчета]])</f>
        <v>2025</v>
      </c>
    </row>
    <row r="1859" spans="1:16" x14ac:dyDescent="0.25">
      <c r="A1859" t="s">
        <v>12</v>
      </c>
      <c r="B1859" t="s">
        <v>1008</v>
      </c>
      <c r="C1859" t="s">
        <v>775</v>
      </c>
      <c r="D1859" t="s">
        <v>1009</v>
      </c>
      <c r="E1859" t="s">
        <v>1010</v>
      </c>
      <c r="F1859" s="20">
        <v>0.1</v>
      </c>
      <c r="I1859" s="11">
        <f t="shared" si="52"/>
        <v>45519</v>
      </c>
      <c r="J1859" s="12">
        <f t="shared" si="53"/>
        <v>412</v>
      </c>
      <c r="K1859" t="str">
        <f t="shared" si="54"/>
        <v>&gt;360</v>
      </c>
      <c r="L1859" s="11">
        <v>45931</v>
      </c>
      <c r="M1859" s="23">
        <f>YEAR(Таблица1[[#This Row],[Дата отчета]])</f>
        <v>2025</v>
      </c>
    </row>
    <row r="1860" spans="1:16" x14ac:dyDescent="0.25">
      <c r="A1860" t="s">
        <v>12</v>
      </c>
      <c r="B1860" t="s">
        <v>1011</v>
      </c>
      <c r="C1860" t="s">
        <v>1012</v>
      </c>
      <c r="D1860" t="s">
        <v>1013</v>
      </c>
      <c r="E1860" t="s">
        <v>1014</v>
      </c>
      <c r="F1860" s="20">
        <v>0.01</v>
      </c>
      <c r="I1860" s="11">
        <f t="shared" si="52"/>
        <v>45224</v>
      </c>
      <c r="J1860" s="12">
        <f t="shared" si="53"/>
        <v>707</v>
      </c>
      <c r="K1860" t="str">
        <f t="shared" si="54"/>
        <v>&gt;360</v>
      </c>
      <c r="L1860" s="11">
        <v>45931</v>
      </c>
      <c r="M1860" s="23">
        <f>YEAR(Таблица1[[#This Row],[Дата отчета]])</f>
        <v>2025</v>
      </c>
    </row>
    <row r="1861" spans="1:16" x14ac:dyDescent="0.25">
      <c r="A1861" t="s">
        <v>12</v>
      </c>
      <c r="B1861" t="s">
        <v>1011</v>
      </c>
      <c r="C1861" t="s">
        <v>1015</v>
      </c>
      <c r="D1861" t="s">
        <v>1016</v>
      </c>
      <c r="E1861" t="s">
        <v>123</v>
      </c>
      <c r="F1861" s="20">
        <v>12461.79</v>
      </c>
      <c r="I1861" s="11">
        <f t="shared" si="52"/>
        <v>45782</v>
      </c>
      <c r="J1861" s="12">
        <f t="shared" si="53"/>
        <v>149</v>
      </c>
      <c r="K1861" t="str">
        <f t="shared" si="54"/>
        <v>121-180</v>
      </c>
      <c r="L1861" s="11">
        <v>45931</v>
      </c>
      <c r="M1861" s="23">
        <f>YEAR(Таблица1[[#This Row],[Дата отчета]])</f>
        <v>2025</v>
      </c>
      <c r="N1861" s="7" t="s">
        <v>4536</v>
      </c>
      <c r="P1861" s="2" t="s">
        <v>4552</v>
      </c>
    </row>
    <row r="1862" spans="1:16" x14ac:dyDescent="0.25">
      <c r="A1862" t="s">
        <v>12</v>
      </c>
      <c r="B1862" t="s">
        <v>1011</v>
      </c>
      <c r="C1862" t="s">
        <v>1744</v>
      </c>
      <c r="D1862" t="s">
        <v>1745</v>
      </c>
      <c r="E1862" t="s">
        <v>729</v>
      </c>
      <c r="F1862" s="20">
        <v>10813.8</v>
      </c>
      <c r="I1862" s="11">
        <f t="shared" si="52"/>
        <v>45799</v>
      </c>
      <c r="J1862" s="12">
        <f t="shared" si="53"/>
        <v>132</v>
      </c>
      <c r="K1862" t="str">
        <f t="shared" si="54"/>
        <v>121-180</v>
      </c>
      <c r="L1862" s="11">
        <v>45931</v>
      </c>
      <c r="M1862" s="23">
        <f>YEAR(Таблица1[[#This Row],[Дата отчета]])</f>
        <v>2025</v>
      </c>
    </row>
    <row r="1863" spans="1:16" x14ac:dyDescent="0.25">
      <c r="A1863" t="s">
        <v>12</v>
      </c>
      <c r="B1863" t="s">
        <v>1017</v>
      </c>
      <c r="C1863" t="s">
        <v>1237</v>
      </c>
      <c r="D1863" t="s">
        <v>1254</v>
      </c>
      <c r="E1863" t="s">
        <v>1259</v>
      </c>
      <c r="F1863" s="20">
        <v>37500</v>
      </c>
      <c r="I1863" s="11">
        <f t="shared" si="52"/>
        <v>45727</v>
      </c>
      <c r="J1863" s="12">
        <f t="shared" si="53"/>
        <v>204</v>
      </c>
      <c r="K1863" t="str">
        <f t="shared" si="54"/>
        <v>181-270</v>
      </c>
      <c r="L1863" s="11">
        <v>45931</v>
      </c>
      <c r="M1863" s="23">
        <f>YEAR(Таблица1[[#This Row],[Дата отчета]])</f>
        <v>2025</v>
      </c>
    </row>
    <row r="1864" spans="1:16" x14ac:dyDescent="0.25">
      <c r="A1864" t="s">
        <v>12</v>
      </c>
      <c r="B1864" t="s">
        <v>1746</v>
      </c>
      <c r="C1864" t="s">
        <v>1747</v>
      </c>
      <c r="D1864" t="s">
        <v>1748</v>
      </c>
      <c r="E1864" t="s">
        <v>123</v>
      </c>
      <c r="F1864" s="20">
        <v>12500</v>
      </c>
      <c r="I1864" s="11">
        <f t="shared" si="52"/>
        <v>45782</v>
      </c>
      <c r="J1864" s="12">
        <f t="shared" si="53"/>
        <v>149</v>
      </c>
      <c r="K1864" t="str">
        <f t="shared" si="54"/>
        <v>121-180</v>
      </c>
      <c r="L1864" s="11">
        <v>45931</v>
      </c>
      <c r="M1864" s="23">
        <f>YEAR(Таблица1[[#This Row],[Дата отчета]])</f>
        <v>2025</v>
      </c>
    </row>
    <row r="1865" spans="1:16" x14ac:dyDescent="0.25">
      <c r="A1865" t="s">
        <v>12</v>
      </c>
      <c r="B1865" t="s">
        <v>1020</v>
      </c>
      <c r="C1865" t="s">
        <v>1021</v>
      </c>
      <c r="D1865" t="s">
        <v>1022</v>
      </c>
      <c r="E1865" t="s">
        <v>1023</v>
      </c>
      <c r="F1865" s="20">
        <v>47400</v>
      </c>
      <c r="I1865" s="11">
        <f t="shared" si="52"/>
        <v>45728</v>
      </c>
      <c r="J1865" s="12">
        <f t="shared" si="53"/>
        <v>203</v>
      </c>
      <c r="K1865" t="str">
        <f t="shared" si="54"/>
        <v>181-270</v>
      </c>
      <c r="L1865" s="11">
        <v>45931</v>
      </c>
      <c r="M1865" s="23">
        <f>YEAR(Таблица1[[#This Row],[Дата отчета]])</f>
        <v>2025</v>
      </c>
      <c r="N1865" s="2" t="s">
        <v>4553</v>
      </c>
      <c r="P1865" s="2"/>
    </row>
    <row r="1866" spans="1:16" x14ac:dyDescent="0.25">
      <c r="A1866" t="s">
        <v>12</v>
      </c>
      <c r="B1866" t="s">
        <v>1749</v>
      </c>
      <c r="C1866" t="s">
        <v>1750</v>
      </c>
      <c r="D1866" t="s">
        <v>1751</v>
      </c>
      <c r="E1866" t="s">
        <v>968</v>
      </c>
      <c r="F1866" s="20">
        <v>450340.8</v>
      </c>
      <c r="I1866" s="11">
        <f t="shared" si="52"/>
        <v>45729</v>
      </c>
      <c r="J1866" s="12">
        <f t="shared" si="53"/>
        <v>202</v>
      </c>
      <c r="K1866" t="str">
        <f t="shared" si="54"/>
        <v>181-270</v>
      </c>
      <c r="L1866" s="11">
        <v>45931</v>
      </c>
      <c r="M1866" s="23">
        <f>YEAR(Таблица1[[#This Row],[Дата отчета]])</f>
        <v>2025</v>
      </c>
    </row>
    <row r="1867" spans="1:16" x14ac:dyDescent="0.25">
      <c r="A1867" t="s">
        <v>12</v>
      </c>
      <c r="B1867" t="s">
        <v>1024</v>
      </c>
      <c r="C1867" t="s">
        <v>1025</v>
      </c>
      <c r="D1867" t="s">
        <v>1026</v>
      </c>
      <c r="E1867" t="s">
        <v>1027</v>
      </c>
      <c r="F1867" s="20">
        <v>22500</v>
      </c>
      <c r="I1867" s="11">
        <f t="shared" ref="I1867:I1887" si="55">E1867*1</f>
        <v>45896</v>
      </c>
      <c r="J1867" s="12">
        <f t="shared" ref="J1867:J1887" si="56">L1867-I1867</f>
        <v>35</v>
      </c>
      <c r="K1867" t="str">
        <f t="shared" si="54"/>
        <v>31-90</v>
      </c>
      <c r="L1867" s="11">
        <v>45931</v>
      </c>
      <c r="M1867" s="23">
        <f>YEAR(Таблица1[[#This Row],[Дата отчета]])</f>
        <v>2025</v>
      </c>
    </row>
    <row r="1868" spans="1:16" x14ac:dyDescent="0.25">
      <c r="A1868" t="s">
        <v>12</v>
      </c>
      <c r="B1868" t="s">
        <v>1028</v>
      </c>
      <c r="C1868" t="s">
        <v>1029</v>
      </c>
      <c r="D1868" t="s">
        <v>1030</v>
      </c>
      <c r="E1868" t="s">
        <v>1031</v>
      </c>
      <c r="F1868" s="20">
        <v>60000</v>
      </c>
      <c r="I1868" s="11">
        <f t="shared" si="55"/>
        <v>45812</v>
      </c>
      <c r="J1868" s="12">
        <f t="shared" si="56"/>
        <v>119</v>
      </c>
      <c r="K1868" t="str">
        <f t="shared" si="54"/>
        <v>91-120</v>
      </c>
      <c r="L1868" s="11">
        <v>45931</v>
      </c>
      <c r="M1868" s="23">
        <f>YEAR(Таблица1[[#This Row],[Дата отчета]])</f>
        <v>2025</v>
      </c>
      <c r="N1868" s="2" t="s">
        <v>807</v>
      </c>
    </row>
    <row r="1869" spans="1:16" x14ac:dyDescent="0.25">
      <c r="A1869" t="s">
        <v>12</v>
      </c>
      <c r="B1869" t="s">
        <v>1028</v>
      </c>
      <c r="C1869" t="s">
        <v>1033</v>
      </c>
      <c r="D1869" t="s">
        <v>1034</v>
      </c>
      <c r="E1869" t="s">
        <v>1031</v>
      </c>
      <c r="F1869" s="20">
        <v>40500</v>
      </c>
      <c r="I1869" s="11">
        <f t="shared" si="55"/>
        <v>45812</v>
      </c>
      <c r="J1869" s="12">
        <f t="shared" si="56"/>
        <v>119</v>
      </c>
      <c r="K1869" t="str">
        <f t="shared" si="54"/>
        <v>91-120</v>
      </c>
      <c r="L1869" s="11">
        <v>45931</v>
      </c>
      <c r="M1869" s="23">
        <f>YEAR(Таблица1[[#This Row],[Дата отчета]])</f>
        <v>2025</v>
      </c>
      <c r="N1869" s="2" t="s">
        <v>807</v>
      </c>
    </row>
    <row r="1870" spans="1:16" x14ac:dyDescent="0.25">
      <c r="A1870" t="s">
        <v>12</v>
      </c>
      <c r="B1870" t="s">
        <v>1028</v>
      </c>
      <c r="C1870" t="s">
        <v>1037</v>
      </c>
      <c r="D1870" t="s">
        <v>1038</v>
      </c>
      <c r="E1870" t="s">
        <v>1039</v>
      </c>
      <c r="F1870" s="20">
        <v>90000</v>
      </c>
      <c r="I1870" s="11">
        <f t="shared" si="55"/>
        <v>45831</v>
      </c>
      <c r="J1870" s="12">
        <f t="shared" si="56"/>
        <v>100</v>
      </c>
      <c r="K1870" t="str">
        <f t="shared" si="54"/>
        <v>91-120</v>
      </c>
      <c r="L1870" s="11">
        <v>45931</v>
      </c>
      <c r="M1870" s="23">
        <f>YEAR(Таблица1[[#This Row],[Дата отчета]])</f>
        <v>2025</v>
      </c>
      <c r="N1870" s="2" t="s">
        <v>807</v>
      </c>
    </row>
    <row r="1871" spans="1:16" x14ac:dyDescent="0.25">
      <c r="A1871" t="s">
        <v>12</v>
      </c>
      <c r="B1871" t="s">
        <v>1028</v>
      </c>
      <c r="C1871" t="s">
        <v>1041</v>
      </c>
      <c r="D1871" t="s">
        <v>1042</v>
      </c>
      <c r="E1871" t="s">
        <v>1039</v>
      </c>
      <c r="F1871" s="20">
        <v>84000</v>
      </c>
      <c r="I1871" s="11">
        <f t="shared" si="55"/>
        <v>45831</v>
      </c>
      <c r="J1871" s="12">
        <f t="shared" si="56"/>
        <v>100</v>
      </c>
      <c r="K1871" t="str">
        <f t="shared" si="54"/>
        <v>91-120</v>
      </c>
      <c r="L1871" s="11">
        <v>45931</v>
      </c>
      <c r="M1871" s="23">
        <f>YEAR(Таблица1[[#This Row],[Дата отчета]])</f>
        <v>2025</v>
      </c>
      <c r="N1871" s="2" t="s">
        <v>807</v>
      </c>
    </row>
    <row r="1872" spans="1:16" x14ac:dyDescent="0.25">
      <c r="A1872" t="s">
        <v>12</v>
      </c>
      <c r="B1872" t="s">
        <v>1043</v>
      </c>
      <c r="C1872" t="s">
        <v>1044</v>
      </c>
      <c r="D1872" t="s">
        <v>1045</v>
      </c>
      <c r="E1872" t="s">
        <v>769</v>
      </c>
      <c r="F1872" s="20">
        <v>1165</v>
      </c>
      <c r="I1872" s="11">
        <f t="shared" si="55"/>
        <v>45825</v>
      </c>
      <c r="J1872" s="12">
        <f t="shared" si="56"/>
        <v>106</v>
      </c>
      <c r="K1872" t="str">
        <f t="shared" si="54"/>
        <v>91-120</v>
      </c>
      <c r="L1872" s="11">
        <v>45931</v>
      </c>
      <c r="M1872" s="23">
        <f>YEAR(Таблица1[[#This Row],[Дата отчета]])</f>
        <v>2025</v>
      </c>
      <c r="N1872" s="7" t="s">
        <v>4536</v>
      </c>
    </row>
    <row r="1873" spans="1:15" x14ac:dyDescent="0.25">
      <c r="A1873" t="s">
        <v>12</v>
      </c>
      <c r="B1873" t="s">
        <v>1043</v>
      </c>
      <c r="C1873" t="s">
        <v>1752</v>
      </c>
      <c r="D1873" t="s">
        <v>1753</v>
      </c>
      <c r="E1873" t="s">
        <v>1173</v>
      </c>
      <c r="F1873" s="20">
        <v>43300</v>
      </c>
      <c r="I1873" s="11">
        <f t="shared" si="55"/>
        <v>45922</v>
      </c>
      <c r="J1873" s="12">
        <f t="shared" si="56"/>
        <v>9</v>
      </c>
      <c r="K1873" t="str">
        <f t="shared" si="54"/>
        <v>0-30</v>
      </c>
      <c r="L1873" s="11">
        <v>45931</v>
      </c>
      <c r="M1873" s="23">
        <f>YEAR(Таблица1[[#This Row],[Дата отчета]])</f>
        <v>2025</v>
      </c>
    </row>
    <row r="1874" spans="1:15" x14ac:dyDescent="0.25">
      <c r="A1874" t="s">
        <v>12</v>
      </c>
      <c r="B1874" t="s">
        <v>1754</v>
      </c>
      <c r="C1874" t="s">
        <v>1755</v>
      </c>
      <c r="D1874" t="s">
        <v>1756</v>
      </c>
      <c r="E1874" t="s">
        <v>1769</v>
      </c>
      <c r="F1874" s="20">
        <v>960</v>
      </c>
      <c r="I1874" s="11">
        <f t="shared" si="55"/>
        <v>45923</v>
      </c>
      <c r="J1874" s="12">
        <f t="shared" si="56"/>
        <v>8</v>
      </c>
      <c r="K1874" t="str">
        <f t="shared" si="54"/>
        <v>0-30</v>
      </c>
      <c r="L1874" s="11">
        <v>45931</v>
      </c>
      <c r="M1874" s="23">
        <f>YEAR(Таблица1[[#This Row],[Дата отчета]])</f>
        <v>2025</v>
      </c>
    </row>
    <row r="1875" spans="1:15" x14ac:dyDescent="0.25">
      <c r="A1875" t="s">
        <v>12</v>
      </c>
      <c r="B1875" t="s">
        <v>1046</v>
      </c>
      <c r="C1875" t="s">
        <v>1047</v>
      </c>
      <c r="D1875" t="s">
        <v>1048</v>
      </c>
      <c r="E1875" t="s">
        <v>1049</v>
      </c>
      <c r="F1875" s="20">
        <v>9000</v>
      </c>
      <c r="I1875" s="11">
        <f t="shared" si="55"/>
        <v>45861</v>
      </c>
      <c r="J1875" s="12">
        <f t="shared" si="56"/>
        <v>70</v>
      </c>
      <c r="K1875" t="str">
        <f t="shared" si="54"/>
        <v>31-90</v>
      </c>
      <c r="L1875" s="11">
        <v>45931</v>
      </c>
      <c r="M1875" s="23">
        <f>YEAR(Таблица1[[#This Row],[Дата отчета]])</f>
        <v>2025</v>
      </c>
      <c r="N1875" s="2" t="s">
        <v>807</v>
      </c>
    </row>
    <row r="1876" spans="1:15" x14ac:dyDescent="0.25">
      <c r="A1876" t="s">
        <v>12</v>
      </c>
      <c r="B1876" t="s">
        <v>1050</v>
      </c>
      <c r="C1876" t="s">
        <v>1051</v>
      </c>
      <c r="D1876" t="s">
        <v>1052</v>
      </c>
      <c r="E1876" t="s">
        <v>683</v>
      </c>
      <c r="F1876" s="20">
        <v>86800</v>
      </c>
      <c r="I1876" s="11">
        <f t="shared" si="55"/>
        <v>45748</v>
      </c>
      <c r="J1876" s="12">
        <f t="shared" si="56"/>
        <v>183</v>
      </c>
      <c r="K1876" t="str">
        <f t="shared" si="54"/>
        <v>181-270</v>
      </c>
      <c r="L1876" s="11">
        <v>45931</v>
      </c>
      <c r="M1876" s="23">
        <f>YEAR(Таблица1[[#This Row],[Дата отчета]])</f>
        <v>2025</v>
      </c>
      <c r="N1876" s="2" t="s">
        <v>807</v>
      </c>
    </row>
    <row r="1877" spans="1:15" x14ac:dyDescent="0.25">
      <c r="A1877" t="s">
        <v>12</v>
      </c>
      <c r="B1877" t="s">
        <v>1757</v>
      </c>
      <c r="C1877" t="s">
        <v>1758</v>
      </c>
      <c r="D1877" t="s">
        <v>1759</v>
      </c>
      <c r="E1877" t="s">
        <v>1817</v>
      </c>
      <c r="F1877" s="20">
        <v>38823.58</v>
      </c>
      <c r="I1877" s="11">
        <f t="shared" si="55"/>
        <v>45874</v>
      </c>
      <c r="J1877" s="12">
        <f t="shared" si="56"/>
        <v>57</v>
      </c>
      <c r="K1877" t="str">
        <f t="shared" si="54"/>
        <v>31-90</v>
      </c>
      <c r="L1877" s="11">
        <v>45931</v>
      </c>
      <c r="M1877" s="23">
        <f>YEAR(Таблица1[[#This Row],[Дата отчета]])</f>
        <v>2025</v>
      </c>
    </row>
    <row r="1878" spans="1:15" x14ac:dyDescent="0.25">
      <c r="A1878" t="s">
        <v>12</v>
      </c>
      <c r="B1878" t="s">
        <v>1068</v>
      </c>
      <c r="C1878" t="s">
        <v>1069</v>
      </c>
      <c r="D1878" t="s">
        <v>1070</v>
      </c>
      <c r="E1878" t="s">
        <v>1071</v>
      </c>
      <c r="F1878" s="20">
        <v>4</v>
      </c>
      <c r="I1878" s="11">
        <f t="shared" si="55"/>
        <v>44860</v>
      </c>
      <c r="J1878" s="12">
        <f t="shared" si="56"/>
        <v>1071</v>
      </c>
      <c r="K1878" t="str">
        <f t="shared" si="54"/>
        <v>&gt;360</v>
      </c>
      <c r="L1878" s="11">
        <v>45931</v>
      </c>
      <c r="M1878" s="23">
        <f>YEAR(Таблица1[[#This Row],[Дата отчета]])</f>
        <v>2025</v>
      </c>
    </row>
    <row r="1879" spans="1:15" x14ac:dyDescent="0.25">
      <c r="A1879" t="s">
        <v>12</v>
      </c>
      <c r="B1879" t="s">
        <v>1073</v>
      </c>
      <c r="C1879" t="s">
        <v>1074</v>
      </c>
      <c r="D1879" t="s">
        <v>1075</v>
      </c>
      <c r="E1879" t="s">
        <v>161</v>
      </c>
      <c r="F1879" s="20">
        <v>11631.14</v>
      </c>
      <c r="I1879" s="11">
        <f t="shared" si="55"/>
        <v>45890</v>
      </c>
      <c r="J1879" s="12">
        <f t="shared" si="56"/>
        <v>41</v>
      </c>
      <c r="K1879" t="str">
        <f t="shared" si="54"/>
        <v>31-90</v>
      </c>
      <c r="L1879" s="11">
        <v>45931</v>
      </c>
      <c r="M1879" s="23">
        <f>YEAR(Таблица1[[#This Row],[Дата отчета]])</f>
        <v>2025</v>
      </c>
    </row>
    <row r="1880" spans="1:15" x14ac:dyDescent="0.25">
      <c r="A1880" t="s">
        <v>12</v>
      </c>
      <c r="B1880" t="s">
        <v>1076</v>
      </c>
      <c r="C1880" t="s">
        <v>1077</v>
      </c>
      <c r="D1880" t="s">
        <v>1078</v>
      </c>
      <c r="E1880" t="s">
        <v>841</v>
      </c>
      <c r="F1880" s="20">
        <v>156336.74</v>
      </c>
      <c r="I1880" s="11">
        <f t="shared" si="55"/>
        <v>45925</v>
      </c>
      <c r="J1880" s="12">
        <f t="shared" si="56"/>
        <v>6</v>
      </c>
      <c r="K1880" t="str">
        <f t="shared" si="54"/>
        <v>0-30</v>
      </c>
      <c r="L1880" s="11">
        <v>45931</v>
      </c>
      <c r="M1880" s="23">
        <f>YEAR(Таблица1[[#This Row],[Дата отчета]])</f>
        <v>2025</v>
      </c>
    </row>
    <row r="1881" spans="1:15" x14ac:dyDescent="0.25">
      <c r="A1881" t="s">
        <v>12</v>
      </c>
      <c r="B1881" t="s">
        <v>1079</v>
      </c>
      <c r="C1881" t="s">
        <v>1080</v>
      </c>
      <c r="D1881" t="s">
        <v>1081</v>
      </c>
      <c r="E1881" t="s">
        <v>96</v>
      </c>
      <c r="F1881" s="20">
        <v>96000</v>
      </c>
      <c r="I1881" s="11">
        <f t="shared" si="55"/>
        <v>45876</v>
      </c>
      <c r="J1881" s="12">
        <f t="shared" si="56"/>
        <v>55</v>
      </c>
      <c r="K1881" t="str">
        <f t="shared" si="54"/>
        <v>31-90</v>
      </c>
      <c r="L1881" s="11">
        <v>45931</v>
      </c>
      <c r="M1881" s="23">
        <f>YEAR(Таблица1[[#This Row],[Дата отчета]])</f>
        <v>2025</v>
      </c>
    </row>
    <row r="1882" spans="1:15" x14ac:dyDescent="0.25">
      <c r="A1882" t="s">
        <v>1082</v>
      </c>
      <c r="B1882" t="s">
        <v>1083</v>
      </c>
      <c r="C1882" t="s">
        <v>1084</v>
      </c>
      <c r="D1882" t="s">
        <v>1085</v>
      </c>
      <c r="E1882" t="s">
        <v>1086</v>
      </c>
      <c r="F1882" s="20">
        <v>126099.22</v>
      </c>
      <c r="I1882" s="11">
        <f t="shared" si="55"/>
        <v>45847</v>
      </c>
      <c r="J1882" s="12">
        <f t="shared" si="56"/>
        <v>84</v>
      </c>
      <c r="K1882" t="str">
        <f t="shared" si="54"/>
        <v>31-90</v>
      </c>
      <c r="L1882" s="11">
        <v>45931</v>
      </c>
      <c r="M1882" s="23">
        <f>YEAR(Таблица1[[#This Row],[Дата отчета]])</f>
        <v>2025</v>
      </c>
    </row>
    <row r="1883" spans="1:15" x14ac:dyDescent="0.25">
      <c r="A1883" t="s">
        <v>1082</v>
      </c>
      <c r="B1883" t="s">
        <v>1087</v>
      </c>
      <c r="C1883" t="s">
        <v>1090</v>
      </c>
      <c r="D1883" t="s">
        <v>1091</v>
      </c>
      <c r="E1883" t="s">
        <v>1092</v>
      </c>
      <c r="F1883" s="20">
        <v>35421.75</v>
      </c>
      <c r="I1883" s="11">
        <f t="shared" si="55"/>
        <v>45554</v>
      </c>
      <c r="J1883" s="12">
        <f t="shared" si="56"/>
        <v>377</v>
      </c>
      <c r="K1883" t="str">
        <f t="shared" si="54"/>
        <v>&gt;360</v>
      </c>
      <c r="L1883" s="11">
        <v>45931</v>
      </c>
      <c r="M1883" s="23">
        <f>YEAR(Таблица1[[#This Row],[Дата отчета]])</f>
        <v>2025</v>
      </c>
      <c r="N1883" s="7" t="s">
        <v>4535</v>
      </c>
      <c r="O1883" s="24"/>
    </row>
    <row r="1884" spans="1:15" x14ac:dyDescent="0.25">
      <c r="A1884" t="s">
        <v>1082</v>
      </c>
      <c r="B1884" t="s">
        <v>271</v>
      </c>
      <c r="C1884" t="s">
        <v>1093</v>
      </c>
      <c r="D1884" t="s">
        <v>1094</v>
      </c>
      <c r="E1884" t="s">
        <v>841</v>
      </c>
      <c r="F1884" s="20">
        <v>4103412.84</v>
      </c>
      <c r="I1884" s="11">
        <f t="shared" si="55"/>
        <v>45925</v>
      </c>
      <c r="J1884" s="12">
        <f t="shared" si="56"/>
        <v>6</v>
      </c>
      <c r="K1884" t="str">
        <f t="shared" si="54"/>
        <v>0-30</v>
      </c>
      <c r="L1884" s="11">
        <v>45931</v>
      </c>
      <c r="M1884" s="23">
        <f>YEAR(Таблица1[[#This Row],[Дата отчета]])</f>
        <v>2025</v>
      </c>
    </row>
    <row r="1885" spans="1:15" x14ac:dyDescent="0.25">
      <c r="A1885" t="s">
        <v>1082</v>
      </c>
      <c r="B1885" t="s">
        <v>561</v>
      </c>
      <c r="C1885" t="s">
        <v>1111</v>
      </c>
      <c r="D1885" t="s">
        <v>1112</v>
      </c>
      <c r="E1885" t="s">
        <v>1113</v>
      </c>
      <c r="F1885" s="20">
        <v>4.22</v>
      </c>
      <c r="I1885" s="11">
        <f t="shared" si="55"/>
        <v>45737</v>
      </c>
      <c r="J1885" s="12">
        <f t="shared" si="56"/>
        <v>194</v>
      </c>
      <c r="K1885" t="str">
        <f t="shared" si="54"/>
        <v>181-270</v>
      </c>
      <c r="L1885" s="11">
        <v>45931</v>
      </c>
      <c r="M1885" s="23">
        <f>YEAR(Таблица1[[#This Row],[Дата отчета]])</f>
        <v>2025</v>
      </c>
    </row>
    <row r="1886" spans="1:15" x14ac:dyDescent="0.25">
      <c r="A1886" t="s">
        <v>1082</v>
      </c>
      <c r="B1886" t="s">
        <v>561</v>
      </c>
      <c r="C1886" t="s">
        <v>1760</v>
      </c>
      <c r="D1886" t="s">
        <v>1761</v>
      </c>
      <c r="E1886" t="s">
        <v>1818</v>
      </c>
      <c r="F1886" s="20">
        <v>15618063.76</v>
      </c>
      <c r="I1886" s="11">
        <f t="shared" si="55"/>
        <v>45628</v>
      </c>
      <c r="J1886" s="12">
        <f t="shared" si="56"/>
        <v>303</v>
      </c>
      <c r="K1886" t="str">
        <f t="shared" si="54"/>
        <v>271-360</v>
      </c>
      <c r="L1886" s="11">
        <v>45931</v>
      </c>
      <c r="M1886" s="23">
        <f>YEAR(Таблица1[[#This Row],[Дата отчета]])</f>
        <v>2025</v>
      </c>
    </row>
    <row r="1887" spans="1:15" x14ac:dyDescent="0.25">
      <c r="A1887" t="s">
        <v>1082</v>
      </c>
      <c r="B1887" t="s">
        <v>766</v>
      </c>
      <c r="C1887" t="s">
        <v>1762</v>
      </c>
      <c r="D1887" t="s">
        <v>1763</v>
      </c>
      <c r="E1887" t="s">
        <v>1819</v>
      </c>
      <c r="F1887" s="20">
        <v>348705</v>
      </c>
      <c r="I1887" s="11">
        <f t="shared" si="55"/>
        <v>45504</v>
      </c>
      <c r="J1887" s="12">
        <f t="shared" si="56"/>
        <v>427</v>
      </c>
      <c r="K1887" t="str">
        <f t="shared" si="54"/>
        <v>&gt;360</v>
      </c>
      <c r="L1887" s="11">
        <v>45931</v>
      </c>
      <c r="M1887" s="23">
        <f>YEAR(Таблица1[[#This Row],[Дата отчета]])</f>
        <v>2025</v>
      </c>
    </row>
    <row r="1888" spans="1:15" x14ac:dyDescent="0.25">
      <c r="A1888" t="s">
        <v>12</v>
      </c>
      <c r="B1888" t="s">
        <v>1820</v>
      </c>
      <c r="C1888" t="s">
        <v>1821</v>
      </c>
      <c r="D1888" t="s">
        <v>1822</v>
      </c>
      <c r="E1888" t="s">
        <v>560</v>
      </c>
      <c r="F1888" s="20">
        <v>170791</v>
      </c>
      <c r="I1888" s="11">
        <f t="shared" ref="I1888" si="57">E1888*1</f>
        <v>45805</v>
      </c>
      <c r="J1888" s="12">
        <f t="shared" ref="J1888" si="58">L1888-I1888</f>
        <v>34</v>
      </c>
      <c r="K1888" t="str">
        <f t="shared" si="54"/>
        <v>31-90</v>
      </c>
      <c r="L1888" s="11">
        <v>45839</v>
      </c>
      <c r="M1888" s="23">
        <f>YEAR(Таблица1[[#This Row],[Дата отчета]])</f>
        <v>2025</v>
      </c>
    </row>
    <row r="1889" spans="1:13" x14ac:dyDescent="0.25">
      <c r="A1889" t="s">
        <v>12</v>
      </c>
      <c r="B1889" t="s">
        <v>1823</v>
      </c>
      <c r="C1889" t="s">
        <v>1824</v>
      </c>
      <c r="D1889" t="s">
        <v>1825</v>
      </c>
      <c r="E1889" t="s">
        <v>532</v>
      </c>
      <c r="F1889" s="20">
        <v>26990</v>
      </c>
      <c r="I1889" s="11">
        <f t="shared" ref="I1889:I1952" si="59">E1889*1</f>
        <v>45813</v>
      </c>
      <c r="J1889" s="12">
        <f t="shared" ref="J1889:J1952" si="60">L1889-I1889</f>
        <v>26</v>
      </c>
      <c r="K1889" t="str">
        <f t="shared" si="54"/>
        <v>0-30</v>
      </c>
      <c r="L1889" s="11">
        <v>45839</v>
      </c>
      <c r="M1889" s="23">
        <f>YEAR(Таблица1[[#This Row],[Дата отчета]])</f>
        <v>2025</v>
      </c>
    </row>
    <row r="1890" spans="1:13" x14ac:dyDescent="0.25">
      <c r="A1890" t="s">
        <v>12</v>
      </c>
      <c r="B1890" t="s">
        <v>18</v>
      </c>
      <c r="C1890" t="s">
        <v>1826</v>
      </c>
      <c r="D1890" t="s">
        <v>1827</v>
      </c>
      <c r="E1890" t="s">
        <v>2430</v>
      </c>
      <c r="F1890" s="20">
        <v>1000</v>
      </c>
      <c r="I1890" s="11">
        <f t="shared" si="59"/>
        <v>45790</v>
      </c>
      <c r="J1890" s="12">
        <f t="shared" si="60"/>
        <v>49</v>
      </c>
      <c r="K1890" t="str">
        <f t="shared" si="54"/>
        <v>31-90</v>
      </c>
      <c r="L1890" s="11">
        <v>45839</v>
      </c>
      <c r="M1890" s="23">
        <f>YEAR(Таблица1[[#This Row],[Дата отчета]])</f>
        <v>2025</v>
      </c>
    </row>
    <row r="1891" spans="1:13" x14ac:dyDescent="0.25">
      <c r="A1891" t="s">
        <v>12</v>
      </c>
      <c r="B1891" t="s">
        <v>1828</v>
      </c>
      <c r="C1891" t="s">
        <v>1829</v>
      </c>
      <c r="D1891" t="s">
        <v>1830</v>
      </c>
      <c r="E1891" t="s">
        <v>535</v>
      </c>
      <c r="F1891" s="20">
        <v>10300</v>
      </c>
      <c r="I1891" s="11">
        <f t="shared" si="59"/>
        <v>45796</v>
      </c>
      <c r="J1891" s="12">
        <f t="shared" si="60"/>
        <v>43</v>
      </c>
      <c r="K1891" t="str">
        <f t="shared" si="54"/>
        <v>31-90</v>
      </c>
      <c r="L1891" s="11">
        <v>45839</v>
      </c>
      <c r="M1891" s="23">
        <f>YEAR(Таблица1[[#This Row],[Дата отчета]])</f>
        <v>2025</v>
      </c>
    </row>
    <row r="1892" spans="1:13" x14ac:dyDescent="0.25">
      <c r="A1892" t="s">
        <v>12</v>
      </c>
      <c r="B1892" t="s">
        <v>1265</v>
      </c>
      <c r="C1892" t="s">
        <v>1266</v>
      </c>
      <c r="D1892" t="s">
        <v>1267</v>
      </c>
      <c r="E1892" t="s">
        <v>247</v>
      </c>
      <c r="F1892" s="20">
        <v>24000</v>
      </c>
      <c r="I1892" s="11">
        <f t="shared" si="59"/>
        <v>45798</v>
      </c>
      <c r="J1892" s="12">
        <f t="shared" si="60"/>
        <v>41</v>
      </c>
      <c r="K1892" t="str">
        <f t="shared" si="54"/>
        <v>31-90</v>
      </c>
      <c r="L1892" s="11">
        <v>45839</v>
      </c>
      <c r="M1892" s="23">
        <f>YEAR(Таблица1[[#This Row],[Дата отчета]])</f>
        <v>2025</v>
      </c>
    </row>
    <row r="1893" spans="1:13" x14ac:dyDescent="0.25">
      <c r="A1893" t="s">
        <v>12</v>
      </c>
      <c r="B1893" t="s">
        <v>1265</v>
      </c>
      <c r="C1893" t="s">
        <v>1831</v>
      </c>
      <c r="D1893" t="s">
        <v>1832</v>
      </c>
      <c r="E1893" t="s">
        <v>2431</v>
      </c>
      <c r="F1893" s="20">
        <v>18435</v>
      </c>
      <c r="I1893" s="11">
        <f t="shared" si="59"/>
        <v>45807</v>
      </c>
      <c r="J1893" s="12">
        <f t="shared" si="60"/>
        <v>32</v>
      </c>
      <c r="K1893" t="str">
        <f t="shared" si="54"/>
        <v>31-90</v>
      </c>
      <c r="L1893" s="11">
        <v>45839</v>
      </c>
      <c r="M1893" s="23">
        <f>YEAR(Таблица1[[#This Row],[Дата отчета]])</f>
        <v>2025</v>
      </c>
    </row>
    <row r="1894" spans="1:13" x14ac:dyDescent="0.25">
      <c r="A1894" t="s">
        <v>12</v>
      </c>
      <c r="B1894" t="s">
        <v>1265</v>
      </c>
      <c r="C1894" t="s">
        <v>1268</v>
      </c>
      <c r="D1894" t="s">
        <v>1269</v>
      </c>
      <c r="E1894" t="s">
        <v>834</v>
      </c>
      <c r="F1894" s="20">
        <v>731965</v>
      </c>
      <c r="I1894" s="11">
        <f t="shared" si="59"/>
        <v>45824</v>
      </c>
      <c r="J1894" s="12">
        <f t="shared" si="60"/>
        <v>15</v>
      </c>
      <c r="K1894" t="str">
        <f t="shared" si="54"/>
        <v>0-30</v>
      </c>
      <c r="L1894" s="11">
        <v>45839</v>
      </c>
      <c r="M1894" s="23">
        <f>YEAR(Таблица1[[#This Row],[Дата отчета]])</f>
        <v>2025</v>
      </c>
    </row>
    <row r="1895" spans="1:13" x14ac:dyDescent="0.25">
      <c r="A1895" t="s">
        <v>12</v>
      </c>
      <c r="B1895" t="s">
        <v>1265</v>
      </c>
      <c r="C1895" t="s">
        <v>1833</v>
      </c>
      <c r="D1895" t="s">
        <v>1834</v>
      </c>
      <c r="E1895" t="s">
        <v>276</v>
      </c>
      <c r="F1895" s="20">
        <v>6940</v>
      </c>
      <c r="I1895" s="11">
        <f t="shared" si="59"/>
        <v>45827</v>
      </c>
      <c r="J1895" s="12">
        <f t="shared" si="60"/>
        <v>12</v>
      </c>
      <c r="K1895" t="str">
        <f t="shared" si="54"/>
        <v>0-30</v>
      </c>
      <c r="L1895" s="11">
        <v>45839</v>
      </c>
      <c r="M1895" s="23">
        <f>YEAR(Таблица1[[#This Row],[Дата отчета]])</f>
        <v>2025</v>
      </c>
    </row>
    <row r="1896" spans="1:13" x14ac:dyDescent="0.25">
      <c r="A1896" t="s">
        <v>12</v>
      </c>
      <c r="B1896" t="s">
        <v>52</v>
      </c>
      <c r="C1896" t="s">
        <v>1835</v>
      </c>
      <c r="D1896" t="s">
        <v>1836</v>
      </c>
      <c r="E1896" t="s">
        <v>2432</v>
      </c>
      <c r="F1896" s="20">
        <v>173300</v>
      </c>
      <c r="I1896" s="11">
        <f t="shared" si="59"/>
        <v>45693</v>
      </c>
      <c r="J1896" s="12">
        <f t="shared" si="60"/>
        <v>146</v>
      </c>
      <c r="K1896" t="str">
        <f t="shared" si="54"/>
        <v>121-180</v>
      </c>
      <c r="L1896" s="11">
        <v>45839</v>
      </c>
      <c r="M1896" s="23">
        <f>YEAR(Таблица1[[#This Row],[Дата отчета]])</f>
        <v>2025</v>
      </c>
    </row>
    <row r="1897" spans="1:13" x14ac:dyDescent="0.25">
      <c r="A1897" t="s">
        <v>12</v>
      </c>
      <c r="B1897" t="s">
        <v>52</v>
      </c>
      <c r="C1897" t="s">
        <v>1837</v>
      </c>
      <c r="D1897" t="s">
        <v>1838</v>
      </c>
      <c r="E1897" t="s">
        <v>1779</v>
      </c>
      <c r="F1897" s="20">
        <v>13860</v>
      </c>
      <c r="I1897" s="11">
        <f t="shared" si="59"/>
        <v>45818</v>
      </c>
      <c r="J1897" s="12">
        <f t="shared" si="60"/>
        <v>21</v>
      </c>
      <c r="K1897" t="str">
        <f t="shared" si="54"/>
        <v>0-30</v>
      </c>
      <c r="L1897" s="11">
        <v>45839</v>
      </c>
      <c r="M1897" s="23">
        <f>YEAR(Таблица1[[#This Row],[Дата отчета]])</f>
        <v>2025</v>
      </c>
    </row>
    <row r="1898" spans="1:13" x14ac:dyDescent="0.25">
      <c r="A1898" t="s">
        <v>12</v>
      </c>
      <c r="B1898" t="s">
        <v>52</v>
      </c>
      <c r="C1898" t="s">
        <v>1839</v>
      </c>
      <c r="D1898" t="s">
        <v>1840</v>
      </c>
      <c r="E1898" t="s">
        <v>834</v>
      </c>
      <c r="F1898" s="20">
        <v>3980</v>
      </c>
      <c r="I1898" s="11">
        <f t="shared" si="59"/>
        <v>45824</v>
      </c>
      <c r="J1898" s="12">
        <f t="shared" si="60"/>
        <v>15</v>
      </c>
      <c r="K1898" t="str">
        <f t="shared" si="54"/>
        <v>0-30</v>
      </c>
      <c r="L1898" s="11">
        <v>45839</v>
      </c>
      <c r="M1898" s="23">
        <f>YEAR(Таблица1[[#This Row],[Дата отчета]])</f>
        <v>2025</v>
      </c>
    </row>
    <row r="1899" spans="1:13" x14ac:dyDescent="0.25">
      <c r="A1899" t="s">
        <v>12</v>
      </c>
      <c r="B1899" t="s">
        <v>52</v>
      </c>
      <c r="C1899" t="s">
        <v>1841</v>
      </c>
      <c r="D1899" t="s">
        <v>1842</v>
      </c>
      <c r="E1899" t="s">
        <v>1790</v>
      </c>
      <c r="F1899" s="20">
        <v>14100</v>
      </c>
      <c r="I1899" s="11">
        <f t="shared" si="59"/>
        <v>45828</v>
      </c>
      <c r="J1899" s="12">
        <f t="shared" si="60"/>
        <v>11</v>
      </c>
      <c r="K1899" t="str">
        <f t="shared" si="54"/>
        <v>0-30</v>
      </c>
      <c r="L1899" s="11">
        <v>45839</v>
      </c>
      <c r="M1899" s="23">
        <f>YEAR(Таблица1[[#This Row],[Дата отчета]])</f>
        <v>2025</v>
      </c>
    </row>
    <row r="1900" spans="1:13" x14ac:dyDescent="0.25">
      <c r="A1900" t="s">
        <v>12</v>
      </c>
      <c r="B1900" t="s">
        <v>13</v>
      </c>
      <c r="C1900" t="s">
        <v>14</v>
      </c>
      <c r="D1900" t="s">
        <v>15</v>
      </c>
      <c r="E1900" t="s">
        <v>16</v>
      </c>
      <c r="F1900" s="20">
        <v>0.01</v>
      </c>
      <c r="I1900" s="11">
        <f t="shared" si="59"/>
        <v>45051</v>
      </c>
      <c r="J1900" s="12">
        <f t="shared" si="60"/>
        <v>788</v>
      </c>
      <c r="K1900" t="str">
        <f t="shared" si="54"/>
        <v>&gt;360</v>
      </c>
      <c r="L1900" s="11">
        <v>45839</v>
      </c>
      <c r="M1900" s="23">
        <f>YEAR(Таблица1[[#This Row],[Дата отчета]])</f>
        <v>2025</v>
      </c>
    </row>
    <row r="1901" spans="1:13" x14ac:dyDescent="0.25">
      <c r="A1901" t="s">
        <v>12</v>
      </c>
      <c r="B1901" t="s">
        <v>80</v>
      </c>
      <c r="C1901" t="s">
        <v>1843</v>
      </c>
      <c r="D1901" t="s">
        <v>1844</v>
      </c>
      <c r="E1901" t="s">
        <v>1039</v>
      </c>
      <c r="F1901" s="20">
        <v>9619</v>
      </c>
      <c r="I1901" s="11">
        <f t="shared" si="59"/>
        <v>45831</v>
      </c>
      <c r="J1901" s="12">
        <f t="shared" si="60"/>
        <v>8</v>
      </c>
      <c r="K1901" t="str">
        <f t="shared" si="54"/>
        <v>0-30</v>
      </c>
      <c r="L1901" s="11">
        <v>45839</v>
      </c>
      <c r="M1901" s="23">
        <f>YEAR(Таблица1[[#This Row],[Дата отчета]])</f>
        <v>2025</v>
      </c>
    </row>
    <row r="1902" spans="1:13" x14ac:dyDescent="0.25">
      <c r="A1902" t="s">
        <v>12</v>
      </c>
      <c r="B1902" t="s">
        <v>1845</v>
      </c>
      <c r="C1902" t="s">
        <v>1846</v>
      </c>
      <c r="D1902" t="s">
        <v>1847</v>
      </c>
      <c r="E1902" t="s">
        <v>2433</v>
      </c>
      <c r="F1902" s="20">
        <v>560000</v>
      </c>
      <c r="I1902" s="11">
        <f t="shared" si="59"/>
        <v>45769</v>
      </c>
      <c r="J1902" s="12">
        <f t="shared" si="60"/>
        <v>70</v>
      </c>
      <c r="K1902" t="str">
        <f t="shared" si="54"/>
        <v>31-90</v>
      </c>
      <c r="L1902" s="11">
        <v>45839</v>
      </c>
      <c r="M1902" s="23">
        <f>YEAR(Таблица1[[#This Row],[Дата отчета]])</f>
        <v>2025</v>
      </c>
    </row>
    <row r="1903" spans="1:13" x14ac:dyDescent="0.25">
      <c r="A1903" t="s">
        <v>12</v>
      </c>
      <c r="B1903" t="s">
        <v>1845</v>
      </c>
      <c r="C1903" t="s">
        <v>1848</v>
      </c>
      <c r="D1903" t="s">
        <v>1849</v>
      </c>
      <c r="E1903" t="s">
        <v>1256</v>
      </c>
      <c r="F1903" s="20">
        <v>90000</v>
      </c>
      <c r="I1903" s="11">
        <f t="shared" si="59"/>
        <v>45754</v>
      </c>
      <c r="J1903" s="12">
        <f t="shared" si="60"/>
        <v>85</v>
      </c>
      <c r="K1903" t="str">
        <f t="shared" si="54"/>
        <v>31-90</v>
      </c>
      <c r="L1903" s="11">
        <v>45839</v>
      </c>
      <c r="M1903" s="23">
        <f>YEAR(Таблица1[[#This Row],[Дата отчета]])</f>
        <v>2025</v>
      </c>
    </row>
    <row r="1904" spans="1:13" x14ac:dyDescent="0.25">
      <c r="A1904" t="s">
        <v>12</v>
      </c>
      <c r="B1904" t="s">
        <v>1845</v>
      </c>
      <c r="C1904" t="s">
        <v>1848</v>
      </c>
      <c r="D1904" t="s">
        <v>1850</v>
      </c>
      <c r="E1904" t="s">
        <v>983</v>
      </c>
      <c r="F1904" s="20">
        <v>470000</v>
      </c>
      <c r="I1904" s="11">
        <f t="shared" si="59"/>
        <v>45755</v>
      </c>
      <c r="J1904" s="12">
        <f t="shared" si="60"/>
        <v>84</v>
      </c>
      <c r="K1904" t="str">
        <f t="shared" si="54"/>
        <v>31-90</v>
      </c>
      <c r="L1904" s="11">
        <v>45839</v>
      </c>
      <c r="M1904" s="23">
        <f>YEAR(Таблица1[[#This Row],[Дата отчета]])</f>
        <v>2025</v>
      </c>
    </row>
    <row r="1905" spans="1:15" x14ac:dyDescent="0.25">
      <c r="A1905" t="s">
        <v>12</v>
      </c>
      <c r="B1905" t="s">
        <v>1845</v>
      </c>
      <c r="C1905" t="s">
        <v>1851</v>
      </c>
      <c r="D1905" t="s">
        <v>1852</v>
      </c>
      <c r="E1905" t="s">
        <v>2434</v>
      </c>
      <c r="F1905" s="20">
        <v>235000</v>
      </c>
      <c r="I1905" s="11">
        <f t="shared" si="59"/>
        <v>45758</v>
      </c>
      <c r="J1905" s="12">
        <f t="shared" si="60"/>
        <v>81</v>
      </c>
      <c r="K1905" t="str">
        <f t="shared" si="54"/>
        <v>31-90</v>
      </c>
      <c r="L1905" s="11">
        <v>45839</v>
      </c>
      <c r="M1905" s="23">
        <f>YEAR(Таблица1[[#This Row],[Дата отчета]])</f>
        <v>2025</v>
      </c>
    </row>
    <row r="1906" spans="1:15" x14ac:dyDescent="0.25">
      <c r="A1906" t="s">
        <v>12</v>
      </c>
      <c r="B1906" t="s">
        <v>1845</v>
      </c>
      <c r="C1906" t="s">
        <v>1851</v>
      </c>
      <c r="D1906" t="s">
        <v>1853</v>
      </c>
      <c r="E1906" t="s">
        <v>2433</v>
      </c>
      <c r="F1906" s="20">
        <v>235000</v>
      </c>
      <c r="I1906" s="11">
        <f t="shared" si="59"/>
        <v>45769</v>
      </c>
      <c r="J1906" s="12">
        <f t="shared" si="60"/>
        <v>70</v>
      </c>
      <c r="K1906" t="str">
        <f t="shared" si="54"/>
        <v>31-90</v>
      </c>
      <c r="L1906" s="11">
        <v>45839</v>
      </c>
      <c r="M1906" s="23">
        <f>YEAR(Таблица1[[#This Row],[Дата отчета]])</f>
        <v>2025</v>
      </c>
    </row>
    <row r="1907" spans="1:15" x14ac:dyDescent="0.25">
      <c r="A1907" t="s">
        <v>12</v>
      </c>
      <c r="B1907" t="s">
        <v>1845</v>
      </c>
      <c r="C1907" t="s">
        <v>1851</v>
      </c>
      <c r="D1907" t="s">
        <v>1854</v>
      </c>
      <c r="E1907" t="s">
        <v>687</v>
      </c>
      <c r="F1907" s="20">
        <v>470000</v>
      </c>
      <c r="I1907" s="11">
        <f t="shared" si="59"/>
        <v>45771</v>
      </c>
      <c r="J1907" s="12">
        <f t="shared" si="60"/>
        <v>68</v>
      </c>
      <c r="K1907" t="str">
        <f t="shared" si="54"/>
        <v>31-90</v>
      </c>
      <c r="L1907" s="11">
        <v>45839</v>
      </c>
      <c r="M1907" s="23">
        <f>YEAR(Таблица1[[#This Row],[Дата отчета]])</f>
        <v>2025</v>
      </c>
    </row>
    <row r="1908" spans="1:15" x14ac:dyDescent="0.25">
      <c r="A1908" t="s">
        <v>12</v>
      </c>
      <c r="B1908" t="s">
        <v>1278</v>
      </c>
      <c r="C1908" t="s">
        <v>1279</v>
      </c>
      <c r="D1908" t="s">
        <v>1280</v>
      </c>
      <c r="E1908" t="s">
        <v>1765</v>
      </c>
      <c r="F1908" s="20">
        <v>63648</v>
      </c>
      <c r="I1908" s="11">
        <f t="shared" si="59"/>
        <v>45735</v>
      </c>
      <c r="J1908" s="12">
        <f t="shared" si="60"/>
        <v>104</v>
      </c>
      <c r="K1908" t="str">
        <f t="shared" si="54"/>
        <v>91-120</v>
      </c>
      <c r="L1908" s="11">
        <v>45839</v>
      </c>
      <c r="M1908" s="23">
        <f>YEAR(Таблица1[[#This Row],[Дата отчета]])</f>
        <v>2025</v>
      </c>
    </row>
    <row r="1909" spans="1:15" x14ac:dyDescent="0.25">
      <c r="A1909" t="s">
        <v>12</v>
      </c>
      <c r="B1909" t="s">
        <v>1278</v>
      </c>
      <c r="C1909" t="s">
        <v>1281</v>
      </c>
      <c r="D1909" t="s">
        <v>1282</v>
      </c>
      <c r="E1909" t="s">
        <v>1765</v>
      </c>
      <c r="F1909" s="20">
        <v>63648</v>
      </c>
      <c r="I1909" s="11">
        <f t="shared" si="59"/>
        <v>45735</v>
      </c>
      <c r="J1909" s="12">
        <f t="shared" si="60"/>
        <v>104</v>
      </c>
      <c r="K1909" t="str">
        <f t="shared" si="54"/>
        <v>91-120</v>
      </c>
      <c r="L1909" s="11">
        <v>45839</v>
      </c>
      <c r="M1909" s="23">
        <f>YEAR(Таблица1[[#This Row],[Дата отчета]])</f>
        <v>2025</v>
      </c>
    </row>
    <row r="1910" spans="1:15" x14ac:dyDescent="0.25">
      <c r="A1910" t="s">
        <v>12</v>
      </c>
      <c r="B1910" t="s">
        <v>1278</v>
      </c>
      <c r="C1910" t="s">
        <v>1283</v>
      </c>
      <c r="D1910" t="s">
        <v>1284</v>
      </c>
      <c r="E1910" t="s">
        <v>1765</v>
      </c>
      <c r="F1910" s="20">
        <v>33408</v>
      </c>
      <c r="I1910" s="11">
        <f t="shared" si="59"/>
        <v>45735</v>
      </c>
      <c r="J1910" s="12">
        <f t="shared" si="60"/>
        <v>104</v>
      </c>
      <c r="K1910" t="str">
        <f t="shared" si="54"/>
        <v>91-120</v>
      </c>
      <c r="L1910" s="11">
        <v>45839</v>
      </c>
      <c r="M1910" s="23">
        <f>YEAR(Таблица1[[#This Row],[Дата отчета]])</f>
        <v>2025</v>
      </c>
    </row>
    <row r="1911" spans="1:15" x14ac:dyDescent="0.25">
      <c r="A1911" t="s">
        <v>12</v>
      </c>
      <c r="B1911" t="s">
        <v>1278</v>
      </c>
      <c r="C1911" t="s">
        <v>1285</v>
      </c>
      <c r="D1911" t="s">
        <v>1286</v>
      </c>
      <c r="E1911" t="s">
        <v>1765</v>
      </c>
      <c r="F1911" s="20">
        <v>33408</v>
      </c>
      <c r="I1911" s="11">
        <f t="shared" si="59"/>
        <v>45735</v>
      </c>
      <c r="J1911" s="12">
        <f t="shared" si="60"/>
        <v>104</v>
      </c>
      <c r="K1911" t="str">
        <f t="shared" si="54"/>
        <v>91-120</v>
      </c>
      <c r="L1911" s="11">
        <v>45839</v>
      </c>
      <c r="M1911" s="23">
        <f>YEAR(Таблица1[[#This Row],[Дата отчета]])</f>
        <v>2025</v>
      </c>
    </row>
    <row r="1912" spans="1:15" x14ac:dyDescent="0.25">
      <c r="A1912" t="s">
        <v>12</v>
      </c>
      <c r="B1912" t="s">
        <v>88</v>
      </c>
      <c r="C1912" t="s">
        <v>89</v>
      </c>
      <c r="D1912" t="s">
        <v>90</v>
      </c>
      <c r="E1912" t="s">
        <v>91</v>
      </c>
      <c r="F1912" s="20">
        <v>198000</v>
      </c>
      <c r="I1912" s="11">
        <f t="shared" si="59"/>
        <v>45723</v>
      </c>
      <c r="J1912" s="12">
        <f t="shared" si="60"/>
        <v>116</v>
      </c>
      <c r="K1912" t="str">
        <f t="shared" si="54"/>
        <v>91-120</v>
      </c>
      <c r="L1912" s="11">
        <v>45839</v>
      </c>
      <c r="M1912" s="23">
        <f>YEAR(Таблица1[[#This Row],[Дата отчета]])</f>
        <v>2025</v>
      </c>
      <c r="N1912" s="30" t="s">
        <v>4537</v>
      </c>
      <c r="O1912" s="30"/>
    </row>
    <row r="1913" spans="1:15" x14ac:dyDescent="0.25">
      <c r="A1913" t="s">
        <v>12</v>
      </c>
      <c r="B1913" t="s">
        <v>93</v>
      </c>
      <c r="C1913" t="s">
        <v>1855</v>
      </c>
      <c r="D1913" t="s">
        <v>1856</v>
      </c>
      <c r="E1913" t="s">
        <v>1039</v>
      </c>
      <c r="F1913" s="20">
        <v>541144.28</v>
      </c>
      <c r="I1913" s="11">
        <f t="shared" si="59"/>
        <v>45831</v>
      </c>
      <c r="J1913" s="12">
        <f t="shared" si="60"/>
        <v>8</v>
      </c>
      <c r="K1913" t="str">
        <f t="shared" si="54"/>
        <v>0-30</v>
      </c>
      <c r="L1913" s="11">
        <v>45839</v>
      </c>
      <c r="M1913" s="23">
        <f>YEAR(Таблица1[[#This Row],[Дата отчета]])</f>
        <v>2025</v>
      </c>
    </row>
    <row r="1914" spans="1:15" x14ac:dyDescent="0.25">
      <c r="A1914" t="s">
        <v>12</v>
      </c>
      <c r="B1914" t="s">
        <v>1857</v>
      </c>
      <c r="C1914" t="s">
        <v>1858</v>
      </c>
      <c r="D1914" t="s">
        <v>1859</v>
      </c>
      <c r="E1914" t="s">
        <v>1810</v>
      </c>
      <c r="F1914" s="20">
        <v>79200</v>
      </c>
      <c r="I1914" s="11">
        <f t="shared" si="59"/>
        <v>45761</v>
      </c>
      <c r="J1914" s="12">
        <f t="shared" si="60"/>
        <v>78</v>
      </c>
      <c r="K1914" t="str">
        <f t="shared" si="54"/>
        <v>31-90</v>
      </c>
      <c r="L1914" s="11">
        <v>45839</v>
      </c>
      <c r="M1914" s="23">
        <f>YEAR(Таблица1[[#This Row],[Дата отчета]])</f>
        <v>2025</v>
      </c>
    </row>
    <row r="1915" spans="1:15" x14ac:dyDescent="0.25">
      <c r="A1915" t="s">
        <v>12</v>
      </c>
      <c r="B1915" t="s">
        <v>1860</v>
      </c>
      <c r="C1915" t="s">
        <v>1861</v>
      </c>
      <c r="D1915" t="s">
        <v>1862</v>
      </c>
      <c r="E1915" t="s">
        <v>183</v>
      </c>
      <c r="F1915" s="20">
        <v>57040</v>
      </c>
      <c r="I1915" s="11">
        <f t="shared" si="59"/>
        <v>45817</v>
      </c>
      <c r="J1915" s="12">
        <f t="shared" si="60"/>
        <v>22</v>
      </c>
      <c r="K1915" t="str">
        <f t="shared" si="54"/>
        <v>0-30</v>
      </c>
      <c r="L1915" s="11">
        <v>45839</v>
      </c>
      <c r="M1915" s="23">
        <f>YEAR(Таблица1[[#This Row],[Дата отчета]])</f>
        <v>2025</v>
      </c>
    </row>
    <row r="1916" spans="1:15" x14ac:dyDescent="0.25">
      <c r="A1916" t="s">
        <v>12</v>
      </c>
      <c r="B1916" t="s">
        <v>1863</v>
      </c>
      <c r="C1916" t="s">
        <v>269</v>
      </c>
      <c r="D1916" t="s">
        <v>1864</v>
      </c>
      <c r="E1916" t="s">
        <v>1256</v>
      </c>
      <c r="F1916" s="20">
        <v>275</v>
      </c>
      <c r="I1916" s="11">
        <f t="shared" si="59"/>
        <v>45754</v>
      </c>
      <c r="J1916" s="12">
        <f t="shared" si="60"/>
        <v>85</v>
      </c>
      <c r="K1916" t="str">
        <f t="shared" si="54"/>
        <v>31-90</v>
      </c>
      <c r="L1916" s="11">
        <v>45839</v>
      </c>
      <c r="M1916" s="23">
        <f>YEAR(Таблица1[[#This Row],[Дата отчета]])</f>
        <v>2025</v>
      </c>
    </row>
    <row r="1917" spans="1:15" x14ac:dyDescent="0.25">
      <c r="A1917" t="s">
        <v>12</v>
      </c>
      <c r="B1917" t="s">
        <v>1863</v>
      </c>
      <c r="C1917" t="s">
        <v>269</v>
      </c>
      <c r="D1917" t="s">
        <v>1865</v>
      </c>
      <c r="E1917" t="s">
        <v>2435</v>
      </c>
      <c r="F1917" s="20">
        <v>210</v>
      </c>
      <c r="I1917" s="11">
        <f t="shared" si="59"/>
        <v>45765</v>
      </c>
      <c r="J1917" s="12">
        <f t="shared" si="60"/>
        <v>74</v>
      </c>
      <c r="K1917" t="str">
        <f t="shared" si="54"/>
        <v>31-90</v>
      </c>
      <c r="L1917" s="11">
        <v>45839</v>
      </c>
      <c r="M1917" s="23">
        <f>YEAR(Таблица1[[#This Row],[Дата отчета]])</f>
        <v>2025</v>
      </c>
    </row>
    <row r="1918" spans="1:15" x14ac:dyDescent="0.25">
      <c r="A1918" t="s">
        <v>12</v>
      </c>
      <c r="B1918" t="s">
        <v>1863</v>
      </c>
      <c r="C1918" t="s">
        <v>269</v>
      </c>
      <c r="D1918" t="s">
        <v>1866</v>
      </c>
      <c r="E1918" t="s">
        <v>2430</v>
      </c>
      <c r="F1918" s="20">
        <v>450</v>
      </c>
      <c r="I1918" s="11">
        <f t="shared" si="59"/>
        <v>45790</v>
      </c>
      <c r="J1918" s="12">
        <f t="shared" si="60"/>
        <v>49</v>
      </c>
      <c r="K1918" t="str">
        <f t="shared" si="54"/>
        <v>31-90</v>
      </c>
      <c r="L1918" s="11">
        <v>45839</v>
      </c>
      <c r="M1918" s="23">
        <f>YEAR(Таблица1[[#This Row],[Дата отчета]])</f>
        <v>2025</v>
      </c>
    </row>
    <row r="1919" spans="1:15" x14ac:dyDescent="0.25">
      <c r="A1919" t="s">
        <v>12</v>
      </c>
      <c r="B1919" t="s">
        <v>1867</v>
      </c>
      <c r="C1919" t="s">
        <v>1868</v>
      </c>
      <c r="D1919" t="s">
        <v>1869</v>
      </c>
      <c r="E1919" t="s">
        <v>968</v>
      </c>
      <c r="F1919" s="20">
        <v>2940</v>
      </c>
      <c r="I1919" s="11">
        <f t="shared" si="59"/>
        <v>45729</v>
      </c>
      <c r="J1919" s="12">
        <f t="shared" si="60"/>
        <v>110</v>
      </c>
      <c r="K1919" t="str">
        <f t="shared" ref="K1919:K1982" si="61">IF(J1919&lt;=30,"0-30",IF(J1919&lt;=90,"31-90",IF(J1919&lt;=120,"91-120",IF(J1919&lt;=180,"121-180",IF(J1919&lt;=270,"181-270",IF(J1919&lt;=360,"271-360","&gt;360"))))))</f>
        <v>91-120</v>
      </c>
      <c r="L1919" s="11">
        <v>45839</v>
      </c>
      <c r="M1919" s="23">
        <f>YEAR(Таблица1[[#This Row],[Дата отчета]])</f>
        <v>2025</v>
      </c>
    </row>
    <row r="1920" spans="1:15" x14ac:dyDescent="0.25">
      <c r="A1920" t="s">
        <v>12</v>
      </c>
      <c r="B1920" t="s">
        <v>1870</v>
      </c>
      <c r="C1920" t="s">
        <v>1871</v>
      </c>
      <c r="D1920" t="s">
        <v>1872</v>
      </c>
      <c r="E1920" t="s">
        <v>729</v>
      </c>
      <c r="F1920" s="20">
        <v>6000</v>
      </c>
      <c r="I1920" s="11">
        <f t="shared" si="59"/>
        <v>45799</v>
      </c>
      <c r="J1920" s="12">
        <f t="shared" si="60"/>
        <v>40</v>
      </c>
      <c r="K1920" t="str">
        <f t="shared" si="61"/>
        <v>31-90</v>
      </c>
      <c r="L1920" s="11">
        <v>45839</v>
      </c>
      <c r="M1920" s="23">
        <f>YEAR(Таблица1[[#This Row],[Дата отчета]])</f>
        <v>2025</v>
      </c>
    </row>
    <row r="1921" spans="1:15" x14ac:dyDescent="0.25">
      <c r="A1921" t="s">
        <v>12</v>
      </c>
      <c r="B1921" t="s">
        <v>1870</v>
      </c>
      <c r="C1921" t="s">
        <v>1873</v>
      </c>
      <c r="D1921" t="s">
        <v>1874</v>
      </c>
      <c r="E1921" t="s">
        <v>2436</v>
      </c>
      <c r="F1921" s="20">
        <v>35000</v>
      </c>
      <c r="I1921" s="11">
        <f t="shared" si="59"/>
        <v>45792</v>
      </c>
      <c r="J1921" s="12">
        <f t="shared" si="60"/>
        <v>47</v>
      </c>
      <c r="K1921" t="str">
        <f t="shared" si="61"/>
        <v>31-90</v>
      </c>
      <c r="L1921" s="11">
        <v>45839</v>
      </c>
      <c r="M1921" s="23">
        <f>YEAR(Таблица1[[#This Row],[Дата отчета]])</f>
        <v>2025</v>
      </c>
    </row>
    <row r="1922" spans="1:15" x14ac:dyDescent="0.25">
      <c r="A1922" t="s">
        <v>12</v>
      </c>
      <c r="B1922" t="s">
        <v>1291</v>
      </c>
      <c r="C1922" t="s">
        <v>1875</v>
      </c>
      <c r="D1922" t="s">
        <v>1876</v>
      </c>
      <c r="E1922" t="s">
        <v>1779</v>
      </c>
      <c r="F1922" s="20">
        <v>71000</v>
      </c>
      <c r="I1922" s="11">
        <f t="shared" si="59"/>
        <v>45818</v>
      </c>
      <c r="J1922" s="12">
        <f t="shared" si="60"/>
        <v>21</v>
      </c>
      <c r="K1922" t="str">
        <f t="shared" si="61"/>
        <v>0-30</v>
      </c>
      <c r="L1922" s="11">
        <v>45839</v>
      </c>
      <c r="M1922" s="23">
        <f>YEAR(Таблица1[[#This Row],[Дата отчета]])</f>
        <v>2025</v>
      </c>
    </row>
    <row r="1923" spans="1:15" x14ac:dyDescent="0.25">
      <c r="A1923" t="s">
        <v>12</v>
      </c>
      <c r="B1923" t="s">
        <v>1291</v>
      </c>
      <c r="C1923" t="s">
        <v>1877</v>
      </c>
      <c r="D1923" t="s">
        <v>1878</v>
      </c>
      <c r="E1923" t="s">
        <v>146</v>
      </c>
      <c r="F1923" s="20">
        <v>156250</v>
      </c>
      <c r="I1923" s="11">
        <f t="shared" si="59"/>
        <v>45838</v>
      </c>
      <c r="J1923" s="12">
        <f t="shared" si="60"/>
        <v>1</v>
      </c>
      <c r="K1923" t="str">
        <f t="shared" si="61"/>
        <v>0-30</v>
      </c>
      <c r="L1923" s="11">
        <v>45839</v>
      </c>
      <c r="M1923" s="23">
        <f>YEAR(Таблица1[[#This Row],[Дата отчета]])</f>
        <v>2025</v>
      </c>
    </row>
    <row r="1924" spans="1:15" x14ac:dyDescent="0.25">
      <c r="A1924" t="s">
        <v>12</v>
      </c>
      <c r="B1924" t="s">
        <v>1291</v>
      </c>
      <c r="C1924" t="s">
        <v>1879</v>
      </c>
      <c r="D1924" t="s">
        <v>1880</v>
      </c>
      <c r="E1924" t="s">
        <v>2437</v>
      </c>
      <c r="F1924" s="20">
        <v>26000</v>
      </c>
      <c r="I1924" s="11">
        <f t="shared" si="59"/>
        <v>45791</v>
      </c>
      <c r="J1924" s="12">
        <f t="shared" si="60"/>
        <v>48</v>
      </c>
      <c r="K1924" t="str">
        <f t="shared" si="61"/>
        <v>31-90</v>
      </c>
      <c r="L1924" s="11">
        <v>45839</v>
      </c>
      <c r="M1924" s="23">
        <f>YEAR(Таблица1[[#This Row],[Дата отчета]])</f>
        <v>2025</v>
      </c>
    </row>
    <row r="1925" spans="1:15" x14ac:dyDescent="0.25">
      <c r="A1925" t="s">
        <v>12</v>
      </c>
      <c r="B1925" t="s">
        <v>1291</v>
      </c>
      <c r="C1925" t="s">
        <v>1881</v>
      </c>
      <c r="D1925" t="s">
        <v>1882</v>
      </c>
      <c r="E1925" t="s">
        <v>535</v>
      </c>
      <c r="F1925" s="20">
        <v>285000</v>
      </c>
      <c r="I1925" s="11">
        <f t="shared" si="59"/>
        <v>45796</v>
      </c>
      <c r="J1925" s="12">
        <f t="shared" si="60"/>
        <v>43</v>
      </c>
      <c r="K1925" t="str">
        <f t="shared" si="61"/>
        <v>31-90</v>
      </c>
      <c r="L1925" s="11">
        <v>45839</v>
      </c>
      <c r="M1925" s="23">
        <f>YEAR(Таблица1[[#This Row],[Дата отчета]])</f>
        <v>2025</v>
      </c>
    </row>
    <row r="1926" spans="1:15" x14ac:dyDescent="0.25">
      <c r="A1926" t="s">
        <v>12</v>
      </c>
      <c r="B1926" t="s">
        <v>1291</v>
      </c>
      <c r="C1926" t="s">
        <v>1294</v>
      </c>
      <c r="D1926" t="s">
        <v>1295</v>
      </c>
      <c r="E1926" t="s">
        <v>560</v>
      </c>
      <c r="F1926" s="20">
        <v>19500</v>
      </c>
      <c r="I1926" s="11">
        <f t="shared" si="59"/>
        <v>45805</v>
      </c>
      <c r="J1926" s="12">
        <f t="shared" si="60"/>
        <v>34</v>
      </c>
      <c r="K1926" t="str">
        <f t="shared" si="61"/>
        <v>31-90</v>
      </c>
      <c r="L1926" s="11">
        <v>45839</v>
      </c>
      <c r="M1926" s="23">
        <f>YEAR(Таблица1[[#This Row],[Дата отчета]])</f>
        <v>2025</v>
      </c>
    </row>
    <row r="1927" spans="1:15" x14ac:dyDescent="0.25">
      <c r="A1927" t="s">
        <v>12</v>
      </c>
      <c r="B1927" t="s">
        <v>1296</v>
      </c>
      <c r="C1927" t="s">
        <v>1297</v>
      </c>
      <c r="D1927" t="s">
        <v>1298</v>
      </c>
      <c r="E1927" t="s">
        <v>1767</v>
      </c>
      <c r="F1927" s="20">
        <v>10865</v>
      </c>
      <c r="I1927" s="11">
        <f t="shared" si="59"/>
        <v>45762</v>
      </c>
      <c r="J1927" s="12">
        <f t="shared" si="60"/>
        <v>77</v>
      </c>
      <c r="K1927" t="str">
        <f t="shared" si="61"/>
        <v>31-90</v>
      </c>
      <c r="L1927" s="11">
        <v>45839</v>
      </c>
      <c r="M1927" s="23">
        <f>YEAR(Таблица1[[#This Row],[Дата отчета]])</f>
        <v>2025</v>
      </c>
    </row>
    <row r="1928" spans="1:15" x14ac:dyDescent="0.25">
      <c r="A1928" t="s">
        <v>12</v>
      </c>
      <c r="B1928" t="s">
        <v>1883</v>
      </c>
      <c r="C1928" t="s">
        <v>1884</v>
      </c>
      <c r="D1928" t="s">
        <v>1885</v>
      </c>
      <c r="E1928" t="s">
        <v>1786</v>
      </c>
      <c r="F1928" s="20">
        <v>1198738.3600000001</v>
      </c>
      <c r="I1928" s="11">
        <f t="shared" si="59"/>
        <v>45832</v>
      </c>
      <c r="J1928" s="12">
        <f t="shared" si="60"/>
        <v>7</v>
      </c>
      <c r="K1928" t="str">
        <f t="shared" si="61"/>
        <v>0-30</v>
      </c>
      <c r="L1928" s="11">
        <v>45839</v>
      </c>
      <c r="M1928" s="23">
        <f>YEAR(Таблица1[[#This Row],[Дата отчета]])</f>
        <v>2025</v>
      </c>
    </row>
    <row r="1929" spans="1:15" x14ac:dyDescent="0.25">
      <c r="A1929" t="s">
        <v>12</v>
      </c>
      <c r="B1929" t="s">
        <v>114</v>
      </c>
      <c r="C1929" t="s">
        <v>1886</v>
      </c>
      <c r="D1929" t="s">
        <v>1887</v>
      </c>
      <c r="E1929" t="s">
        <v>1790</v>
      </c>
      <c r="F1929" s="20">
        <v>344735.54</v>
      </c>
      <c r="I1929" s="11">
        <f t="shared" si="59"/>
        <v>45828</v>
      </c>
      <c r="J1929" s="12">
        <f t="shared" si="60"/>
        <v>11</v>
      </c>
      <c r="K1929" t="str">
        <f t="shared" si="61"/>
        <v>0-30</v>
      </c>
      <c r="L1929" s="11">
        <v>45839</v>
      </c>
      <c r="M1929" s="23">
        <f>YEAR(Таблица1[[#This Row],[Дата отчета]])</f>
        <v>2025</v>
      </c>
    </row>
    <row r="1930" spans="1:15" x14ac:dyDescent="0.25">
      <c r="A1930" t="s">
        <v>12</v>
      </c>
      <c r="B1930" t="s">
        <v>1888</v>
      </c>
      <c r="C1930" t="s">
        <v>1889</v>
      </c>
      <c r="D1930" t="s">
        <v>1890</v>
      </c>
      <c r="E1930" t="s">
        <v>2438</v>
      </c>
      <c r="F1930" s="20">
        <v>12470</v>
      </c>
      <c r="I1930" s="11">
        <f t="shared" si="59"/>
        <v>45365</v>
      </c>
      <c r="J1930" s="12">
        <f t="shared" si="60"/>
        <v>474</v>
      </c>
      <c r="K1930" t="str">
        <f t="shared" si="61"/>
        <v>&gt;360</v>
      </c>
      <c r="L1930" s="11">
        <v>45839</v>
      </c>
      <c r="M1930" s="23">
        <f>YEAR(Таблица1[[#This Row],[Дата отчета]])</f>
        <v>2025</v>
      </c>
    </row>
    <row r="1931" spans="1:15" x14ac:dyDescent="0.25">
      <c r="A1931" t="s">
        <v>12</v>
      </c>
      <c r="B1931" t="s">
        <v>120</v>
      </c>
      <c r="C1931" t="s">
        <v>121</v>
      </c>
      <c r="D1931" t="s">
        <v>122</v>
      </c>
      <c r="E1931" t="s">
        <v>123</v>
      </c>
      <c r="F1931" s="20">
        <v>691600</v>
      </c>
      <c r="I1931" s="11">
        <f t="shared" si="59"/>
        <v>45782</v>
      </c>
      <c r="J1931" s="12">
        <f t="shared" si="60"/>
        <v>57</v>
      </c>
      <c r="K1931" t="str">
        <f t="shared" si="61"/>
        <v>31-90</v>
      </c>
      <c r="L1931" s="11">
        <v>45839</v>
      </c>
      <c r="M1931" s="23">
        <f>YEAR(Таблица1[[#This Row],[Дата отчета]])</f>
        <v>2025</v>
      </c>
      <c r="N1931" s="2" t="s">
        <v>4541</v>
      </c>
      <c r="O1931" s="31"/>
    </row>
    <row r="1932" spans="1:15" x14ac:dyDescent="0.25">
      <c r="A1932" t="s">
        <v>12</v>
      </c>
      <c r="B1932" t="s">
        <v>124</v>
      </c>
      <c r="C1932" t="s">
        <v>125</v>
      </c>
      <c r="D1932" t="s">
        <v>1299</v>
      </c>
      <c r="E1932" t="s">
        <v>1768</v>
      </c>
      <c r="F1932" s="20">
        <v>33000</v>
      </c>
      <c r="I1932" s="11">
        <f t="shared" si="59"/>
        <v>45639</v>
      </c>
      <c r="J1932" s="12">
        <f t="shared" si="60"/>
        <v>200</v>
      </c>
      <c r="K1932" t="str">
        <f t="shared" si="61"/>
        <v>181-270</v>
      </c>
      <c r="L1932" s="11">
        <v>45839</v>
      </c>
      <c r="M1932" s="23">
        <f>YEAR(Таблица1[[#This Row],[Дата отчета]])</f>
        <v>2025</v>
      </c>
    </row>
    <row r="1933" spans="1:15" x14ac:dyDescent="0.25">
      <c r="A1933" t="s">
        <v>12</v>
      </c>
      <c r="B1933" t="s">
        <v>143</v>
      </c>
      <c r="C1933" t="s">
        <v>144</v>
      </c>
      <c r="D1933" t="s">
        <v>145</v>
      </c>
      <c r="E1933" t="s">
        <v>146</v>
      </c>
      <c r="F1933" s="20">
        <v>7000</v>
      </c>
      <c r="I1933" s="11">
        <f t="shared" si="59"/>
        <v>45838</v>
      </c>
      <c r="J1933" s="12">
        <f t="shared" si="60"/>
        <v>1</v>
      </c>
      <c r="K1933" t="str">
        <f t="shared" si="61"/>
        <v>0-30</v>
      </c>
      <c r="L1933" s="11">
        <v>45839</v>
      </c>
      <c r="M1933" s="23">
        <f>YEAR(Таблица1[[#This Row],[Дата отчета]])</f>
        <v>2025</v>
      </c>
      <c r="N1933" s="2" t="s">
        <v>807</v>
      </c>
    </row>
    <row r="1934" spans="1:15" x14ac:dyDescent="0.25">
      <c r="A1934" t="s">
        <v>12</v>
      </c>
      <c r="B1934" t="s">
        <v>1891</v>
      </c>
      <c r="C1934" t="s">
        <v>1892</v>
      </c>
      <c r="D1934" t="s">
        <v>1893</v>
      </c>
      <c r="E1934" t="s">
        <v>2439</v>
      </c>
      <c r="F1934" s="20">
        <v>2818</v>
      </c>
      <c r="I1934" s="11">
        <f t="shared" si="59"/>
        <v>45016</v>
      </c>
      <c r="J1934" s="12">
        <f t="shared" si="60"/>
        <v>823</v>
      </c>
      <c r="K1934" t="str">
        <f t="shared" si="61"/>
        <v>&gt;360</v>
      </c>
      <c r="L1934" s="11">
        <v>45839</v>
      </c>
      <c r="M1934" s="23">
        <f>YEAR(Таблица1[[#This Row],[Дата отчета]])</f>
        <v>2025</v>
      </c>
    </row>
    <row r="1935" spans="1:15" x14ac:dyDescent="0.25">
      <c r="A1935" t="s">
        <v>12</v>
      </c>
      <c r="B1935" t="s">
        <v>1894</v>
      </c>
      <c r="C1935" t="s">
        <v>1895</v>
      </c>
      <c r="D1935" t="s">
        <v>1896</v>
      </c>
      <c r="E1935" t="s">
        <v>91</v>
      </c>
      <c r="F1935" s="20">
        <v>10800</v>
      </c>
      <c r="I1935" s="11">
        <f t="shared" si="59"/>
        <v>45723</v>
      </c>
      <c r="J1935" s="12">
        <f t="shared" si="60"/>
        <v>116</v>
      </c>
      <c r="K1935" t="str">
        <f t="shared" si="61"/>
        <v>91-120</v>
      </c>
      <c r="L1935" s="11">
        <v>45839</v>
      </c>
      <c r="M1935" s="23">
        <f>YEAR(Таблица1[[#This Row],[Дата отчета]])</f>
        <v>2025</v>
      </c>
    </row>
    <row r="1936" spans="1:15" x14ac:dyDescent="0.25">
      <c r="A1936" t="s">
        <v>12</v>
      </c>
      <c r="B1936" t="s">
        <v>147</v>
      </c>
      <c r="C1936" t="s">
        <v>1897</v>
      </c>
      <c r="D1936" t="s">
        <v>1898</v>
      </c>
      <c r="E1936" t="s">
        <v>2440</v>
      </c>
      <c r="F1936" s="20">
        <v>297353</v>
      </c>
      <c r="I1936" s="11">
        <f t="shared" si="59"/>
        <v>45692</v>
      </c>
      <c r="J1936" s="12">
        <f t="shared" si="60"/>
        <v>147</v>
      </c>
      <c r="K1936" t="str">
        <f t="shared" si="61"/>
        <v>121-180</v>
      </c>
      <c r="L1936" s="11">
        <v>45839</v>
      </c>
      <c r="M1936" s="23">
        <f>YEAR(Таблица1[[#This Row],[Дата отчета]])</f>
        <v>2025</v>
      </c>
    </row>
    <row r="1937" spans="1:14" x14ac:dyDescent="0.25">
      <c r="A1937" t="s">
        <v>12</v>
      </c>
      <c r="B1937" t="s">
        <v>147</v>
      </c>
      <c r="C1937" t="s">
        <v>1899</v>
      </c>
      <c r="D1937" t="s">
        <v>1900</v>
      </c>
      <c r="E1937" t="s">
        <v>2440</v>
      </c>
      <c r="F1937" s="20">
        <v>134438</v>
      </c>
      <c r="I1937" s="11">
        <f t="shared" si="59"/>
        <v>45692</v>
      </c>
      <c r="J1937" s="12">
        <f t="shared" si="60"/>
        <v>147</v>
      </c>
      <c r="K1937" t="str">
        <f t="shared" si="61"/>
        <v>121-180</v>
      </c>
      <c r="L1937" s="11">
        <v>45839</v>
      </c>
      <c r="M1937" s="23">
        <f>YEAR(Таблица1[[#This Row],[Дата отчета]])</f>
        <v>2025</v>
      </c>
    </row>
    <row r="1938" spans="1:14" x14ac:dyDescent="0.25">
      <c r="A1938" t="s">
        <v>12</v>
      </c>
      <c r="B1938" t="s">
        <v>147</v>
      </c>
      <c r="C1938" t="s">
        <v>1901</v>
      </c>
      <c r="D1938" t="s">
        <v>1902</v>
      </c>
      <c r="E1938" t="s">
        <v>2440</v>
      </c>
      <c r="F1938" s="20">
        <v>40000</v>
      </c>
      <c r="I1938" s="11">
        <f t="shared" si="59"/>
        <v>45692</v>
      </c>
      <c r="J1938" s="12">
        <f t="shared" si="60"/>
        <v>147</v>
      </c>
      <c r="K1938" t="str">
        <f t="shared" si="61"/>
        <v>121-180</v>
      </c>
      <c r="L1938" s="11">
        <v>45839</v>
      </c>
      <c r="M1938" s="23">
        <f>YEAR(Таблица1[[#This Row],[Дата отчета]])</f>
        <v>2025</v>
      </c>
    </row>
    <row r="1939" spans="1:14" x14ac:dyDescent="0.25">
      <c r="A1939" t="s">
        <v>12</v>
      </c>
      <c r="B1939" t="s">
        <v>150</v>
      </c>
      <c r="C1939" t="s">
        <v>1308</v>
      </c>
      <c r="D1939" t="s">
        <v>1309</v>
      </c>
      <c r="E1939" t="s">
        <v>1770</v>
      </c>
      <c r="F1939" s="20">
        <v>391535.6</v>
      </c>
      <c r="I1939" s="11">
        <f t="shared" si="59"/>
        <v>45713</v>
      </c>
      <c r="J1939" s="12">
        <f t="shared" si="60"/>
        <v>126</v>
      </c>
      <c r="K1939" t="str">
        <f t="shared" si="61"/>
        <v>121-180</v>
      </c>
      <c r="L1939" s="11">
        <v>45839</v>
      </c>
      <c r="M1939" s="23">
        <f>YEAR(Таблица1[[#This Row],[Дата отчета]])</f>
        <v>2025</v>
      </c>
    </row>
    <row r="1940" spans="1:14" x14ac:dyDescent="0.25">
      <c r="A1940" t="s">
        <v>12</v>
      </c>
      <c r="B1940" t="s">
        <v>150</v>
      </c>
      <c r="C1940" t="s">
        <v>1310</v>
      </c>
      <c r="D1940" t="s">
        <v>1311</v>
      </c>
      <c r="E1940" t="s">
        <v>1771</v>
      </c>
      <c r="F1940" s="20">
        <v>819700.57</v>
      </c>
      <c r="I1940" s="11">
        <f t="shared" si="59"/>
        <v>45687</v>
      </c>
      <c r="J1940" s="12">
        <f t="shared" si="60"/>
        <v>152</v>
      </c>
      <c r="K1940" t="str">
        <f t="shared" si="61"/>
        <v>121-180</v>
      </c>
      <c r="L1940" s="11">
        <v>45839</v>
      </c>
      <c r="M1940" s="23">
        <f>YEAR(Таблица1[[#This Row],[Дата отчета]])</f>
        <v>2025</v>
      </c>
    </row>
    <row r="1941" spans="1:14" x14ac:dyDescent="0.25">
      <c r="A1941" t="s">
        <v>12</v>
      </c>
      <c r="B1941" t="s">
        <v>166</v>
      </c>
      <c r="C1941" t="s">
        <v>1903</v>
      </c>
      <c r="D1941" t="s">
        <v>1904</v>
      </c>
      <c r="E1941" t="s">
        <v>2441</v>
      </c>
      <c r="F1941" s="20">
        <v>2950000</v>
      </c>
      <c r="I1941" s="11">
        <f t="shared" si="59"/>
        <v>45776</v>
      </c>
      <c r="J1941" s="12">
        <f t="shared" si="60"/>
        <v>63</v>
      </c>
      <c r="K1941" t="str">
        <f t="shared" si="61"/>
        <v>31-90</v>
      </c>
      <c r="L1941" s="11">
        <v>45839</v>
      </c>
      <c r="M1941" s="23">
        <f>YEAR(Таблица1[[#This Row],[Дата отчета]])</f>
        <v>2025</v>
      </c>
    </row>
    <row r="1942" spans="1:14" x14ac:dyDescent="0.25">
      <c r="A1942" t="s">
        <v>12</v>
      </c>
      <c r="B1942" t="s">
        <v>1905</v>
      </c>
      <c r="C1942" t="s">
        <v>1906</v>
      </c>
      <c r="D1942" t="s">
        <v>1907</v>
      </c>
      <c r="E1942" t="s">
        <v>183</v>
      </c>
      <c r="F1942" s="20">
        <v>67920</v>
      </c>
      <c r="I1942" s="11">
        <f t="shared" si="59"/>
        <v>45817</v>
      </c>
      <c r="J1942" s="12">
        <f t="shared" si="60"/>
        <v>22</v>
      </c>
      <c r="K1942" t="str">
        <f t="shared" si="61"/>
        <v>0-30</v>
      </c>
      <c r="L1942" s="11">
        <v>45839</v>
      </c>
      <c r="M1942" s="23">
        <f>YEAR(Таблица1[[#This Row],[Дата отчета]])</f>
        <v>2025</v>
      </c>
    </row>
    <row r="1943" spans="1:14" x14ac:dyDescent="0.25">
      <c r="A1943" t="s">
        <v>12</v>
      </c>
      <c r="B1943" t="s">
        <v>1905</v>
      </c>
      <c r="C1943" t="s">
        <v>1908</v>
      </c>
      <c r="D1943" t="s">
        <v>1909</v>
      </c>
      <c r="E1943" t="s">
        <v>2442</v>
      </c>
      <c r="F1943" s="20">
        <v>307200</v>
      </c>
      <c r="I1943" s="11">
        <f t="shared" si="59"/>
        <v>45826</v>
      </c>
      <c r="J1943" s="12">
        <f t="shared" si="60"/>
        <v>13</v>
      </c>
      <c r="K1943" t="str">
        <f t="shared" si="61"/>
        <v>0-30</v>
      </c>
      <c r="L1943" s="11">
        <v>45839</v>
      </c>
      <c r="M1943" s="23">
        <f>YEAR(Таблица1[[#This Row],[Дата отчета]])</f>
        <v>2025</v>
      </c>
    </row>
    <row r="1944" spans="1:14" x14ac:dyDescent="0.25">
      <c r="A1944" t="s">
        <v>12</v>
      </c>
      <c r="B1944" t="s">
        <v>172</v>
      </c>
      <c r="C1944" t="s">
        <v>173</v>
      </c>
      <c r="D1944" t="s">
        <v>174</v>
      </c>
      <c r="E1944" t="s">
        <v>175</v>
      </c>
      <c r="F1944" s="20">
        <v>12630</v>
      </c>
      <c r="I1944" s="11">
        <f t="shared" si="59"/>
        <v>45399</v>
      </c>
      <c r="J1944" s="12">
        <f t="shared" si="60"/>
        <v>440</v>
      </c>
      <c r="K1944" t="str">
        <f t="shared" si="61"/>
        <v>&gt;360</v>
      </c>
      <c r="L1944" s="11">
        <v>45839</v>
      </c>
      <c r="M1944" s="23">
        <f>YEAR(Таблица1[[#This Row],[Дата отчета]])</f>
        <v>2025</v>
      </c>
      <c r="N1944" s="7" t="s">
        <v>4547</v>
      </c>
    </row>
    <row r="1945" spans="1:14" x14ac:dyDescent="0.25">
      <c r="A1945" t="s">
        <v>12</v>
      </c>
      <c r="B1945" t="s">
        <v>1313</v>
      </c>
      <c r="C1945" t="s">
        <v>269</v>
      </c>
      <c r="D1945" t="s">
        <v>1910</v>
      </c>
      <c r="E1945" t="s">
        <v>1259</v>
      </c>
      <c r="F1945" s="20">
        <v>400</v>
      </c>
      <c r="I1945" s="11">
        <f t="shared" si="59"/>
        <v>45727</v>
      </c>
      <c r="J1945" s="12">
        <f t="shared" si="60"/>
        <v>112</v>
      </c>
      <c r="K1945" t="str">
        <f t="shared" si="61"/>
        <v>91-120</v>
      </c>
      <c r="L1945" s="11">
        <v>45839</v>
      </c>
      <c r="M1945" s="23">
        <f>YEAR(Таблица1[[#This Row],[Дата отчета]])</f>
        <v>2025</v>
      </c>
    </row>
    <row r="1946" spans="1:14" x14ac:dyDescent="0.25">
      <c r="A1946" t="s">
        <v>12</v>
      </c>
      <c r="B1946" t="s">
        <v>1313</v>
      </c>
      <c r="C1946" t="s">
        <v>269</v>
      </c>
      <c r="D1946" t="s">
        <v>1911</v>
      </c>
      <c r="E1946" t="s">
        <v>968</v>
      </c>
      <c r="F1946" s="20">
        <v>26000</v>
      </c>
      <c r="I1946" s="11">
        <f t="shared" si="59"/>
        <v>45729</v>
      </c>
      <c r="J1946" s="12">
        <f t="shared" si="60"/>
        <v>110</v>
      </c>
      <c r="K1946" t="str">
        <f t="shared" si="61"/>
        <v>91-120</v>
      </c>
      <c r="L1946" s="11">
        <v>45839</v>
      </c>
      <c r="M1946" s="23">
        <f>YEAR(Таблица1[[#This Row],[Дата отчета]])</f>
        <v>2025</v>
      </c>
    </row>
    <row r="1947" spans="1:14" x14ac:dyDescent="0.25">
      <c r="A1947" t="s">
        <v>12</v>
      </c>
      <c r="B1947" t="s">
        <v>1313</v>
      </c>
      <c r="C1947" t="s">
        <v>269</v>
      </c>
      <c r="D1947" t="s">
        <v>1912</v>
      </c>
      <c r="E1947" t="s">
        <v>1765</v>
      </c>
      <c r="F1947" s="20">
        <v>2300</v>
      </c>
      <c r="I1947" s="11">
        <f t="shared" si="59"/>
        <v>45735</v>
      </c>
      <c r="J1947" s="12">
        <f t="shared" si="60"/>
        <v>104</v>
      </c>
      <c r="K1947" t="str">
        <f t="shared" si="61"/>
        <v>91-120</v>
      </c>
      <c r="L1947" s="11">
        <v>45839</v>
      </c>
      <c r="M1947" s="23">
        <f>YEAR(Таблица1[[#This Row],[Дата отчета]])</f>
        <v>2025</v>
      </c>
    </row>
    <row r="1948" spans="1:14" x14ac:dyDescent="0.25">
      <c r="A1948" t="s">
        <v>12</v>
      </c>
      <c r="B1948" t="s">
        <v>1313</v>
      </c>
      <c r="C1948" t="s">
        <v>269</v>
      </c>
      <c r="D1948" t="s">
        <v>1864</v>
      </c>
      <c r="E1948" t="s">
        <v>1256</v>
      </c>
      <c r="F1948" s="20">
        <v>900</v>
      </c>
      <c r="I1948" s="11">
        <f t="shared" si="59"/>
        <v>45754</v>
      </c>
      <c r="J1948" s="12">
        <f t="shared" si="60"/>
        <v>85</v>
      </c>
      <c r="K1948" t="str">
        <f t="shared" si="61"/>
        <v>31-90</v>
      </c>
      <c r="L1948" s="11">
        <v>45839</v>
      </c>
      <c r="M1948" s="23">
        <f>YEAR(Таблица1[[#This Row],[Дата отчета]])</f>
        <v>2025</v>
      </c>
    </row>
    <row r="1949" spans="1:14" x14ac:dyDescent="0.25">
      <c r="A1949" t="s">
        <v>12</v>
      </c>
      <c r="B1949" t="s">
        <v>1313</v>
      </c>
      <c r="C1949" t="s">
        <v>269</v>
      </c>
      <c r="D1949" t="s">
        <v>1913</v>
      </c>
      <c r="E1949" t="s">
        <v>1256</v>
      </c>
      <c r="F1949" s="20">
        <v>33300</v>
      </c>
      <c r="I1949" s="11">
        <f t="shared" si="59"/>
        <v>45754</v>
      </c>
      <c r="J1949" s="12">
        <f t="shared" si="60"/>
        <v>85</v>
      </c>
      <c r="K1949" t="str">
        <f t="shared" si="61"/>
        <v>31-90</v>
      </c>
      <c r="L1949" s="11">
        <v>45839</v>
      </c>
      <c r="M1949" s="23">
        <f>YEAR(Таблица1[[#This Row],[Дата отчета]])</f>
        <v>2025</v>
      </c>
    </row>
    <row r="1950" spans="1:14" x14ac:dyDescent="0.25">
      <c r="A1950" t="s">
        <v>12</v>
      </c>
      <c r="B1950" t="s">
        <v>1313</v>
      </c>
      <c r="C1950" t="s">
        <v>269</v>
      </c>
      <c r="D1950" t="s">
        <v>1914</v>
      </c>
      <c r="E1950" t="s">
        <v>1256</v>
      </c>
      <c r="F1950" s="20">
        <v>21440</v>
      </c>
      <c r="I1950" s="11">
        <f t="shared" si="59"/>
        <v>45754</v>
      </c>
      <c r="J1950" s="12">
        <f t="shared" si="60"/>
        <v>85</v>
      </c>
      <c r="K1950" t="str">
        <f t="shared" si="61"/>
        <v>31-90</v>
      </c>
      <c r="L1950" s="11">
        <v>45839</v>
      </c>
      <c r="M1950" s="23">
        <f>YEAR(Таблица1[[#This Row],[Дата отчета]])</f>
        <v>2025</v>
      </c>
    </row>
    <row r="1951" spans="1:14" x14ac:dyDescent="0.25">
      <c r="A1951" t="s">
        <v>12</v>
      </c>
      <c r="B1951" t="s">
        <v>1313</v>
      </c>
      <c r="C1951" t="s">
        <v>269</v>
      </c>
      <c r="D1951" t="s">
        <v>1915</v>
      </c>
      <c r="E1951" t="s">
        <v>1767</v>
      </c>
      <c r="F1951" s="20">
        <v>29950</v>
      </c>
      <c r="I1951" s="11">
        <f t="shared" si="59"/>
        <v>45762</v>
      </c>
      <c r="J1951" s="12">
        <f t="shared" si="60"/>
        <v>77</v>
      </c>
      <c r="K1951" t="str">
        <f t="shared" si="61"/>
        <v>31-90</v>
      </c>
      <c r="L1951" s="11">
        <v>45839</v>
      </c>
      <c r="M1951" s="23">
        <f>YEAR(Таблица1[[#This Row],[Дата отчета]])</f>
        <v>2025</v>
      </c>
    </row>
    <row r="1952" spans="1:14" x14ac:dyDescent="0.25">
      <c r="A1952" t="s">
        <v>12</v>
      </c>
      <c r="B1952" t="s">
        <v>1313</v>
      </c>
      <c r="C1952" t="s">
        <v>269</v>
      </c>
      <c r="D1952" t="s">
        <v>1865</v>
      </c>
      <c r="E1952" t="s">
        <v>2435</v>
      </c>
      <c r="F1952" s="20">
        <v>3200</v>
      </c>
      <c r="I1952" s="11">
        <f t="shared" si="59"/>
        <v>45765</v>
      </c>
      <c r="J1952" s="12">
        <f t="shared" si="60"/>
        <v>74</v>
      </c>
      <c r="K1952" t="str">
        <f t="shared" si="61"/>
        <v>31-90</v>
      </c>
      <c r="L1952" s="11">
        <v>45839</v>
      </c>
      <c r="M1952" s="23">
        <f>YEAR(Таблица1[[#This Row],[Дата отчета]])</f>
        <v>2025</v>
      </c>
    </row>
    <row r="1953" spans="1:14" x14ac:dyDescent="0.25">
      <c r="A1953" t="s">
        <v>12</v>
      </c>
      <c r="B1953" t="s">
        <v>1313</v>
      </c>
      <c r="C1953" t="s">
        <v>269</v>
      </c>
      <c r="D1953" t="s">
        <v>1916</v>
      </c>
      <c r="E1953" t="s">
        <v>2443</v>
      </c>
      <c r="F1953" s="20">
        <v>15580</v>
      </c>
      <c r="I1953" s="11">
        <f t="shared" ref="I1953:I2016" si="62">E1953*1</f>
        <v>45770</v>
      </c>
      <c r="J1953" s="12">
        <f t="shared" ref="J1953:J2016" si="63">L1953-I1953</f>
        <v>69</v>
      </c>
      <c r="K1953" t="str">
        <f t="shared" si="61"/>
        <v>31-90</v>
      </c>
      <c r="L1953" s="11">
        <v>45839</v>
      </c>
      <c r="M1953" s="23">
        <f>YEAR(Таблица1[[#This Row],[Дата отчета]])</f>
        <v>2025</v>
      </c>
    </row>
    <row r="1954" spans="1:14" x14ac:dyDescent="0.25">
      <c r="A1954" t="s">
        <v>12</v>
      </c>
      <c r="B1954" t="s">
        <v>1313</v>
      </c>
      <c r="C1954" t="s">
        <v>269</v>
      </c>
      <c r="D1954" t="s">
        <v>1917</v>
      </c>
      <c r="E1954" t="s">
        <v>687</v>
      </c>
      <c r="F1954" s="20">
        <v>9100</v>
      </c>
      <c r="I1954" s="11">
        <f t="shared" si="62"/>
        <v>45771</v>
      </c>
      <c r="J1954" s="12">
        <f t="shared" si="63"/>
        <v>68</v>
      </c>
      <c r="K1954" t="str">
        <f t="shared" si="61"/>
        <v>31-90</v>
      </c>
      <c r="L1954" s="11">
        <v>45839</v>
      </c>
      <c r="M1954" s="23">
        <f>YEAR(Таблица1[[#This Row],[Дата отчета]])</f>
        <v>2025</v>
      </c>
    </row>
    <row r="1955" spans="1:14" x14ac:dyDescent="0.25">
      <c r="A1955" t="s">
        <v>12</v>
      </c>
      <c r="B1955" t="s">
        <v>1313</v>
      </c>
      <c r="C1955" t="s">
        <v>269</v>
      </c>
      <c r="D1955" t="s">
        <v>1918</v>
      </c>
      <c r="E1955" t="s">
        <v>673</v>
      </c>
      <c r="F1955" s="20">
        <v>9750</v>
      </c>
      <c r="I1955" s="11">
        <f t="shared" si="62"/>
        <v>45775</v>
      </c>
      <c r="J1955" s="12">
        <f t="shared" si="63"/>
        <v>64</v>
      </c>
      <c r="K1955" t="str">
        <f t="shared" si="61"/>
        <v>31-90</v>
      </c>
      <c r="L1955" s="11">
        <v>45839</v>
      </c>
      <c r="M1955" s="23">
        <f>YEAR(Таблица1[[#This Row],[Дата отчета]])</f>
        <v>2025</v>
      </c>
    </row>
    <row r="1956" spans="1:14" x14ac:dyDescent="0.25">
      <c r="A1956" t="s">
        <v>12</v>
      </c>
      <c r="B1956" t="s">
        <v>1313</v>
      </c>
      <c r="C1956" t="s">
        <v>269</v>
      </c>
      <c r="D1956" t="s">
        <v>1919</v>
      </c>
      <c r="E1956" t="s">
        <v>123</v>
      </c>
      <c r="F1956" s="20">
        <v>3500</v>
      </c>
      <c r="I1956" s="11">
        <f t="shared" si="62"/>
        <v>45782</v>
      </c>
      <c r="J1956" s="12">
        <f t="shared" si="63"/>
        <v>57</v>
      </c>
      <c r="K1956" t="str">
        <f t="shared" si="61"/>
        <v>31-90</v>
      </c>
      <c r="L1956" s="11">
        <v>45839</v>
      </c>
      <c r="M1956" s="23">
        <f>YEAR(Таблица1[[#This Row],[Дата отчета]])</f>
        <v>2025</v>
      </c>
    </row>
    <row r="1957" spans="1:14" x14ac:dyDescent="0.25">
      <c r="A1957" t="s">
        <v>12</v>
      </c>
      <c r="B1957" t="s">
        <v>1313</v>
      </c>
      <c r="C1957" t="s">
        <v>269</v>
      </c>
      <c r="D1957" t="s">
        <v>1920</v>
      </c>
      <c r="E1957" t="s">
        <v>885</v>
      </c>
      <c r="F1957" s="20">
        <v>50880</v>
      </c>
      <c r="I1957" s="11">
        <f t="shared" si="62"/>
        <v>45783</v>
      </c>
      <c r="J1957" s="12">
        <f t="shared" si="63"/>
        <v>56</v>
      </c>
      <c r="K1957" t="str">
        <f t="shared" si="61"/>
        <v>31-90</v>
      </c>
      <c r="L1957" s="11">
        <v>45839</v>
      </c>
      <c r="M1957" s="23">
        <f>YEAR(Таблица1[[#This Row],[Дата отчета]])</f>
        <v>2025</v>
      </c>
    </row>
    <row r="1958" spans="1:14" x14ac:dyDescent="0.25">
      <c r="A1958" t="s">
        <v>12</v>
      </c>
      <c r="B1958" t="s">
        <v>1313</v>
      </c>
      <c r="C1958" t="s">
        <v>269</v>
      </c>
      <c r="D1958" t="s">
        <v>1921</v>
      </c>
      <c r="E1958" t="s">
        <v>2444</v>
      </c>
      <c r="F1958" s="20">
        <v>23500</v>
      </c>
      <c r="I1958" s="11">
        <f t="shared" si="62"/>
        <v>45789</v>
      </c>
      <c r="J1958" s="12">
        <f t="shared" si="63"/>
        <v>50</v>
      </c>
      <c r="K1958" t="str">
        <f t="shared" si="61"/>
        <v>31-90</v>
      </c>
      <c r="L1958" s="11">
        <v>45839</v>
      </c>
      <c r="M1958" s="23">
        <f>YEAR(Таблица1[[#This Row],[Дата отчета]])</f>
        <v>2025</v>
      </c>
    </row>
    <row r="1959" spans="1:14" x14ac:dyDescent="0.25">
      <c r="A1959" t="s">
        <v>12</v>
      </c>
      <c r="B1959" t="s">
        <v>1313</v>
      </c>
      <c r="C1959" t="s">
        <v>269</v>
      </c>
      <c r="D1959" t="s">
        <v>1866</v>
      </c>
      <c r="E1959" t="s">
        <v>2430</v>
      </c>
      <c r="F1959" s="20">
        <v>3400</v>
      </c>
      <c r="I1959" s="11">
        <f t="shared" si="62"/>
        <v>45790</v>
      </c>
      <c r="J1959" s="12">
        <f t="shared" si="63"/>
        <v>49</v>
      </c>
      <c r="K1959" t="str">
        <f t="shared" si="61"/>
        <v>31-90</v>
      </c>
      <c r="L1959" s="11">
        <v>45839</v>
      </c>
      <c r="M1959" s="23">
        <f>YEAR(Таблица1[[#This Row],[Дата отчета]])</f>
        <v>2025</v>
      </c>
    </row>
    <row r="1960" spans="1:14" x14ac:dyDescent="0.25">
      <c r="A1960" t="s">
        <v>12</v>
      </c>
      <c r="B1960" t="s">
        <v>1313</v>
      </c>
      <c r="C1960" t="s">
        <v>269</v>
      </c>
      <c r="D1960" t="s">
        <v>1922</v>
      </c>
      <c r="E1960" t="s">
        <v>2445</v>
      </c>
      <c r="F1960" s="20">
        <v>12580</v>
      </c>
      <c r="I1960" s="11">
        <f t="shared" si="62"/>
        <v>45804</v>
      </c>
      <c r="J1960" s="12">
        <f t="shared" si="63"/>
        <v>35</v>
      </c>
      <c r="K1960" t="str">
        <f t="shared" si="61"/>
        <v>31-90</v>
      </c>
      <c r="L1960" s="11">
        <v>45839</v>
      </c>
      <c r="M1960" s="23">
        <f>YEAR(Таблица1[[#This Row],[Дата отчета]])</f>
        <v>2025</v>
      </c>
    </row>
    <row r="1961" spans="1:14" x14ac:dyDescent="0.25">
      <c r="A1961" t="s">
        <v>12</v>
      </c>
      <c r="B1961" t="s">
        <v>1313</v>
      </c>
      <c r="C1961" t="s">
        <v>269</v>
      </c>
      <c r="D1961" t="s">
        <v>1923</v>
      </c>
      <c r="E1961" t="s">
        <v>276</v>
      </c>
      <c r="F1961" s="20">
        <v>6000</v>
      </c>
      <c r="I1961" s="11">
        <f t="shared" si="62"/>
        <v>45827</v>
      </c>
      <c r="J1961" s="12">
        <f t="shared" si="63"/>
        <v>12</v>
      </c>
      <c r="K1961" t="str">
        <f t="shared" si="61"/>
        <v>0-30</v>
      </c>
      <c r="L1961" s="11">
        <v>45839</v>
      </c>
      <c r="M1961" s="23">
        <f>YEAR(Таблица1[[#This Row],[Дата отчета]])</f>
        <v>2025</v>
      </c>
    </row>
    <row r="1962" spans="1:14" x14ac:dyDescent="0.25">
      <c r="A1962" t="s">
        <v>12</v>
      </c>
      <c r="B1962" t="s">
        <v>1313</v>
      </c>
      <c r="C1962" t="s">
        <v>269</v>
      </c>
      <c r="D1962" t="s">
        <v>1924</v>
      </c>
      <c r="E1962" t="s">
        <v>415</v>
      </c>
      <c r="F1962" s="20">
        <v>3960</v>
      </c>
      <c r="I1962" s="11">
        <f t="shared" si="62"/>
        <v>45833</v>
      </c>
      <c r="J1962" s="12">
        <f t="shared" si="63"/>
        <v>6</v>
      </c>
      <c r="K1962" t="str">
        <f t="shared" si="61"/>
        <v>0-30</v>
      </c>
      <c r="L1962" s="11">
        <v>45839</v>
      </c>
      <c r="M1962" s="23">
        <f>YEAR(Таблица1[[#This Row],[Дата отчета]])</f>
        <v>2025</v>
      </c>
    </row>
    <row r="1963" spans="1:14" x14ac:dyDescent="0.25">
      <c r="A1963" t="s">
        <v>12</v>
      </c>
      <c r="B1963" t="s">
        <v>176</v>
      </c>
      <c r="C1963" t="s">
        <v>1925</v>
      </c>
      <c r="D1963" t="s">
        <v>1926</v>
      </c>
      <c r="E1963" t="s">
        <v>834</v>
      </c>
      <c r="F1963" s="20">
        <v>11480</v>
      </c>
      <c r="I1963" s="11">
        <f t="shared" si="62"/>
        <v>45824</v>
      </c>
      <c r="J1963" s="12">
        <f t="shared" si="63"/>
        <v>15</v>
      </c>
      <c r="K1963" t="str">
        <f t="shared" si="61"/>
        <v>0-30</v>
      </c>
      <c r="L1963" s="11">
        <v>45839</v>
      </c>
      <c r="M1963" s="23">
        <f>YEAR(Таблица1[[#This Row],[Дата отчета]])</f>
        <v>2025</v>
      </c>
    </row>
    <row r="1964" spans="1:14" x14ac:dyDescent="0.25">
      <c r="A1964" t="s">
        <v>12</v>
      </c>
      <c r="B1964" t="s">
        <v>180</v>
      </c>
      <c r="C1964" t="s">
        <v>1927</v>
      </c>
      <c r="D1964" t="s">
        <v>1928</v>
      </c>
      <c r="E1964" t="s">
        <v>885</v>
      </c>
      <c r="F1964" s="20">
        <v>676262</v>
      </c>
      <c r="I1964" s="11">
        <f t="shared" si="62"/>
        <v>45783</v>
      </c>
      <c r="J1964" s="12">
        <f t="shared" si="63"/>
        <v>56</v>
      </c>
      <c r="K1964" t="str">
        <f t="shared" si="61"/>
        <v>31-90</v>
      </c>
      <c r="L1964" s="11">
        <v>45839</v>
      </c>
      <c r="M1964" s="23">
        <f>YEAR(Таблица1[[#This Row],[Дата отчета]])</f>
        <v>2025</v>
      </c>
    </row>
    <row r="1965" spans="1:14" x14ac:dyDescent="0.25">
      <c r="A1965" t="s">
        <v>12</v>
      </c>
      <c r="B1965" t="s">
        <v>180</v>
      </c>
      <c r="C1965" t="s">
        <v>1929</v>
      </c>
      <c r="D1965" t="s">
        <v>1930</v>
      </c>
      <c r="E1965" t="s">
        <v>834</v>
      </c>
      <c r="F1965" s="20">
        <v>14559</v>
      </c>
      <c r="I1965" s="11">
        <f t="shared" si="62"/>
        <v>45824</v>
      </c>
      <c r="J1965" s="12">
        <f t="shared" si="63"/>
        <v>15</v>
      </c>
      <c r="K1965" t="str">
        <f t="shared" si="61"/>
        <v>0-30</v>
      </c>
      <c r="L1965" s="11">
        <v>45839</v>
      </c>
      <c r="M1965" s="23">
        <f>YEAR(Таблица1[[#This Row],[Дата отчета]])</f>
        <v>2025</v>
      </c>
    </row>
    <row r="1966" spans="1:14" x14ac:dyDescent="0.25">
      <c r="A1966" t="s">
        <v>12</v>
      </c>
      <c r="B1966" t="s">
        <v>180</v>
      </c>
      <c r="C1966" t="s">
        <v>181</v>
      </c>
      <c r="D1966" t="s">
        <v>182</v>
      </c>
      <c r="E1966" t="s">
        <v>183</v>
      </c>
      <c r="F1966" s="20">
        <v>1268185</v>
      </c>
      <c r="I1966" s="11">
        <f t="shared" si="62"/>
        <v>45817</v>
      </c>
      <c r="J1966" s="12">
        <f t="shared" si="63"/>
        <v>22</v>
      </c>
      <c r="K1966" t="str">
        <f t="shared" si="61"/>
        <v>0-30</v>
      </c>
      <c r="L1966" s="11">
        <v>45839</v>
      </c>
      <c r="M1966" s="23">
        <f>YEAR(Таблица1[[#This Row],[Дата отчета]])</f>
        <v>2025</v>
      </c>
      <c r="N1966" s="7"/>
    </row>
    <row r="1967" spans="1:14" x14ac:dyDescent="0.25">
      <c r="A1967" t="s">
        <v>12</v>
      </c>
      <c r="B1967" t="s">
        <v>180</v>
      </c>
      <c r="C1967" t="s">
        <v>1931</v>
      </c>
      <c r="D1967" t="s">
        <v>1932</v>
      </c>
      <c r="E1967" t="s">
        <v>1790</v>
      </c>
      <c r="F1967" s="20">
        <v>90675</v>
      </c>
      <c r="I1967" s="11">
        <f t="shared" si="62"/>
        <v>45828</v>
      </c>
      <c r="J1967" s="12">
        <f t="shared" si="63"/>
        <v>11</v>
      </c>
      <c r="K1967" t="str">
        <f t="shared" si="61"/>
        <v>0-30</v>
      </c>
      <c r="L1967" s="11">
        <v>45839</v>
      </c>
      <c r="M1967" s="23">
        <f>YEAR(Таблица1[[#This Row],[Дата отчета]])</f>
        <v>2025</v>
      </c>
    </row>
    <row r="1968" spans="1:14" x14ac:dyDescent="0.25">
      <c r="A1968" t="s">
        <v>12</v>
      </c>
      <c r="B1968" t="s">
        <v>180</v>
      </c>
      <c r="C1968" t="s">
        <v>1933</v>
      </c>
      <c r="D1968" t="s">
        <v>1934</v>
      </c>
      <c r="E1968" t="s">
        <v>1790</v>
      </c>
      <c r="F1968" s="20">
        <v>474297</v>
      </c>
      <c r="I1968" s="11">
        <f t="shared" si="62"/>
        <v>45828</v>
      </c>
      <c r="J1968" s="12">
        <f t="shared" si="63"/>
        <v>11</v>
      </c>
      <c r="K1968" t="str">
        <f t="shared" si="61"/>
        <v>0-30</v>
      </c>
      <c r="L1968" s="11">
        <v>45839</v>
      </c>
      <c r="M1968" s="23">
        <f>YEAR(Таблица1[[#This Row],[Дата отчета]])</f>
        <v>2025</v>
      </c>
    </row>
    <row r="1969" spans="1:13" x14ac:dyDescent="0.25">
      <c r="A1969" t="s">
        <v>12</v>
      </c>
      <c r="B1969" t="s">
        <v>180</v>
      </c>
      <c r="C1969" t="s">
        <v>1935</v>
      </c>
      <c r="D1969" t="s">
        <v>1936</v>
      </c>
      <c r="E1969" t="s">
        <v>1039</v>
      </c>
      <c r="F1969" s="20">
        <v>2131979</v>
      </c>
      <c r="I1969" s="11">
        <f t="shared" si="62"/>
        <v>45831</v>
      </c>
      <c r="J1969" s="12">
        <f t="shared" si="63"/>
        <v>8</v>
      </c>
      <c r="K1969" t="str">
        <f t="shared" si="61"/>
        <v>0-30</v>
      </c>
      <c r="L1969" s="11">
        <v>45839</v>
      </c>
      <c r="M1969" s="23">
        <f>YEAR(Таблица1[[#This Row],[Дата отчета]])</f>
        <v>2025</v>
      </c>
    </row>
    <row r="1970" spans="1:13" x14ac:dyDescent="0.25">
      <c r="A1970" t="s">
        <v>12</v>
      </c>
      <c r="B1970" t="s">
        <v>180</v>
      </c>
      <c r="C1970" t="s">
        <v>1937</v>
      </c>
      <c r="D1970" t="s">
        <v>1938</v>
      </c>
      <c r="E1970" t="s">
        <v>146</v>
      </c>
      <c r="F1970" s="20">
        <v>6755</v>
      </c>
      <c r="I1970" s="11">
        <f t="shared" si="62"/>
        <v>45838</v>
      </c>
      <c r="J1970" s="12">
        <f t="shared" si="63"/>
        <v>1</v>
      </c>
      <c r="K1970" t="str">
        <f t="shared" si="61"/>
        <v>0-30</v>
      </c>
      <c r="L1970" s="11">
        <v>45839</v>
      </c>
      <c r="M1970" s="23">
        <f>YEAR(Таблица1[[#This Row],[Дата отчета]])</f>
        <v>2025</v>
      </c>
    </row>
    <row r="1971" spans="1:13" x14ac:dyDescent="0.25">
      <c r="A1971" t="s">
        <v>12</v>
      </c>
      <c r="B1971" t="s">
        <v>186</v>
      </c>
      <c r="C1971" t="s">
        <v>187</v>
      </c>
      <c r="D1971" t="s">
        <v>188</v>
      </c>
      <c r="E1971" t="s">
        <v>189</v>
      </c>
      <c r="F1971" s="20">
        <v>6600</v>
      </c>
      <c r="I1971" s="11">
        <f t="shared" si="62"/>
        <v>45471</v>
      </c>
      <c r="J1971" s="12">
        <f t="shared" si="63"/>
        <v>368</v>
      </c>
      <c r="K1971" t="str">
        <f t="shared" si="61"/>
        <v>&gt;360</v>
      </c>
      <c r="L1971" s="11">
        <v>45839</v>
      </c>
      <c r="M1971" s="23">
        <f>YEAR(Таблица1[[#This Row],[Дата отчета]])</f>
        <v>2025</v>
      </c>
    </row>
    <row r="1972" spans="1:13" x14ac:dyDescent="0.25">
      <c r="A1972" t="s">
        <v>12</v>
      </c>
      <c r="B1972" t="s">
        <v>186</v>
      </c>
      <c r="C1972" t="s">
        <v>187</v>
      </c>
      <c r="D1972" t="s">
        <v>1939</v>
      </c>
      <c r="E1972" t="s">
        <v>201</v>
      </c>
      <c r="F1972" s="20">
        <v>6600</v>
      </c>
      <c r="I1972" s="11">
        <f t="shared" si="62"/>
        <v>45800</v>
      </c>
      <c r="J1972" s="12">
        <f t="shared" si="63"/>
        <v>39</v>
      </c>
      <c r="K1972" t="str">
        <f t="shared" si="61"/>
        <v>31-90</v>
      </c>
      <c r="L1972" s="11">
        <v>45839</v>
      </c>
      <c r="M1972" s="23">
        <f>YEAR(Таблица1[[#This Row],[Дата отчета]])</f>
        <v>2025</v>
      </c>
    </row>
    <row r="1973" spans="1:13" x14ac:dyDescent="0.25">
      <c r="A1973" t="s">
        <v>12</v>
      </c>
      <c r="B1973" t="s">
        <v>186</v>
      </c>
      <c r="C1973" t="s">
        <v>187</v>
      </c>
      <c r="D1973" t="s">
        <v>1940</v>
      </c>
      <c r="E1973" t="s">
        <v>834</v>
      </c>
      <c r="F1973" s="20">
        <v>25000</v>
      </c>
      <c r="I1973" s="11">
        <f t="shared" si="62"/>
        <v>45824</v>
      </c>
      <c r="J1973" s="12">
        <f t="shared" si="63"/>
        <v>15</v>
      </c>
      <c r="K1973" t="str">
        <f t="shared" si="61"/>
        <v>0-30</v>
      </c>
      <c r="L1973" s="11">
        <v>45839</v>
      </c>
      <c r="M1973" s="23">
        <f>YEAR(Таблица1[[#This Row],[Дата отчета]])</f>
        <v>2025</v>
      </c>
    </row>
    <row r="1974" spans="1:13" x14ac:dyDescent="0.25">
      <c r="A1974" t="s">
        <v>12</v>
      </c>
      <c r="B1974" t="s">
        <v>186</v>
      </c>
      <c r="C1974" t="s">
        <v>187</v>
      </c>
      <c r="D1974" t="s">
        <v>1941</v>
      </c>
      <c r="E1974" t="s">
        <v>1039</v>
      </c>
      <c r="F1974" s="20">
        <v>25000</v>
      </c>
      <c r="I1974" s="11">
        <f t="shared" si="62"/>
        <v>45831</v>
      </c>
      <c r="J1974" s="12">
        <f t="shared" si="63"/>
        <v>8</v>
      </c>
      <c r="K1974" t="str">
        <f t="shared" si="61"/>
        <v>0-30</v>
      </c>
      <c r="L1974" s="11">
        <v>45839</v>
      </c>
      <c r="M1974" s="23">
        <f>YEAR(Таблица1[[#This Row],[Дата отчета]])</f>
        <v>2025</v>
      </c>
    </row>
    <row r="1975" spans="1:13" x14ac:dyDescent="0.25">
      <c r="A1975" t="s">
        <v>12</v>
      </c>
      <c r="B1975" t="s">
        <v>186</v>
      </c>
      <c r="C1975" t="s">
        <v>1942</v>
      </c>
      <c r="D1975" t="s">
        <v>1943</v>
      </c>
      <c r="E1975" t="s">
        <v>520</v>
      </c>
      <c r="F1975" s="20">
        <v>25000</v>
      </c>
      <c r="I1975" s="11">
        <f t="shared" si="62"/>
        <v>45811</v>
      </c>
      <c r="J1975" s="12">
        <f t="shared" si="63"/>
        <v>28</v>
      </c>
      <c r="K1975" t="str">
        <f t="shared" si="61"/>
        <v>0-30</v>
      </c>
      <c r="L1975" s="11">
        <v>45839</v>
      </c>
      <c r="M1975" s="23">
        <f>YEAR(Таблица1[[#This Row],[Дата отчета]])</f>
        <v>2025</v>
      </c>
    </row>
    <row r="1976" spans="1:13" x14ac:dyDescent="0.25">
      <c r="A1976" t="s">
        <v>12</v>
      </c>
      <c r="B1976" t="s">
        <v>186</v>
      </c>
      <c r="C1976" t="s">
        <v>1322</v>
      </c>
      <c r="D1976" t="s">
        <v>1323</v>
      </c>
      <c r="E1976" t="s">
        <v>769</v>
      </c>
      <c r="F1976" s="20">
        <v>6600</v>
      </c>
      <c r="I1976" s="11">
        <f t="shared" si="62"/>
        <v>45825</v>
      </c>
      <c r="J1976" s="12">
        <f t="shared" si="63"/>
        <v>14</v>
      </c>
      <c r="K1976" t="str">
        <f t="shared" si="61"/>
        <v>0-30</v>
      </c>
      <c r="L1976" s="11">
        <v>45839</v>
      </c>
      <c r="M1976" s="23">
        <f>YEAR(Таблица1[[#This Row],[Дата отчета]])</f>
        <v>2025</v>
      </c>
    </row>
    <row r="1977" spans="1:13" x14ac:dyDescent="0.25">
      <c r="A1977" t="s">
        <v>12</v>
      </c>
      <c r="B1977" t="s">
        <v>186</v>
      </c>
      <c r="C1977" t="s">
        <v>190</v>
      </c>
      <c r="D1977" t="s">
        <v>191</v>
      </c>
      <c r="E1977" t="s">
        <v>192</v>
      </c>
      <c r="F1977" s="20">
        <v>6600</v>
      </c>
      <c r="I1977" s="11">
        <f t="shared" si="62"/>
        <v>45467</v>
      </c>
      <c r="J1977" s="12">
        <f t="shared" si="63"/>
        <v>372</v>
      </c>
      <c r="K1977" t="str">
        <f t="shared" si="61"/>
        <v>&gt;360</v>
      </c>
      <c r="L1977" s="11">
        <v>45839</v>
      </c>
      <c r="M1977" s="23">
        <f>YEAR(Таблица1[[#This Row],[Дата отчета]])</f>
        <v>2025</v>
      </c>
    </row>
    <row r="1978" spans="1:13" x14ac:dyDescent="0.25">
      <c r="A1978" t="s">
        <v>12</v>
      </c>
      <c r="B1978" t="s">
        <v>186</v>
      </c>
      <c r="C1978" t="s">
        <v>190</v>
      </c>
      <c r="D1978" t="s">
        <v>1944</v>
      </c>
      <c r="E1978" t="s">
        <v>201</v>
      </c>
      <c r="F1978" s="20">
        <v>6600</v>
      </c>
      <c r="I1978" s="11">
        <f t="shared" si="62"/>
        <v>45800</v>
      </c>
      <c r="J1978" s="12">
        <f t="shared" si="63"/>
        <v>39</v>
      </c>
      <c r="K1978" t="str">
        <f t="shared" si="61"/>
        <v>31-90</v>
      </c>
      <c r="L1978" s="11">
        <v>45839</v>
      </c>
      <c r="M1978" s="23">
        <f>YEAR(Таблица1[[#This Row],[Дата отчета]])</f>
        <v>2025</v>
      </c>
    </row>
    <row r="1979" spans="1:13" x14ac:dyDescent="0.25">
      <c r="A1979" t="s">
        <v>12</v>
      </c>
      <c r="B1979" t="s">
        <v>186</v>
      </c>
      <c r="C1979" t="s">
        <v>190</v>
      </c>
      <c r="D1979" t="s">
        <v>1945</v>
      </c>
      <c r="E1979" t="s">
        <v>834</v>
      </c>
      <c r="F1979" s="20">
        <v>25000</v>
      </c>
      <c r="I1979" s="11">
        <f t="shared" si="62"/>
        <v>45824</v>
      </c>
      <c r="J1979" s="12">
        <f t="shared" si="63"/>
        <v>15</v>
      </c>
      <c r="K1979" t="str">
        <f t="shared" si="61"/>
        <v>0-30</v>
      </c>
      <c r="L1979" s="11">
        <v>45839</v>
      </c>
      <c r="M1979" s="23">
        <f>YEAR(Таблица1[[#This Row],[Дата отчета]])</f>
        <v>2025</v>
      </c>
    </row>
    <row r="1980" spans="1:13" x14ac:dyDescent="0.25">
      <c r="A1980" t="s">
        <v>12</v>
      </c>
      <c r="B1980" t="s">
        <v>186</v>
      </c>
      <c r="C1980" t="s">
        <v>1324</v>
      </c>
      <c r="D1980" t="s">
        <v>1946</v>
      </c>
      <c r="E1980" t="s">
        <v>2446</v>
      </c>
      <c r="F1980" s="20">
        <v>25000</v>
      </c>
      <c r="I1980" s="11">
        <f t="shared" si="62"/>
        <v>45819</v>
      </c>
      <c r="J1980" s="12">
        <f t="shared" si="63"/>
        <v>20</v>
      </c>
      <c r="K1980" t="str">
        <f t="shared" si="61"/>
        <v>0-30</v>
      </c>
      <c r="L1980" s="11">
        <v>45839</v>
      </c>
      <c r="M1980" s="23">
        <f>YEAR(Таблица1[[#This Row],[Дата отчета]])</f>
        <v>2025</v>
      </c>
    </row>
    <row r="1981" spans="1:13" x14ac:dyDescent="0.25">
      <c r="A1981" t="s">
        <v>12</v>
      </c>
      <c r="B1981" t="s">
        <v>186</v>
      </c>
      <c r="C1981" t="s">
        <v>1947</v>
      </c>
      <c r="D1981" t="s">
        <v>1948</v>
      </c>
      <c r="E1981" t="s">
        <v>2447</v>
      </c>
      <c r="F1981" s="20">
        <v>6600</v>
      </c>
      <c r="I1981" s="11">
        <f t="shared" si="62"/>
        <v>45548</v>
      </c>
      <c r="J1981" s="12">
        <f t="shared" si="63"/>
        <v>291</v>
      </c>
      <c r="K1981" t="str">
        <f t="shared" si="61"/>
        <v>271-360</v>
      </c>
      <c r="L1981" s="11">
        <v>45839</v>
      </c>
      <c r="M1981" s="23">
        <f>YEAR(Таблица1[[#This Row],[Дата отчета]])</f>
        <v>2025</v>
      </c>
    </row>
    <row r="1982" spans="1:13" x14ac:dyDescent="0.25">
      <c r="A1982" t="s">
        <v>12</v>
      </c>
      <c r="B1982" t="s">
        <v>186</v>
      </c>
      <c r="C1982" t="s">
        <v>1947</v>
      </c>
      <c r="D1982" t="s">
        <v>1949</v>
      </c>
      <c r="E1982" t="s">
        <v>201</v>
      </c>
      <c r="F1982" s="20">
        <v>6600</v>
      </c>
      <c r="I1982" s="11">
        <f t="shared" si="62"/>
        <v>45800</v>
      </c>
      <c r="J1982" s="12">
        <f t="shared" si="63"/>
        <v>39</v>
      </c>
      <c r="K1982" t="str">
        <f t="shared" si="61"/>
        <v>31-90</v>
      </c>
      <c r="L1982" s="11">
        <v>45839</v>
      </c>
      <c r="M1982" s="23">
        <f>YEAR(Таблица1[[#This Row],[Дата отчета]])</f>
        <v>2025</v>
      </c>
    </row>
    <row r="1983" spans="1:13" x14ac:dyDescent="0.25">
      <c r="A1983" t="s">
        <v>12</v>
      </c>
      <c r="B1983" t="s">
        <v>186</v>
      </c>
      <c r="C1983" t="s">
        <v>1947</v>
      </c>
      <c r="D1983" t="s">
        <v>1950</v>
      </c>
      <c r="E1983" t="s">
        <v>834</v>
      </c>
      <c r="F1983" s="20">
        <v>25000</v>
      </c>
      <c r="I1983" s="11">
        <f t="shared" si="62"/>
        <v>45824</v>
      </c>
      <c r="J1983" s="12">
        <f t="shared" si="63"/>
        <v>15</v>
      </c>
      <c r="K1983" t="str">
        <f t="shared" ref="K1983:K2046" si="64">IF(J1983&lt;=30,"0-30",IF(J1983&lt;=90,"31-90",IF(J1983&lt;=120,"91-120",IF(J1983&lt;=180,"121-180",IF(J1983&lt;=270,"181-270",IF(J1983&lt;=360,"271-360","&gt;360"))))))</f>
        <v>0-30</v>
      </c>
      <c r="L1983" s="11">
        <v>45839</v>
      </c>
      <c r="M1983" s="23">
        <f>YEAR(Таблица1[[#This Row],[Дата отчета]])</f>
        <v>2025</v>
      </c>
    </row>
    <row r="1984" spans="1:13" x14ac:dyDescent="0.25">
      <c r="A1984" t="s">
        <v>12</v>
      </c>
      <c r="B1984" t="s">
        <v>186</v>
      </c>
      <c r="C1984" t="s">
        <v>193</v>
      </c>
      <c r="D1984" t="s">
        <v>1951</v>
      </c>
      <c r="E1984" t="s">
        <v>2446</v>
      </c>
      <c r="F1984" s="20">
        <v>25000</v>
      </c>
      <c r="I1984" s="11">
        <f t="shared" si="62"/>
        <v>45819</v>
      </c>
      <c r="J1984" s="12">
        <f t="shared" si="63"/>
        <v>20</v>
      </c>
      <c r="K1984" t="str">
        <f t="shared" si="64"/>
        <v>0-30</v>
      </c>
      <c r="L1984" s="11">
        <v>45839</v>
      </c>
      <c r="M1984" s="23">
        <f>YEAR(Таблица1[[#This Row],[Дата отчета]])</f>
        <v>2025</v>
      </c>
    </row>
    <row r="1985" spans="1:13" x14ac:dyDescent="0.25">
      <c r="A1985" t="s">
        <v>12</v>
      </c>
      <c r="B1985" t="s">
        <v>186</v>
      </c>
      <c r="C1985" t="s">
        <v>1327</v>
      </c>
      <c r="D1985" t="s">
        <v>1952</v>
      </c>
      <c r="E1985" t="s">
        <v>834</v>
      </c>
      <c r="F1985" s="20">
        <v>6600</v>
      </c>
      <c r="I1985" s="11">
        <f t="shared" si="62"/>
        <v>45824</v>
      </c>
      <c r="J1985" s="12">
        <f t="shared" si="63"/>
        <v>15</v>
      </c>
      <c r="K1985" t="str">
        <f t="shared" si="64"/>
        <v>0-30</v>
      </c>
      <c r="L1985" s="11">
        <v>45839</v>
      </c>
      <c r="M1985" s="23">
        <f>YEAR(Таблица1[[#This Row],[Дата отчета]])</f>
        <v>2025</v>
      </c>
    </row>
    <row r="1986" spans="1:13" x14ac:dyDescent="0.25">
      <c r="A1986" t="s">
        <v>12</v>
      </c>
      <c r="B1986" t="s">
        <v>186</v>
      </c>
      <c r="C1986" t="s">
        <v>1329</v>
      </c>
      <c r="D1986" t="s">
        <v>1953</v>
      </c>
      <c r="E1986" t="s">
        <v>201</v>
      </c>
      <c r="F1986" s="20">
        <v>6600</v>
      </c>
      <c r="I1986" s="11">
        <f t="shared" si="62"/>
        <v>45800</v>
      </c>
      <c r="J1986" s="12">
        <f t="shared" si="63"/>
        <v>39</v>
      </c>
      <c r="K1986" t="str">
        <f t="shared" si="64"/>
        <v>31-90</v>
      </c>
      <c r="L1986" s="11">
        <v>45839</v>
      </c>
      <c r="M1986" s="23">
        <f>YEAR(Таблица1[[#This Row],[Дата отчета]])</f>
        <v>2025</v>
      </c>
    </row>
    <row r="1987" spans="1:13" x14ac:dyDescent="0.25">
      <c r="A1987" t="s">
        <v>12</v>
      </c>
      <c r="B1987" t="s">
        <v>186</v>
      </c>
      <c r="C1987" t="s">
        <v>1329</v>
      </c>
      <c r="D1987" t="s">
        <v>1954</v>
      </c>
      <c r="E1987" t="s">
        <v>1790</v>
      </c>
      <c r="F1987" s="20">
        <v>25000</v>
      </c>
      <c r="I1987" s="11">
        <f t="shared" si="62"/>
        <v>45828</v>
      </c>
      <c r="J1987" s="12">
        <f t="shared" si="63"/>
        <v>11</v>
      </c>
      <c r="K1987" t="str">
        <f t="shared" si="64"/>
        <v>0-30</v>
      </c>
      <c r="L1987" s="11">
        <v>45839</v>
      </c>
      <c r="M1987" s="23">
        <f>YEAR(Таблица1[[#This Row],[Дата отчета]])</f>
        <v>2025</v>
      </c>
    </row>
    <row r="1988" spans="1:13" x14ac:dyDescent="0.25">
      <c r="A1988" t="s">
        <v>12</v>
      </c>
      <c r="B1988" t="s">
        <v>186</v>
      </c>
      <c r="C1988" t="s">
        <v>1332</v>
      </c>
      <c r="D1988" t="s">
        <v>1955</v>
      </c>
      <c r="E1988" t="s">
        <v>2431</v>
      </c>
      <c r="F1988" s="20">
        <v>6600</v>
      </c>
      <c r="I1988" s="11">
        <f t="shared" si="62"/>
        <v>45807</v>
      </c>
      <c r="J1988" s="12">
        <f t="shared" si="63"/>
        <v>32</v>
      </c>
      <c r="K1988" t="str">
        <f t="shared" si="64"/>
        <v>31-90</v>
      </c>
      <c r="L1988" s="11">
        <v>45839</v>
      </c>
      <c r="M1988" s="23">
        <f>YEAR(Таблица1[[#This Row],[Дата отчета]])</f>
        <v>2025</v>
      </c>
    </row>
    <row r="1989" spans="1:13" x14ac:dyDescent="0.25">
      <c r="A1989" t="s">
        <v>12</v>
      </c>
      <c r="B1989" t="s">
        <v>186</v>
      </c>
      <c r="C1989" t="s">
        <v>196</v>
      </c>
      <c r="D1989" t="s">
        <v>197</v>
      </c>
      <c r="E1989" t="s">
        <v>198</v>
      </c>
      <c r="F1989" s="20">
        <v>6600</v>
      </c>
      <c r="I1989" s="11">
        <f t="shared" si="62"/>
        <v>45439</v>
      </c>
      <c r="J1989" s="12">
        <f t="shared" si="63"/>
        <v>400</v>
      </c>
      <c r="K1989" t="str">
        <f t="shared" si="64"/>
        <v>&gt;360</v>
      </c>
      <c r="L1989" s="11">
        <v>45839</v>
      </c>
      <c r="M1989" s="23">
        <f>YEAR(Таблица1[[#This Row],[Дата отчета]])</f>
        <v>2025</v>
      </c>
    </row>
    <row r="1990" spans="1:13" x14ac:dyDescent="0.25">
      <c r="A1990" t="s">
        <v>12</v>
      </c>
      <c r="B1990" t="s">
        <v>186</v>
      </c>
      <c r="C1990" t="s">
        <v>196</v>
      </c>
      <c r="D1990" t="s">
        <v>1956</v>
      </c>
      <c r="E1990" t="s">
        <v>769</v>
      </c>
      <c r="F1990" s="20">
        <v>6600</v>
      </c>
      <c r="I1990" s="11">
        <f t="shared" si="62"/>
        <v>45825</v>
      </c>
      <c r="J1990" s="12">
        <f t="shared" si="63"/>
        <v>14</v>
      </c>
      <c r="K1990" t="str">
        <f t="shared" si="64"/>
        <v>0-30</v>
      </c>
      <c r="L1990" s="11">
        <v>45839</v>
      </c>
      <c r="M1990" s="23">
        <f>YEAR(Таблица1[[#This Row],[Дата отчета]])</f>
        <v>2025</v>
      </c>
    </row>
    <row r="1991" spans="1:13" x14ac:dyDescent="0.25">
      <c r="A1991" t="s">
        <v>12</v>
      </c>
      <c r="B1991" t="s">
        <v>186</v>
      </c>
      <c r="C1991" t="s">
        <v>199</v>
      </c>
      <c r="D1991" t="s">
        <v>200</v>
      </c>
      <c r="E1991" t="s">
        <v>201</v>
      </c>
      <c r="F1991" s="20">
        <v>6600</v>
      </c>
      <c r="I1991" s="11">
        <f t="shared" si="62"/>
        <v>45800</v>
      </c>
      <c r="J1991" s="12">
        <f t="shared" si="63"/>
        <v>39</v>
      </c>
      <c r="K1991" t="str">
        <f t="shared" si="64"/>
        <v>31-90</v>
      </c>
      <c r="L1991" s="11">
        <v>45839</v>
      </c>
      <c r="M1991" s="23">
        <f>YEAR(Таблица1[[#This Row],[Дата отчета]])</f>
        <v>2025</v>
      </c>
    </row>
    <row r="1992" spans="1:13" x14ac:dyDescent="0.25">
      <c r="A1992" t="s">
        <v>12</v>
      </c>
      <c r="B1992" t="s">
        <v>186</v>
      </c>
      <c r="C1992" t="s">
        <v>1334</v>
      </c>
      <c r="D1992" t="s">
        <v>1957</v>
      </c>
      <c r="E1992" t="s">
        <v>201</v>
      </c>
      <c r="F1992" s="20">
        <v>6600</v>
      </c>
      <c r="I1992" s="11">
        <f t="shared" si="62"/>
        <v>45800</v>
      </c>
      <c r="J1992" s="12">
        <f t="shared" si="63"/>
        <v>39</v>
      </c>
      <c r="K1992" t="str">
        <f t="shared" si="64"/>
        <v>31-90</v>
      </c>
      <c r="L1992" s="11">
        <v>45839</v>
      </c>
      <c r="M1992" s="23">
        <f>YEAR(Таблица1[[#This Row],[Дата отчета]])</f>
        <v>2025</v>
      </c>
    </row>
    <row r="1993" spans="1:13" x14ac:dyDescent="0.25">
      <c r="A1993" t="s">
        <v>12</v>
      </c>
      <c r="B1993" t="s">
        <v>186</v>
      </c>
      <c r="C1993" t="s">
        <v>1334</v>
      </c>
      <c r="D1993" t="s">
        <v>1958</v>
      </c>
      <c r="E1993" t="s">
        <v>532</v>
      </c>
      <c r="F1993" s="20">
        <v>25000</v>
      </c>
      <c r="I1993" s="11">
        <f t="shared" si="62"/>
        <v>45813</v>
      </c>
      <c r="J1993" s="12">
        <f t="shared" si="63"/>
        <v>26</v>
      </c>
      <c r="K1993" t="str">
        <f t="shared" si="64"/>
        <v>0-30</v>
      </c>
      <c r="L1993" s="11">
        <v>45839</v>
      </c>
      <c r="M1993" s="23">
        <f>YEAR(Таблица1[[#This Row],[Дата отчета]])</f>
        <v>2025</v>
      </c>
    </row>
    <row r="1994" spans="1:13" x14ac:dyDescent="0.25">
      <c r="A1994" t="s">
        <v>12</v>
      </c>
      <c r="B1994" t="s">
        <v>186</v>
      </c>
      <c r="C1994" t="s">
        <v>1336</v>
      </c>
      <c r="D1994" t="s">
        <v>1959</v>
      </c>
      <c r="E1994" t="s">
        <v>201</v>
      </c>
      <c r="F1994" s="20">
        <v>6600</v>
      </c>
      <c r="I1994" s="11">
        <f t="shared" si="62"/>
        <v>45800</v>
      </c>
      <c r="J1994" s="12">
        <f t="shared" si="63"/>
        <v>39</v>
      </c>
      <c r="K1994" t="str">
        <f t="shared" si="64"/>
        <v>31-90</v>
      </c>
      <c r="L1994" s="11">
        <v>45839</v>
      </c>
      <c r="M1994" s="23">
        <f>YEAR(Таблица1[[#This Row],[Дата отчета]])</f>
        <v>2025</v>
      </c>
    </row>
    <row r="1995" spans="1:13" x14ac:dyDescent="0.25">
      <c r="A1995" t="s">
        <v>12</v>
      </c>
      <c r="B1995" t="s">
        <v>186</v>
      </c>
      <c r="C1995" t="s">
        <v>1336</v>
      </c>
      <c r="D1995" t="s">
        <v>1960</v>
      </c>
      <c r="E1995" t="s">
        <v>2446</v>
      </c>
      <c r="F1995" s="20">
        <v>25000</v>
      </c>
      <c r="I1995" s="11">
        <f t="shared" si="62"/>
        <v>45819</v>
      </c>
      <c r="J1995" s="12">
        <f t="shared" si="63"/>
        <v>20</v>
      </c>
      <c r="K1995" t="str">
        <f t="shared" si="64"/>
        <v>0-30</v>
      </c>
      <c r="L1995" s="11">
        <v>45839</v>
      </c>
      <c r="M1995" s="23">
        <f>YEAR(Таблица1[[#This Row],[Дата отчета]])</f>
        <v>2025</v>
      </c>
    </row>
    <row r="1996" spans="1:13" x14ac:dyDescent="0.25">
      <c r="A1996" t="s">
        <v>12</v>
      </c>
      <c r="B1996" t="s">
        <v>186</v>
      </c>
      <c r="C1996" t="s">
        <v>202</v>
      </c>
      <c r="D1996" t="s">
        <v>203</v>
      </c>
      <c r="E1996" t="s">
        <v>204</v>
      </c>
      <c r="F1996" s="20">
        <v>25000</v>
      </c>
      <c r="I1996" s="11">
        <f t="shared" si="62"/>
        <v>45481</v>
      </c>
      <c r="J1996" s="12">
        <f t="shared" si="63"/>
        <v>358</v>
      </c>
      <c r="K1996" t="str">
        <f t="shared" si="64"/>
        <v>271-360</v>
      </c>
      <c r="L1996" s="11">
        <v>45839</v>
      </c>
      <c r="M1996" s="23">
        <f>YEAR(Таблица1[[#This Row],[Дата отчета]])</f>
        <v>2025</v>
      </c>
    </row>
    <row r="1997" spans="1:13" x14ac:dyDescent="0.25">
      <c r="A1997" t="s">
        <v>12</v>
      </c>
      <c r="B1997" t="s">
        <v>186</v>
      </c>
      <c r="C1997" t="s">
        <v>1340</v>
      </c>
      <c r="D1997" t="s">
        <v>1961</v>
      </c>
      <c r="E1997" t="s">
        <v>201</v>
      </c>
      <c r="F1997" s="20">
        <v>6600</v>
      </c>
      <c r="I1997" s="11">
        <f t="shared" si="62"/>
        <v>45800</v>
      </c>
      <c r="J1997" s="12">
        <f t="shared" si="63"/>
        <v>39</v>
      </c>
      <c r="K1997" t="str">
        <f t="shared" si="64"/>
        <v>31-90</v>
      </c>
      <c r="L1997" s="11">
        <v>45839</v>
      </c>
      <c r="M1997" s="23">
        <f>YEAR(Таблица1[[#This Row],[Дата отчета]])</f>
        <v>2025</v>
      </c>
    </row>
    <row r="1998" spans="1:13" x14ac:dyDescent="0.25">
      <c r="A1998" t="s">
        <v>12</v>
      </c>
      <c r="B1998" t="s">
        <v>186</v>
      </c>
      <c r="C1998" t="s">
        <v>1340</v>
      </c>
      <c r="D1998" t="s">
        <v>1962</v>
      </c>
      <c r="E1998" t="s">
        <v>1790</v>
      </c>
      <c r="F1998" s="20">
        <v>25000</v>
      </c>
      <c r="I1998" s="11">
        <f t="shared" si="62"/>
        <v>45828</v>
      </c>
      <c r="J1998" s="12">
        <f t="shared" si="63"/>
        <v>11</v>
      </c>
      <c r="K1998" t="str">
        <f t="shared" si="64"/>
        <v>0-30</v>
      </c>
      <c r="L1998" s="11">
        <v>45839</v>
      </c>
      <c r="M1998" s="23">
        <f>YEAR(Таблица1[[#This Row],[Дата отчета]])</f>
        <v>2025</v>
      </c>
    </row>
    <row r="1999" spans="1:13" x14ac:dyDescent="0.25">
      <c r="A1999" t="s">
        <v>12</v>
      </c>
      <c r="B1999" t="s">
        <v>186</v>
      </c>
      <c r="C1999" t="s">
        <v>1963</v>
      </c>
      <c r="D1999" t="s">
        <v>1964</v>
      </c>
      <c r="E1999" t="s">
        <v>1031</v>
      </c>
      <c r="F1999" s="20">
        <v>6800</v>
      </c>
      <c r="I1999" s="11">
        <f t="shared" si="62"/>
        <v>45812</v>
      </c>
      <c r="J1999" s="12">
        <f t="shared" si="63"/>
        <v>27</v>
      </c>
      <c r="K1999" t="str">
        <f t="shared" si="64"/>
        <v>0-30</v>
      </c>
      <c r="L1999" s="11">
        <v>45839</v>
      </c>
      <c r="M1999" s="23">
        <f>YEAR(Таблица1[[#This Row],[Дата отчета]])</f>
        <v>2025</v>
      </c>
    </row>
    <row r="2000" spans="1:13" x14ac:dyDescent="0.25">
      <c r="A2000" t="s">
        <v>12</v>
      </c>
      <c r="B2000" t="s">
        <v>186</v>
      </c>
      <c r="C2000" t="s">
        <v>1342</v>
      </c>
      <c r="D2000" t="s">
        <v>1343</v>
      </c>
      <c r="E2000" t="s">
        <v>834</v>
      </c>
      <c r="F2000" s="20">
        <v>6600</v>
      </c>
      <c r="I2000" s="11">
        <f t="shared" si="62"/>
        <v>45824</v>
      </c>
      <c r="J2000" s="12">
        <f t="shared" si="63"/>
        <v>15</v>
      </c>
      <c r="K2000" t="str">
        <f t="shared" si="64"/>
        <v>0-30</v>
      </c>
      <c r="L2000" s="11">
        <v>45839</v>
      </c>
      <c r="M2000" s="23">
        <f>YEAR(Таблица1[[#This Row],[Дата отчета]])</f>
        <v>2025</v>
      </c>
    </row>
    <row r="2001" spans="1:14" x14ac:dyDescent="0.25">
      <c r="A2001" t="s">
        <v>12</v>
      </c>
      <c r="B2001" t="s">
        <v>186</v>
      </c>
      <c r="C2001" t="s">
        <v>205</v>
      </c>
      <c r="D2001" t="s">
        <v>1965</v>
      </c>
      <c r="E2001" t="s">
        <v>201</v>
      </c>
      <c r="F2001" s="20">
        <v>6600</v>
      </c>
      <c r="I2001" s="11">
        <f t="shared" si="62"/>
        <v>45800</v>
      </c>
      <c r="J2001" s="12">
        <f t="shared" si="63"/>
        <v>39</v>
      </c>
      <c r="K2001" t="str">
        <f t="shared" si="64"/>
        <v>31-90</v>
      </c>
      <c r="L2001" s="11">
        <v>45839</v>
      </c>
      <c r="M2001" s="23">
        <f>YEAR(Таблица1[[#This Row],[Дата отчета]])</f>
        <v>2025</v>
      </c>
    </row>
    <row r="2002" spans="1:14" x14ac:dyDescent="0.25">
      <c r="A2002" t="s">
        <v>12</v>
      </c>
      <c r="B2002" t="s">
        <v>186</v>
      </c>
      <c r="C2002" t="s">
        <v>205</v>
      </c>
      <c r="D2002" t="s">
        <v>1966</v>
      </c>
      <c r="E2002" t="s">
        <v>532</v>
      </c>
      <c r="F2002" s="20">
        <v>25000</v>
      </c>
      <c r="I2002" s="11">
        <f t="shared" si="62"/>
        <v>45813</v>
      </c>
      <c r="J2002" s="12">
        <f t="shared" si="63"/>
        <v>26</v>
      </c>
      <c r="K2002" t="str">
        <f t="shared" si="64"/>
        <v>0-30</v>
      </c>
      <c r="L2002" s="11">
        <v>45839</v>
      </c>
      <c r="M2002" s="23">
        <f>YEAR(Таблица1[[#This Row],[Дата отчета]])</f>
        <v>2025</v>
      </c>
    </row>
    <row r="2003" spans="1:14" x14ac:dyDescent="0.25">
      <c r="A2003" t="s">
        <v>12</v>
      </c>
      <c r="B2003" t="s">
        <v>186</v>
      </c>
      <c r="C2003" t="s">
        <v>1344</v>
      </c>
      <c r="D2003" t="s">
        <v>1345</v>
      </c>
      <c r="E2003" t="s">
        <v>201</v>
      </c>
      <c r="F2003" s="20">
        <v>6600</v>
      </c>
      <c r="I2003" s="11">
        <f t="shared" si="62"/>
        <v>45800</v>
      </c>
      <c r="J2003" s="12">
        <f t="shared" si="63"/>
        <v>39</v>
      </c>
      <c r="K2003" t="str">
        <f t="shared" si="64"/>
        <v>31-90</v>
      </c>
      <c r="L2003" s="11">
        <v>45839</v>
      </c>
      <c r="M2003" s="23">
        <f>YEAR(Таблица1[[#This Row],[Дата отчета]])</f>
        <v>2025</v>
      </c>
    </row>
    <row r="2004" spans="1:14" x14ac:dyDescent="0.25">
      <c r="A2004" t="s">
        <v>12</v>
      </c>
      <c r="B2004" t="s">
        <v>186</v>
      </c>
      <c r="C2004" t="s">
        <v>1165</v>
      </c>
      <c r="D2004" t="s">
        <v>1967</v>
      </c>
      <c r="E2004" t="s">
        <v>201</v>
      </c>
      <c r="F2004" s="20">
        <v>6600</v>
      </c>
      <c r="I2004" s="11">
        <f t="shared" si="62"/>
        <v>45800</v>
      </c>
      <c r="J2004" s="12">
        <f t="shared" si="63"/>
        <v>39</v>
      </c>
      <c r="K2004" t="str">
        <f t="shared" si="64"/>
        <v>31-90</v>
      </c>
      <c r="L2004" s="11">
        <v>45839</v>
      </c>
      <c r="M2004" s="23">
        <f>YEAR(Таблица1[[#This Row],[Дата отчета]])</f>
        <v>2025</v>
      </c>
    </row>
    <row r="2005" spans="1:14" x14ac:dyDescent="0.25">
      <c r="A2005" t="s">
        <v>12</v>
      </c>
      <c r="B2005" t="s">
        <v>186</v>
      </c>
      <c r="C2005" t="s">
        <v>1165</v>
      </c>
      <c r="D2005" t="s">
        <v>1968</v>
      </c>
      <c r="E2005" t="s">
        <v>1039</v>
      </c>
      <c r="F2005" s="20">
        <v>25000</v>
      </c>
      <c r="I2005" s="11">
        <f t="shared" si="62"/>
        <v>45831</v>
      </c>
      <c r="J2005" s="12">
        <f t="shared" si="63"/>
        <v>8</v>
      </c>
      <c r="K2005" t="str">
        <f t="shared" si="64"/>
        <v>0-30</v>
      </c>
      <c r="L2005" s="11">
        <v>45839</v>
      </c>
      <c r="M2005" s="23">
        <f>YEAR(Таблица1[[#This Row],[Дата отчета]])</f>
        <v>2025</v>
      </c>
    </row>
    <row r="2006" spans="1:14" x14ac:dyDescent="0.25">
      <c r="A2006" t="s">
        <v>12</v>
      </c>
      <c r="B2006" t="s">
        <v>1350</v>
      </c>
      <c r="C2006" t="s">
        <v>1351</v>
      </c>
      <c r="D2006" t="s">
        <v>1352</v>
      </c>
      <c r="E2006" t="s">
        <v>1775</v>
      </c>
      <c r="F2006" s="20">
        <v>360000</v>
      </c>
      <c r="I2006" s="11">
        <f t="shared" si="62"/>
        <v>45629</v>
      </c>
      <c r="J2006" s="12">
        <f t="shared" si="63"/>
        <v>210</v>
      </c>
      <c r="K2006" t="str">
        <f t="shared" si="64"/>
        <v>181-270</v>
      </c>
      <c r="L2006" s="11">
        <v>45839</v>
      </c>
      <c r="M2006" s="23">
        <f>YEAR(Таблица1[[#This Row],[Дата отчета]])</f>
        <v>2025</v>
      </c>
    </row>
    <row r="2007" spans="1:14" x14ac:dyDescent="0.25">
      <c r="A2007" t="s">
        <v>12</v>
      </c>
      <c r="B2007" t="s">
        <v>244</v>
      </c>
      <c r="C2007" t="s">
        <v>245</v>
      </c>
      <c r="D2007" t="s">
        <v>246</v>
      </c>
      <c r="E2007" t="s">
        <v>247</v>
      </c>
      <c r="F2007" s="20">
        <v>275272</v>
      </c>
      <c r="I2007" s="11">
        <f t="shared" si="62"/>
        <v>45798</v>
      </c>
      <c r="J2007" s="12">
        <f t="shared" si="63"/>
        <v>41</v>
      </c>
      <c r="K2007" t="str">
        <f t="shared" si="64"/>
        <v>31-90</v>
      </c>
      <c r="L2007" s="11">
        <v>45839</v>
      </c>
      <c r="M2007" s="23">
        <f>YEAR(Таблица1[[#This Row],[Дата отчета]])</f>
        <v>2025</v>
      </c>
      <c r="N2007" s="2" t="s">
        <v>4548</v>
      </c>
    </row>
    <row r="2008" spans="1:14" x14ac:dyDescent="0.25">
      <c r="A2008" t="s">
        <v>12</v>
      </c>
      <c r="B2008" t="s">
        <v>1359</v>
      </c>
      <c r="C2008" t="s">
        <v>1360</v>
      </c>
      <c r="D2008" t="s">
        <v>1361</v>
      </c>
      <c r="E2008" t="s">
        <v>201</v>
      </c>
      <c r="F2008" s="20">
        <v>114279</v>
      </c>
      <c r="I2008" s="11">
        <f t="shared" si="62"/>
        <v>45800</v>
      </c>
      <c r="J2008" s="12">
        <f t="shared" si="63"/>
        <v>39</v>
      </c>
      <c r="K2008" t="str">
        <f t="shared" si="64"/>
        <v>31-90</v>
      </c>
      <c r="L2008" s="11">
        <v>45839</v>
      </c>
      <c r="M2008" s="23">
        <f>YEAR(Таблица1[[#This Row],[Дата отчета]])</f>
        <v>2025</v>
      </c>
    </row>
    <row r="2009" spans="1:14" x14ac:dyDescent="0.25">
      <c r="A2009" t="s">
        <v>12</v>
      </c>
      <c r="B2009" t="s">
        <v>248</v>
      </c>
      <c r="C2009" t="s">
        <v>1969</v>
      </c>
      <c r="D2009" t="s">
        <v>1970</v>
      </c>
      <c r="E2009" t="s">
        <v>2448</v>
      </c>
      <c r="F2009" s="20">
        <v>59580</v>
      </c>
      <c r="I2009" s="11">
        <f t="shared" si="62"/>
        <v>45653</v>
      </c>
      <c r="J2009" s="12">
        <f t="shared" si="63"/>
        <v>186</v>
      </c>
      <c r="K2009" t="str">
        <f t="shared" si="64"/>
        <v>181-270</v>
      </c>
      <c r="L2009" s="11">
        <v>45839</v>
      </c>
      <c r="M2009" s="23">
        <f>YEAR(Таблица1[[#This Row],[Дата отчета]])</f>
        <v>2025</v>
      </c>
    </row>
    <row r="2010" spans="1:14" x14ac:dyDescent="0.25">
      <c r="A2010" t="s">
        <v>12</v>
      </c>
      <c r="B2010" t="s">
        <v>248</v>
      </c>
      <c r="C2010" t="s">
        <v>1971</v>
      </c>
      <c r="D2010" t="s">
        <v>1972</v>
      </c>
      <c r="E2010" t="s">
        <v>2449</v>
      </c>
      <c r="F2010" s="20">
        <v>306305.52</v>
      </c>
      <c r="I2010" s="11">
        <f t="shared" si="62"/>
        <v>45672</v>
      </c>
      <c r="J2010" s="12">
        <f t="shared" si="63"/>
        <v>167</v>
      </c>
      <c r="K2010" t="str">
        <f t="shared" si="64"/>
        <v>121-180</v>
      </c>
      <c r="L2010" s="11">
        <v>45839</v>
      </c>
      <c r="M2010" s="23">
        <f>YEAR(Таблица1[[#This Row],[Дата отчета]])</f>
        <v>2025</v>
      </c>
    </row>
    <row r="2011" spans="1:14" x14ac:dyDescent="0.25">
      <c r="A2011" t="s">
        <v>12</v>
      </c>
      <c r="B2011" t="s">
        <v>248</v>
      </c>
      <c r="C2011" t="s">
        <v>1973</v>
      </c>
      <c r="D2011" t="s">
        <v>1974</v>
      </c>
      <c r="E2011" t="s">
        <v>2450</v>
      </c>
      <c r="F2011" s="20">
        <v>2323.89</v>
      </c>
      <c r="I2011" s="11">
        <f t="shared" si="62"/>
        <v>45427</v>
      </c>
      <c r="J2011" s="12">
        <f t="shared" si="63"/>
        <v>412</v>
      </c>
      <c r="K2011" t="str">
        <f t="shared" si="64"/>
        <v>&gt;360</v>
      </c>
      <c r="L2011" s="11">
        <v>45839</v>
      </c>
      <c r="M2011" s="23">
        <f>YEAR(Таблица1[[#This Row],[Дата отчета]])</f>
        <v>2025</v>
      </c>
    </row>
    <row r="2012" spans="1:14" x14ac:dyDescent="0.25">
      <c r="A2012" t="s">
        <v>12</v>
      </c>
      <c r="B2012" t="s">
        <v>248</v>
      </c>
      <c r="C2012" t="s">
        <v>1975</v>
      </c>
      <c r="D2012" t="s">
        <v>1976</v>
      </c>
      <c r="E2012" t="s">
        <v>2451</v>
      </c>
      <c r="F2012" s="20">
        <v>21500</v>
      </c>
      <c r="I2012" s="11">
        <f t="shared" si="62"/>
        <v>45757</v>
      </c>
      <c r="J2012" s="12">
        <f t="shared" si="63"/>
        <v>82</v>
      </c>
      <c r="K2012" t="str">
        <f t="shared" si="64"/>
        <v>31-90</v>
      </c>
      <c r="L2012" s="11">
        <v>45839</v>
      </c>
      <c r="M2012" s="23">
        <f>YEAR(Таблица1[[#This Row],[Дата отчета]])</f>
        <v>2025</v>
      </c>
    </row>
    <row r="2013" spans="1:14" x14ac:dyDescent="0.25">
      <c r="A2013" t="s">
        <v>12</v>
      </c>
      <c r="B2013" t="s">
        <v>1364</v>
      </c>
      <c r="C2013" t="s">
        <v>775</v>
      </c>
      <c r="D2013" t="s">
        <v>1365</v>
      </c>
      <c r="E2013" t="s">
        <v>1778</v>
      </c>
      <c r="F2013" s="20">
        <v>5433.05</v>
      </c>
      <c r="I2013" s="11">
        <f t="shared" si="62"/>
        <v>44403</v>
      </c>
      <c r="J2013" s="12">
        <f t="shared" si="63"/>
        <v>1436</v>
      </c>
      <c r="K2013" t="str">
        <f t="shared" si="64"/>
        <v>&gt;360</v>
      </c>
      <c r="L2013" s="11">
        <v>45839</v>
      </c>
      <c r="M2013" s="23">
        <f>YEAR(Таблица1[[#This Row],[Дата отчета]])</f>
        <v>2025</v>
      </c>
    </row>
    <row r="2014" spans="1:14" x14ac:dyDescent="0.25">
      <c r="A2014" t="s">
        <v>12</v>
      </c>
      <c r="B2014" t="s">
        <v>271</v>
      </c>
      <c r="C2014" t="s">
        <v>274</v>
      </c>
      <c r="D2014" t="s">
        <v>1366</v>
      </c>
      <c r="E2014" t="s">
        <v>1779</v>
      </c>
      <c r="F2014" s="20">
        <v>13936</v>
      </c>
      <c r="I2014" s="11">
        <f t="shared" si="62"/>
        <v>45818</v>
      </c>
      <c r="J2014" s="12">
        <f t="shared" si="63"/>
        <v>21</v>
      </c>
      <c r="K2014" t="str">
        <f t="shared" si="64"/>
        <v>0-30</v>
      </c>
      <c r="L2014" s="11">
        <v>45839</v>
      </c>
      <c r="M2014" s="23">
        <f>YEAR(Таблица1[[#This Row],[Дата отчета]])</f>
        <v>2025</v>
      </c>
    </row>
    <row r="2015" spans="1:14" x14ac:dyDescent="0.25">
      <c r="A2015" t="s">
        <v>12</v>
      </c>
      <c r="B2015" t="s">
        <v>271</v>
      </c>
      <c r="C2015" t="s">
        <v>274</v>
      </c>
      <c r="D2015" t="s">
        <v>275</v>
      </c>
      <c r="E2015" t="s">
        <v>276</v>
      </c>
      <c r="F2015" s="20">
        <v>682568</v>
      </c>
      <c r="I2015" s="11">
        <f t="shared" si="62"/>
        <v>45827</v>
      </c>
      <c r="J2015" s="12">
        <f t="shared" si="63"/>
        <v>12</v>
      </c>
      <c r="K2015" t="str">
        <f t="shared" si="64"/>
        <v>0-30</v>
      </c>
      <c r="L2015" s="11">
        <v>45839</v>
      </c>
      <c r="M2015" s="23">
        <f>YEAR(Таблица1[[#This Row],[Дата отчета]])</f>
        <v>2025</v>
      </c>
    </row>
    <row r="2016" spans="1:14" x14ac:dyDescent="0.25">
      <c r="A2016" t="s">
        <v>12</v>
      </c>
      <c r="B2016" t="s">
        <v>271</v>
      </c>
      <c r="C2016" t="s">
        <v>1977</v>
      </c>
      <c r="D2016" t="s">
        <v>1978</v>
      </c>
      <c r="E2016" t="s">
        <v>834</v>
      </c>
      <c r="F2016" s="20">
        <v>571540</v>
      </c>
      <c r="I2016" s="11">
        <f t="shared" si="62"/>
        <v>45824</v>
      </c>
      <c r="J2016" s="12">
        <f t="shared" si="63"/>
        <v>15</v>
      </c>
      <c r="K2016" t="str">
        <f t="shared" si="64"/>
        <v>0-30</v>
      </c>
      <c r="L2016" s="11">
        <v>45839</v>
      </c>
      <c r="M2016" s="23">
        <f>YEAR(Таблица1[[#This Row],[Дата отчета]])</f>
        <v>2025</v>
      </c>
    </row>
    <row r="2017" spans="1:14" x14ac:dyDescent="0.25">
      <c r="A2017" t="s">
        <v>12</v>
      </c>
      <c r="B2017" t="s">
        <v>271</v>
      </c>
      <c r="C2017" t="s">
        <v>282</v>
      </c>
      <c r="D2017" t="s">
        <v>283</v>
      </c>
      <c r="E2017" t="s">
        <v>284</v>
      </c>
      <c r="F2017" s="20">
        <v>600</v>
      </c>
      <c r="I2017" s="11">
        <f t="shared" ref="I2017:I2080" si="65">E2017*1</f>
        <v>45398</v>
      </c>
      <c r="J2017" s="12">
        <f t="shared" ref="J2017:J2080" si="66">L2017-I2017</f>
        <v>441</v>
      </c>
      <c r="K2017" t="str">
        <f t="shared" si="64"/>
        <v>&gt;360</v>
      </c>
      <c r="L2017" s="11">
        <v>45839</v>
      </c>
      <c r="M2017" s="23">
        <f>YEAR(Таблица1[[#This Row],[Дата отчета]])</f>
        <v>2025</v>
      </c>
    </row>
    <row r="2018" spans="1:14" x14ac:dyDescent="0.25">
      <c r="A2018" t="s">
        <v>12</v>
      </c>
      <c r="B2018" t="s">
        <v>271</v>
      </c>
      <c r="C2018" t="s">
        <v>287</v>
      </c>
      <c r="D2018" t="s">
        <v>288</v>
      </c>
      <c r="E2018" t="s">
        <v>289</v>
      </c>
      <c r="F2018" s="20">
        <v>29963</v>
      </c>
      <c r="I2018" s="11">
        <f t="shared" si="65"/>
        <v>45716</v>
      </c>
      <c r="J2018" s="12">
        <f t="shared" si="66"/>
        <v>123</v>
      </c>
      <c r="K2018" t="str">
        <f t="shared" si="64"/>
        <v>121-180</v>
      </c>
      <c r="L2018" s="11">
        <v>45839</v>
      </c>
      <c r="M2018" s="23">
        <f>YEAR(Таблица1[[#This Row],[Дата отчета]])</f>
        <v>2025</v>
      </c>
      <c r="N2018" s="2" t="s">
        <v>4538</v>
      </c>
    </row>
    <row r="2019" spans="1:14" x14ac:dyDescent="0.25">
      <c r="A2019" t="s">
        <v>12</v>
      </c>
      <c r="B2019" t="s">
        <v>1979</v>
      </c>
      <c r="C2019" t="s">
        <v>1980</v>
      </c>
      <c r="D2019" t="s">
        <v>1981</v>
      </c>
      <c r="E2019" t="s">
        <v>276</v>
      </c>
      <c r="F2019" s="20">
        <v>82000</v>
      </c>
      <c r="I2019" s="11">
        <f t="shared" si="65"/>
        <v>45827</v>
      </c>
      <c r="J2019" s="12">
        <f t="shared" si="66"/>
        <v>12</v>
      </c>
      <c r="K2019" t="str">
        <f t="shared" si="64"/>
        <v>0-30</v>
      </c>
      <c r="L2019" s="11">
        <v>45839</v>
      </c>
      <c r="M2019" s="23">
        <f>YEAR(Таблица1[[#This Row],[Дата отчета]])</f>
        <v>2025</v>
      </c>
    </row>
    <row r="2020" spans="1:14" x14ac:dyDescent="0.25">
      <c r="A2020" t="s">
        <v>12</v>
      </c>
      <c r="B2020" t="s">
        <v>1982</v>
      </c>
      <c r="C2020" t="s">
        <v>1983</v>
      </c>
      <c r="D2020" t="s">
        <v>1984</v>
      </c>
      <c r="E2020" t="s">
        <v>1796</v>
      </c>
      <c r="F2020" s="20">
        <v>59575</v>
      </c>
      <c r="I2020" s="11">
        <f t="shared" si="65"/>
        <v>45763</v>
      </c>
      <c r="J2020" s="12">
        <f t="shared" si="66"/>
        <v>76</v>
      </c>
      <c r="K2020" t="str">
        <f t="shared" si="64"/>
        <v>31-90</v>
      </c>
      <c r="L2020" s="11">
        <v>45839</v>
      </c>
      <c r="M2020" s="23">
        <f>YEAR(Таблица1[[#This Row],[Дата отчета]])</f>
        <v>2025</v>
      </c>
    </row>
    <row r="2021" spans="1:14" x14ac:dyDescent="0.25">
      <c r="A2021" t="s">
        <v>12</v>
      </c>
      <c r="B2021" t="s">
        <v>1372</v>
      </c>
      <c r="C2021" t="s">
        <v>1985</v>
      </c>
      <c r="D2021" t="s">
        <v>1986</v>
      </c>
      <c r="E2021" t="s">
        <v>834</v>
      </c>
      <c r="F2021" s="20">
        <v>12560</v>
      </c>
      <c r="I2021" s="11">
        <f t="shared" si="65"/>
        <v>45824</v>
      </c>
      <c r="J2021" s="12">
        <f t="shared" si="66"/>
        <v>15</v>
      </c>
      <c r="K2021" t="str">
        <f t="shared" si="64"/>
        <v>0-30</v>
      </c>
      <c r="L2021" s="11">
        <v>45839</v>
      </c>
      <c r="M2021" s="23">
        <f>YEAR(Таблица1[[#This Row],[Дата отчета]])</f>
        <v>2025</v>
      </c>
    </row>
    <row r="2022" spans="1:14" x14ac:dyDescent="0.25">
      <c r="A2022" t="s">
        <v>12</v>
      </c>
      <c r="B2022" t="s">
        <v>1372</v>
      </c>
      <c r="C2022" t="s">
        <v>1987</v>
      </c>
      <c r="D2022" t="s">
        <v>1988</v>
      </c>
      <c r="E2022" t="s">
        <v>2442</v>
      </c>
      <c r="F2022" s="20">
        <v>28440</v>
      </c>
      <c r="I2022" s="11">
        <f t="shared" si="65"/>
        <v>45826</v>
      </c>
      <c r="J2022" s="12">
        <f t="shared" si="66"/>
        <v>13</v>
      </c>
      <c r="K2022" t="str">
        <f t="shared" si="64"/>
        <v>0-30</v>
      </c>
      <c r="L2022" s="11">
        <v>45839</v>
      </c>
      <c r="M2022" s="23">
        <f>YEAR(Таблица1[[#This Row],[Дата отчета]])</f>
        <v>2025</v>
      </c>
    </row>
    <row r="2023" spans="1:14" x14ac:dyDescent="0.25">
      <c r="A2023" t="s">
        <v>12</v>
      </c>
      <c r="B2023" t="s">
        <v>1372</v>
      </c>
      <c r="C2023" t="s">
        <v>1989</v>
      </c>
      <c r="D2023" t="s">
        <v>1990</v>
      </c>
      <c r="E2023" t="s">
        <v>146</v>
      </c>
      <c r="F2023" s="20">
        <v>27880</v>
      </c>
      <c r="I2023" s="11">
        <f t="shared" si="65"/>
        <v>45838</v>
      </c>
      <c r="J2023" s="12">
        <f t="shared" si="66"/>
        <v>1</v>
      </c>
      <c r="K2023" t="str">
        <f t="shared" si="64"/>
        <v>0-30</v>
      </c>
      <c r="L2023" s="11">
        <v>45839</v>
      </c>
      <c r="M2023" s="23">
        <f>YEAR(Таблица1[[#This Row],[Дата отчета]])</f>
        <v>2025</v>
      </c>
    </row>
    <row r="2024" spans="1:14" x14ac:dyDescent="0.25">
      <c r="A2024" t="s">
        <v>12</v>
      </c>
      <c r="B2024" t="s">
        <v>1372</v>
      </c>
      <c r="C2024" t="s">
        <v>1991</v>
      </c>
      <c r="D2024" t="s">
        <v>1992</v>
      </c>
      <c r="E2024" t="s">
        <v>2452</v>
      </c>
      <c r="F2024" s="20">
        <v>47600</v>
      </c>
      <c r="I2024" s="11">
        <f t="shared" si="65"/>
        <v>45834</v>
      </c>
      <c r="J2024" s="12">
        <f t="shared" si="66"/>
        <v>5</v>
      </c>
      <c r="K2024" t="str">
        <f t="shared" si="64"/>
        <v>0-30</v>
      </c>
      <c r="L2024" s="11">
        <v>45839</v>
      </c>
      <c r="M2024" s="23">
        <f>YEAR(Таблица1[[#This Row],[Дата отчета]])</f>
        <v>2025</v>
      </c>
    </row>
    <row r="2025" spans="1:14" x14ac:dyDescent="0.25">
      <c r="A2025" t="s">
        <v>12</v>
      </c>
      <c r="B2025" t="s">
        <v>1372</v>
      </c>
      <c r="C2025" t="s">
        <v>1993</v>
      </c>
      <c r="D2025" t="s">
        <v>1994</v>
      </c>
      <c r="E2025" t="s">
        <v>1808</v>
      </c>
      <c r="F2025" s="20">
        <v>20740</v>
      </c>
      <c r="I2025" s="11">
        <f t="shared" si="65"/>
        <v>45835</v>
      </c>
      <c r="J2025" s="12">
        <f t="shared" si="66"/>
        <v>4</v>
      </c>
      <c r="K2025" t="str">
        <f t="shared" si="64"/>
        <v>0-30</v>
      </c>
      <c r="L2025" s="11">
        <v>45839</v>
      </c>
      <c r="M2025" s="23">
        <f>YEAR(Таблица1[[#This Row],[Дата отчета]])</f>
        <v>2025</v>
      </c>
    </row>
    <row r="2026" spans="1:14" x14ac:dyDescent="0.25">
      <c r="A2026" t="s">
        <v>12</v>
      </c>
      <c r="B2026" t="s">
        <v>1372</v>
      </c>
      <c r="C2026" t="s">
        <v>1375</v>
      </c>
      <c r="D2026" t="s">
        <v>1376</v>
      </c>
      <c r="E2026" t="s">
        <v>247</v>
      </c>
      <c r="F2026" s="20">
        <v>3460</v>
      </c>
      <c r="I2026" s="11">
        <f t="shared" si="65"/>
        <v>45798</v>
      </c>
      <c r="J2026" s="12">
        <f t="shared" si="66"/>
        <v>41</v>
      </c>
      <c r="K2026" t="str">
        <f t="shared" si="64"/>
        <v>31-90</v>
      </c>
      <c r="L2026" s="11">
        <v>45839</v>
      </c>
      <c r="M2026" s="23">
        <f>YEAR(Таблица1[[#This Row],[Дата отчета]])</f>
        <v>2025</v>
      </c>
    </row>
    <row r="2027" spans="1:14" x14ac:dyDescent="0.25">
      <c r="A2027" t="s">
        <v>12</v>
      </c>
      <c r="B2027" t="s">
        <v>1372</v>
      </c>
      <c r="C2027" t="s">
        <v>1995</v>
      </c>
      <c r="D2027" t="s">
        <v>1996</v>
      </c>
      <c r="E2027" t="s">
        <v>183</v>
      </c>
      <c r="F2027" s="20">
        <v>1310</v>
      </c>
      <c r="I2027" s="11">
        <f t="shared" si="65"/>
        <v>45817</v>
      </c>
      <c r="J2027" s="12">
        <f t="shared" si="66"/>
        <v>22</v>
      </c>
      <c r="K2027" t="str">
        <f t="shared" si="64"/>
        <v>0-30</v>
      </c>
      <c r="L2027" s="11">
        <v>45839</v>
      </c>
      <c r="M2027" s="23">
        <f>YEAR(Таблица1[[#This Row],[Дата отчета]])</f>
        <v>2025</v>
      </c>
    </row>
    <row r="2028" spans="1:14" x14ac:dyDescent="0.25">
      <c r="A2028" t="s">
        <v>12</v>
      </c>
      <c r="B2028" t="s">
        <v>1997</v>
      </c>
      <c r="C2028" t="s">
        <v>1998</v>
      </c>
      <c r="D2028" t="s">
        <v>1999</v>
      </c>
      <c r="E2028" t="s">
        <v>1797</v>
      </c>
      <c r="F2028" s="20">
        <v>21000</v>
      </c>
      <c r="I2028" s="11">
        <f t="shared" si="65"/>
        <v>45784</v>
      </c>
      <c r="J2028" s="12">
        <f t="shared" si="66"/>
        <v>55</v>
      </c>
      <c r="K2028" t="str">
        <f t="shared" si="64"/>
        <v>31-90</v>
      </c>
      <c r="L2028" s="11">
        <v>45839</v>
      </c>
      <c r="M2028" s="23">
        <f>YEAR(Таблица1[[#This Row],[Дата отчета]])</f>
        <v>2025</v>
      </c>
    </row>
    <row r="2029" spans="1:14" x14ac:dyDescent="0.25">
      <c r="A2029" t="s">
        <v>12</v>
      </c>
      <c r="B2029" t="s">
        <v>1997</v>
      </c>
      <c r="C2029" t="s">
        <v>2000</v>
      </c>
      <c r="D2029" t="s">
        <v>2001</v>
      </c>
      <c r="E2029" t="s">
        <v>2453</v>
      </c>
      <c r="F2029" s="20">
        <v>163800</v>
      </c>
      <c r="I2029" s="11">
        <f t="shared" si="65"/>
        <v>45806</v>
      </c>
      <c r="J2029" s="12">
        <f t="shared" si="66"/>
        <v>33</v>
      </c>
      <c r="K2029" t="str">
        <f t="shared" si="64"/>
        <v>31-90</v>
      </c>
      <c r="L2029" s="11">
        <v>45839</v>
      </c>
      <c r="M2029" s="23">
        <f>YEAR(Таблица1[[#This Row],[Дата отчета]])</f>
        <v>2025</v>
      </c>
    </row>
    <row r="2030" spans="1:14" x14ac:dyDescent="0.25">
      <c r="A2030" t="s">
        <v>12</v>
      </c>
      <c r="B2030" t="s">
        <v>297</v>
      </c>
      <c r="C2030" t="s">
        <v>298</v>
      </c>
      <c r="D2030" t="s">
        <v>299</v>
      </c>
      <c r="E2030" t="s">
        <v>300</v>
      </c>
      <c r="F2030" s="20">
        <v>3959</v>
      </c>
      <c r="I2030" s="11">
        <f t="shared" si="65"/>
        <v>45449</v>
      </c>
      <c r="J2030" s="12">
        <f t="shared" si="66"/>
        <v>390</v>
      </c>
      <c r="K2030" t="str">
        <f t="shared" si="64"/>
        <v>&gt;360</v>
      </c>
      <c r="L2030" s="11">
        <v>45839</v>
      </c>
      <c r="M2030" s="23">
        <f>YEAR(Таблица1[[#This Row],[Дата отчета]])</f>
        <v>2025</v>
      </c>
      <c r="N2030" s="7" t="s">
        <v>4547</v>
      </c>
    </row>
    <row r="2031" spans="1:14" x14ac:dyDescent="0.25">
      <c r="A2031" t="s">
        <v>12</v>
      </c>
      <c r="B2031" t="s">
        <v>297</v>
      </c>
      <c r="C2031" t="s">
        <v>2002</v>
      </c>
      <c r="D2031" t="s">
        <v>2003</v>
      </c>
      <c r="E2031" t="s">
        <v>1039</v>
      </c>
      <c r="F2031" s="20">
        <v>5497</v>
      </c>
      <c r="I2031" s="11">
        <f t="shared" si="65"/>
        <v>45831</v>
      </c>
      <c r="J2031" s="12">
        <f t="shared" si="66"/>
        <v>8</v>
      </c>
      <c r="K2031" t="str">
        <f t="shared" si="64"/>
        <v>0-30</v>
      </c>
      <c r="L2031" s="11">
        <v>45839</v>
      </c>
      <c r="M2031" s="23">
        <f>YEAR(Таблица1[[#This Row],[Дата отчета]])</f>
        <v>2025</v>
      </c>
    </row>
    <row r="2032" spans="1:14" x14ac:dyDescent="0.25">
      <c r="A2032" t="s">
        <v>12</v>
      </c>
      <c r="B2032" t="s">
        <v>297</v>
      </c>
      <c r="C2032" t="s">
        <v>2004</v>
      </c>
      <c r="D2032" t="s">
        <v>2005</v>
      </c>
      <c r="E2032" t="s">
        <v>2452</v>
      </c>
      <c r="F2032" s="20">
        <v>1428</v>
      </c>
      <c r="I2032" s="11">
        <f t="shared" si="65"/>
        <v>45834</v>
      </c>
      <c r="J2032" s="12">
        <f t="shared" si="66"/>
        <v>5</v>
      </c>
      <c r="K2032" t="str">
        <f t="shared" si="64"/>
        <v>0-30</v>
      </c>
      <c r="L2032" s="11">
        <v>45839</v>
      </c>
      <c r="M2032" s="23">
        <f>YEAR(Таблица1[[#This Row],[Дата отчета]])</f>
        <v>2025</v>
      </c>
    </row>
    <row r="2033" spans="1:13" x14ac:dyDescent="0.25">
      <c r="A2033" t="s">
        <v>12</v>
      </c>
      <c r="B2033" t="s">
        <v>297</v>
      </c>
      <c r="C2033" t="s">
        <v>2006</v>
      </c>
      <c r="D2033" t="s">
        <v>2007</v>
      </c>
      <c r="E2033" t="s">
        <v>2436</v>
      </c>
      <c r="F2033" s="20">
        <v>1326</v>
      </c>
      <c r="I2033" s="11">
        <f t="shared" si="65"/>
        <v>45792</v>
      </c>
      <c r="J2033" s="12">
        <f t="shared" si="66"/>
        <v>47</v>
      </c>
      <c r="K2033" t="str">
        <f t="shared" si="64"/>
        <v>31-90</v>
      </c>
      <c r="L2033" s="11">
        <v>45839</v>
      </c>
      <c r="M2033" s="23">
        <f>YEAR(Таблица1[[#This Row],[Дата отчета]])</f>
        <v>2025</v>
      </c>
    </row>
    <row r="2034" spans="1:13" x14ac:dyDescent="0.25">
      <c r="A2034" t="s">
        <v>12</v>
      </c>
      <c r="B2034" t="s">
        <v>297</v>
      </c>
      <c r="C2034" t="s">
        <v>2008</v>
      </c>
      <c r="D2034" t="s">
        <v>2009</v>
      </c>
      <c r="E2034" t="s">
        <v>2442</v>
      </c>
      <c r="F2034" s="20">
        <v>1742</v>
      </c>
      <c r="I2034" s="11">
        <f t="shared" si="65"/>
        <v>45826</v>
      </c>
      <c r="J2034" s="12">
        <f t="shared" si="66"/>
        <v>13</v>
      </c>
      <c r="K2034" t="str">
        <f t="shared" si="64"/>
        <v>0-30</v>
      </c>
      <c r="L2034" s="11">
        <v>45839</v>
      </c>
      <c r="M2034" s="23">
        <f>YEAR(Таблица1[[#This Row],[Дата отчета]])</f>
        <v>2025</v>
      </c>
    </row>
    <row r="2035" spans="1:13" x14ac:dyDescent="0.25">
      <c r="A2035" t="s">
        <v>12</v>
      </c>
      <c r="B2035" t="s">
        <v>297</v>
      </c>
      <c r="C2035" t="s">
        <v>2010</v>
      </c>
      <c r="D2035" t="s">
        <v>2011</v>
      </c>
      <c r="E2035" t="s">
        <v>1039</v>
      </c>
      <c r="F2035" s="20">
        <v>1425</v>
      </c>
      <c r="I2035" s="11">
        <f t="shared" si="65"/>
        <v>45831</v>
      </c>
      <c r="J2035" s="12">
        <f t="shared" si="66"/>
        <v>8</v>
      </c>
      <c r="K2035" t="str">
        <f t="shared" si="64"/>
        <v>0-30</v>
      </c>
      <c r="L2035" s="11">
        <v>45839</v>
      </c>
      <c r="M2035" s="23">
        <f>YEAR(Таблица1[[#This Row],[Дата отчета]])</f>
        <v>2025</v>
      </c>
    </row>
    <row r="2036" spans="1:13" x14ac:dyDescent="0.25">
      <c r="A2036" t="s">
        <v>12</v>
      </c>
      <c r="B2036" t="s">
        <v>297</v>
      </c>
      <c r="C2036" t="s">
        <v>2012</v>
      </c>
      <c r="D2036" t="s">
        <v>2013</v>
      </c>
      <c r="E2036" t="s">
        <v>2446</v>
      </c>
      <c r="F2036" s="20">
        <v>111788</v>
      </c>
      <c r="I2036" s="11">
        <f t="shared" si="65"/>
        <v>45819</v>
      </c>
      <c r="J2036" s="12">
        <f t="shared" si="66"/>
        <v>20</v>
      </c>
      <c r="K2036" t="str">
        <f t="shared" si="64"/>
        <v>0-30</v>
      </c>
      <c r="L2036" s="11">
        <v>45839</v>
      </c>
      <c r="M2036" s="23">
        <f>YEAR(Таблица1[[#This Row],[Дата отчета]])</f>
        <v>2025</v>
      </c>
    </row>
    <row r="2037" spans="1:13" x14ac:dyDescent="0.25">
      <c r="A2037" t="s">
        <v>12</v>
      </c>
      <c r="B2037" t="s">
        <v>297</v>
      </c>
      <c r="C2037" t="s">
        <v>2014</v>
      </c>
      <c r="D2037" t="s">
        <v>2015</v>
      </c>
      <c r="E2037" t="s">
        <v>1786</v>
      </c>
      <c r="F2037" s="20">
        <v>24245</v>
      </c>
      <c r="I2037" s="11">
        <f t="shared" si="65"/>
        <v>45832</v>
      </c>
      <c r="J2037" s="12">
        <f t="shared" si="66"/>
        <v>7</v>
      </c>
      <c r="K2037" t="str">
        <f t="shared" si="64"/>
        <v>0-30</v>
      </c>
      <c r="L2037" s="11">
        <v>45839</v>
      </c>
      <c r="M2037" s="23">
        <f>YEAR(Таблица1[[#This Row],[Дата отчета]])</f>
        <v>2025</v>
      </c>
    </row>
    <row r="2038" spans="1:13" x14ac:dyDescent="0.25">
      <c r="A2038" t="s">
        <v>12</v>
      </c>
      <c r="B2038" t="s">
        <v>297</v>
      </c>
      <c r="C2038" t="s">
        <v>2016</v>
      </c>
      <c r="D2038" t="s">
        <v>2017</v>
      </c>
      <c r="E2038" t="s">
        <v>1786</v>
      </c>
      <c r="F2038" s="20">
        <v>279</v>
      </c>
      <c r="I2038" s="11">
        <f t="shared" si="65"/>
        <v>45832</v>
      </c>
      <c r="J2038" s="12">
        <f t="shared" si="66"/>
        <v>7</v>
      </c>
      <c r="K2038" t="str">
        <f t="shared" si="64"/>
        <v>0-30</v>
      </c>
      <c r="L2038" s="11">
        <v>45839</v>
      </c>
      <c r="M2038" s="23">
        <f>YEAR(Таблица1[[#This Row],[Дата отчета]])</f>
        <v>2025</v>
      </c>
    </row>
    <row r="2039" spans="1:13" x14ac:dyDescent="0.25">
      <c r="A2039" t="s">
        <v>12</v>
      </c>
      <c r="B2039" t="s">
        <v>297</v>
      </c>
      <c r="C2039" t="s">
        <v>2018</v>
      </c>
      <c r="D2039" t="s">
        <v>2019</v>
      </c>
      <c r="E2039" t="s">
        <v>2446</v>
      </c>
      <c r="F2039" s="20">
        <v>1079</v>
      </c>
      <c r="I2039" s="11">
        <f t="shared" si="65"/>
        <v>45819</v>
      </c>
      <c r="J2039" s="12">
        <f t="shared" si="66"/>
        <v>20</v>
      </c>
      <c r="K2039" t="str">
        <f t="shared" si="64"/>
        <v>0-30</v>
      </c>
      <c r="L2039" s="11">
        <v>45839</v>
      </c>
      <c r="M2039" s="23">
        <f>YEAR(Таблица1[[#This Row],[Дата отчета]])</f>
        <v>2025</v>
      </c>
    </row>
    <row r="2040" spans="1:13" x14ac:dyDescent="0.25">
      <c r="A2040" t="s">
        <v>12</v>
      </c>
      <c r="B2040" t="s">
        <v>297</v>
      </c>
      <c r="C2040" t="s">
        <v>2020</v>
      </c>
      <c r="D2040" t="s">
        <v>2021</v>
      </c>
      <c r="E2040" t="s">
        <v>2446</v>
      </c>
      <c r="F2040" s="20">
        <v>2777</v>
      </c>
      <c r="I2040" s="11">
        <f t="shared" si="65"/>
        <v>45819</v>
      </c>
      <c r="J2040" s="12">
        <f t="shared" si="66"/>
        <v>20</v>
      </c>
      <c r="K2040" t="str">
        <f t="shared" si="64"/>
        <v>0-30</v>
      </c>
      <c r="L2040" s="11">
        <v>45839</v>
      </c>
      <c r="M2040" s="23">
        <f>YEAR(Таблица1[[#This Row],[Дата отчета]])</f>
        <v>2025</v>
      </c>
    </row>
    <row r="2041" spans="1:13" x14ac:dyDescent="0.25">
      <c r="A2041" t="s">
        <v>12</v>
      </c>
      <c r="B2041" t="s">
        <v>297</v>
      </c>
      <c r="C2041" t="s">
        <v>2022</v>
      </c>
      <c r="D2041" t="s">
        <v>2023</v>
      </c>
      <c r="E2041" t="s">
        <v>2452</v>
      </c>
      <c r="F2041" s="20">
        <v>3973</v>
      </c>
      <c r="I2041" s="11">
        <f t="shared" si="65"/>
        <v>45834</v>
      </c>
      <c r="J2041" s="12">
        <f t="shared" si="66"/>
        <v>5</v>
      </c>
      <c r="K2041" t="str">
        <f t="shared" si="64"/>
        <v>0-30</v>
      </c>
      <c r="L2041" s="11">
        <v>45839</v>
      </c>
      <c r="M2041" s="23">
        <f>YEAR(Таблица1[[#This Row],[Дата отчета]])</f>
        <v>2025</v>
      </c>
    </row>
    <row r="2042" spans="1:13" x14ac:dyDescent="0.25">
      <c r="A2042" t="s">
        <v>12</v>
      </c>
      <c r="B2042" t="s">
        <v>297</v>
      </c>
      <c r="C2042" t="s">
        <v>2024</v>
      </c>
      <c r="D2042" t="s">
        <v>2025</v>
      </c>
      <c r="E2042" t="s">
        <v>2446</v>
      </c>
      <c r="F2042" s="20">
        <v>144940</v>
      </c>
      <c r="I2042" s="11">
        <f t="shared" si="65"/>
        <v>45819</v>
      </c>
      <c r="J2042" s="12">
        <f t="shared" si="66"/>
        <v>20</v>
      </c>
      <c r="K2042" t="str">
        <f t="shared" si="64"/>
        <v>0-30</v>
      </c>
      <c r="L2042" s="11">
        <v>45839</v>
      </c>
      <c r="M2042" s="23">
        <f>YEAR(Таблица1[[#This Row],[Дата отчета]])</f>
        <v>2025</v>
      </c>
    </row>
    <row r="2043" spans="1:13" x14ac:dyDescent="0.25">
      <c r="A2043" t="s">
        <v>12</v>
      </c>
      <c r="B2043" t="s">
        <v>297</v>
      </c>
      <c r="C2043" t="s">
        <v>2026</v>
      </c>
      <c r="D2043" t="s">
        <v>2027</v>
      </c>
      <c r="E2043" t="s">
        <v>769</v>
      </c>
      <c r="F2043" s="20">
        <v>65729</v>
      </c>
      <c r="I2043" s="11">
        <f t="shared" si="65"/>
        <v>45825</v>
      </c>
      <c r="J2043" s="12">
        <f t="shared" si="66"/>
        <v>14</v>
      </c>
      <c r="K2043" t="str">
        <f t="shared" si="64"/>
        <v>0-30</v>
      </c>
      <c r="L2043" s="11">
        <v>45839</v>
      </c>
      <c r="M2043" s="23">
        <f>YEAR(Таблица1[[#This Row],[Дата отчета]])</f>
        <v>2025</v>
      </c>
    </row>
    <row r="2044" spans="1:13" x14ac:dyDescent="0.25">
      <c r="A2044" t="s">
        <v>12</v>
      </c>
      <c r="B2044" t="s">
        <v>297</v>
      </c>
      <c r="C2044" t="s">
        <v>2028</v>
      </c>
      <c r="D2044" t="s">
        <v>2029</v>
      </c>
      <c r="E2044" t="s">
        <v>834</v>
      </c>
      <c r="F2044" s="20">
        <v>279</v>
      </c>
      <c r="I2044" s="11">
        <f t="shared" si="65"/>
        <v>45824</v>
      </c>
      <c r="J2044" s="12">
        <f t="shared" si="66"/>
        <v>15</v>
      </c>
      <c r="K2044" t="str">
        <f t="shared" si="64"/>
        <v>0-30</v>
      </c>
      <c r="L2044" s="11">
        <v>45839</v>
      </c>
      <c r="M2044" s="23">
        <f>YEAR(Таблица1[[#This Row],[Дата отчета]])</f>
        <v>2025</v>
      </c>
    </row>
    <row r="2045" spans="1:13" x14ac:dyDescent="0.25">
      <c r="A2045" t="s">
        <v>12</v>
      </c>
      <c r="B2045" t="s">
        <v>297</v>
      </c>
      <c r="C2045" t="s">
        <v>2030</v>
      </c>
      <c r="D2045" t="s">
        <v>2031</v>
      </c>
      <c r="E2045" t="s">
        <v>1779</v>
      </c>
      <c r="F2045" s="20">
        <v>95490</v>
      </c>
      <c r="I2045" s="11">
        <f t="shared" si="65"/>
        <v>45818</v>
      </c>
      <c r="J2045" s="12">
        <f t="shared" si="66"/>
        <v>21</v>
      </c>
      <c r="K2045" t="str">
        <f t="shared" si="64"/>
        <v>0-30</v>
      </c>
      <c r="L2045" s="11">
        <v>45839</v>
      </c>
      <c r="M2045" s="23">
        <f>YEAR(Таблица1[[#This Row],[Дата отчета]])</f>
        <v>2025</v>
      </c>
    </row>
    <row r="2046" spans="1:13" x14ac:dyDescent="0.25">
      <c r="A2046" t="s">
        <v>12</v>
      </c>
      <c r="B2046" t="s">
        <v>297</v>
      </c>
      <c r="C2046" t="s">
        <v>2032</v>
      </c>
      <c r="D2046" t="s">
        <v>2033</v>
      </c>
      <c r="E2046" t="s">
        <v>2431</v>
      </c>
      <c r="F2046" s="20">
        <v>27155</v>
      </c>
      <c r="I2046" s="11">
        <f t="shared" si="65"/>
        <v>45807</v>
      </c>
      <c r="J2046" s="12">
        <f t="shared" si="66"/>
        <v>32</v>
      </c>
      <c r="K2046" t="str">
        <f t="shared" si="64"/>
        <v>31-90</v>
      </c>
      <c r="L2046" s="11">
        <v>45839</v>
      </c>
      <c r="M2046" s="23">
        <f>YEAR(Таблица1[[#This Row],[Дата отчета]])</f>
        <v>2025</v>
      </c>
    </row>
    <row r="2047" spans="1:13" x14ac:dyDescent="0.25">
      <c r="A2047" t="s">
        <v>12</v>
      </c>
      <c r="B2047" t="s">
        <v>297</v>
      </c>
      <c r="C2047" t="s">
        <v>2034</v>
      </c>
      <c r="D2047" t="s">
        <v>2035</v>
      </c>
      <c r="E2047" t="s">
        <v>834</v>
      </c>
      <c r="F2047" s="20">
        <v>2174</v>
      </c>
      <c r="I2047" s="11">
        <f t="shared" si="65"/>
        <v>45824</v>
      </c>
      <c r="J2047" s="12">
        <f t="shared" si="66"/>
        <v>15</v>
      </c>
      <c r="K2047" t="str">
        <f t="shared" ref="K2047:K2110" si="67">IF(J2047&lt;=30,"0-30",IF(J2047&lt;=90,"31-90",IF(J2047&lt;=120,"91-120",IF(J2047&lt;=180,"121-180",IF(J2047&lt;=270,"181-270",IF(J2047&lt;=360,"271-360","&gt;360"))))))</f>
        <v>0-30</v>
      </c>
      <c r="L2047" s="11">
        <v>45839</v>
      </c>
      <c r="M2047" s="23">
        <f>YEAR(Таблица1[[#This Row],[Дата отчета]])</f>
        <v>2025</v>
      </c>
    </row>
    <row r="2048" spans="1:13" x14ac:dyDescent="0.25">
      <c r="A2048" t="s">
        <v>12</v>
      </c>
      <c r="B2048" t="s">
        <v>297</v>
      </c>
      <c r="C2048" t="s">
        <v>2036</v>
      </c>
      <c r="D2048" t="s">
        <v>2037</v>
      </c>
      <c r="E2048" t="s">
        <v>2452</v>
      </c>
      <c r="F2048" s="20">
        <v>2174</v>
      </c>
      <c r="I2048" s="11">
        <f t="shared" si="65"/>
        <v>45834</v>
      </c>
      <c r="J2048" s="12">
        <f t="shared" si="66"/>
        <v>5</v>
      </c>
      <c r="K2048" t="str">
        <f t="shared" si="67"/>
        <v>0-30</v>
      </c>
      <c r="L2048" s="11">
        <v>45839</v>
      </c>
      <c r="M2048" s="23">
        <f>YEAR(Таблица1[[#This Row],[Дата отчета]])</f>
        <v>2025</v>
      </c>
    </row>
    <row r="2049" spans="1:13" x14ac:dyDescent="0.25">
      <c r="A2049" t="s">
        <v>12</v>
      </c>
      <c r="B2049" t="s">
        <v>297</v>
      </c>
      <c r="C2049" t="s">
        <v>2038</v>
      </c>
      <c r="D2049" t="s">
        <v>2039</v>
      </c>
      <c r="E2049" t="s">
        <v>2452</v>
      </c>
      <c r="F2049" s="20">
        <v>819</v>
      </c>
      <c r="I2049" s="11">
        <f t="shared" si="65"/>
        <v>45834</v>
      </c>
      <c r="J2049" s="12">
        <f t="shared" si="66"/>
        <v>5</v>
      </c>
      <c r="K2049" t="str">
        <f t="shared" si="67"/>
        <v>0-30</v>
      </c>
      <c r="L2049" s="11">
        <v>45839</v>
      </c>
      <c r="M2049" s="23">
        <f>YEAR(Таблица1[[#This Row],[Дата отчета]])</f>
        <v>2025</v>
      </c>
    </row>
    <row r="2050" spans="1:13" x14ac:dyDescent="0.25">
      <c r="A2050" t="s">
        <v>12</v>
      </c>
      <c r="B2050" t="s">
        <v>297</v>
      </c>
      <c r="C2050" t="s">
        <v>2040</v>
      </c>
      <c r="D2050" t="s">
        <v>2041</v>
      </c>
      <c r="E2050" t="s">
        <v>834</v>
      </c>
      <c r="F2050" s="20">
        <v>2063</v>
      </c>
      <c r="I2050" s="11">
        <f t="shared" si="65"/>
        <v>45824</v>
      </c>
      <c r="J2050" s="12">
        <f t="shared" si="66"/>
        <v>15</v>
      </c>
      <c r="K2050" t="str">
        <f t="shared" si="67"/>
        <v>0-30</v>
      </c>
      <c r="L2050" s="11">
        <v>45839</v>
      </c>
      <c r="M2050" s="23">
        <f>YEAR(Таблица1[[#This Row],[Дата отчета]])</f>
        <v>2025</v>
      </c>
    </row>
    <row r="2051" spans="1:13" x14ac:dyDescent="0.25">
      <c r="A2051" t="s">
        <v>12</v>
      </c>
      <c r="B2051" t="s">
        <v>297</v>
      </c>
      <c r="C2051" t="s">
        <v>2042</v>
      </c>
      <c r="D2051" t="s">
        <v>2043</v>
      </c>
      <c r="E2051" t="s">
        <v>769</v>
      </c>
      <c r="F2051" s="20">
        <v>1345</v>
      </c>
      <c r="I2051" s="11">
        <f t="shared" si="65"/>
        <v>45825</v>
      </c>
      <c r="J2051" s="12">
        <f t="shared" si="66"/>
        <v>14</v>
      </c>
      <c r="K2051" t="str">
        <f t="shared" si="67"/>
        <v>0-30</v>
      </c>
      <c r="L2051" s="11">
        <v>45839</v>
      </c>
      <c r="M2051" s="23">
        <f>YEAR(Таблица1[[#This Row],[Дата отчета]])</f>
        <v>2025</v>
      </c>
    </row>
    <row r="2052" spans="1:13" x14ac:dyDescent="0.25">
      <c r="A2052" t="s">
        <v>12</v>
      </c>
      <c r="B2052" t="s">
        <v>297</v>
      </c>
      <c r="C2052" t="s">
        <v>2044</v>
      </c>
      <c r="D2052" t="s">
        <v>2045</v>
      </c>
      <c r="E2052" t="s">
        <v>1779</v>
      </c>
      <c r="F2052" s="20">
        <v>4488</v>
      </c>
      <c r="I2052" s="11">
        <f t="shared" si="65"/>
        <v>45818</v>
      </c>
      <c r="J2052" s="12">
        <f t="shared" si="66"/>
        <v>21</v>
      </c>
      <c r="K2052" t="str">
        <f t="shared" si="67"/>
        <v>0-30</v>
      </c>
      <c r="L2052" s="11">
        <v>45839</v>
      </c>
      <c r="M2052" s="23">
        <f>YEAR(Таблица1[[#This Row],[Дата отчета]])</f>
        <v>2025</v>
      </c>
    </row>
    <row r="2053" spans="1:13" x14ac:dyDescent="0.25">
      <c r="A2053" t="s">
        <v>12</v>
      </c>
      <c r="B2053" t="s">
        <v>297</v>
      </c>
      <c r="C2053" t="s">
        <v>2046</v>
      </c>
      <c r="D2053" t="s">
        <v>2047</v>
      </c>
      <c r="E2053" t="s">
        <v>2452</v>
      </c>
      <c r="F2053" s="20">
        <v>4297</v>
      </c>
      <c r="I2053" s="11">
        <f t="shared" si="65"/>
        <v>45834</v>
      </c>
      <c r="J2053" s="12">
        <f t="shared" si="66"/>
        <v>5</v>
      </c>
      <c r="K2053" t="str">
        <f t="shared" si="67"/>
        <v>0-30</v>
      </c>
      <c r="L2053" s="11">
        <v>45839</v>
      </c>
      <c r="M2053" s="23">
        <f>YEAR(Таблица1[[#This Row],[Дата отчета]])</f>
        <v>2025</v>
      </c>
    </row>
    <row r="2054" spans="1:13" x14ac:dyDescent="0.25">
      <c r="A2054" t="s">
        <v>12</v>
      </c>
      <c r="B2054" t="s">
        <v>297</v>
      </c>
      <c r="C2054" t="s">
        <v>2048</v>
      </c>
      <c r="D2054" t="s">
        <v>2049</v>
      </c>
      <c r="E2054" t="s">
        <v>834</v>
      </c>
      <c r="F2054" s="20">
        <v>1241</v>
      </c>
      <c r="I2054" s="11">
        <f t="shared" si="65"/>
        <v>45824</v>
      </c>
      <c r="J2054" s="12">
        <f t="shared" si="66"/>
        <v>15</v>
      </c>
      <c r="K2054" t="str">
        <f t="shared" si="67"/>
        <v>0-30</v>
      </c>
      <c r="L2054" s="11">
        <v>45839</v>
      </c>
      <c r="M2054" s="23">
        <f>YEAR(Таблица1[[#This Row],[Дата отчета]])</f>
        <v>2025</v>
      </c>
    </row>
    <row r="2055" spans="1:13" x14ac:dyDescent="0.25">
      <c r="A2055" t="s">
        <v>12</v>
      </c>
      <c r="B2055" t="s">
        <v>297</v>
      </c>
      <c r="C2055" t="s">
        <v>2050</v>
      </c>
      <c r="D2055" t="s">
        <v>2051</v>
      </c>
      <c r="E2055" t="s">
        <v>2452</v>
      </c>
      <c r="F2055" s="20">
        <v>1725</v>
      </c>
      <c r="I2055" s="11">
        <f t="shared" si="65"/>
        <v>45834</v>
      </c>
      <c r="J2055" s="12">
        <f t="shared" si="66"/>
        <v>5</v>
      </c>
      <c r="K2055" t="str">
        <f t="shared" si="67"/>
        <v>0-30</v>
      </c>
      <c r="L2055" s="11">
        <v>45839</v>
      </c>
      <c r="M2055" s="23">
        <f>YEAR(Таблица1[[#This Row],[Дата отчета]])</f>
        <v>2025</v>
      </c>
    </row>
    <row r="2056" spans="1:13" x14ac:dyDescent="0.25">
      <c r="A2056" t="s">
        <v>12</v>
      </c>
      <c r="B2056" t="s">
        <v>297</v>
      </c>
      <c r="C2056" t="s">
        <v>2052</v>
      </c>
      <c r="D2056" t="s">
        <v>2053</v>
      </c>
      <c r="E2056" t="s">
        <v>2446</v>
      </c>
      <c r="F2056" s="20">
        <v>4261</v>
      </c>
      <c r="I2056" s="11">
        <f t="shared" si="65"/>
        <v>45819</v>
      </c>
      <c r="J2056" s="12">
        <f t="shared" si="66"/>
        <v>20</v>
      </c>
      <c r="K2056" t="str">
        <f t="shared" si="67"/>
        <v>0-30</v>
      </c>
      <c r="L2056" s="11">
        <v>45839</v>
      </c>
      <c r="M2056" s="23">
        <f>YEAR(Таблица1[[#This Row],[Дата отчета]])</f>
        <v>2025</v>
      </c>
    </row>
    <row r="2057" spans="1:13" x14ac:dyDescent="0.25">
      <c r="A2057" t="s">
        <v>12</v>
      </c>
      <c r="B2057" t="s">
        <v>297</v>
      </c>
      <c r="C2057" t="s">
        <v>2054</v>
      </c>
      <c r="D2057" t="s">
        <v>2055</v>
      </c>
      <c r="E2057" t="s">
        <v>1039</v>
      </c>
      <c r="F2057" s="20">
        <v>1481</v>
      </c>
      <c r="I2057" s="11">
        <f t="shared" si="65"/>
        <v>45831</v>
      </c>
      <c r="J2057" s="12">
        <f t="shared" si="66"/>
        <v>8</v>
      </c>
      <c r="K2057" t="str">
        <f t="shared" si="67"/>
        <v>0-30</v>
      </c>
      <c r="L2057" s="11">
        <v>45839</v>
      </c>
      <c r="M2057" s="23">
        <f>YEAR(Таблица1[[#This Row],[Дата отчета]])</f>
        <v>2025</v>
      </c>
    </row>
    <row r="2058" spans="1:13" x14ac:dyDescent="0.25">
      <c r="A2058" t="s">
        <v>12</v>
      </c>
      <c r="B2058" t="s">
        <v>297</v>
      </c>
      <c r="C2058" t="s">
        <v>2056</v>
      </c>
      <c r="D2058" t="s">
        <v>2057</v>
      </c>
      <c r="E2058" t="s">
        <v>1786</v>
      </c>
      <c r="F2058" s="20">
        <v>3011</v>
      </c>
      <c r="I2058" s="11">
        <f t="shared" si="65"/>
        <v>45832</v>
      </c>
      <c r="J2058" s="12">
        <f t="shared" si="66"/>
        <v>7</v>
      </c>
      <c r="K2058" t="str">
        <f t="shared" si="67"/>
        <v>0-30</v>
      </c>
      <c r="L2058" s="11">
        <v>45839</v>
      </c>
      <c r="M2058" s="23">
        <f>YEAR(Таблица1[[#This Row],[Дата отчета]])</f>
        <v>2025</v>
      </c>
    </row>
    <row r="2059" spans="1:13" x14ac:dyDescent="0.25">
      <c r="A2059" t="s">
        <v>12</v>
      </c>
      <c r="B2059" t="s">
        <v>2058</v>
      </c>
      <c r="C2059" t="s">
        <v>2059</v>
      </c>
      <c r="D2059" t="s">
        <v>2060</v>
      </c>
      <c r="E2059" t="s">
        <v>1812</v>
      </c>
      <c r="F2059" s="20">
        <v>460000</v>
      </c>
      <c r="I2059" s="11">
        <f t="shared" si="65"/>
        <v>45744</v>
      </c>
      <c r="J2059" s="12">
        <f t="shared" si="66"/>
        <v>95</v>
      </c>
      <c r="K2059" t="str">
        <f t="shared" si="67"/>
        <v>91-120</v>
      </c>
      <c r="L2059" s="11">
        <v>45839</v>
      </c>
      <c r="M2059" s="23">
        <f>YEAR(Таблица1[[#This Row],[Дата отчета]])</f>
        <v>2025</v>
      </c>
    </row>
    <row r="2060" spans="1:13" x14ac:dyDescent="0.25">
      <c r="A2060" t="s">
        <v>12</v>
      </c>
      <c r="B2060" t="s">
        <v>383</v>
      </c>
      <c r="C2060" t="s">
        <v>2061</v>
      </c>
      <c r="D2060" t="s">
        <v>2062</v>
      </c>
      <c r="E2060" t="s">
        <v>2437</v>
      </c>
      <c r="F2060" s="20">
        <v>29199</v>
      </c>
      <c r="I2060" s="11">
        <f t="shared" si="65"/>
        <v>45791</v>
      </c>
      <c r="J2060" s="12">
        <f t="shared" si="66"/>
        <v>48</v>
      </c>
      <c r="K2060" t="str">
        <f t="shared" si="67"/>
        <v>31-90</v>
      </c>
      <c r="L2060" s="11">
        <v>45839</v>
      </c>
      <c r="M2060" s="23">
        <f>YEAR(Таблица1[[#This Row],[Дата отчета]])</f>
        <v>2025</v>
      </c>
    </row>
    <row r="2061" spans="1:13" x14ac:dyDescent="0.25">
      <c r="A2061" t="s">
        <v>12</v>
      </c>
      <c r="B2061" t="s">
        <v>383</v>
      </c>
      <c r="C2061" t="s">
        <v>2063</v>
      </c>
      <c r="D2061" t="s">
        <v>2064</v>
      </c>
      <c r="E2061" t="s">
        <v>1786</v>
      </c>
      <c r="F2061" s="20">
        <v>132894</v>
      </c>
      <c r="I2061" s="11">
        <f t="shared" si="65"/>
        <v>45832</v>
      </c>
      <c r="J2061" s="12">
        <f t="shared" si="66"/>
        <v>7</v>
      </c>
      <c r="K2061" t="str">
        <f t="shared" si="67"/>
        <v>0-30</v>
      </c>
      <c r="L2061" s="11">
        <v>45839</v>
      </c>
      <c r="M2061" s="23">
        <f>YEAR(Таблица1[[#This Row],[Дата отчета]])</f>
        <v>2025</v>
      </c>
    </row>
    <row r="2062" spans="1:13" x14ac:dyDescent="0.25">
      <c r="A2062" t="s">
        <v>12</v>
      </c>
      <c r="B2062" t="s">
        <v>383</v>
      </c>
      <c r="C2062" t="s">
        <v>2065</v>
      </c>
      <c r="D2062" t="s">
        <v>2066</v>
      </c>
      <c r="E2062" t="s">
        <v>2452</v>
      </c>
      <c r="F2062" s="20">
        <v>49600</v>
      </c>
      <c r="I2062" s="11">
        <f t="shared" si="65"/>
        <v>45834</v>
      </c>
      <c r="J2062" s="12">
        <f t="shared" si="66"/>
        <v>5</v>
      </c>
      <c r="K2062" t="str">
        <f t="shared" si="67"/>
        <v>0-30</v>
      </c>
      <c r="L2062" s="11">
        <v>45839</v>
      </c>
      <c r="M2062" s="23">
        <f>YEAR(Таблица1[[#This Row],[Дата отчета]])</f>
        <v>2025</v>
      </c>
    </row>
    <row r="2063" spans="1:13" x14ac:dyDescent="0.25">
      <c r="A2063" t="s">
        <v>12</v>
      </c>
      <c r="B2063" t="s">
        <v>386</v>
      </c>
      <c r="C2063" t="s">
        <v>2067</v>
      </c>
      <c r="D2063" t="s">
        <v>2068</v>
      </c>
      <c r="E2063" t="s">
        <v>276</v>
      </c>
      <c r="F2063" s="20">
        <v>38260</v>
      </c>
      <c r="I2063" s="11">
        <f t="shared" si="65"/>
        <v>45827</v>
      </c>
      <c r="J2063" s="12">
        <f t="shared" si="66"/>
        <v>12</v>
      </c>
      <c r="K2063" t="str">
        <f t="shared" si="67"/>
        <v>0-30</v>
      </c>
      <c r="L2063" s="11">
        <v>45839</v>
      </c>
      <c r="M2063" s="23">
        <f>YEAR(Таблица1[[#This Row],[Дата отчета]])</f>
        <v>2025</v>
      </c>
    </row>
    <row r="2064" spans="1:13" x14ac:dyDescent="0.25">
      <c r="A2064" t="s">
        <v>12</v>
      </c>
      <c r="B2064" t="s">
        <v>1222</v>
      </c>
      <c r="C2064" t="s">
        <v>1227</v>
      </c>
      <c r="D2064" t="s">
        <v>1241</v>
      </c>
      <c r="E2064" t="s">
        <v>769</v>
      </c>
      <c r="F2064" s="20">
        <v>70000</v>
      </c>
      <c r="I2064" s="11">
        <f t="shared" si="65"/>
        <v>45825</v>
      </c>
      <c r="J2064" s="12">
        <f t="shared" si="66"/>
        <v>14</v>
      </c>
      <c r="K2064" t="str">
        <f t="shared" si="67"/>
        <v>0-30</v>
      </c>
      <c r="L2064" s="11">
        <v>45839</v>
      </c>
      <c r="M2064" s="23">
        <f>YEAR(Таблица1[[#This Row],[Дата отчета]])</f>
        <v>2025</v>
      </c>
    </row>
    <row r="2065" spans="1:13" x14ac:dyDescent="0.25">
      <c r="A2065" t="s">
        <v>12</v>
      </c>
      <c r="B2065" t="s">
        <v>2069</v>
      </c>
      <c r="C2065" t="s">
        <v>2070</v>
      </c>
      <c r="D2065" t="s">
        <v>2071</v>
      </c>
      <c r="E2065" t="s">
        <v>1779</v>
      </c>
      <c r="F2065" s="20">
        <v>2557318.7999999998</v>
      </c>
      <c r="I2065" s="11">
        <f t="shared" si="65"/>
        <v>45818</v>
      </c>
      <c r="J2065" s="12">
        <f t="shared" si="66"/>
        <v>21</v>
      </c>
      <c r="K2065" t="str">
        <f t="shared" si="67"/>
        <v>0-30</v>
      </c>
      <c r="L2065" s="11">
        <v>45839</v>
      </c>
      <c r="M2065" s="23">
        <f>YEAR(Таблица1[[#This Row],[Дата отчета]])</f>
        <v>2025</v>
      </c>
    </row>
    <row r="2066" spans="1:13" x14ac:dyDescent="0.25">
      <c r="A2066" t="s">
        <v>12</v>
      </c>
      <c r="B2066" t="s">
        <v>2072</v>
      </c>
      <c r="C2066" t="s">
        <v>2073</v>
      </c>
      <c r="D2066" t="s">
        <v>2074</v>
      </c>
      <c r="E2066" t="s">
        <v>1813</v>
      </c>
      <c r="F2066" s="20">
        <v>2360</v>
      </c>
      <c r="I2066" s="11">
        <f t="shared" si="65"/>
        <v>45814</v>
      </c>
      <c r="J2066" s="12">
        <f t="shared" si="66"/>
        <v>25</v>
      </c>
      <c r="K2066" t="str">
        <f t="shared" si="67"/>
        <v>0-30</v>
      </c>
      <c r="L2066" s="11">
        <v>45839</v>
      </c>
      <c r="M2066" s="23">
        <f>YEAR(Таблица1[[#This Row],[Дата отчета]])</f>
        <v>2025</v>
      </c>
    </row>
    <row r="2067" spans="1:13" x14ac:dyDescent="0.25">
      <c r="A2067" t="s">
        <v>12</v>
      </c>
      <c r="B2067" t="s">
        <v>2072</v>
      </c>
      <c r="C2067" t="s">
        <v>2075</v>
      </c>
      <c r="D2067" t="s">
        <v>2076</v>
      </c>
      <c r="E2067" t="s">
        <v>1808</v>
      </c>
      <c r="F2067" s="20">
        <v>5220</v>
      </c>
      <c r="I2067" s="11">
        <f t="shared" si="65"/>
        <v>45835</v>
      </c>
      <c r="J2067" s="12">
        <f t="shared" si="66"/>
        <v>4</v>
      </c>
      <c r="K2067" t="str">
        <f t="shared" si="67"/>
        <v>0-30</v>
      </c>
      <c r="L2067" s="11">
        <v>45839</v>
      </c>
      <c r="M2067" s="23">
        <f>YEAR(Таблица1[[#This Row],[Дата отчета]])</f>
        <v>2025</v>
      </c>
    </row>
    <row r="2068" spans="1:13" x14ac:dyDescent="0.25">
      <c r="A2068" t="s">
        <v>12</v>
      </c>
      <c r="B2068" t="s">
        <v>2077</v>
      </c>
      <c r="C2068" t="s">
        <v>269</v>
      </c>
      <c r="D2068" t="s">
        <v>1864</v>
      </c>
      <c r="E2068" t="s">
        <v>1256</v>
      </c>
      <c r="F2068" s="20">
        <v>2900</v>
      </c>
      <c r="I2068" s="11">
        <f t="shared" si="65"/>
        <v>45754</v>
      </c>
      <c r="J2068" s="12">
        <f t="shared" si="66"/>
        <v>85</v>
      </c>
      <c r="K2068" t="str">
        <f t="shared" si="67"/>
        <v>31-90</v>
      </c>
      <c r="L2068" s="11">
        <v>45839</v>
      </c>
      <c r="M2068" s="23">
        <f>YEAR(Таблица1[[#This Row],[Дата отчета]])</f>
        <v>2025</v>
      </c>
    </row>
    <row r="2069" spans="1:13" x14ac:dyDescent="0.25">
      <c r="A2069" t="s">
        <v>12</v>
      </c>
      <c r="B2069" t="s">
        <v>1427</v>
      </c>
      <c r="C2069" t="s">
        <v>269</v>
      </c>
      <c r="D2069" t="s">
        <v>1910</v>
      </c>
      <c r="E2069" t="s">
        <v>1259</v>
      </c>
      <c r="F2069" s="20">
        <v>5399</v>
      </c>
      <c r="I2069" s="11">
        <f t="shared" si="65"/>
        <v>45727</v>
      </c>
      <c r="J2069" s="12">
        <f t="shared" si="66"/>
        <v>112</v>
      </c>
      <c r="K2069" t="str">
        <f t="shared" si="67"/>
        <v>91-120</v>
      </c>
      <c r="L2069" s="11">
        <v>45839</v>
      </c>
      <c r="M2069" s="23">
        <f>YEAR(Таблица1[[#This Row],[Дата отчета]])</f>
        <v>2025</v>
      </c>
    </row>
    <row r="2070" spans="1:13" x14ac:dyDescent="0.25">
      <c r="A2070" t="s">
        <v>12</v>
      </c>
      <c r="B2070" t="s">
        <v>1427</v>
      </c>
      <c r="C2070" t="s">
        <v>269</v>
      </c>
      <c r="D2070" t="s">
        <v>2078</v>
      </c>
      <c r="E2070" t="s">
        <v>1023</v>
      </c>
      <c r="F2070" s="20">
        <v>26445</v>
      </c>
      <c r="I2070" s="11">
        <f t="shared" si="65"/>
        <v>45728</v>
      </c>
      <c r="J2070" s="12">
        <f t="shared" si="66"/>
        <v>111</v>
      </c>
      <c r="K2070" t="str">
        <f t="shared" si="67"/>
        <v>91-120</v>
      </c>
      <c r="L2070" s="11">
        <v>45839</v>
      </c>
      <c r="M2070" s="23">
        <f>YEAR(Таблица1[[#This Row],[Дата отчета]])</f>
        <v>2025</v>
      </c>
    </row>
    <row r="2071" spans="1:13" x14ac:dyDescent="0.25">
      <c r="A2071" t="s">
        <v>12</v>
      </c>
      <c r="B2071" t="s">
        <v>1427</v>
      </c>
      <c r="C2071" t="s">
        <v>269</v>
      </c>
      <c r="D2071" t="s">
        <v>1912</v>
      </c>
      <c r="E2071" t="s">
        <v>1765</v>
      </c>
      <c r="F2071" s="20">
        <v>2084</v>
      </c>
      <c r="I2071" s="11">
        <f t="shared" si="65"/>
        <v>45735</v>
      </c>
      <c r="J2071" s="12">
        <f t="shared" si="66"/>
        <v>104</v>
      </c>
      <c r="K2071" t="str">
        <f t="shared" si="67"/>
        <v>91-120</v>
      </c>
      <c r="L2071" s="11">
        <v>45839</v>
      </c>
      <c r="M2071" s="23">
        <f>YEAR(Таблица1[[#This Row],[Дата отчета]])</f>
        <v>2025</v>
      </c>
    </row>
    <row r="2072" spans="1:13" x14ac:dyDescent="0.25">
      <c r="A2072" t="s">
        <v>12</v>
      </c>
      <c r="B2072" t="s">
        <v>1427</v>
      </c>
      <c r="C2072" t="s">
        <v>269</v>
      </c>
      <c r="D2072" t="s">
        <v>1864</v>
      </c>
      <c r="E2072" t="s">
        <v>1256</v>
      </c>
      <c r="F2072" s="20">
        <v>19462</v>
      </c>
      <c r="I2072" s="11">
        <f t="shared" si="65"/>
        <v>45754</v>
      </c>
      <c r="J2072" s="12">
        <f t="shared" si="66"/>
        <v>85</v>
      </c>
      <c r="K2072" t="str">
        <f t="shared" si="67"/>
        <v>31-90</v>
      </c>
      <c r="L2072" s="11">
        <v>45839</v>
      </c>
      <c r="M2072" s="23">
        <f>YEAR(Таблица1[[#This Row],[Дата отчета]])</f>
        <v>2025</v>
      </c>
    </row>
    <row r="2073" spans="1:13" x14ac:dyDescent="0.25">
      <c r="A2073" t="s">
        <v>12</v>
      </c>
      <c r="B2073" t="s">
        <v>1427</v>
      </c>
      <c r="C2073" t="s">
        <v>269</v>
      </c>
      <c r="D2073" t="s">
        <v>1865</v>
      </c>
      <c r="E2073" t="s">
        <v>2435</v>
      </c>
      <c r="F2073" s="20">
        <v>1820</v>
      </c>
      <c r="I2073" s="11">
        <f t="shared" si="65"/>
        <v>45765</v>
      </c>
      <c r="J2073" s="12">
        <f t="shared" si="66"/>
        <v>74</v>
      </c>
      <c r="K2073" t="str">
        <f t="shared" si="67"/>
        <v>31-90</v>
      </c>
      <c r="L2073" s="11">
        <v>45839</v>
      </c>
      <c r="M2073" s="23">
        <f>YEAR(Таблица1[[#This Row],[Дата отчета]])</f>
        <v>2025</v>
      </c>
    </row>
    <row r="2074" spans="1:13" x14ac:dyDescent="0.25">
      <c r="A2074" t="s">
        <v>12</v>
      </c>
      <c r="B2074" t="s">
        <v>1427</v>
      </c>
      <c r="C2074" t="s">
        <v>269</v>
      </c>
      <c r="D2074" t="s">
        <v>1919</v>
      </c>
      <c r="E2074" t="s">
        <v>123</v>
      </c>
      <c r="F2074" s="20">
        <v>550</v>
      </c>
      <c r="I2074" s="11">
        <f t="shared" si="65"/>
        <v>45782</v>
      </c>
      <c r="J2074" s="12">
        <f t="shared" si="66"/>
        <v>57</v>
      </c>
      <c r="K2074" t="str">
        <f t="shared" si="67"/>
        <v>31-90</v>
      </c>
      <c r="L2074" s="11">
        <v>45839</v>
      </c>
      <c r="M2074" s="23">
        <f>YEAR(Таблица1[[#This Row],[Дата отчета]])</f>
        <v>2025</v>
      </c>
    </row>
    <row r="2075" spans="1:13" x14ac:dyDescent="0.25">
      <c r="A2075" t="s">
        <v>12</v>
      </c>
      <c r="B2075" t="s">
        <v>1427</v>
      </c>
      <c r="C2075" t="s">
        <v>269</v>
      </c>
      <c r="D2075" t="s">
        <v>1920</v>
      </c>
      <c r="E2075" t="s">
        <v>885</v>
      </c>
      <c r="F2075" s="20">
        <v>19755</v>
      </c>
      <c r="I2075" s="11">
        <f t="shared" si="65"/>
        <v>45783</v>
      </c>
      <c r="J2075" s="12">
        <f t="shared" si="66"/>
        <v>56</v>
      </c>
      <c r="K2075" t="str">
        <f t="shared" si="67"/>
        <v>31-90</v>
      </c>
      <c r="L2075" s="11">
        <v>45839</v>
      </c>
      <c r="M2075" s="23">
        <f>YEAR(Таблица1[[#This Row],[Дата отчета]])</f>
        <v>2025</v>
      </c>
    </row>
    <row r="2076" spans="1:13" x14ac:dyDescent="0.25">
      <c r="A2076" t="s">
        <v>12</v>
      </c>
      <c r="B2076" t="s">
        <v>1427</v>
      </c>
      <c r="C2076" t="s">
        <v>269</v>
      </c>
      <c r="D2076" t="s">
        <v>1866</v>
      </c>
      <c r="E2076" t="s">
        <v>2430</v>
      </c>
      <c r="F2076" s="20">
        <v>7723</v>
      </c>
      <c r="I2076" s="11">
        <f t="shared" si="65"/>
        <v>45790</v>
      </c>
      <c r="J2076" s="12">
        <f t="shared" si="66"/>
        <v>49</v>
      </c>
      <c r="K2076" t="str">
        <f t="shared" si="67"/>
        <v>31-90</v>
      </c>
      <c r="L2076" s="11">
        <v>45839</v>
      </c>
      <c r="M2076" s="23">
        <f>YEAR(Таблица1[[#This Row],[Дата отчета]])</f>
        <v>2025</v>
      </c>
    </row>
    <row r="2077" spans="1:13" x14ac:dyDescent="0.25">
      <c r="A2077" t="s">
        <v>12</v>
      </c>
      <c r="B2077" t="s">
        <v>1427</v>
      </c>
      <c r="C2077" t="s">
        <v>269</v>
      </c>
      <c r="D2077" t="s">
        <v>2079</v>
      </c>
      <c r="E2077" t="s">
        <v>1039</v>
      </c>
      <c r="F2077" s="20">
        <v>2220</v>
      </c>
      <c r="I2077" s="11">
        <f t="shared" si="65"/>
        <v>45831</v>
      </c>
      <c r="J2077" s="12">
        <f t="shared" si="66"/>
        <v>8</v>
      </c>
      <c r="K2077" t="str">
        <f t="shared" si="67"/>
        <v>0-30</v>
      </c>
      <c r="L2077" s="11">
        <v>45839</v>
      </c>
      <c r="M2077" s="23">
        <f>YEAR(Таблица1[[#This Row],[Дата отчета]])</f>
        <v>2025</v>
      </c>
    </row>
    <row r="2078" spans="1:13" x14ac:dyDescent="0.25">
      <c r="A2078" t="s">
        <v>12</v>
      </c>
      <c r="B2078" t="s">
        <v>2080</v>
      </c>
      <c r="C2078" t="s">
        <v>2081</v>
      </c>
      <c r="D2078" t="s">
        <v>2082</v>
      </c>
      <c r="E2078" t="s">
        <v>2434</v>
      </c>
      <c r="F2078" s="20">
        <v>578075.6</v>
      </c>
      <c r="I2078" s="11">
        <f t="shared" si="65"/>
        <v>45758</v>
      </c>
      <c r="J2078" s="12">
        <f t="shared" si="66"/>
        <v>81</v>
      </c>
      <c r="K2078" t="str">
        <f t="shared" si="67"/>
        <v>31-90</v>
      </c>
      <c r="L2078" s="11">
        <v>45839</v>
      </c>
      <c r="M2078" s="23">
        <f>YEAR(Таблица1[[#This Row],[Дата отчета]])</f>
        <v>2025</v>
      </c>
    </row>
    <row r="2079" spans="1:13" x14ac:dyDescent="0.25">
      <c r="A2079" t="s">
        <v>12</v>
      </c>
      <c r="B2079" t="s">
        <v>2080</v>
      </c>
      <c r="C2079" t="s">
        <v>2081</v>
      </c>
      <c r="D2079" t="s">
        <v>2083</v>
      </c>
      <c r="E2079" t="s">
        <v>520</v>
      </c>
      <c r="F2079" s="20">
        <v>578075.6</v>
      </c>
      <c r="I2079" s="11">
        <f t="shared" si="65"/>
        <v>45811</v>
      </c>
      <c r="J2079" s="12">
        <f t="shared" si="66"/>
        <v>28</v>
      </c>
      <c r="K2079" t="str">
        <f t="shared" si="67"/>
        <v>0-30</v>
      </c>
      <c r="L2079" s="11">
        <v>45839</v>
      </c>
      <c r="M2079" s="23">
        <f>YEAR(Таблица1[[#This Row],[Дата отчета]])</f>
        <v>2025</v>
      </c>
    </row>
    <row r="2080" spans="1:13" x14ac:dyDescent="0.25">
      <c r="A2080" t="s">
        <v>12</v>
      </c>
      <c r="B2080" t="s">
        <v>1428</v>
      </c>
      <c r="C2080" t="s">
        <v>1429</v>
      </c>
      <c r="D2080" t="s">
        <v>1430</v>
      </c>
      <c r="E2080" t="s">
        <v>1782</v>
      </c>
      <c r="F2080" s="20">
        <v>1000</v>
      </c>
      <c r="I2080" s="11">
        <f t="shared" si="65"/>
        <v>45450</v>
      </c>
      <c r="J2080" s="12">
        <f t="shared" si="66"/>
        <v>389</v>
      </c>
      <c r="K2080" t="str">
        <f t="shared" si="67"/>
        <v>&gt;360</v>
      </c>
      <c r="L2080" s="11">
        <v>45839</v>
      </c>
      <c r="M2080" s="23">
        <f>YEAR(Таблица1[[#This Row],[Дата отчета]])</f>
        <v>2025</v>
      </c>
    </row>
    <row r="2081" spans="1:14" x14ac:dyDescent="0.25">
      <c r="A2081" t="s">
        <v>12</v>
      </c>
      <c r="B2081" t="s">
        <v>1431</v>
      </c>
      <c r="C2081" t="s">
        <v>1432</v>
      </c>
      <c r="D2081" t="s">
        <v>1433</v>
      </c>
      <c r="E2081" t="s">
        <v>1783</v>
      </c>
      <c r="F2081" s="20">
        <v>43000</v>
      </c>
      <c r="I2081" s="11">
        <f t="shared" ref="I2081:I2144" si="68">E2081*1</f>
        <v>45772</v>
      </c>
      <c r="J2081" s="12">
        <f t="shared" ref="J2081:J2144" si="69">L2081-I2081</f>
        <v>67</v>
      </c>
      <c r="K2081" t="str">
        <f t="shared" si="67"/>
        <v>31-90</v>
      </c>
      <c r="L2081" s="11">
        <v>45839</v>
      </c>
      <c r="M2081" s="23">
        <f>YEAR(Таблица1[[#This Row],[Дата отчета]])</f>
        <v>2025</v>
      </c>
    </row>
    <row r="2082" spans="1:14" x14ac:dyDescent="0.25">
      <c r="A2082" t="s">
        <v>12</v>
      </c>
      <c r="B2082" t="s">
        <v>1434</v>
      </c>
      <c r="C2082" t="s">
        <v>1435</v>
      </c>
      <c r="D2082" t="s">
        <v>1436</v>
      </c>
      <c r="E2082" t="s">
        <v>1784</v>
      </c>
      <c r="F2082" s="20">
        <v>4583.33</v>
      </c>
      <c r="I2082" s="11">
        <f t="shared" si="68"/>
        <v>44600</v>
      </c>
      <c r="J2082" s="12">
        <f t="shared" si="69"/>
        <v>1239</v>
      </c>
      <c r="K2082" t="str">
        <f t="shared" si="67"/>
        <v>&gt;360</v>
      </c>
      <c r="L2082" s="11">
        <v>45839</v>
      </c>
      <c r="M2082" s="23">
        <f>YEAR(Таблица1[[#This Row],[Дата отчета]])</f>
        <v>2025</v>
      </c>
      <c r="N2082" s="2" t="s">
        <v>807</v>
      </c>
    </row>
    <row r="2083" spans="1:14" x14ac:dyDescent="0.25">
      <c r="A2083" t="s">
        <v>12</v>
      </c>
      <c r="B2083" t="s">
        <v>402</v>
      </c>
      <c r="C2083" t="s">
        <v>2084</v>
      </c>
      <c r="D2083" t="s">
        <v>2085</v>
      </c>
      <c r="E2083" t="s">
        <v>729</v>
      </c>
      <c r="F2083" s="20">
        <v>1109150</v>
      </c>
      <c r="I2083" s="11">
        <f t="shared" si="68"/>
        <v>45799</v>
      </c>
      <c r="J2083" s="12">
        <f t="shared" si="69"/>
        <v>40</v>
      </c>
      <c r="K2083" t="str">
        <f t="shared" si="67"/>
        <v>31-90</v>
      </c>
      <c r="L2083" s="11">
        <v>45839</v>
      </c>
      <c r="M2083" s="23">
        <f>YEAR(Таблица1[[#This Row],[Дата отчета]])</f>
        <v>2025</v>
      </c>
    </row>
    <row r="2084" spans="1:14" x14ac:dyDescent="0.25">
      <c r="A2084" t="s">
        <v>12</v>
      </c>
      <c r="B2084" t="s">
        <v>402</v>
      </c>
      <c r="C2084" t="s">
        <v>403</v>
      </c>
      <c r="D2084" t="s">
        <v>404</v>
      </c>
      <c r="E2084" t="s">
        <v>405</v>
      </c>
      <c r="F2084" s="20">
        <v>6881.46</v>
      </c>
      <c r="I2084" s="11">
        <f t="shared" si="68"/>
        <v>44773</v>
      </c>
      <c r="J2084" s="12">
        <f t="shared" si="69"/>
        <v>1066</v>
      </c>
      <c r="K2084" t="str">
        <f t="shared" si="67"/>
        <v>&gt;360</v>
      </c>
      <c r="L2084" s="11">
        <v>45839</v>
      </c>
      <c r="M2084" s="23">
        <f>YEAR(Таблица1[[#This Row],[Дата отчета]])</f>
        <v>2025</v>
      </c>
      <c r="N2084" s="7" t="s">
        <v>4538</v>
      </c>
    </row>
    <row r="2085" spans="1:14" x14ac:dyDescent="0.25">
      <c r="A2085" t="s">
        <v>12</v>
      </c>
      <c r="B2085" t="s">
        <v>412</v>
      </c>
      <c r="C2085" t="s">
        <v>413</v>
      </c>
      <c r="D2085" t="s">
        <v>414</v>
      </c>
      <c r="E2085" t="s">
        <v>415</v>
      </c>
      <c r="F2085" s="20">
        <v>3945825.3</v>
      </c>
      <c r="I2085" s="11">
        <f t="shared" si="68"/>
        <v>45833</v>
      </c>
      <c r="J2085" s="12">
        <f t="shared" si="69"/>
        <v>6</v>
      </c>
      <c r="K2085" t="str">
        <f t="shared" si="67"/>
        <v>0-30</v>
      </c>
      <c r="L2085" s="11">
        <v>45839</v>
      </c>
      <c r="M2085" s="23">
        <f>YEAR(Таблица1[[#This Row],[Дата отчета]])</f>
        <v>2025</v>
      </c>
    </row>
    <row r="2086" spans="1:14" x14ac:dyDescent="0.25">
      <c r="A2086" t="s">
        <v>12</v>
      </c>
      <c r="B2086" t="s">
        <v>2086</v>
      </c>
      <c r="C2086" t="s">
        <v>2087</v>
      </c>
      <c r="D2086" t="s">
        <v>2088</v>
      </c>
      <c r="E2086" t="s">
        <v>183</v>
      </c>
      <c r="F2086" s="20">
        <v>10170</v>
      </c>
      <c r="I2086" s="11">
        <f t="shared" si="68"/>
        <v>45817</v>
      </c>
      <c r="J2086" s="12">
        <f t="shared" si="69"/>
        <v>22</v>
      </c>
      <c r="K2086" t="str">
        <f t="shared" si="67"/>
        <v>0-30</v>
      </c>
      <c r="L2086" s="11">
        <v>45839</v>
      </c>
      <c r="M2086" s="23">
        <f>YEAR(Таблица1[[#This Row],[Дата отчета]])</f>
        <v>2025</v>
      </c>
    </row>
    <row r="2087" spans="1:14" x14ac:dyDescent="0.25">
      <c r="A2087" t="s">
        <v>12</v>
      </c>
      <c r="B2087" t="s">
        <v>425</v>
      </c>
      <c r="C2087" t="s">
        <v>426</v>
      </c>
      <c r="D2087" t="s">
        <v>427</v>
      </c>
      <c r="E2087" t="s">
        <v>415</v>
      </c>
      <c r="F2087" s="20">
        <v>52500</v>
      </c>
      <c r="I2087" s="11">
        <f t="shared" si="68"/>
        <v>45833</v>
      </c>
      <c r="J2087" s="12">
        <f t="shared" si="69"/>
        <v>6</v>
      </c>
      <c r="K2087" t="str">
        <f t="shared" si="67"/>
        <v>0-30</v>
      </c>
      <c r="L2087" s="11">
        <v>45839</v>
      </c>
      <c r="M2087" s="23">
        <f>YEAR(Таблица1[[#This Row],[Дата отчета]])</f>
        <v>2025</v>
      </c>
    </row>
    <row r="2088" spans="1:14" x14ac:dyDescent="0.25">
      <c r="A2088" t="s">
        <v>12</v>
      </c>
      <c r="B2088" t="s">
        <v>1176</v>
      </c>
      <c r="C2088" t="s">
        <v>2089</v>
      </c>
      <c r="D2088" t="s">
        <v>2090</v>
      </c>
      <c r="E2088" t="s">
        <v>183</v>
      </c>
      <c r="F2088" s="20">
        <v>650903.04000000004</v>
      </c>
      <c r="I2088" s="11">
        <f t="shared" si="68"/>
        <v>45817</v>
      </c>
      <c r="J2088" s="12">
        <f t="shared" si="69"/>
        <v>22</v>
      </c>
      <c r="K2088" t="str">
        <f t="shared" si="67"/>
        <v>0-30</v>
      </c>
      <c r="L2088" s="11">
        <v>45839</v>
      </c>
      <c r="M2088" s="23">
        <f>YEAR(Таблица1[[#This Row],[Дата отчета]])</f>
        <v>2025</v>
      </c>
    </row>
    <row r="2089" spans="1:14" x14ac:dyDescent="0.25">
      <c r="A2089" t="s">
        <v>12</v>
      </c>
      <c r="B2089" t="s">
        <v>1176</v>
      </c>
      <c r="C2089" t="s">
        <v>2089</v>
      </c>
      <c r="D2089" t="s">
        <v>2091</v>
      </c>
      <c r="E2089" t="s">
        <v>1039</v>
      </c>
      <c r="F2089" s="20">
        <v>650903.04000000004</v>
      </c>
      <c r="I2089" s="11">
        <f t="shared" si="68"/>
        <v>45831</v>
      </c>
      <c r="J2089" s="12">
        <f t="shared" si="69"/>
        <v>8</v>
      </c>
      <c r="K2089" t="str">
        <f t="shared" si="67"/>
        <v>0-30</v>
      </c>
      <c r="L2089" s="11">
        <v>45839</v>
      </c>
      <c r="M2089" s="23">
        <f>YEAR(Таблица1[[#This Row],[Дата отчета]])</f>
        <v>2025</v>
      </c>
    </row>
    <row r="2090" spans="1:14" x14ac:dyDescent="0.25">
      <c r="A2090" t="s">
        <v>12</v>
      </c>
      <c r="B2090" t="s">
        <v>1466</v>
      </c>
      <c r="C2090" t="s">
        <v>1467</v>
      </c>
      <c r="D2090" t="s">
        <v>1468</v>
      </c>
      <c r="E2090" t="s">
        <v>687</v>
      </c>
      <c r="F2090" s="20">
        <v>38960</v>
      </c>
      <c r="I2090" s="11">
        <f t="shared" si="68"/>
        <v>45771</v>
      </c>
      <c r="J2090" s="12">
        <f t="shared" si="69"/>
        <v>68</v>
      </c>
      <c r="K2090" t="str">
        <f t="shared" si="67"/>
        <v>31-90</v>
      </c>
      <c r="L2090" s="11">
        <v>45839</v>
      </c>
      <c r="M2090" s="23">
        <f>YEAR(Таблица1[[#This Row],[Дата отчета]])</f>
        <v>2025</v>
      </c>
    </row>
    <row r="2091" spans="1:14" x14ac:dyDescent="0.25">
      <c r="A2091" t="s">
        <v>12</v>
      </c>
      <c r="B2091" t="s">
        <v>1469</v>
      </c>
      <c r="C2091" t="s">
        <v>1470</v>
      </c>
      <c r="D2091" t="s">
        <v>1471</v>
      </c>
      <c r="E2091" t="s">
        <v>1785</v>
      </c>
      <c r="F2091" s="20">
        <v>2220000</v>
      </c>
      <c r="I2091" s="11">
        <f t="shared" si="68"/>
        <v>45448</v>
      </c>
      <c r="J2091" s="12">
        <f t="shared" si="69"/>
        <v>391</v>
      </c>
      <c r="K2091" t="str">
        <f t="shared" si="67"/>
        <v>&gt;360</v>
      </c>
      <c r="L2091" s="11">
        <v>45839</v>
      </c>
      <c r="M2091" s="23">
        <f>YEAR(Таблица1[[#This Row],[Дата отчета]])</f>
        <v>2025</v>
      </c>
      <c r="N2091" s="7" t="s">
        <v>4536</v>
      </c>
    </row>
    <row r="2092" spans="1:14" x14ac:dyDescent="0.25">
      <c r="A2092" t="s">
        <v>12</v>
      </c>
      <c r="B2092" t="s">
        <v>1469</v>
      </c>
      <c r="C2092" t="s">
        <v>1472</v>
      </c>
      <c r="D2092" t="s">
        <v>1473</v>
      </c>
      <c r="E2092" t="s">
        <v>1258</v>
      </c>
      <c r="F2092" s="20">
        <v>352732.55</v>
      </c>
      <c r="I2092" s="11">
        <f t="shared" si="68"/>
        <v>45288</v>
      </c>
      <c r="J2092" s="12">
        <f t="shared" si="69"/>
        <v>551</v>
      </c>
      <c r="K2092" t="str">
        <f t="shared" si="67"/>
        <v>&gt;360</v>
      </c>
      <c r="L2092" s="11">
        <v>45839</v>
      </c>
      <c r="M2092" s="23">
        <f>YEAR(Таблица1[[#This Row],[Дата отчета]])</f>
        <v>2025</v>
      </c>
      <c r="N2092" s="7" t="s">
        <v>4536</v>
      </c>
    </row>
    <row r="2093" spans="1:14" x14ac:dyDescent="0.25">
      <c r="A2093" t="s">
        <v>12</v>
      </c>
      <c r="B2093" t="s">
        <v>434</v>
      </c>
      <c r="C2093" t="s">
        <v>2092</v>
      </c>
      <c r="D2093" t="s">
        <v>2093</v>
      </c>
      <c r="E2093" t="s">
        <v>2444</v>
      </c>
      <c r="F2093" s="20">
        <v>930000</v>
      </c>
      <c r="I2093" s="11">
        <f t="shared" si="68"/>
        <v>45789</v>
      </c>
      <c r="J2093" s="12">
        <f t="shared" si="69"/>
        <v>50</v>
      </c>
      <c r="K2093" t="str">
        <f t="shared" si="67"/>
        <v>31-90</v>
      </c>
      <c r="L2093" s="11">
        <v>45839</v>
      </c>
      <c r="M2093" s="23">
        <f>YEAR(Таблица1[[#This Row],[Дата отчета]])</f>
        <v>2025</v>
      </c>
    </row>
    <row r="2094" spans="1:14" x14ac:dyDescent="0.25">
      <c r="A2094" t="s">
        <v>12</v>
      </c>
      <c r="B2094" t="s">
        <v>434</v>
      </c>
      <c r="C2094" t="s">
        <v>2094</v>
      </c>
      <c r="D2094" t="s">
        <v>2095</v>
      </c>
      <c r="E2094" t="s">
        <v>183</v>
      </c>
      <c r="F2094" s="20">
        <v>249350</v>
      </c>
      <c r="I2094" s="11">
        <f t="shared" si="68"/>
        <v>45817</v>
      </c>
      <c r="J2094" s="12">
        <f t="shared" si="69"/>
        <v>22</v>
      </c>
      <c r="K2094" t="str">
        <f t="shared" si="67"/>
        <v>0-30</v>
      </c>
      <c r="L2094" s="11">
        <v>45839</v>
      </c>
      <c r="M2094" s="23">
        <f>YEAR(Таблица1[[#This Row],[Дата отчета]])</f>
        <v>2025</v>
      </c>
    </row>
    <row r="2095" spans="1:14" x14ac:dyDescent="0.25">
      <c r="A2095" t="s">
        <v>12</v>
      </c>
      <c r="B2095" t="s">
        <v>434</v>
      </c>
      <c r="C2095" t="s">
        <v>2094</v>
      </c>
      <c r="D2095" t="s">
        <v>2096</v>
      </c>
      <c r="E2095" t="s">
        <v>1039</v>
      </c>
      <c r="F2095" s="20">
        <v>249350</v>
      </c>
      <c r="I2095" s="11">
        <f t="shared" si="68"/>
        <v>45831</v>
      </c>
      <c r="J2095" s="12">
        <f t="shared" si="69"/>
        <v>8</v>
      </c>
      <c r="K2095" t="str">
        <f t="shared" si="67"/>
        <v>0-30</v>
      </c>
      <c r="L2095" s="11">
        <v>45839</v>
      </c>
      <c r="M2095" s="23">
        <f>YEAR(Таблица1[[#This Row],[Дата отчета]])</f>
        <v>2025</v>
      </c>
    </row>
    <row r="2096" spans="1:14" x14ac:dyDescent="0.25">
      <c r="A2096" t="s">
        <v>12</v>
      </c>
      <c r="B2096" t="s">
        <v>434</v>
      </c>
      <c r="C2096" t="s">
        <v>2097</v>
      </c>
      <c r="D2096" t="s">
        <v>2098</v>
      </c>
      <c r="E2096" t="s">
        <v>276</v>
      </c>
      <c r="F2096" s="20">
        <v>70000</v>
      </c>
      <c r="I2096" s="11">
        <f t="shared" si="68"/>
        <v>45827</v>
      </c>
      <c r="J2096" s="12">
        <f t="shared" si="69"/>
        <v>12</v>
      </c>
      <c r="K2096" t="str">
        <f t="shared" si="67"/>
        <v>0-30</v>
      </c>
      <c r="L2096" s="11">
        <v>45839</v>
      </c>
      <c r="M2096" s="23">
        <f>YEAR(Таблица1[[#This Row],[Дата отчета]])</f>
        <v>2025</v>
      </c>
    </row>
    <row r="2097" spans="1:13" x14ac:dyDescent="0.25">
      <c r="A2097" t="s">
        <v>12</v>
      </c>
      <c r="B2097" t="s">
        <v>441</v>
      </c>
      <c r="C2097" t="s">
        <v>1228</v>
      </c>
      <c r="D2097" t="s">
        <v>1474</v>
      </c>
      <c r="E2097" t="s">
        <v>1786</v>
      </c>
      <c r="F2097" s="20">
        <v>1586.1</v>
      </c>
      <c r="I2097" s="11">
        <f t="shared" si="68"/>
        <v>45832</v>
      </c>
      <c r="J2097" s="12">
        <f t="shared" si="69"/>
        <v>7</v>
      </c>
      <c r="K2097" t="str">
        <f t="shared" si="67"/>
        <v>0-30</v>
      </c>
      <c r="L2097" s="11">
        <v>45839</v>
      </c>
      <c r="M2097" s="23">
        <f>YEAR(Таблица1[[#This Row],[Дата отчета]])</f>
        <v>2025</v>
      </c>
    </row>
    <row r="2098" spans="1:13" x14ac:dyDescent="0.25">
      <c r="A2098" t="s">
        <v>12</v>
      </c>
      <c r="B2098" t="s">
        <v>441</v>
      </c>
      <c r="C2098" t="s">
        <v>1475</v>
      </c>
      <c r="D2098" t="s">
        <v>1476</v>
      </c>
      <c r="E2098" t="s">
        <v>1787</v>
      </c>
      <c r="F2098" s="20">
        <v>3424</v>
      </c>
      <c r="I2098" s="11">
        <f t="shared" si="68"/>
        <v>45742</v>
      </c>
      <c r="J2098" s="12">
        <f t="shared" si="69"/>
        <v>97</v>
      </c>
      <c r="K2098" t="str">
        <f t="shared" si="67"/>
        <v>91-120</v>
      </c>
      <c r="L2098" s="11">
        <v>45839</v>
      </c>
      <c r="M2098" s="23">
        <f>YEAR(Таблица1[[#This Row],[Дата отчета]])</f>
        <v>2025</v>
      </c>
    </row>
    <row r="2099" spans="1:13" x14ac:dyDescent="0.25">
      <c r="A2099" t="s">
        <v>12</v>
      </c>
      <c r="B2099" t="s">
        <v>441</v>
      </c>
      <c r="C2099" t="s">
        <v>1229</v>
      </c>
      <c r="D2099" t="s">
        <v>2099</v>
      </c>
      <c r="E2099" t="s">
        <v>673</v>
      </c>
      <c r="F2099" s="20">
        <v>19791</v>
      </c>
      <c r="I2099" s="11">
        <f t="shared" si="68"/>
        <v>45775</v>
      </c>
      <c r="J2099" s="12">
        <f t="shared" si="69"/>
        <v>64</v>
      </c>
      <c r="K2099" t="str">
        <f t="shared" si="67"/>
        <v>31-90</v>
      </c>
      <c r="L2099" s="11">
        <v>45839</v>
      </c>
      <c r="M2099" s="23">
        <f>YEAR(Таблица1[[#This Row],[Дата отчета]])</f>
        <v>2025</v>
      </c>
    </row>
    <row r="2100" spans="1:13" x14ac:dyDescent="0.25">
      <c r="A2100" t="s">
        <v>12</v>
      </c>
      <c r="B2100" t="s">
        <v>441</v>
      </c>
      <c r="C2100" t="s">
        <v>2100</v>
      </c>
      <c r="D2100" t="s">
        <v>2101</v>
      </c>
      <c r="E2100" t="s">
        <v>183</v>
      </c>
      <c r="F2100" s="20">
        <v>150</v>
      </c>
      <c r="I2100" s="11">
        <f t="shared" si="68"/>
        <v>45817</v>
      </c>
      <c r="J2100" s="12">
        <f t="shared" si="69"/>
        <v>22</v>
      </c>
      <c r="K2100" t="str">
        <f t="shared" si="67"/>
        <v>0-30</v>
      </c>
      <c r="L2100" s="11">
        <v>45839</v>
      </c>
      <c r="M2100" s="23">
        <f>YEAR(Таблица1[[#This Row],[Дата отчета]])</f>
        <v>2025</v>
      </c>
    </row>
    <row r="2101" spans="1:13" x14ac:dyDescent="0.25">
      <c r="A2101" t="s">
        <v>12</v>
      </c>
      <c r="B2101" t="s">
        <v>441</v>
      </c>
      <c r="C2101" t="s">
        <v>2102</v>
      </c>
      <c r="D2101" t="s">
        <v>2103</v>
      </c>
      <c r="E2101" t="s">
        <v>834</v>
      </c>
      <c r="F2101" s="20">
        <v>6000</v>
      </c>
      <c r="I2101" s="11">
        <f t="shared" si="68"/>
        <v>45824</v>
      </c>
      <c r="J2101" s="12">
        <f t="shared" si="69"/>
        <v>15</v>
      </c>
      <c r="K2101" t="str">
        <f t="shared" si="67"/>
        <v>0-30</v>
      </c>
      <c r="L2101" s="11">
        <v>45839</v>
      </c>
      <c r="M2101" s="23">
        <f>YEAR(Таблица1[[#This Row],[Дата отчета]])</f>
        <v>2025</v>
      </c>
    </row>
    <row r="2102" spans="1:13" x14ac:dyDescent="0.25">
      <c r="A2102" t="s">
        <v>12</v>
      </c>
      <c r="B2102" t="s">
        <v>441</v>
      </c>
      <c r="C2102" t="s">
        <v>2104</v>
      </c>
      <c r="D2102" t="s">
        <v>2105</v>
      </c>
      <c r="E2102" t="s">
        <v>834</v>
      </c>
      <c r="F2102" s="20">
        <v>400</v>
      </c>
      <c r="I2102" s="11">
        <f t="shared" si="68"/>
        <v>45824</v>
      </c>
      <c r="J2102" s="12">
        <f t="shared" si="69"/>
        <v>15</v>
      </c>
      <c r="K2102" t="str">
        <f t="shared" si="67"/>
        <v>0-30</v>
      </c>
      <c r="L2102" s="11">
        <v>45839</v>
      </c>
      <c r="M2102" s="23">
        <f>YEAR(Таблица1[[#This Row],[Дата отчета]])</f>
        <v>2025</v>
      </c>
    </row>
    <row r="2103" spans="1:13" x14ac:dyDescent="0.25">
      <c r="A2103" t="s">
        <v>12</v>
      </c>
      <c r="B2103" t="s">
        <v>441</v>
      </c>
      <c r="C2103" t="s">
        <v>2106</v>
      </c>
      <c r="D2103" t="s">
        <v>2107</v>
      </c>
      <c r="E2103" t="s">
        <v>276</v>
      </c>
      <c r="F2103" s="20">
        <v>68140</v>
      </c>
      <c r="I2103" s="11">
        <f t="shared" si="68"/>
        <v>45827</v>
      </c>
      <c r="J2103" s="12">
        <f t="shared" si="69"/>
        <v>12</v>
      </c>
      <c r="K2103" t="str">
        <f t="shared" si="67"/>
        <v>0-30</v>
      </c>
      <c r="L2103" s="11">
        <v>45839</v>
      </c>
      <c r="M2103" s="23">
        <f>YEAR(Таблица1[[#This Row],[Дата отчета]])</f>
        <v>2025</v>
      </c>
    </row>
    <row r="2104" spans="1:13" x14ac:dyDescent="0.25">
      <c r="A2104" t="s">
        <v>12</v>
      </c>
      <c r="B2104" t="s">
        <v>441</v>
      </c>
      <c r="C2104" t="s">
        <v>2108</v>
      </c>
      <c r="D2104" t="s">
        <v>2109</v>
      </c>
      <c r="E2104" t="s">
        <v>1039</v>
      </c>
      <c r="F2104" s="20">
        <v>22300</v>
      </c>
      <c r="I2104" s="11">
        <f t="shared" si="68"/>
        <v>45831</v>
      </c>
      <c r="J2104" s="12">
        <f t="shared" si="69"/>
        <v>8</v>
      </c>
      <c r="K2104" t="str">
        <f t="shared" si="67"/>
        <v>0-30</v>
      </c>
      <c r="L2104" s="11">
        <v>45839</v>
      </c>
      <c r="M2104" s="23">
        <f>YEAR(Таблица1[[#This Row],[Дата отчета]])</f>
        <v>2025</v>
      </c>
    </row>
    <row r="2105" spans="1:13" x14ac:dyDescent="0.25">
      <c r="A2105" t="s">
        <v>12</v>
      </c>
      <c r="B2105" t="s">
        <v>441</v>
      </c>
      <c r="C2105" t="s">
        <v>2110</v>
      </c>
      <c r="D2105" t="s">
        <v>2111</v>
      </c>
      <c r="E2105" t="s">
        <v>1808</v>
      </c>
      <c r="F2105" s="20">
        <v>1285760</v>
      </c>
      <c r="I2105" s="11">
        <f t="shared" si="68"/>
        <v>45835</v>
      </c>
      <c r="J2105" s="12">
        <f t="shared" si="69"/>
        <v>4</v>
      </c>
      <c r="K2105" t="str">
        <f t="shared" si="67"/>
        <v>0-30</v>
      </c>
      <c r="L2105" s="11">
        <v>45839</v>
      </c>
      <c r="M2105" s="23">
        <f>YEAR(Таблица1[[#This Row],[Дата отчета]])</f>
        <v>2025</v>
      </c>
    </row>
    <row r="2106" spans="1:13" x14ac:dyDescent="0.25">
      <c r="A2106" t="s">
        <v>12</v>
      </c>
      <c r="B2106" t="s">
        <v>441</v>
      </c>
      <c r="C2106" t="s">
        <v>2112</v>
      </c>
      <c r="D2106" t="s">
        <v>2113</v>
      </c>
      <c r="E2106" t="s">
        <v>415</v>
      </c>
      <c r="F2106" s="20">
        <v>3000</v>
      </c>
      <c r="I2106" s="11">
        <f t="shared" si="68"/>
        <v>45833</v>
      </c>
      <c r="J2106" s="12">
        <f t="shared" si="69"/>
        <v>6</v>
      </c>
      <c r="K2106" t="str">
        <f t="shared" si="67"/>
        <v>0-30</v>
      </c>
      <c r="L2106" s="11">
        <v>45839</v>
      </c>
      <c r="M2106" s="23">
        <f>YEAR(Таблица1[[#This Row],[Дата отчета]])</f>
        <v>2025</v>
      </c>
    </row>
    <row r="2107" spans="1:13" x14ac:dyDescent="0.25">
      <c r="A2107" t="s">
        <v>12</v>
      </c>
      <c r="B2107" t="s">
        <v>441</v>
      </c>
      <c r="C2107" t="s">
        <v>2114</v>
      </c>
      <c r="D2107" t="s">
        <v>2115</v>
      </c>
      <c r="E2107" t="s">
        <v>1808</v>
      </c>
      <c r="F2107" s="20">
        <v>155960</v>
      </c>
      <c r="I2107" s="11">
        <f t="shared" si="68"/>
        <v>45835</v>
      </c>
      <c r="J2107" s="12">
        <f t="shared" si="69"/>
        <v>4</v>
      </c>
      <c r="K2107" t="str">
        <f t="shared" si="67"/>
        <v>0-30</v>
      </c>
      <c r="L2107" s="11">
        <v>45839</v>
      </c>
      <c r="M2107" s="23">
        <f>YEAR(Таблица1[[#This Row],[Дата отчета]])</f>
        <v>2025</v>
      </c>
    </row>
    <row r="2108" spans="1:13" x14ac:dyDescent="0.25">
      <c r="A2108" t="s">
        <v>12</v>
      </c>
      <c r="B2108" t="s">
        <v>441</v>
      </c>
      <c r="C2108" t="s">
        <v>1230</v>
      </c>
      <c r="D2108" t="s">
        <v>1245</v>
      </c>
      <c r="E2108" t="s">
        <v>1256</v>
      </c>
      <c r="F2108" s="20">
        <v>88390</v>
      </c>
      <c r="I2108" s="11">
        <f t="shared" si="68"/>
        <v>45754</v>
      </c>
      <c r="J2108" s="12">
        <f t="shared" si="69"/>
        <v>85</v>
      </c>
      <c r="K2108" t="str">
        <f t="shared" si="67"/>
        <v>31-90</v>
      </c>
      <c r="L2108" s="11">
        <v>45839</v>
      </c>
      <c r="M2108" s="23">
        <f>YEAR(Таблица1[[#This Row],[Дата отчета]])</f>
        <v>2025</v>
      </c>
    </row>
    <row r="2109" spans="1:13" x14ac:dyDescent="0.25">
      <c r="A2109" t="s">
        <v>12</v>
      </c>
      <c r="B2109" t="s">
        <v>2116</v>
      </c>
      <c r="C2109" t="s">
        <v>2117</v>
      </c>
      <c r="D2109" t="s">
        <v>2118</v>
      </c>
      <c r="E2109" t="s">
        <v>146</v>
      </c>
      <c r="F2109" s="20">
        <v>1353.6</v>
      </c>
      <c r="I2109" s="11">
        <f t="shared" si="68"/>
        <v>45838</v>
      </c>
      <c r="J2109" s="12">
        <f t="shared" si="69"/>
        <v>1</v>
      </c>
      <c r="K2109" t="str">
        <f t="shared" si="67"/>
        <v>0-30</v>
      </c>
      <c r="L2109" s="11">
        <v>45839</v>
      </c>
      <c r="M2109" s="23">
        <f>YEAR(Таблица1[[#This Row],[Дата отчета]])</f>
        <v>2025</v>
      </c>
    </row>
    <row r="2110" spans="1:13" x14ac:dyDescent="0.25">
      <c r="A2110" t="s">
        <v>12</v>
      </c>
      <c r="B2110" t="s">
        <v>2116</v>
      </c>
      <c r="C2110" t="s">
        <v>2119</v>
      </c>
      <c r="D2110" t="s">
        <v>2120</v>
      </c>
      <c r="E2110" t="s">
        <v>146</v>
      </c>
      <c r="F2110" s="20">
        <v>2445</v>
      </c>
      <c r="I2110" s="11">
        <f t="shared" si="68"/>
        <v>45838</v>
      </c>
      <c r="J2110" s="12">
        <f t="shared" si="69"/>
        <v>1</v>
      </c>
      <c r="K2110" t="str">
        <f t="shared" si="67"/>
        <v>0-30</v>
      </c>
      <c r="L2110" s="11">
        <v>45839</v>
      </c>
      <c r="M2110" s="23">
        <f>YEAR(Таблица1[[#This Row],[Дата отчета]])</f>
        <v>2025</v>
      </c>
    </row>
    <row r="2111" spans="1:13" x14ac:dyDescent="0.25">
      <c r="A2111" t="s">
        <v>12</v>
      </c>
      <c r="B2111" t="s">
        <v>2121</v>
      </c>
      <c r="C2111" t="s">
        <v>2122</v>
      </c>
      <c r="D2111" t="s">
        <v>2123</v>
      </c>
      <c r="E2111" t="s">
        <v>2453</v>
      </c>
      <c r="F2111" s="20">
        <v>12747</v>
      </c>
      <c r="I2111" s="11">
        <f t="shared" si="68"/>
        <v>45806</v>
      </c>
      <c r="J2111" s="12">
        <f t="shared" si="69"/>
        <v>33</v>
      </c>
      <c r="K2111" t="str">
        <f t="shared" ref="K2111:K2174" si="70">IF(J2111&lt;=30,"0-30",IF(J2111&lt;=90,"31-90",IF(J2111&lt;=120,"91-120",IF(J2111&lt;=180,"121-180",IF(J2111&lt;=270,"181-270",IF(J2111&lt;=360,"271-360","&gt;360"))))))</f>
        <v>31-90</v>
      </c>
      <c r="L2111" s="11">
        <v>45839</v>
      </c>
      <c r="M2111" s="23">
        <f>YEAR(Таблица1[[#This Row],[Дата отчета]])</f>
        <v>2025</v>
      </c>
    </row>
    <row r="2112" spans="1:13" x14ac:dyDescent="0.25">
      <c r="A2112" t="s">
        <v>12</v>
      </c>
      <c r="B2112" t="s">
        <v>2121</v>
      </c>
      <c r="C2112" t="s">
        <v>2124</v>
      </c>
      <c r="D2112" t="s">
        <v>2125</v>
      </c>
      <c r="E2112" t="s">
        <v>769</v>
      </c>
      <c r="F2112" s="20">
        <v>2688</v>
      </c>
      <c r="I2112" s="11">
        <f t="shared" si="68"/>
        <v>45825</v>
      </c>
      <c r="J2112" s="12">
        <f t="shared" si="69"/>
        <v>14</v>
      </c>
      <c r="K2112" t="str">
        <f t="shared" si="70"/>
        <v>0-30</v>
      </c>
      <c r="L2112" s="11">
        <v>45839</v>
      </c>
      <c r="M2112" s="23">
        <f>YEAR(Таблица1[[#This Row],[Дата отчета]])</f>
        <v>2025</v>
      </c>
    </row>
    <row r="2113" spans="1:14" x14ac:dyDescent="0.25">
      <c r="A2113" t="s">
        <v>12</v>
      </c>
      <c r="B2113" t="s">
        <v>2121</v>
      </c>
      <c r="C2113" t="s">
        <v>2126</v>
      </c>
      <c r="D2113" t="s">
        <v>2127</v>
      </c>
      <c r="E2113" t="s">
        <v>1808</v>
      </c>
      <c r="F2113" s="20">
        <v>4803.75</v>
      </c>
      <c r="I2113" s="11">
        <f t="shared" si="68"/>
        <v>45835</v>
      </c>
      <c r="J2113" s="12">
        <f t="shared" si="69"/>
        <v>4</v>
      </c>
      <c r="K2113" t="str">
        <f t="shared" si="70"/>
        <v>0-30</v>
      </c>
      <c r="L2113" s="11">
        <v>45839</v>
      </c>
      <c r="M2113" s="23">
        <f>YEAR(Таблица1[[#This Row],[Дата отчета]])</f>
        <v>2025</v>
      </c>
    </row>
    <row r="2114" spans="1:14" x14ac:dyDescent="0.25">
      <c r="A2114" t="s">
        <v>12</v>
      </c>
      <c r="B2114" t="s">
        <v>452</v>
      </c>
      <c r="C2114" t="s">
        <v>453</v>
      </c>
      <c r="D2114" t="s">
        <v>2128</v>
      </c>
      <c r="E2114" t="s">
        <v>146</v>
      </c>
      <c r="F2114" s="20">
        <v>30000</v>
      </c>
      <c r="I2114" s="11">
        <f t="shared" si="68"/>
        <v>45838</v>
      </c>
      <c r="J2114" s="12">
        <f t="shared" si="69"/>
        <v>1</v>
      </c>
      <c r="K2114" t="str">
        <f t="shared" si="70"/>
        <v>0-30</v>
      </c>
      <c r="L2114" s="11">
        <v>45839</v>
      </c>
      <c r="M2114" s="23">
        <f>YEAR(Таблица1[[#This Row],[Дата отчета]])</f>
        <v>2025</v>
      </c>
    </row>
    <row r="2115" spans="1:14" x14ac:dyDescent="0.25">
      <c r="A2115" t="s">
        <v>12</v>
      </c>
      <c r="B2115" t="s">
        <v>2129</v>
      </c>
      <c r="C2115" t="s">
        <v>2130</v>
      </c>
      <c r="D2115" t="s">
        <v>2131</v>
      </c>
      <c r="E2115" t="s">
        <v>834</v>
      </c>
      <c r="F2115" s="20">
        <v>13100</v>
      </c>
      <c r="I2115" s="11">
        <f t="shared" si="68"/>
        <v>45824</v>
      </c>
      <c r="J2115" s="12">
        <f t="shared" si="69"/>
        <v>15</v>
      </c>
      <c r="K2115" t="str">
        <f t="shared" si="70"/>
        <v>0-30</v>
      </c>
      <c r="L2115" s="11">
        <v>45839</v>
      </c>
      <c r="M2115" s="23">
        <f>YEAR(Таблица1[[#This Row],[Дата отчета]])</f>
        <v>2025</v>
      </c>
    </row>
    <row r="2116" spans="1:14" x14ac:dyDescent="0.25">
      <c r="A2116" t="s">
        <v>12</v>
      </c>
      <c r="B2116" t="s">
        <v>456</v>
      </c>
      <c r="C2116" t="s">
        <v>457</v>
      </c>
      <c r="D2116" t="s">
        <v>458</v>
      </c>
      <c r="E2116" t="s">
        <v>459</v>
      </c>
      <c r="F2116" s="20">
        <v>5500</v>
      </c>
      <c r="I2116" s="11">
        <f t="shared" si="68"/>
        <v>45195</v>
      </c>
      <c r="J2116" s="12">
        <f t="shared" si="69"/>
        <v>644</v>
      </c>
      <c r="K2116" t="str">
        <f t="shared" si="70"/>
        <v>&gt;360</v>
      </c>
      <c r="L2116" s="11">
        <v>45839</v>
      </c>
      <c r="M2116" s="23">
        <f>YEAR(Таблица1[[#This Row],[Дата отчета]])</f>
        <v>2025</v>
      </c>
    </row>
    <row r="2117" spans="1:14" x14ac:dyDescent="0.25">
      <c r="A2117" t="s">
        <v>12</v>
      </c>
      <c r="B2117" t="s">
        <v>2132</v>
      </c>
      <c r="C2117" t="s">
        <v>2133</v>
      </c>
      <c r="D2117" t="s">
        <v>2134</v>
      </c>
      <c r="E2117" t="s">
        <v>560</v>
      </c>
      <c r="F2117" s="20">
        <v>219510</v>
      </c>
      <c r="I2117" s="11">
        <f t="shared" si="68"/>
        <v>45805</v>
      </c>
      <c r="J2117" s="12">
        <f t="shared" si="69"/>
        <v>34</v>
      </c>
      <c r="K2117" t="str">
        <f t="shared" si="70"/>
        <v>31-90</v>
      </c>
      <c r="L2117" s="11">
        <v>45839</v>
      </c>
      <c r="M2117" s="23">
        <f>YEAR(Таблица1[[#This Row],[Дата отчета]])</f>
        <v>2025</v>
      </c>
    </row>
    <row r="2118" spans="1:14" x14ac:dyDescent="0.25">
      <c r="A2118" t="s">
        <v>12</v>
      </c>
      <c r="B2118" t="s">
        <v>1480</v>
      </c>
      <c r="C2118" t="s">
        <v>1481</v>
      </c>
      <c r="D2118" t="s">
        <v>1482</v>
      </c>
      <c r="E2118" t="s">
        <v>1779</v>
      </c>
      <c r="F2118" s="20">
        <v>50000000</v>
      </c>
      <c r="I2118" s="11">
        <f t="shared" si="68"/>
        <v>45818</v>
      </c>
      <c r="J2118" s="12">
        <f t="shared" si="69"/>
        <v>21</v>
      </c>
      <c r="K2118" t="str">
        <f t="shared" si="70"/>
        <v>0-30</v>
      </c>
      <c r="L2118" s="11">
        <v>45839</v>
      </c>
      <c r="M2118" s="23">
        <f>YEAR(Таблица1[[#This Row],[Дата отчета]])</f>
        <v>2025</v>
      </c>
    </row>
    <row r="2119" spans="1:14" x14ac:dyDescent="0.25">
      <c r="A2119" t="s">
        <v>12</v>
      </c>
      <c r="B2119" t="s">
        <v>467</v>
      </c>
      <c r="C2119" t="s">
        <v>468</v>
      </c>
      <c r="D2119" t="s">
        <v>469</v>
      </c>
      <c r="E2119" t="s">
        <v>470</v>
      </c>
      <c r="F2119" s="20">
        <v>2000</v>
      </c>
      <c r="I2119" s="11">
        <f t="shared" si="68"/>
        <v>44551</v>
      </c>
      <c r="J2119" s="12">
        <f t="shared" si="69"/>
        <v>1288</v>
      </c>
      <c r="K2119" t="str">
        <f t="shared" si="70"/>
        <v>&gt;360</v>
      </c>
      <c r="L2119" s="11">
        <v>45839</v>
      </c>
      <c r="M2119" s="23">
        <f>YEAR(Таблица1[[#This Row],[Дата отчета]])</f>
        <v>2025</v>
      </c>
    </row>
    <row r="2120" spans="1:14" x14ac:dyDescent="0.25">
      <c r="A2120" t="s">
        <v>12</v>
      </c>
      <c r="B2120" t="s">
        <v>474</v>
      </c>
      <c r="C2120" t="s">
        <v>475</v>
      </c>
      <c r="D2120" t="s">
        <v>476</v>
      </c>
      <c r="E2120" t="s">
        <v>477</v>
      </c>
      <c r="F2120" s="20">
        <v>8850</v>
      </c>
      <c r="I2120" s="11">
        <f t="shared" si="68"/>
        <v>45401</v>
      </c>
      <c r="J2120" s="12">
        <f t="shared" si="69"/>
        <v>438</v>
      </c>
      <c r="K2120" t="str">
        <f t="shared" si="70"/>
        <v>&gt;360</v>
      </c>
      <c r="L2120" s="11">
        <v>45839</v>
      </c>
      <c r="M2120" s="23">
        <f>YEAR(Таблица1[[#This Row],[Дата отчета]])</f>
        <v>2025</v>
      </c>
    </row>
    <row r="2121" spans="1:14" x14ac:dyDescent="0.25">
      <c r="A2121" t="s">
        <v>12</v>
      </c>
      <c r="B2121" t="s">
        <v>478</v>
      </c>
      <c r="C2121" t="s">
        <v>2135</v>
      </c>
      <c r="D2121" t="s">
        <v>2136</v>
      </c>
      <c r="E2121" t="s">
        <v>1813</v>
      </c>
      <c r="F2121" s="20">
        <v>110000</v>
      </c>
      <c r="I2121" s="11">
        <f t="shared" si="68"/>
        <v>45814</v>
      </c>
      <c r="J2121" s="12">
        <f t="shared" si="69"/>
        <v>25</v>
      </c>
      <c r="K2121" t="str">
        <f t="shared" si="70"/>
        <v>0-30</v>
      </c>
      <c r="L2121" s="11">
        <v>45839</v>
      </c>
      <c r="M2121" s="23">
        <f>YEAR(Таблица1[[#This Row],[Дата отчета]])</f>
        <v>2025</v>
      </c>
    </row>
    <row r="2122" spans="1:14" x14ac:dyDescent="0.25">
      <c r="A2122" t="s">
        <v>12</v>
      </c>
      <c r="B2122" t="s">
        <v>478</v>
      </c>
      <c r="C2122" t="s">
        <v>2137</v>
      </c>
      <c r="D2122" t="s">
        <v>2138</v>
      </c>
      <c r="E2122" t="s">
        <v>2430</v>
      </c>
      <c r="F2122" s="20">
        <v>160000</v>
      </c>
      <c r="I2122" s="11">
        <f t="shared" si="68"/>
        <v>45790</v>
      </c>
      <c r="J2122" s="12">
        <f t="shared" si="69"/>
        <v>49</v>
      </c>
      <c r="K2122" t="str">
        <f t="shared" si="70"/>
        <v>31-90</v>
      </c>
      <c r="L2122" s="11">
        <v>45839</v>
      </c>
      <c r="M2122" s="23">
        <f>YEAR(Таблица1[[#This Row],[Дата отчета]])</f>
        <v>2025</v>
      </c>
    </row>
    <row r="2123" spans="1:14" x14ac:dyDescent="0.25">
      <c r="A2123" t="s">
        <v>12</v>
      </c>
      <c r="B2123" t="s">
        <v>478</v>
      </c>
      <c r="C2123" t="s">
        <v>1498</v>
      </c>
      <c r="D2123" t="s">
        <v>1499</v>
      </c>
      <c r="E2123" t="s">
        <v>183</v>
      </c>
      <c r="F2123" s="20">
        <v>18000</v>
      </c>
      <c r="I2123" s="11">
        <f t="shared" si="68"/>
        <v>45817</v>
      </c>
      <c r="J2123" s="12">
        <f t="shared" si="69"/>
        <v>22</v>
      </c>
      <c r="K2123" t="str">
        <f t="shared" si="70"/>
        <v>0-30</v>
      </c>
      <c r="L2123" s="11">
        <v>45839</v>
      </c>
      <c r="M2123" s="23">
        <f>YEAR(Таблица1[[#This Row],[Дата отчета]])</f>
        <v>2025</v>
      </c>
    </row>
    <row r="2124" spans="1:14" x14ac:dyDescent="0.25">
      <c r="A2124" t="s">
        <v>12</v>
      </c>
      <c r="B2124" t="s">
        <v>478</v>
      </c>
      <c r="C2124" t="s">
        <v>2139</v>
      </c>
      <c r="D2124" t="s">
        <v>2140</v>
      </c>
      <c r="E2124" t="s">
        <v>1790</v>
      </c>
      <c r="F2124" s="20">
        <v>55000</v>
      </c>
      <c r="I2124" s="11">
        <f t="shared" si="68"/>
        <v>45828</v>
      </c>
      <c r="J2124" s="12">
        <f t="shared" si="69"/>
        <v>11</v>
      </c>
      <c r="K2124" t="str">
        <f t="shared" si="70"/>
        <v>0-30</v>
      </c>
      <c r="L2124" s="11">
        <v>45839</v>
      </c>
      <c r="M2124" s="23">
        <f>YEAR(Таблица1[[#This Row],[Дата отчета]])</f>
        <v>2025</v>
      </c>
    </row>
    <row r="2125" spans="1:14" x14ac:dyDescent="0.25">
      <c r="A2125" t="s">
        <v>12</v>
      </c>
      <c r="B2125" t="s">
        <v>2141</v>
      </c>
      <c r="C2125" t="s">
        <v>2142</v>
      </c>
      <c r="D2125" t="s">
        <v>2143</v>
      </c>
      <c r="E2125" t="s">
        <v>1039</v>
      </c>
      <c r="F2125" s="20">
        <v>23102</v>
      </c>
      <c r="I2125" s="11">
        <f t="shared" si="68"/>
        <v>45831</v>
      </c>
      <c r="J2125" s="12">
        <f t="shared" si="69"/>
        <v>8</v>
      </c>
      <c r="K2125" t="str">
        <f t="shared" si="70"/>
        <v>0-30</v>
      </c>
      <c r="L2125" s="11">
        <v>45839</v>
      </c>
      <c r="M2125" s="23">
        <f>YEAR(Таблица1[[#This Row],[Дата отчета]])</f>
        <v>2025</v>
      </c>
    </row>
    <row r="2126" spans="1:14" x14ac:dyDescent="0.25">
      <c r="A2126" t="s">
        <v>12</v>
      </c>
      <c r="B2126" t="s">
        <v>487</v>
      </c>
      <c r="C2126" t="s">
        <v>488</v>
      </c>
      <c r="D2126" t="s">
        <v>489</v>
      </c>
      <c r="E2126" t="s">
        <v>490</v>
      </c>
      <c r="F2126" s="20">
        <v>299500</v>
      </c>
      <c r="I2126" s="11">
        <f t="shared" si="68"/>
        <v>45631</v>
      </c>
      <c r="J2126" s="12">
        <f t="shared" si="69"/>
        <v>208</v>
      </c>
      <c r="K2126" t="str">
        <f t="shared" si="70"/>
        <v>181-270</v>
      </c>
      <c r="L2126" s="11">
        <v>45839</v>
      </c>
      <c r="M2126" s="23">
        <f>YEAR(Таблица1[[#This Row],[Дата отчета]])</f>
        <v>2025</v>
      </c>
      <c r="N2126" s="7" t="s">
        <v>4554</v>
      </c>
    </row>
    <row r="2127" spans="1:14" x14ac:dyDescent="0.25">
      <c r="A2127" t="s">
        <v>12</v>
      </c>
      <c r="B2127" t="s">
        <v>2144</v>
      </c>
      <c r="C2127" t="s">
        <v>2145</v>
      </c>
      <c r="D2127" t="s">
        <v>2146</v>
      </c>
      <c r="E2127" t="s">
        <v>1790</v>
      </c>
      <c r="F2127" s="20">
        <v>17000</v>
      </c>
      <c r="I2127" s="11">
        <f t="shared" si="68"/>
        <v>45828</v>
      </c>
      <c r="J2127" s="12">
        <f t="shared" si="69"/>
        <v>11</v>
      </c>
      <c r="K2127" t="str">
        <f t="shared" si="70"/>
        <v>0-30</v>
      </c>
      <c r="L2127" s="11">
        <v>45839</v>
      </c>
      <c r="M2127" s="23">
        <f>YEAR(Таблица1[[#This Row],[Дата отчета]])</f>
        <v>2025</v>
      </c>
    </row>
    <row r="2128" spans="1:14" x14ac:dyDescent="0.25">
      <c r="A2128" t="s">
        <v>12</v>
      </c>
      <c r="B2128" t="s">
        <v>502</v>
      </c>
      <c r="C2128" t="s">
        <v>503</v>
      </c>
      <c r="D2128" t="s">
        <v>504</v>
      </c>
      <c r="E2128" t="s">
        <v>505</v>
      </c>
      <c r="F2128" s="20">
        <v>1334.4</v>
      </c>
      <c r="I2128" s="11">
        <f t="shared" si="68"/>
        <v>45587</v>
      </c>
      <c r="J2128" s="12">
        <f t="shared" si="69"/>
        <v>252</v>
      </c>
      <c r="K2128" t="str">
        <f t="shared" si="70"/>
        <v>181-270</v>
      </c>
      <c r="L2128" s="11">
        <v>45839</v>
      </c>
      <c r="M2128" s="23">
        <f>YEAR(Таблица1[[#This Row],[Дата отчета]])</f>
        <v>2025</v>
      </c>
      <c r="N2128" s="7" t="s">
        <v>4538</v>
      </c>
    </row>
    <row r="2129" spans="1:14" x14ac:dyDescent="0.25">
      <c r="A2129" t="s">
        <v>12</v>
      </c>
      <c r="B2129" t="s">
        <v>502</v>
      </c>
      <c r="C2129" t="s">
        <v>506</v>
      </c>
      <c r="D2129" t="s">
        <v>507</v>
      </c>
      <c r="E2129" t="s">
        <v>508</v>
      </c>
      <c r="F2129" s="20">
        <v>6990</v>
      </c>
      <c r="I2129" s="11">
        <f t="shared" si="68"/>
        <v>45593</v>
      </c>
      <c r="J2129" s="12">
        <f t="shared" si="69"/>
        <v>246</v>
      </c>
      <c r="K2129" t="str">
        <f t="shared" si="70"/>
        <v>181-270</v>
      </c>
      <c r="L2129" s="11">
        <v>45839</v>
      </c>
      <c r="M2129" s="23">
        <f>YEAR(Таблица1[[#This Row],[Дата отчета]])</f>
        <v>2025</v>
      </c>
      <c r="N2129" s="7" t="s">
        <v>4538</v>
      </c>
    </row>
    <row r="2130" spans="1:14" x14ac:dyDescent="0.25">
      <c r="A2130" t="s">
        <v>12</v>
      </c>
      <c r="B2130" t="s">
        <v>2147</v>
      </c>
      <c r="C2130" t="s">
        <v>2148</v>
      </c>
      <c r="D2130" t="s">
        <v>2149</v>
      </c>
      <c r="E2130" t="s">
        <v>2454</v>
      </c>
      <c r="F2130" s="20">
        <v>140000</v>
      </c>
      <c r="I2130" s="11">
        <f t="shared" si="68"/>
        <v>45733</v>
      </c>
      <c r="J2130" s="12">
        <f t="shared" si="69"/>
        <v>106</v>
      </c>
      <c r="K2130" t="str">
        <f t="shared" si="70"/>
        <v>91-120</v>
      </c>
      <c r="L2130" s="11">
        <v>45839</v>
      </c>
      <c r="M2130" s="23">
        <f>YEAR(Таблица1[[#This Row],[Дата отчета]])</f>
        <v>2025</v>
      </c>
    </row>
    <row r="2131" spans="1:14" x14ac:dyDescent="0.25">
      <c r="A2131" t="s">
        <v>12</v>
      </c>
      <c r="B2131" t="s">
        <v>2150</v>
      </c>
      <c r="C2131" t="s">
        <v>2151</v>
      </c>
      <c r="D2131" t="s">
        <v>2152</v>
      </c>
      <c r="E2131" t="s">
        <v>276</v>
      </c>
      <c r="F2131" s="20">
        <v>9200</v>
      </c>
      <c r="I2131" s="11">
        <f t="shared" si="68"/>
        <v>45827</v>
      </c>
      <c r="J2131" s="12">
        <f t="shared" si="69"/>
        <v>12</v>
      </c>
      <c r="K2131" t="str">
        <f t="shared" si="70"/>
        <v>0-30</v>
      </c>
      <c r="L2131" s="11">
        <v>45839</v>
      </c>
      <c r="M2131" s="23">
        <f>YEAR(Таблица1[[#This Row],[Дата отчета]])</f>
        <v>2025</v>
      </c>
    </row>
    <row r="2132" spans="1:14" x14ac:dyDescent="0.25">
      <c r="A2132" t="s">
        <v>12</v>
      </c>
      <c r="B2132" t="s">
        <v>512</v>
      </c>
      <c r="C2132" t="s">
        <v>513</v>
      </c>
      <c r="D2132" t="s">
        <v>514</v>
      </c>
      <c r="E2132" t="s">
        <v>183</v>
      </c>
      <c r="F2132" s="20">
        <v>24500</v>
      </c>
      <c r="I2132" s="11">
        <f t="shared" si="68"/>
        <v>45817</v>
      </c>
      <c r="J2132" s="12">
        <f t="shared" si="69"/>
        <v>22</v>
      </c>
      <c r="K2132" t="str">
        <f t="shared" si="70"/>
        <v>0-30</v>
      </c>
      <c r="L2132" s="11">
        <v>45839</v>
      </c>
      <c r="M2132" s="23">
        <f>YEAR(Таблица1[[#This Row],[Дата отчета]])</f>
        <v>2025</v>
      </c>
    </row>
    <row r="2133" spans="1:14" x14ac:dyDescent="0.25">
      <c r="A2133" t="s">
        <v>12</v>
      </c>
      <c r="B2133" t="s">
        <v>512</v>
      </c>
      <c r="C2133" t="s">
        <v>2153</v>
      </c>
      <c r="D2133" t="s">
        <v>2154</v>
      </c>
      <c r="E2133" t="s">
        <v>517</v>
      </c>
      <c r="F2133" s="20">
        <v>368000</v>
      </c>
      <c r="I2133" s="11">
        <f t="shared" si="68"/>
        <v>45797</v>
      </c>
      <c r="J2133" s="12">
        <f t="shared" si="69"/>
        <v>42</v>
      </c>
      <c r="K2133" t="str">
        <f t="shared" si="70"/>
        <v>31-90</v>
      </c>
      <c r="L2133" s="11">
        <v>45839</v>
      </c>
      <c r="M2133" s="23">
        <f>YEAR(Таблица1[[#This Row],[Дата отчета]])</f>
        <v>2025</v>
      </c>
    </row>
    <row r="2134" spans="1:14" x14ac:dyDescent="0.25">
      <c r="A2134" t="s">
        <v>12</v>
      </c>
      <c r="B2134" t="s">
        <v>512</v>
      </c>
      <c r="C2134" t="s">
        <v>515</v>
      </c>
      <c r="D2134" t="s">
        <v>516</v>
      </c>
      <c r="E2134" t="s">
        <v>517</v>
      </c>
      <c r="F2134" s="20">
        <v>58485</v>
      </c>
      <c r="I2134" s="11">
        <f t="shared" si="68"/>
        <v>45797</v>
      </c>
      <c r="J2134" s="12">
        <f t="shared" si="69"/>
        <v>42</v>
      </c>
      <c r="K2134" t="str">
        <f t="shared" si="70"/>
        <v>31-90</v>
      </c>
      <c r="L2134" s="11">
        <v>45839</v>
      </c>
      <c r="M2134" s="23">
        <f>YEAR(Таблица1[[#This Row],[Дата отчета]])</f>
        <v>2025</v>
      </c>
    </row>
    <row r="2135" spans="1:14" x14ac:dyDescent="0.25">
      <c r="A2135" t="s">
        <v>12</v>
      </c>
      <c r="B2135" t="s">
        <v>512</v>
      </c>
      <c r="C2135" t="s">
        <v>2155</v>
      </c>
      <c r="D2135" t="s">
        <v>2156</v>
      </c>
      <c r="E2135" t="s">
        <v>560</v>
      </c>
      <c r="F2135" s="20">
        <v>27950</v>
      </c>
      <c r="I2135" s="11">
        <f t="shared" si="68"/>
        <v>45805</v>
      </c>
      <c r="J2135" s="12">
        <f t="shared" si="69"/>
        <v>34</v>
      </c>
      <c r="K2135" t="str">
        <f t="shared" si="70"/>
        <v>31-90</v>
      </c>
      <c r="L2135" s="11">
        <v>45839</v>
      </c>
      <c r="M2135" s="23">
        <f>YEAR(Таблица1[[#This Row],[Дата отчета]])</f>
        <v>2025</v>
      </c>
    </row>
    <row r="2136" spans="1:14" x14ac:dyDescent="0.25">
      <c r="A2136" t="s">
        <v>12</v>
      </c>
      <c r="B2136" t="s">
        <v>512</v>
      </c>
      <c r="C2136" t="s">
        <v>518</v>
      </c>
      <c r="D2136" t="s">
        <v>519</v>
      </c>
      <c r="E2136" t="s">
        <v>520</v>
      </c>
      <c r="F2136" s="20">
        <v>8070</v>
      </c>
      <c r="I2136" s="11">
        <f t="shared" si="68"/>
        <v>45811</v>
      </c>
      <c r="J2136" s="12">
        <f t="shared" si="69"/>
        <v>28</v>
      </c>
      <c r="K2136" t="str">
        <f t="shared" si="70"/>
        <v>0-30</v>
      </c>
      <c r="L2136" s="11">
        <v>45839</v>
      </c>
      <c r="M2136" s="23">
        <f>YEAR(Таблица1[[#This Row],[Дата отчета]])</f>
        <v>2025</v>
      </c>
    </row>
    <row r="2137" spans="1:14" x14ac:dyDescent="0.25">
      <c r="A2137" t="s">
        <v>12</v>
      </c>
      <c r="B2137" t="s">
        <v>512</v>
      </c>
      <c r="C2137" t="s">
        <v>2157</v>
      </c>
      <c r="D2137" t="s">
        <v>2158</v>
      </c>
      <c r="E2137" t="s">
        <v>520</v>
      </c>
      <c r="F2137" s="20">
        <v>157500</v>
      </c>
      <c r="I2137" s="11">
        <f t="shared" si="68"/>
        <v>45811</v>
      </c>
      <c r="J2137" s="12">
        <f t="shared" si="69"/>
        <v>28</v>
      </c>
      <c r="K2137" t="str">
        <f t="shared" si="70"/>
        <v>0-30</v>
      </c>
      <c r="L2137" s="11">
        <v>45839</v>
      </c>
      <c r="M2137" s="23">
        <f>YEAR(Таблица1[[#This Row],[Дата отчета]])</f>
        <v>2025</v>
      </c>
    </row>
    <row r="2138" spans="1:14" x14ac:dyDescent="0.25">
      <c r="A2138" t="s">
        <v>12</v>
      </c>
      <c r="B2138" t="s">
        <v>512</v>
      </c>
      <c r="C2138" t="s">
        <v>2159</v>
      </c>
      <c r="D2138" t="s">
        <v>2160</v>
      </c>
      <c r="E2138" t="s">
        <v>532</v>
      </c>
      <c r="F2138" s="20">
        <v>60220</v>
      </c>
      <c r="I2138" s="11">
        <f t="shared" si="68"/>
        <v>45813</v>
      </c>
      <c r="J2138" s="12">
        <f t="shared" si="69"/>
        <v>26</v>
      </c>
      <c r="K2138" t="str">
        <f t="shared" si="70"/>
        <v>0-30</v>
      </c>
      <c r="L2138" s="11">
        <v>45839</v>
      </c>
      <c r="M2138" s="23">
        <f>YEAR(Таблица1[[#This Row],[Дата отчета]])</f>
        <v>2025</v>
      </c>
    </row>
    <row r="2139" spans="1:14" x14ac:dyDescent="0.25">
      <c r="A2139" t="s">
        <v>12</v>
      </c>
      <c r="B2139" t="s">
        <v>512</v>
      </c>
      <c r="C2139" t="s">
        <v>2161</v>
      </c>
      <c r="D2139" t="s">
        <v>2162</v>
      </c>
      <c r="E2139" t="s">
        <v>1031</v>
      </c>
      <c r="F2139" s="20">
        <v>28500</v>
      </c>
      <c r="I2139" s="11">
        <f t="shared" si="68"/>
        <v>45812</v>
      </c>
      <c r="J2139" s="12">
        <f t="shared" si="69"/>
        <v>27</v>
      </c>
      <c r="K2139" t="str">
        <f t="shared" si="70"/>
        <v>0-30</v>
      </c>
      <c r="L2139" s="11">
        <v>45839</v>
      </c>
      <c r="M2139" s="23">
        <f>YEAR(Таблица1[[#This Row],[Дата отчета]])</f>
        <v>2025</v>
      </c>
    </row>
    <row r="2140" spans="1:14" x14ac:dyDescent="0.25">
      <c r="A2140" t="s">
        <v>12</v>
      </c>
      <c r="B2140" t="s">
        <v>512</v>
      </c>
      <c r="C2140" t="s">
        <v>2163</v>
      </c>
      <c r="D2140" t="s">
        <v>2164</v>
      </c>
      <c r="E2140" t="s">
        <v>1813</v>
      </c>
      <c r="F2140" s="20">
        <v>85500</v>
      </c>
      <c r="I2140" s="11">
        <f t="shared" si="68"/>
        <v>45814</v>
      </c>
      <c r="J2140" s="12">
        <f t="shared" si="69"/>
        <v>25</v>
      </c>
      <c r="K2140" t="str">
        <f t="shared" si="70"/>
        <v>0-30</v>
      </c>
      <c r="L2140" s="11">
        <v>45839</v>
      </c>
      <c r="M2140" s="23">
        <f>YEAR(Таблица1[[#This Row],[Дата отчета]])</f>
        <v>2025</v>
      </c>
    </row>
    <row r="2141" spans="1:14" x14ac:dyDescent="0.25">
      <c r="A2141" t="s">
        <v>12</v>
      </c>
      <c r="B2141" t="s">
        <v>512</v>
      </c>
      <c r="C2141" t="s">
        <v>2165</v>
      </c>
      <c r="D2141" t="s">
        <v>2166</v>
      </c>
      <c r="E2141" t="s">
        <v>769</v>
      </c>
      <c r="F2141" s="20">
        <v>240000</v>
      </c>
      <c r="I2141" s="11">
        <f t="shared" si="68"/>
        <v>45825</v>
      </c>
      <c r="J2141" s="12">
        <f t="shared" si="69"/>
        <v>14</v>
      </c>
      <c r="K2141" t="str">
        <f t="shared" si="70"/>
        <v>0-30</v>
      </c>
      <c r="L2141" s="11">
        <v>45839</v>
      </c>
      <c r="M2141" s="23">
        <f>YEAR(Таблица1[[#This Row],[Дата отчета]])</f>
        <v>2025</v>
      </c>
    </row>
    <row r="2142" spans="1:14" x14ac:dyDescent="0.25">
      <c r="A2142" t="s">
        <v>12</v>
      </c>
      <c r="B2142" t="s">
        <v>512</v>
      </c>
      <c r="C2142" t="s">
        <v>1505</v>
      </c>
      <c r="D2142" t="s">
        <v>1506</v>
      </c>
      <c r="E2142" t="s">
        <v>1790</v>
      </c>
      <c r="F2142" s="20">
        <v>9310</v>
      </c>
      <c r="I2142" s="11">
        <f t="shared" si="68"/>
        <v>45828</v>
      </c>
      <c r="J2142" s="12">
        <f t="shared" si="69"/>
        <v>11</v>
      </c>
      <c r="K2142" t="str">
        <f t="shared" si="70"/>
        <v>0-30</v>
      </c>
      <c r="L2142" s="11">
        <v>45839</v>
      </c>
      <c r="M2142" s="23">
        <f>YEAR(Таблица1[[#This Row],[Дата отчета]])</f>
        <v>2025</v>
      </c>
    </row>
    <row r="2143" spans="1:14" x14ac:dyDescent="0.25">
      <c r="A2143" t="s">
        <v>12</v>
      </c>
      <c r="B2143" t="s">
        <v>512</v>
      </c>
      <c r="C2143" t="s">
        <v>2167</v>
      </c>
      <c r="D2143" t="s">
        <v>2168</v>
      </c>
      <c r="E2143" t="s">
        <v>276</v>
      </c>
      <c r="F2143" s="20">
        <v>63181</v>
      </c>
      <c r="I2143" s="11">
        <f t="shared" si="68"/>
        <v>45827</v>
      </c>
      <c r="J2143" s="12">
        <f t="shared" si="69"/>
        <v>12</v>
      </c>
      <c r="K2143" t="str">
        <f t="shared" si="70"/>
        <v>0-30</v>
      </c>
      <c r="L2143" s="11">
        <v>45839</v>
      </c>
      <c r="M2143" s="23">
        <f>YEAR(Таблица1[[#This Row],[Дата отчета]])</f>
        <v>2025</v>
      </c>
    </row>
    <row r="2144" spans="1:14" x14ac:dyDescent="0.25">
      <c r="A2144" t="s">
        <v>12</v>
      </c>
      <c r="B2144" t="s">
        <v>2169</v>
      </c>
      <c r="C2144" t="s">
        <v>2170</v>
      </c>
      <c r="D2144" t="s">
        <v>2171</v>
      </c>
      <c r="E2144" t="s">
        <v>123</v>
      </c>
      <c r="F2144" s="20">
        <v>2100</v>
      </c>
      <c r="I2144" s="11">
        <f t="shared" si="68"/>
        <v>45782</v>
      </c>
      <c r="J2144" s="12">
        <f t="shared" si="69"/>
        <v>57</v>
      </c>
      <c r="K2144" t="str">
        <f t="shared" si="70"/>
        <v>31-90</v>
      </c>
      <c r="L2144" s="11">
        <v>45839</v>
      </c>
      <c r="M2144" s="23">
        <f>YEAR(Таблица1[[#This Row],[Дата отчета]])</f>
        <v>2025</v>
      </c>
    </row>
    <row r="2145" spans="1:14" x14ac:dyDescent="0.25">
      <c r="A2145" t="s">
        <v>12</v>
      </c>
      <c r="B2145" t="s">
        <v>529</v>
      </c>
      <c r="C2145" t="s">
        <v>2172</v>
      </c>
      <c r="D2145" t="s">
        <v>2173</v>
      </c>
      <c r="E2145" t="s">
        <v>1256</v>
      </c>
      <c r="F2145" s="20">
        <v>37985</v>
      </c>
      <c r="I2145" s="11">
        <f t="shared" ref="I2145:I2208" si="71">E2145*1</f>
        <v>45754</v>
      </c>
      <c r="J2145" s="12">
        <f t="shared" ref="J2145:J2208" si="72">L2145-I2145</f>
        <v>85</v>
      </c>
      <c r="K2145" t="str">
        <f t="shared" si="70"/>
        <v>31-90</v>
      </c>
      <c r="L2145" s="11">
        <v>45839</v>
      </c>
      <c r="M2145" s="23">
        <f>YEAR(Таблица1[[#This Row],[Дата отчета]])</f>
        <v>2025</v>
      </c>
    </row>
    <row r="2146" spans="1:14" x14ac:dyDescent="0.25">
      <c r="A2146" t="s">
        <v>12</v>
      </c>
      <c r="B2146" t="s">
        <v>529</v>
      </c>
      <c r="C2146" t="s">
        <v>2174</v>
      </c>
      <c r="D2146" t="s">
        <v>2175</v>
      </c>
      <c r="E2146" t="s">
        <v>1813</v>
      </c>
      <c r="F2146" s="20">
        <v>29470</v>
      </c>
      <c r="I2146" s="11">
        <f t="shared" si="71"/>
        <v>45814</v>
      </c>
      <c r="J2146" s="12">
        <f t="shared" si="72"/>
        <v>25</v>
      </c>
      <c r="K2146" t="str">
        <f t="shared" si="70"/>
        <v>0-30</v>
      </c>
      <c r="L2146" s="11">
        <v>45839</v>
      </c>
      <c r="M2146" s="23">
        <f>YEAR(Таблица1[[#This Row],[Дата отчета]])</f>
        <v>2025</v>
      </c>
    </row>
    <row r="2147" spans="1:14" x14ac:dyDescent="0.25">
      <c r="A2147" t="s">
        <v>12</v>
      </c>
      <c r="B2147" t="s">
        <v>529</v>
      </c>
      <c r="C2147" t="s">
        <v>530</v>
      </c>
      <c r="D2147" t="s">
        <v>531</v>
      </c>
      <c r="E2147" t="s">
        <v>532</v>
      </c>
      <c r="F2147" s="20">
        <v>5900</v>
      </c>
      <c r="I2147" s="11">
        <f t="shared" si="71"/>
        <v>45813</v>
      </c>
      <c r="J2147" s="12">
        <f t="shared" si="72"/>
        <v>26</v>
      </c>
      <c r="K2147" t="str">
        <f t="shared" si="70"/>
        <v>0-30</v>
      </c>
      <c r="L2147" s="11">
        <v>45839</v>
      </c>
      <c r="M2147" s="23">
        <f>YEAR(Таблица1[[#This Row],[Дата отчета]])</f>
        <v>2025</v>
      </c>
    </row>
    <row r="2148" spans="1:14" x14ac:dyDescent="0.25">
      <c r="A2148" t="s">
        <v>12</v>
      </c>
      <c r="B2148" t="s">
        <v>529</v>
      </c>
      <c r="C2148" t="s">
        <v>533</v>
      </c>
      <c r="D2148" t="s">
        <v>534</v>
      </c>
      <c r="E2148" t="s">
        <v>535</v>
      </c>
      <c r="F2148" s="20">
        <v>76000</v>
      </c>
      <c r="I2148" s="11">
        <f t="shared" si="71"/>
        <v>45796</v>
      </c>
      <c r="J2148" s="12">
        <f t="shared" si="72"/>
        <v>43</v>
      </c>
      <c r="K2148" t="str">
        <f t="shared" si="70"/>
        <v>31-90</v>
      </c>
      <c r="L2148" s="11">
        <v>45839</v>
      </c>
      <c r="M2148" s="23">
        <f>YEAR(Таблица1[[#This Row],[Дата отчета]])</f>
        <v>2025</v>
      </c>
    </row>
    <row r="2149" spans="1:14" x14ac:dyDescent="0.25">
      <c r="A2149" t="s">
        <v>12</v>
      </c>
      <c r="B2149" t="s">
        <v>536</v>
      </c>
      <c r="C2149" t="s">
        <v>537</v>
      </c>
      <c r="D2149" t="s">
        <v>538</v>
      </c>
      <c r="E2149" t="s">
        <v>91</v>
      </c>
      <c r="F2149" s="20">
        <v>9000</v>
      </c>
      <c r="I2149" s="11">
        <f t="shared" si="71"/>
        <v>45723</v>
      </c>
      <c r="J2149" s="12">
        <f t="shared" si="72"/>
        <v>116</v>
      </c>
      <c r="K2149" t="str">
        <f t="shared" si="70"/>
        <v>91-120</v>
      </c>
      <c r="L2149" s="11">
        <v>45839</v>
      </c>
      <c r="M2149" s="23">
        <f>YEAR(Таблица1[[#This Row],[Дата отчета]])</f>
        <v>2025</v>
      </c>
      <c r="N2149" s="2" t="s">
        <v>807</v>
      </c>
    </row>
    <row r="2150" spans="1:14" x14ac:dyDescent="0.25">
      <c r="A2150" t="s">
        <v>12</v>
      </c>
      <c r="B2150" t="s">
        <v>1515</v>
      </c>
      <c r="C2150" t="s">
        <v>1516</v>
      </c>
      <c r="D2150" t="s">
        <v>1517</v>
      </c>
      <c r="E2150" t="s">
        <v>247</v>
      </c>
      <c r="F2150" s="20">
        <v>1383437.71</v>
      </c>
      <c r="I2150" s="11">
        <f t="shared" si="71"/>
        <v>45798</v>
      </c>
      <c r="J2150" s="12">
        <f t="shared" si="72"/>
        <v>41</v>
      </c>
      <c r="K2150" t="str">
        <f t="shared" si="70"/>
        <v>31-90</v>
      </c>
      <c r="L2150" s="11">
        <v>45839</v>
      </c>
      <c r="M2150" s="23">
        <f>YEAR(Таблица1[[#This Row],[Дата отчета]])</f>
        <v>2025</v>
      </c>
    </row>
    <row r="2151" spans="1:14" x14ac:dyDescent="0.25">
      <c r="A2151" t="s">
        <v>12</v>
      </c>
      <c r="B2151" t="s">
        <v>544</v>
      </c>
      <c r="C2151" t="s">
        <v>2176</v>
      </c>
      <c r="D2151" t="s">
        <v>2177</v>
      </c>
      <c r="E2151" t="s">
        <v>1779</v>
      </c>
      <c r="F2151" s="20">
        <v>2304000</v>
      </c>
      <c r="I2151" s="11">
        <f t="shared" si="71"/>
        <v>45818</v>
      </c>
      <c r="J2151" s="12">
        <f t="shared" si="72"/>
        <v>21</v>
      </c>
      <c r="K2151" t="str">
        <f t="shared" si="70"/>
        <v>0-30</v>
      </c>
      <c r="L2151" s="11">
        <v>45839</v>
      </c>
      <c r="M2151" s="23">
        <f>YEAR(Таблица1[[#This Row],[Дата отчета]])</f>
        <v>2025</v>
      </c>
    </row>
    <row r="2152" spans="1:14" x14ac:dyDescent="0.25">
      <c r="A2152" t="s">
        <v>12</v>
      </c>
      <c r="B2152" t="s">
        <v>1523</v>
      </c>
      <c r="C2152" t="s">
        <v>269</v>
      </c>
      <c r="D2152" t="s">
        <v>1524</v>
      </c>
      <c r="E2152" t="s">
        <v>1765</v>
      </c>
      <c r="F2152" s="20">
        <v>725</v>
      </c>
      <c r="I2152" s="11">
        <f t="shared" si="71"/>
        <v>45735</v>
      </c>
      <c r="J2152" s="12">
        <f t="shared" si="72"/>
        <v>104</v>
      </c>
      <c r="K2152" t="str">
        <f t="shared" si="70"/>
        <v>91-120</v>
      </c>
      <c r="L2152" s="11">
        <v>45839</v>
      </c>
      <c r="M2152" s="23">
        <f>YEAR(Таблица1[[#This Row],[Дата отчета]])</f>
        <v>2025</v>
      </c>
    </row>
    <row r="2153" spans="1:14" x14ac:dyDescent="0.25">
      <c r="A2153" t="s">
        <v>12</v>
      </c>
      <c r="B2153" t="s">
        <v>2178</v>
      </c>
      <c r="C2153" t="s">
        <v>2179</v>
      </c>
      <c r="D2153" t="s">
        <v>2180</v>
      </c>
      <c r="E2153" t="s">
        <v>2455</v>
      </c>
      <c r="F2153" s="20">
        <v>92660</v>
      </c>
      <c r="I2153" s="11">
        <f t="shared" si="71"/>
        <v>45793</v>
      </c>
      <c r="J2153" s="12">
        <f t="shared" si="72"/>
        <v>46</v>
      </c>
      <c r="K2153" t="str">
        <f t="shared" si="70"/>
        <v>31-90</v>
      </c>
      <c r="L2153" s="11">
        <v>45839</v>
      </c>
      <c r="M2153" s="23">
        <f>YEAR(Таблица1[[#This Row],[Дата отчета]])</f>
        <v>2025</v>
      </c>
    </row>
    <row r="2154" spans="1:14" x14ac:dyDescent="0.25">
      <c r="A2154" t="s">
        <v>12</v>
      </c>
      <c r="B2154" t="s">
        <v>2181</v>
      </c>
      <c r="C2154" t="s">
        <v>2182</v>
      </c>
      <c r="D2154" t="s">
        <v>2183</v>
      </c>
      <c r="E2154" t="s">
        <v>2441</v>
      </c>
      <c r="F2154" s="20">
        <v>150000</v>
      </c>
      <c r="I2154" s="11">
        <f t="shared" si="71"/>
        <v>45776</v>
      </c>
      <c r="J2154" s="12">
        <f t="shared" si="72"/>
        <v>63</v>
      </c>
      <c r="K2154" t="str">
        <f t="shared" si="70"/>
        <v>31-90</v>
      </c>
      <c r="L2154" s="11">
        <v>45839</v>
      </c>
      <c r="M2154" s="23">
        <f>YEAR(Таблица1[[#This Row],[Дата отчета]])</f>
        <v>2025</v>
      </c>
    </row>
    <row r="2155" spans="1:14" x14ac:dyDescent="0.25">
      <c r="A2155" t="s">
        <v>12</v>
      </c>
      <c r="B2155" t="s">
        <v>557</v>
      </c>
      <c r="C2155" t="s">
        <v>2184</v>
      </c>
      <c r="D2155" t="s">
        <v>2185</v>
      </c>
      <c r="E2155" t="s">
        <v>2450</v>
      </c>
      <c r="F2155" s="20">
        <v>12693.7</v>
      </c>
      <c r="I2155" s="11">
        <f t="shared" si="71"/>
        <v>45427</v>
      </c>
      <c r="J2155" s="12">
        <f t="shared" si="72"/>
        <v>412</v>
      </c>
      <c r="K2155" t="str">
        <f t="shared" si="70"/>
        <v>&gt;360</v>
      </c>
      <c r="L2155" s="11">
        <v>45839</v>
      </c>
      <c r="M2155" s="23">
        <f>YEAR(Таблица1[[#This Row],[Дата отчета]])</f>
        <v>2025</v>
      </c>
    </row>
    <row r="2156" spans="1:14" x14ac:dyDescent="0.25">
      <c r="A2156" t="s">
        <v>12</v>
      </c>
      <c r="B2156" t="s">
        <v>557</v>
      </c>
      <c r="C2156" t="s">
        <v>558</v>
      </c>
      <c r="D2156" t="s">
        <v>559</v>
      </c>
      <c r="E2156" t="s">
        <v>560</v>
      </c>
      <c r="F2156" s="20">
        <v>100000</v>
      </c>
      <c r="I2156" s="11">
        <f t="shared" si="71"/>
        <v>45805</v>
      </c>
      <c r="J2156" s="12">
        <f t="shared" si="72"/>
        <v>34</v>
      </c>
      <c r="K2156" t="str">
        <f t="shared" si="70"/>
        <v>31-90</v>
      </c>
      <c r="L2156" s="11">
        <v>45839</v>
      </c>
      <c r="M2156" s="23">
        <f>YEAR(Таблица1[[#This Row],[Дата отчета]])</f>
        <v>2025</v>
      </c>
    </row>
    <row r="2157" spans="1:14" x14ac:dyDescent="0.25">
      <c r="A2157" t="s">
        <v>12</v>
      </c>
      <c r="B2157" t="s">
        <v>561</v>
      </c>
      <c r="C2157" t="s">
        <v>1527</v>
      </c>
      <c r="D2157" t="s">
        <v>1528</v>
      </c>
      <c r="E2157" t="s">
        <v>1794</v>
      </c>
      <c r="F2157" s="20">
        <v>1715565.24</v>
      </c>
      <c r="I2157" s="11">
        <f t="shared" si="71"/>
        <v>45069</v>
      </c>
      <c r="J2157" s="12">
        <f t="shared" si="72"/>
        <v>770</v>
      </c>
      <c r="K2157" t="str">
        <f t="shared" si="70"/>
        <v>&gt;360</v>
      </c>
      <c r="L2157" s="11">
        <v>45839</v>
      </c>
      <c r="M2157" s="23">
        <f>YEAR(Таблица1[[#This Row],[Дата отчета]])</f>
        <v>2025</v>
      </c>
    </row>
    <row r="2158" spans="1:14" x14ac:dyDescent="0.25">
      <c r="A2158" t="s">
        <v>12</v>
      </c>
      <c r="B2158" t="s">
        <v>561</v>
      </c>
      <c r="C2158" t="s">
        <v>1529</v>
      </c>
      <c r="D2158" t="s">
        <v>1530</v>
      </c>
      <c r="E2158" t="s">
        <v>1795</v>
      </c>
      <c r="F2158" s="20">
        <v>5092824.9400000004</v>
      </c>
      <c r="I2158" s="11">
        <f t="shared" si="71"/>
        <v>45391</v>
      </c>
      <c r="J2158" s="12">
        <f t="shared" si="72"/>
        <v>448</v>
      </c>
      <c r="K2158" t="str">
        <f t="shared" si="70"/>
        <v>&gt;360</v>
      </c>
      <c r="L2158" s="11">
        <v>45839</v>
      </c>
      <c r="M2158" s="23">
        <f>YEAR(Таблица1[[#This Row],[Дата отчета]])</f>
        <v>2025</v>
      </c>
    </row>
    <row r="2159" spans="1:14" x14ac:dyDescent="0.25">
      <c r="A2159" t="s">
        <v>12</v>
      </c>
      <c r="B2159" t="s">
        <v>561</v>
      </c>
      <c r="C2159" t="s">
        <v>1531</v>
      </c>
      <c r="D2159" t="s">
        <v>1532</v>
      </c>
      <c r="E2159" t="s">
        <v>765</v>
      </c>
      <c r="F2159" s="20">
        <v>1460727.73</v>
      </c>
      <c r="I2159" s="11">
        <f t="shared" si="71"/>
        <v>45751</v>
      </c>
      <c r="J2159" s="12">
        <f t="shared" si="72"/>
        <v>88</v>
      </c>
      <c r="K2159" t="str">
        <f t="shared" si="70"/>
        <v>31-90</v>
      </c>
      <c r="L2159" s="11">
        <v>45839</v>
      </c>
      <c r="M2159" s="23">
        <f>YEAR(Таблица1[[#This Row],[Дата отчета]])</f>
        <v>2025</v>
      </c>
    </row>
    <row r="2160" spans="1:14" x14ac:dyDescent="0.25">
      <c r="A2160" t="s">
        <v>12</v>
      </c>
      <c r="B2160" t="s">
        <v>561</v>
      </c>
      <c r="C2160" t="s">
        <v>1533</v>
      </c>
      <c r="D2160" t="s">
        <v>1534</v>
      </c>
      <c r="E2160" t="s">
        <v>175</v>
      </c>
      <c r="F2160" s="20">
        <v>0.02</v>
      </c>
      <c r="I2160" s="11">
        <f t="shared" si="71"/>
        <v>45399</v>
      </c>
      <c r="J2160" s="12">
        <f t="shared" si="72"/>
        <v>440</v>
      </c>
      <c r="K2160" t="str">
        <f t="shared" si="70"/>
        <v>&gt;360</v>
      </c>
      <c r="L2160" s="11">
        <v>45839</v>
      </c>
      <c r="M2160" s="23">
        <f>YEAR(Таблица1[[#This Row],[Дата отчета]])</f>
        <v>2025</v>
      </c>
    </row>
    <row r="2161" spans="1:13" x14ac:dyDescent="0.25">
      <c r="A2161" t="s">
        <v>12</v>
      </c>
      <c r="B2161" t="s">
        <v>561</v>
      </c>
      <c r="C2161" t="s">
        <v>2186</v>
      </c>
      <c r="D2161" t="s">
        <v>2187</v>
      </c>
      <c r="E2161" t="s">
        <v>1767</v>
      </c>
      <c r="F2161" s="20">
        <v>2295</v>
      </c>
      <c r="I2161" s="11">
        <f t="shared" si="71"/>
        <v>45762</v>
      </c>
      <c r="J2161" s="12">
        <f t="shared" si="72"/>
        <v>77</v>
      </c>
      <c r="K2161" t="str">
        <f t="shared" si="70"/>
        <v>31-90</v>
      </c>
      <c r="L2161" s="11">
        <v>45839</v>
      </c>
      <c r="M2161" s="23">
        <f>YEAR(Таблица1[[#This Row],[Дата отчета]])</f>
        <v>2025</v>
      </c>
    </row>
    <row r="2162" spans="1:13" x14ac:dyDescent="0.25">
      <c r="A2162" t="s">
        <v>12</v>
      </c>
      <c r="B2162" t="s">
        <v>561</v>
      </c>
      <c r="C2162" t="s">
        <v>1535</v>
      </c>
      <c r="D2162" t="s">
        <v>1536</v>
      </c>
      <c r="E2162" t="s">
        <v>1796</v>
      </c>
      <c r="F2162" s="20">
        <v>42035.61</v>
      </c>
      <c r="I2162" s="11">
        <f t="shared" si="71"/>
        <v>45763</v>
      </c>
      <c r="J2162" s="12">
        <f t="shared" si="72"/>
        <v>76</v>
      </c>
      <c r="K2162" t="str">
        <f t="shared" si="70"/>
        <v>31-90</v>
      </c>
      <c r="L2162" s="11">
        <v>45839</v>
      </c>
      <c r="M2162" s="23">
        <f>YEAR(Таблица1[[#This Row],[Дата отчета]])</f>
        <v>2025</v>
      </c>
    </row>
    <row r="2163" spans="1:13" x14ac:dyDescent="0.25">
      <c r="A2163" t="s">
        <v>12</v>
      </c>
      <c r="B2163" t="s">
        <v>561</v>
      </c>
      <c r="C2163" t="s">
        <v>1537</v>
      </c>
      <c r="D2163" t="s">
        <v>1538</v>
      </c>
      <c r="E2163" t="s">
        <v>1797</v>
      </c>
      <c r="F2163" s="20">
        <v>30.6</v>
      </c>
      <c r="I2163" s="11">
        <f t="shared" si="71"/>
        <v>45784</v>
      </c>
      <c r="J2163" s="12">
        <f t="shared" si="72"/>
        <v>55</v>
      </c>
      <c r="K2163" t="str">
        <f t="shared" si="70"/>
        <v>31-90</v>
      </c>
      <c r="L2163" s="11">
        <v>45839</v>
      </c>
      <c r="M2163" s="23">
        <f>YEAR(Таблица1[[#This Row],[Дата отчета]])</f>
        <v>2025</v>
      </c>
    </row>
    <row r="2164" spans="1:13" x14ac:dyDescent="0.25">
      <c r="A2164" t="s">
        <v>12</v>
      </c>
      <c r="B2164" t="s">
        <v>561</v>
      </c>
      <c r="C2164" t="s">
        <v>2188</v>
      </c>
      <c r="D2164" t="s">
        <v>2189</v>
      </c>
      <c r="E2164" t="s">
        <v>2437</v>
      </c>
      <c r="F2164" s="20">
        <v>261535.14</v>
      </c>
      <c r="I2164" s="11">
        <f t="shared" si="71"/>
        <v>45791</v>
      </c>
      <c r="J2164" s="12">
        <f t="shared" si="72"/>
        <v>48</v>
      </c>
      <c r="K2164" t="str">
        <f t="shared" si="70"/>
        <v>31-90</v>
      </c>
      <c r="L2164" s="11">
        <v>45839</v>
      </c>
      <c r="M2164" s="23">
        <f>YEAR(Таблица1[[#This Row],[Дата отчета]])</f>
        <v>2025</v>
      </c>
    </row>
    <row r="2165" spans="1:13" x14ac:dyDescent="0.25">
      <c r="A2165" t="s">
        <v>12</v>
      </c>
      <c r="B2165" t="s">
        <v>561</v>
      </c>
      <c r="C2165" t="s">
        <v>1539</v>
      </c>
      <c r="D2165" t="s">
        <v>1540</v>
      </c>
      <c r="E2165" t="s">
        <v>535</v>
      </c>
      <c r="F2165" s="20">
        <v>175922.59</v>
      </c>
      <c r="I2165" s="11">
        <f t="shared" si="71"/>
        <v>45796</v>
      </c>
      <c r="J2165" s="12">
        <f t="shared" si="72"/>
        <v>43</v>
      </c>
      <c r="K2165" t="str">
        <f t="shared" si="70"/>
        <v>31-90</v>
      </c>
      <c r="L2165" s="11">
        <v>45839</v>
      </c>
      <c r="M2165" s="23">
        <f>YEAR(Таблица1[[#This Row],[Дата отчета]])</f>
        <v>2025</v>
      </c>
    </row>
    <row r="2166" spans="1:13" x14ac:dyDescent="0.25">
      <c r="A2166" t="s">
        <v>12</v>
      </c>
      <c r="B2166" t="s">
        <v>561</v>
      </c>
      <c r="C2166" t="s">
        <v>1541</v>
      </c>
      <c r="D2166" t="s">
        <v>1542</v>
      </c>
      <c r="E2166" t="s">
        <v>192</v>
      </c>
      <c r="F2166" s="20">
        <v>6277.48</v>
      </c>
      <c r="I2166" s="11">
        <f t="shared" si="71"/>
        <v>45467</v>
      </c>
      <c r="J2166" s="12">
        <f t="shared" si="72"/>
        <v>372</v>
      </c>
      <c r="K2166" t="str">
        <f t="shared" si="70"/>
        <v>&gt;360</v>
      </c>
      <c r="L2166" s="11">
        <v>45839</v>
      </c>
      <c r="M2166" s="23">
        <f>YEAR(Таблица1[[#This Row],[Дата отчета]])</f>
        <v>2025</v>
      </c>
    </row>
    <row r="2167" spans="1:13" x14ac:dyDescent="0.25">
      <c r="A2167" t="s">
        <v>12</v>
      </c>
      <c r="B2167" t="s">
        <v>561</v>
      </c>
      <c r="C2167" t="s">
        <v>1543</v>
      </c>
      <c r="D2167" t="s">
        <v>1544</v>
      </c>
      <c r="E2167" t="s">
        <v>1798</v>
      </c>
      <c r="F2167" s="20">
        <v>2474.62</v>
      </c>
      <c r="I2167" s="11">
        <f t="shared" si="71"/>
        <v>45470</v>
      </c>
      <c r="J2167" s="12">
        <f t="shared" si="72"/>
        <v>369</v>
      </c>
      <c r="K2167" t="str">
        <f t="shared" si="70"/>
        <v>&gt;360</v>
      </c>
      <c r="L2167" s="11">
        <v>45839</v>
      </c>
      <c r="M2167" s="23">
        <f>YEAR(Таблица1[[#This Row],[Дата отчета]])</f>
        <v>2025</v>
      </c>
    </row>
    <row r="2168" spans="1:13" x14ac:dyDescent="0.25">
      <c r="A2168" t="s">
        <v>12</v>
      </c>
      <c r="B2168" t="s">
        <v>561</v>
      </c>
      <c r="C2168" t="s">
        <v>2190</v>
      </c>
      <c r="D2168" t="s">
        <v>2191</v>
      </c>
      <c r="E2168" t="s">
        <v>2453</v>
      </c>
      <c r="F2168" s="20">
        <v>39420.239999999998</v>
      </c>
      <c r="I2168" s="11">
        <f t="shared" si="71"/>
        <v>45806</v>
      </c>
      <c r="J2168" s="12">
        <f t="shared" si="72"/>
        <v>33</v>
      </c>
      <c r="K2168" t="str">
        <f t="shared" si="70"/>
        <v>31-90</v>
      </c>
      <c r="L2168" s="11">
        <v>45839</v>
      </c>
      <c r="M2168" s="23">
        <f>YEAR(Таблица1[[#This Row],[Дата отчета]])</f>
        <v>2025</v>
      </c>
    </row>
    <row r="2169" spans="1:13" x14ac:dyDescent="0.25">
      <c r="A2169" t="s">
        <v>12</v>
      </c>
      <c r="B2169" t="s">
        <v>561</v>
      </c>
      <c r="C2169" t="s">
        <v>1545</v>
      </c>
      <c r="D2169" t="s">
        <v>566</v>
      </c>
      <c r="E2169" t="s">
        <v>204</v>
      </c>
      <c r="F2169" s="20">
        <v>995281.85</v>
      </c>
      <c r="I2169" s="11">
        <f t="shared" si="71"/>
        <v>45481</v>
      </c>
      <c r="J2169" s="12">
        <f t="shared" si="72"/>
        <v>358</v>
      </c>
      <c r="K2169" t="str">
        <f t="shared" si="70"/>
        <v>271-360</v>
      </c>
      <c r="L2169" s="11">
        <v>45839</v>
      </c>
      <c r="M2169" s="23">
        <f>YEAR(Таблица1[[#This Row],[Дата отчета]])</f>
        <v>2025</v>
      </c>
    </row>
    <row r="2170" spans="1:13" x14ac:dyDescent="0.25">
      <c r="A2170" t="s">
        <v>12</v>
      </c>
      <c r="B2170" t="s">
        <v>561</v>
      </c>
      <c r="C2170" t="s">
        <v>1548</v>
      </c>
      <c r="D2170" t="s">
        <v>1549</v>
      </c>
      <c r="E2170" t="s">
        <v>1799</v>
      </c>
      <c r="F2170" s="20">
        <v>2.4</v>
      </c>
      <c r="I2170" s="11">
        <f t="shared" si="71"/>
        <v>45478</v>
      </c>
      <c r="J2170" s="12">
        <f t="shared" si="72"/>
        <v>361</v>
      </c>
      <c r="K2170" t="str">
        <f t="shared" si="70"/>
        <v>&gt;360</v>
      </c>
      <c r="L2170" s="11">
        <v>45839</v>
      </c>
      <c r="M2170" s="23">
        <f>YEAR(Таблица1[[#This Row],[Дата отчета]])</f>
        <v>2025</v>
      </c>
    </row>
    <row r="2171" spans="1:13" x14ac:dyDescent="0.25">
      <c r="A2171" t="s">
        <v>12</v>
      </c>
      <c r="B2171" t="s">
        <v>561</v>
      </c>
      <c r="C2171" t="s">
        <v>1550</v>
      </c>
      <c r="D2171" t="s">
        <v>565</v>
      </c>
      <c r="E2171" t="s">
        <v>204</v>
      </c>
      <c r="F2171" s="20">
        <v>31.2</v>
      </c>
      <c r="I2171" s="11">
        <f t="shared" si="71"/>
        <v>45481</v>
      </c>
      <c r="J2171" s="12">
        <f t="shared" si="72"/>
        <v>358</v>
      </c>
      <c r="K2171" t="str">
        <f t="shared" si="70"/>
        <v>271-360</v>
      </c>
      <c r="L2171" s="11">
        <v>45839</v>
      </c>
      <c r="M2171" s="23">
        <f>YEAR(Таблица1[[#This Row],[Дата отчета]])</f>
        <v>2025</v>
      </c>
    </row>
    <row r="2172" spans="1:13" x14ac:dyDescent="0.25">
      <c r="A2172" t="s">
        <v>12</v>
      </c>
      <c r="B2172" t="s">
        <v>561</v>
      </c>
      <c r="C2172" t="s">
        <v>2192</v>
      </c>
      <c r="D2172" t="s">
        <v>2193</v>
      </c>
      <c r="E2172" t="s">
        <v>834</v>
      </c>
      <c r="F2172" s="20">
        <v>28002.82</v>
      </c>
      <c r="I2172" s="11">
        <f t="shared" si="71"/>
        <v>45824</v>
      </c>
      <c r="J2172" s="12">
        <f t="shared" si="72"/>
        <v>15</v>
      </c>
      <c r="K2172" t="str">
        <f t="shared" si="70"/>
        <v>0-30</v>
      </c>
      <c r="L2172" s="11">
        <v>45839</v>
      </c>
      <c r="M2172" s="23">
        <f>YEAR(Таблица1[[#This Row],[Дата отчета]])</f>
        <v>2025</v>
      </c>
    </row>
    <row r="2173" spans="1:13" x14ac:dyDescent="0.25">
      <c r="A2173" t="s">
        <v>12</v>
      </c>
      <c r="B2173" t="s">
        <v>561</v>
      </c>
      <c r="C2173" t="s">
        <v>1551</v>
      </c>
      <c r="D2173" t="s">
        <v>1552</v>
      </c>
      <c r="E2173" t="s">
        <v>183</v>
      </c>
      <c r="F2173" s="20">
        <v>27963.83</v>
      </c>
      <c r="I2173" s="11">
        <f t="shared" si="71"/>
        <v>45817</v>
      </c>
      <c r="J2173" s="12">
        <f t="shared" si="72"/>
        <v>22</v>
      </c>
      <c r="K2173" t="str">
        <f t="shared" si="70"/>
        <v>0-30</v>
      </c>
      <c r="L2173" s="11">
        <v>45839</v>
      </c>
      <c r="M2173" s="23">
        <f>YEAR(Таблица1[[#This Row],[Дата отчета]])</f>
        <v>2025</v>
      </c>
    </row>
    <row r="2174" spans="1:13" x14ac:dyDescent="0.25">
      <c r="A2174" t="s">
        <v>12</v>
      </c>
      <c r="B2174" t="s">
        <v>561</v>
      </c>
      <c r="C2174" t="s">
        <v>1553</v>
      </c>
      <c r="D2174" t="s">
        <v>1554</v>
      </c>
      <c r="E2174" t="s">
        <v>1786</v>
      </c>
      <c r="F2174" s="20">
        <v>368246.49</v>
      </c>
      <c r="I2174" s="11">
        <f t="shared" si="71"/>
        <v>45832</v>
      </c>
      <c r="J2174" s="12">
        <f t="shared" si="72"/>
        <v>7</v>
      </c>
      <c r="K2174" t="str">
        <f t="shared" si="70"/>
        <v>0-30</v>
      </c>
      <c r="L2174" s="11">
        <v>45839</v>
      </c>
      <c r="M2174" s="23">
        <f>YEAR(Таблица1[[#This Row],[Дата отчета]])</f>
        <v>2025</v>
      </c>
    </row>
    <row r="2175" spans="1:13" x14ac:dyDescent="0.25">
      <c r="A2175" t="s">
        <v>12</v>
      </c>
      <c r="B2175" t="s">
        <v>561</v>
      </c>
      <c r="C2175" t="s">
        <v>1555</v>
      </c>
      <c r="D2175" t="s">
        <v>1556</v>
      </c>
      <c r="E2175" t="s">
        <v>1790</v>
      </c>
      <c r="F2175" s="20">
        <v>11481.41</v>
      </c>
      <c r="I2175" s="11">
        <f t="shared" si="71"/>
        <v>45828</v>
      </c>
      <c r="J2175" s="12">
        <f t="shared" si="72"/>
        <v>11</v>
      </c>
      <c r="K2175" t="str">
        <f t="shared" ref="K2175:K2238" si="73">IF(J2175&lt;=30,"0-30",IF(J2175&lt;=90,"31-90",IF(J2175&lt;=120,"91-120",IF(J2175&lt;=180,"121-180",IF(J2175&lt;=270,"181-270",IF(J2175&lt;=360,"271-360","&gt;360"))))))</f>
        <v>0-30</v>
      </c>
      <c r="L2175" s="11">
        <v>45839</v>
      </c>
      <c r="M2175" s="23">
        <f>YEAR(Таблица1[[#This Row],[Дата отчета]])</f>
        <v>2025</v>
      </c>
    </row>
    <row r="2176" spans="1:13" x14ac:dyDescent="0.25">
      <c r="A2176" t="s">
        <v>12</v>
      </c>
      <c r="B2176" t="s">
        <v>561</v>
      </c>
      <c r="C2176" t="s">
        <v>1557</v>
      </c>
      <c r="D2176" t="s">
        <v>1558</v>
      </c>
      <c r="E2176" t="s">
        <v>146</v>
      </c>
      <c r="F2176" s="20">
        <v>615277.06000000006</v>
      </c>
      <c r="I2176" s="11">
        <f t="shared" si="71"/>
        <v>45838</v>
      </c>
      <c r="J2176" s="12">
        <f t="shared" si="72"/>
        <v>1</v>
      </c>
      <c r="K2176" t="str">
        <f t="shared" si="73"/>
        <v>0-30</v>
      </c>
      <c r="L2176" s="11">
        <v>45839</v>
      </c>
      <c r="M2176" s="23">
        <f>YEAR(Таблица1[[#This Row],[Дата отчета]])</f>
        <v>2025</v>
      </c>
    </row>
    <row r="2177" spans="1:13" x14ac:dyDescent="0.25">
      <c r="A2177" t="s">
        <v>12</v>
      </c>
      <c r="B2177" t="s">
        <v>561</v>
      </c>
      <c r="C2177" t="s">
        <v>1559</v>
      </c>
      <c r="D2177" t="s">
        <v>567</v>
      </c>
      <c r="E2177" t="s">
        <v>568</v>
      </c>
      <c r="F2177" s="20">
        <v>395493.5</v>
      </c>
      <c r="I2177" s="11">
        <f t="shared" si="71"/>
        <v>45527</v>
      </c>
      <c r="J2177" s="12">
        <f t="shared" si="72"/>
        <v>312</v>
      </c>
      <c r="K2177" t="str">
        <f t="shared" si="73"/>
        <v>271-360</v>
      </c>
      <c r="L2177" s="11">
        <v>45839</v>
      </c>
      <c r="M2177" s="23">
        <f>YEAR(Таблица1[[#This Row],[Дата отчета]])</f>
        <v>2025</v>
      </c>
    </row>
    <row r="2178" spans="1:13" x14ac:dyDescent="0.25">
      <c r="A2178" t="s">
        <v>12</v>
      </c>
      <c r="B2178" t="s">
        <v>561</v>
      </c>
      <c r="C2178" t="s">
        <v>1562</v>
      </c>
      <c r="D2178" t="s">
        <v>1563</v>
      </c>
      <c r="E2178" t="s">
        <v>1800</v>
      </c>
      <c r="F2178" s="20">
        <v>13920</v>
      </c>
      <c r="I2178" s="11">
        <f t="shared" si="71"/>
        <v>45512</v>
      </c>
      <c r="J2178" s="12">
        <f t="shared" si="72"/>
        <v>327</v>
      </c>
      <c r="K2178" t="str">
        <f t="shared" si="73"/>
        <v>271-360</v>
      </c>
      <c r="L2178" s="11">
        <v>45839</v>
      </c>
      <c r="M2178" s="23">
        <f>YEAR(Таблица1[[#This Row],[Дата отчета]])</f>
        <v>2025</v>
      </c>
    </row>
    <row r="2179" spans="1:13" x14ac:dyDescent="0.25">
      <c r="A2179" t="s">
        <v>12</v>
      </c>
      <c r="B2179" t="s">
        <v>561</v>
      </c>
      <c r="C2179" t="s">
        <v>1566</v>
      </c>
      <c r="D2179" t="s">
        <v>1567</v>
      </c>
      <c r="E2179" t="s">
        <v>1801</v>
      </c>
      <c r="F2179" s="20">
        <v>355885.99</v>
      </c>
      <c r="I2179" s="11">
        <f t="shared" si="71"/>
        <v>45524</v>
      </c>
      <c r="J2179" s="12">
        <f t="shared" si="72"/>
        <v>315</v>
      </c>
      <c r="K2179" t="str">
        <f t="shared" si="73"/>
        <v>271-360</v>
      </c>
      <c r="L2179" s="11">
        <v>45839</v>
      </c>
      <c r="M2179" s="23">
        <f>YEAR(Таблица1[[#This Row],[Дата отчета]])</f>
        <v>2025</v>
      </c>
    </row>
    <row r="2180" spans="1:13" x14ac:dyDescent="0.25">
      <c r="A2180" t="s">
        <v>12</v>
      </c>
      <c r="B2180" t="s">
        <v>561</v>
      </c>
      <c r="C2180" t="s">
        <v>1568</v>
      </c>
      <c r="D2180" t="s">
        <v>1569</v>
      </c>
      <c r="E2180" t="s">
        <v>1802</v>
      </c>
      <c r="F2180" s="20">
        <v>21441.599999999999</v>
      </c>
      <c r="I2180" s="11">
        <f t="shared" si="71"/>
        <v>45531</v>
      </c>
      <c r="J2180" s="12">
        <f t="shared" si="72"/>
        <v>308</v>
      </c>
      <c r="K2180" t="str">
        <f t="shared" si="73"/>
        <v>271-360</v>
      </c>
      <c r="L2180" s="11">
        <v>45839</v>
      </c>
      <c r="M2180" s="23">
        <f>YEAR(Таблица1[[#This Row],[Дата отчета]])</f>
        <v>2025</v>
      </c>
    </row>
    <row r="2181" spans="1:13" x14ac:dyDescent="0.25">
      <c r="A2181" t="s">
        <v>12</v>
      </c>
      <c r="B2181" t="s">
        <v>561</v>
      </c>
      <c r="C2181" t="s">
        <v>1570</v>
      </c>
      <c r="D2181" t="s">
        <v>1571</v>
      </c>
      <c r="E2181" t="s">
        <v>734</v>
      </c>
      <c r="F2181" s="20">
        <v>121190.09</v>
      </c>
      <c r="I2181" s="11">
        <f t="shared" si="71"/>
        <v>45541</v>
      </c>
      <c r="J2181" s="12">
        <f t="shared" si="72"/>
        <v>298</v>
      </c>
      <c r="K2181" t="str">
        <f t="shared" si="73"/>
        <v>271-360</v>
      </c>
      <c r="L2181" s="11">
        <v>45839</v>
      </c>
      <c r="M2181" s="23">
        <f>YEAR(Таблица1[[#This Row],[Дата отчета]])</f>
        <v>2025</v>
      </c>
    </row>
    <row r="2182" spans="1:13" x14ac:dyDescent="0.25">
      <c r="A2182" t="s">
        <v>12</v>
      </c>
      <c r="B2182" t="s">
        <v>561</v>
      </c>
      <c r="C2182" t="s">
        <v>1600</v>
      </c>
      <c r="D2182" t="s">
        <v>1601</v>
      </c>
      <c r="E2182" t="s">
        <v>1803</v>
      </c>
      <c r="F2182" s="20">
        <v>3399271.54</v>
      </c>
      <c r="I2182" s="11">
        <f t="shared" si="71"/>
        <v>45673</v>
      </c>
      <c r="J2182" s="12">
        <f t="shared" si="72"/>
        <v>166</v>
      </c>
      <c r="K2182" t="str">
        <f t="shared" si="73"/>
        <v>121-180</v>
      </c>
      <c r="L2182" s="11">
        <v>45839</v>
      </c>
      <c r="M2182" s="23">
        <f>YEAR(Таблица1[[#This Row],[Дата отчета]])</f>
        <v>2025</v>
      </c>
    </row>
    <row r="2183" spans="1:13" x14ac:dyDescent="0.25">
      <c r="A2183" t="s">
        <v>12</v>
      </c>
      <c r="B2183" t="s">
        <v>2194</v>
      </c>
      <c r="C2183" t="s">
        <v>2195</v>
      </c>
      <c r="D2183" t="s">
        <v>2196</v>
      </c>
      <c r="E2183" t="s">
        <v>1786</v>
      </c>
      <c r="F2183" s="20">
        <v>21760</v>
      </c>
      <c r="I2183" s="11">
        <f t="shared" si="71"/>
        <v>45832</v>
      </c>
      <c r="J2183" s="12">
        <f t="shared" si="72"/>
        <v>7</v>
      </c>
      <c r="K2183" t="str">
        <f t="shared" si="73"/>
        <v>0-30</v>
      </c>
      <c r="L2183" s="11">
        <v>45839</v>
      </c>
      <c r="M2183" s="23">
        <f>YEAR(Таблица1[[#This Row],[Дата отчета]])</f>
        <v>2025</v>
      </c>
    </row>
    <row r="2184" spans="1:13" x14ac:dyDescent="0.25">
      <c r="A2184" t="s">
        <v>12</v>
      </c>
      <c r="B2184" t="s">
        <v>2197</v>
      </c>
      <c r="C2184" t="s">
        <v>2198</v>
      </c>
      <c r="D2184" t="s">
        <v>2199</v>
      </c>
      <c r="E2184" t="s">
        <v>490</v>
      </c>
      <c r="F2184" s="20">
        <v>325000</v>
      </c>
      <c r="I2184" s="11">
        <f t="shared" si="71"/>
        <v>45631</v>
      </c>
      <c r="J2184" s="12">
        <f t="shared" si="72"/>
        <v>208</v>
      </c>
      <c r="K2184" t="str">
        <f t="shared" si="73"/>
        <v>181-270</v>
      </c>
      <c r="L2184" s="11">
        <v>45839</v>
      </c>
      <c r="M2184" s="23">
        <f>YEAR(Таблица1[[#This Row],[Дата отчета]])</f>
        <v>2025</v>
      </c>
    </row>
    <row r="2185" spans="1:13" x14ac:dyDescent="0.25">
      <c r="A2185" t="s">
        <v>12</v>
      </c>
      <c r="B2185" t="s">
        <v>2197</v>
      </c>
      <c r="C2185" t="s">
        <v>2200</v>
      </c>
      <c r="D2185" t="s">
        <v>2201</v>
      </c>
      <c r="E2185" t="s">
        <v>284</v>
      </c>
      <c r="F2185" s="20">
        <v>1207500</v>
      </c>
      <c r="I2185" s="11">
        <f t="shared" si="71"/>
        <v>45398</v>
      </c>
      <c r="J2185" s="12">
        <f t="shared" si="72"/>
        <v>441</v>
      </c>
      <c r="K2185" t="str">
        <f t="shared" si="73"/>
        <v>&gt;360</v>
      </c>
      <c r="L2185" s="11">
        <v>45839</v>
      </c>
      <c r="M2185" s="23">
        <f>YEAR(Таблица1[[#This Row],[Дата отчета]])</f>
        <v>2025</v>
      </c>
    </row>
    <row r="2186" spans="1:13" x14ac:dyDescent="0.25">
      <c r="A2186" t="s">
        <v>12</v>
      </c>
      <c r="B2186" t="s">
        <v>2197</v>
      </c>
      <c r="C2186" t="s">
        <v>2200</v>
      </c>
      <c r="D2186" t="s">
        <v>2202</v>
      </c>
      <c r="E2186" t="s">
        <v>2456</v>
      </c>
      <c r="F2186" s="20">
        <v>1207500</v>
      </c>
      <c r="I2186" s="11">
        <f t="shared" si="71"/>
        <v>45597</v>
      </c>
      <c r="J2186" s="12">
        <f t="shared" si="72"/>
        <v>242</v>
      </c>
      <c r="K2186" t="str">
        <f t="shared" si="73"/>
        <v>181-270</v>
      </c>
      <c r="L2186" s="11">
        <v>45839</v>
      </c>
      <c r="M2186" s="23">
        <f>YEAR(Таблица1[[#This Row],[Дата отчета]])</f>
        <v>2025</v>
      </c>
    </row>
    <row r="2187" spans="1:13" x14ac:dyDescent="0.25">
      <c r="A2187" t="s">
        <v>12</v>
      </c>
      <c r="B2187" t="s">
        <v>589</v>
      </c>
      <c r="C2187" t="s">
        <v>590</v>
      </c>
      <c r="D2187" t="s">
        <v>2203</v>
      </c>
      <c r="E2187" t="s">
        <v>2457</v>
      </c>
      <c r="F2187" s="20">
        <v>352.02</v>
      </c>
      <c r="I2187" s="11">
        <f t="shared" si="71"/>
        <v>45721</v>
      </c>
      <c r="J2187" s="12">
        <f t="shared" si="72"/>
        <v>118</v>
      </c>
      <c r="K2187" t="str">
        <f t="shared" si="73"/>
        <v>91-120</v>
      </c>
      <c r="L2187" s="11">
        <v>45839</v>
      </c>
      <c r="M2187" s="23">
        <f>YEAR(Таблица1[[#This Row],[Дата отчета]])</f>
        <v>2025</v>
      </c>
    </row>
    <row r="2188" spans="1:13" x14ac:dyDescent="0.25">
      <c r="A2188" t="s">
        <v>12</v>
      </c>
      <c r="B2188" t="s">
        <v>589</v>
      </c>
      <c r="C2188" t="s">
        <v>590</v>
      </c>
      <c r="D2188" t="s">
        <v>2204</v>
      </c>
      <c r="E2188" t="s">
        <v>123</v>
      </c>
      <c r="F2188" s="20">
        <v>1000</v>
      </c>
      <c r="I2188" s="11">
        <f t="shared" si="71"/>
        <v>45782</v>
      </c>
      <c r="J2188" s="12">
        <f t="shared" si="72"/>
        <v>57</v>
      </c>
      <c r="K2188" t="str">
        <f t="shared" si="73"/>
        <v>31-90</v>
      </c>
      <c r="L2188" s="11">
        <v>45839</v>
      </c>
      <c r="M2188" s="23">
        <f>YEAR(Таблица1[[#This Row],[Дата отчета]])</f>
        <v>2025</v>
      </c>
    </row>
    <row r="2189" spans="1:13" x14ac:dyDescent="0.25">
      <c r="A2189" t="s">
        <v>12</v>
      </c>
      <c r="B2189" t="s">
        <v>589</v>
      </c>
      <c r="C2189" t="s">
        <v>594</v>
      </c>
      <c r="D2189" t="s">
        <v>2205</v>
      </c>
      <c r="E2189" t="s">
        <v>123</v>
      </c>
      <c r="F2189" s="20">
        <v>1285.19</v>
      </c>
      <c r="I2189" s="11">
        <f t="shared" si="71"/>
        <v>45782</v>
      </c>
      <c r="J2189" s="12">
        <f t="shared" si="72"/>
        <v>57</v>
      </c>
      <c r="K2189" t="str">
        <f t="shared" si="73"/>
        <v>31-90</v>
      </c>
      <c r="L2189" s="11">
        <v>45839</v>
      </c>
      <c r="M2189" s="23">
        <f>YEAR(Таблица1[[#This Row],[Дата отчета]])</f>
        <v>2025</v>
      </c>
    </row>
    <row r="2190" spans="1:13" x14ac:dyDescent="0.25">
      <c r="A2190" t="s">
        <v>12</v>
      </c>
      <c r="B2190" t="s">
        <v>589</v>
      </c>
      <c r="C2190" t="s">
        <v>596</v>
      </c>
      <c r="D2190" t="s">
        <v>1606</v>
      </c>
      <c r="E2190" t="s">
        <v>520</v>
      </c>
      <c r="F2190" s="20">
        <v>7235.35</v>
      </c>
      <c r="I2190" s="11">
        <f t="shared" si="71"/>
        <v>45811</v>
      </c>
      <c r="J2190" s="12">
        <f t="shared" si="72"/>
        <v>28</v>
      </c>
      <c r="K2190" t="str">
        <f t="shared" si="73"/>
        <v>0-30</v>
      </c>
      <c r="L2190" s="11">
        <v>45839</v>
      </c>
      <c r="M2190" s="23">
        <f>YEAR(Таблица1[[#This Row],[Дата отчета]])</f>
        <v>2025</v>
      </c>
    </row>
    <row r="2191" spans="1:13" x14ac:dyDescent="0.25">
      <c r="A2191" t="s">
        <v>12</v>
      </c>
      <c r="B2191" t="s">
        <v>589</v>
      </c>
      <c r="C2191" t="s">
        <v>598</v>
      </c>
      <c r="D2191" t="s">
        <v>599</v>
      </c>
      <c r="E2191" t="s">
        <v>600</v>
      </c>
      <c r="F2191" s="20">
        <v>45.91</v>
      </c>
      <c r="I2191" s="11">
        <f t="shared" si="71"/>
        <v>43560</v>
      </c>
      <c r="J2191" s="12">
        <f t="shared" si="72"/>
        <v>2279</v>
      </c>
      <c r="K2191" t="str">
        <f t="shared" si="73"/>
        <v>&gt;360</v>
      </c>
      <c r="L2191" s="11">
        <v>45839</v>
      </c>
      <c r="M2191" s="23">
        <f>YEAR(Таблица1[[#This Row],[Дата отчета]])</f>
        <v>2025</v>
      </c>
    </row>
    <row r="2192" spans="1:13" x14ac:dyDescent="0.25">
      <c r="A2192" t="s">
        <v>12</v>
      </c>
      <c r="B2192" t="s">
        <v>589</v>
      </c>
      <c r="C2192" t="s">
        <v>601</v>
      </c>
      <c r="D2192" t="s">
        <v>2206</v>
      </c>
      <c r="E2192" t="s">
        <v>673</v>
      </c>
      <c r="F2192" s="20">
        <v>2225.86</v>
      </c>
      <c r="I2192" s="11">
        <f t="shared" si="71"/>
        <v>45775</v>
      </c>
      <c r="J2192" s="12">
        <f t="shared" si="72"/>
        <v>64</v>
      </c>
      <c r="K2192" t="str">
        <f t="shared" si="73"/>
        <v>31-90</v>
      </c>
      <c r="L2192" s="11">
        <v>45839</v>
      </c>
      <c r="M2192" s="23">
        <f>YEAR(Таблица1[[#This Row],[Дата отчета]])</f>
        <v>2025</v>
      </c>
    </row>
    <row r="2193" spans="1:13" x14ac:dyDescent="0.25">
      <c r="A2193" t="s">
        <v>12</v>
      </c>
      <c r="B2193" t="s">
        <v>589</v>
      </c>
      <c r="C2193" t="s">
        <v>601</v>
      </c>
      <c r="D2193" t="s">
        <v>1607</v>
      </c>
      <c r="E2193" t="s">
        <v>123</v>
      </c>
      <c r="F2193" s="20">
        <v>2000</v>
      </c>
      <c r="I2193" s="11">
        <f t="shared" si="71"/>
        <v>45782</v>
      </c>
      <c r="J2193" s="12">
        <f t="shared" si="72"/>
        <v>57</v>
      </c>
      <c r="K2193" t="str">
        <f t="shared" si="73"/>
        <v>31-90</v>
      </c>
      <c r="L2193" s="11">
        <v>45839</v>
      </c>
      <c r="M2193" s="23">
        <f>YEAR(Таблица1[[#This Row],[Дата отчета]])</f>
        <v>2025</v>
      </c>
    </row>
    <row r="2194" spans="1:13" x14ac:dyDescent="0.25">
      <c r="A2194" t="s">
        <v>12</v>
      </c>
      <c r="B2194" t="s">
        <v>589</v>
      </c>
      <c r="C2194" t="s">
        <v>604</v>
      </c>
      <c r="D2194" t="s">
        <v>1609</v>
      </c>
      <c r="E2194" t="s">
        <v>1804</v>
      </c>
      <c r="F2194" s="20">
        <v>180.63</v>
      </c>
      <c r="I2194" s="11">
        <f t="shared" si="71"/>
        <v>45477</v>
      </c>
      <c r="J2194" s="12">
        <f t="shared" si="72"/>
        <v>362</v>
      </c>
      <c r="K2194" t="str">
        <f t="shared" si="73"/>
        <v>&gt;360</v>
      </c>
      <c r="L2194" s="11">
        <v>45839</v>
      </c>
      <c r="M2194" s="23">
        <f>YEAR(Таблица1[[#This Row],[Дата отчета]])</f>
        <v>2025</v>
      </c>
    </row>
    <row r="2195" spans="1:13" x14ac:dyDescent="0.25">
      <c r="A2195" t="s">
        <v>12</v>
      </c>
      <c r="B2195" t="s">
        <v>589</v>
      </c>
      <c r="C2195" t="s">
        <v>607</v>
      </c>
      <c r="D2195" t="s">
        <v>608</v>
      </c>
      <c r="E2195" t="s">
        <v>609</v>
      </c>
      <c r="F2195" s="20">
        <v>771.25</v>
      </c>
      <c r="I2195" s="11">
        <f t="shared" si="71"/>
        <v>45233</v>
      </c>
      <c r="J2195" s="12">
        <f t="shared" si="72"/>
        <v>606</v>
      </c>
      <c r="K2195" t="str">
        <f t="shared" si="73"/>
        <v>&gt;360</v>
      </c>
      <c r="L2195" s="11">
        <v>45839</v>
      </c>
      <c r="M2195" s="23">
        <f>YEAR(Таблица1[[#This Row],[Дата отчета]])</f>
        <v>2025</v>
      </c>
    </row>
    <row r="2196" spans="1:13" x14ac:dyDescent="0.25">
      <c r="A2196" t="s">
        <v>12</v>
      </c>
      <c r="B2196" t="s">
        <v>589</v>
      </c>
      <c r="C2196" t="s">
        <v>607</v>
      </c>
      <c r="D2196" t="s">
        <v>610</v>
      </c>
      <c r="E2196" t="s">
        <v>611</v>
      </c>
      <c r="F2196" s="20">
        <v>500</v>
      </c>
      <c r="I2196" s="11">
        <f t="shared" si="71"/>
        <v>45335</v>
      </c>
      <c r="J2196" s="12">
        <f t="shared" si="72"/>
        <v>504</v>
      </c>
      <c r="K2196" t="str">
        <f t="shared" si="73"/>
        <v>&gt;360</v>
      </c>
      <c r="L2196" s="11">
        <v>45839</v>
      </c>
      <c r="M2196" s="23">
        <f>YEAR(Таблица1[[#This Row],[Дата отчета]])</f>
        <v>2025</v>
      </c>
    </row>
    <row r="2197" spans="1:13" x14ac:dyDescent="0.25">
      <c r="A2197" t="s">
        <v>12</v>
      </c>
      <c r="B2197" t="s">
        <v>589</v>
      </c>
      <c r="C2197" t="s">
        <v>612</v>
      </c>
      <c r="D2197" t="s">
        <v>1610</v>
      </c>
      <c r="E2197" t="s">
        <v>123</v>
      </c>
      <c r="F2197" s="20">
        <v>4341.47</v>
      </c>
      <c r="I2197" s="11">
        <f t="shared" si="71"/>
        <v>45782</v>
      </c>
      <c r="J2197" s="12">
        <f t="shared" si="72"/>
        <v>57</v>
      </c>
      <c r="K2197" t="str">
        <f t="shared" si="73"/>
        <v>31-90</v>
      </c>
      <c r="L2197" s="11">
        <v>45839</v>
      </c>
      <c r="M2197" s="23">
        <f>YEAR(Таблица1[[#This Row],[Дата отчета]])</f>
        <v>2025</v>
      </c>
    </row>
    <row r="2198" spans="1:13" x14ac:dyDescent="0.25">
      <c r="A2198" t="s">
        <v>12</v>
      </c>
      <c r="B2198" t="s">
        <v>589</v>
      </c>
      <c r="C2198" t="s">
        <v>615</v>
      </c>
      <c r="D2198" t="s">
        <v>616</v>
      </c>
      <c r="E2198" t="s">
        <v>617</v>
      </c>
      <c r="F2198" s="20">
        <v>127.6</v>
      </c>
      <c r="I2198" s="11">
        <f t="shared" si="71"/>
        <v>42468</v>
      </c>
      <c r="J2198" s="12">
        <f t="shared" si="72"/>
        <v>3371</v>
      </c>
      <c r="K2198" t="str">
        <f t="shared" si="73"/>
        <v>&gt;360</v>
      </c>
      <c r="L2198" s="11">
        <v>45839</v>
      </c>
      <c r="M2198" s="23">
        <f>YEAR(Таблица1[[#This Row],[Дата отчета]])</f>
        <v>2025</v>
      </c>
    </row>
    <row r="2199" spans="1:13" x14ac:dyDescent="0.25">
      <c r="A2199" t="s">
        <v>12</v>
      </c>
      <c r="B2199" t="s">
        <v>589</v>
      </c>
      <c r="C2199" t="s">
        <v>615</v>
      </c>
      <c r="D2199" t="s">
        <v>618</v>
      </c>
      <c r="E2199" t="s">
        <v>619</v>
      </c>
      <c r="F2199" s="20">
        <v>430</v>
      </c>
      <c r="I2199" s="11">
        <f t="shared" si="71"/>
        <v>42501</v>
      </c>
      <c r="J2199" s="12">
        <f t="shared" si="72"/>
        <v>3338</v>
      </c>
      <c r="K2199" t="str">
        <f t="shared" si="73"/>
        <v>&gt;360</v>
      </c>
      <c r="L2199" s="11">
        <v>45839</v>
      </c>
      <c r="M2199" s="23">
        <f>YEAR(Таблица1[[#This Row],[Дата отчета]])</f>
        <v>2025</v>
      </c>
    </row>
    <row r="2200" spans="1:13" x14ac:dyDescent="0.25">
      <c r="A2200" t="s">
        <v>12</v>
      </c>
      <c r="B2200" t="s">
        <v>589</v>
      </c>
      <c r="C2200" t="s">
        <v>615</v>
      </c>
      <c r="D2200" t="s">
        <v>620</v>
      </c>
      <c r="E2200" t="s">
        <v>621</v>
      </c>
      <c r="F2200" s="20">
        <v>0.01</v>
      </c>
      <c r="I2200" s="11">
        <f t="shared" si="71"/>
        <v>43817</v>
      </c>
      <c r="J2200" s="12">
        <f t="shared" si="72"/>
        <v>2022</v>
      </c>
      <c r="K2200" t="str">
        <f t="shared" si="73"/>
        <v>&gt;360</v>
      </c>
      <c r="L2200" s="11">
        <v>45839</v>
      </c>
      <c r="M2200" s="23">
        <f>YEAR(Таблица1[[#This Row],[Дата отчета]])</f>
        <v>2025</v>
      </c>
    </row>
    <row r="2201" spans="1:13" x14ac:dyDescent="0.25">
      <c r="A2201" t="s">
        <v>12</v>
      </c>
      <c r="B2201" t="s">
        <v>589</v>
      </c>
      <c r="C2201" t="s">
        <v>622</v>
      </c>
      <c r="F2201" s="20">
        <v>68.27</v>
      </c>
      <c r="I2201" s="11">
        <f t="shared" si="71"/>
        <v>0</v>
      </c>
      <c r="J2201" s="12">
        <f t="shared" si="72"/>
        <v>45839</v>
      </c>
      <c r="K2201" t="str">
        <f t="shared" si="73"/>
        <v>&gt;360</v>
      </c>
      <c r="L2201" s="11">
        <v>45839</v>
      </c>
      <c r="M2201" s="23">
        <f>YEAR(Таблица1[[#This Row],[Дата отчета]])</f>
        <v>2025</v>
      </c>
    </row>
    <row r="2202" spans="1:13" x14ac:dyDescent="0.25">
      <c r="A2202" t="s">
        <v>12</v>
      </c>
      <c r="B2202" t="s">
        <v>589</v>
      </c>
      <c r="C2202" t="s">
        <v>623</v>
      </c>
      <c r="D2202" t="s">
        <v>624</v>
      </c>
      <c r="E2202" t="s">
        <v>625</v>
      </c>
      <c r="F2202" s="20">
        <v>799.94</v>
      </c>
      <c r="I2202" s="11">
        <f t="shared" si="71"/>
        <v>42429</v>
      </c>
      <c r="J2202" s="12">
        <f t="shared" si="72"/>
        <v>3410</v>
      </c>
      <c r="K2202" t="str">
        <f t="shared" si="73"/>
        <v>&gt;360</v>
      </c>
      <c r="L2202" s="11">
        <v>45839</v>
      </c>
      <c r="M2202" s="23">
        <f>YEAR(Таблица1[[#This Row],[Дата отчета]])</f>
        <v>2025</v>
      </c>
    </row>
    <row r="2203" spans="1:13" x14ac:dyDescent="0.25">
      <c r="A2203" t="s">
        <v>12</v>
      </c>
      <c r="B2203" t="s">
        <v>589</v>
      </c>
      <c r="C2203" t="s">
        <v>626</v>
      </c>
      <c r="D2203" t="s">
        <v>2207</v>
      </c>
      <c r="E2203" t="s">
        <v>2457</v>
      </c>
      <c r="F2203" s="20">
        <v>1601.96</v>
      </c>
      <c r="I2203" s="11">
        <f t="shared" si="71"/>
        <v>45721</v>
      </c>
      <c r="J2203" s="12">
        <f t="shared" si="72"/>
        <v>118</v>
      </c>
      <c r="K2203" t="str">
        <f t="shared" si="73"/>
        <v>91-120</v>
      </c>
      <c r="L2203" s="11">
        <v>45839</v>
      </c>
      <c r="M2203" s="23">
        <f>YEAR(Таблица1[[#This Row],[Дата отчета]])</f>
        <v>2025</v>
      </c>
    </row>
    <row r="2204" spans="1:13" x14ac:dyDescent="0.25">
      <c r="A2204" t="s">
        <v>12</v>
      </c>
      <c r="B2204" t="s">
        <v>589</v>
      </c>
      <c r="C2204" t="s">
        <v>626</v>
      </c>
      <c r="D2204" t="s">
        <v>2208</v>
      </c>
      <c r="E2204" t="s">
        <v>123</v>
      </c>
      <c r="F2204" s="20">
        <v>5000</v>
      </c>
      <c r="I2204" s="11">
        <f t="shared" si="71"/>
        <v>45782</v>
      </c>
      <c r="J2204" s="12">
        <f t="shared" si="72"/>
        <v>57</v>
      </c>
      <c r="K2204" t="str">
        <f t="shared" si="73"/>
        <v>31-90</v>
      </c>
      <c r="L2204" s="11">
        <v>45839</v>
      </c>
      <c r="M2204" s="23">
        <f>YEAR(Таблица1[[#This Row],[Дата отчета]])</f>
        <v>2025</v>
      </c>
    </row>
    <row r="2205" spans="1:13" x14ac:dyDescent="0.25">
      <c r="A2205" t="s">
        <v>12</v>
      </c>
      <c r="B2205" t="s">
        <v>1615</v>
      </c>
      <c r="C2205" t="s">
        <v>269</v>
      </c>
      <c r="D2205" t="s">
        <v>1524</v>
      </c>
      <c r="E2205" t="s">
        <v>1765</v>
      </c>
      <c r="F2205" s="20">
        <v>6300</v>
      </c>
      <c r="I2205" s="11">
        <f t="shared" si="71"/>
        <v>45735</v>
      </c>
      <c r="J2205" s="12">
        <f t="shared" si="72"/>
        <v>104</v>
      </c>
      <c r="K2205" t="str">
        <f t="shared" si="73"/>
        <v>91-120</v>
      </c>
      <c r="L2205" s="11">
        <v>45839</v>
      </c>
      <c r="M2205" s="23">
        <f>YEAR(Таблица1[[#This Row],[Дата отчета]])</f>
        <v>2025</v>
      </c>
    </row>
    <row r="2206" spans="1:13" x14ac:dyDescent="0.25">
      <c r="A2206" t="s">
        <v>12</v>
      </c>
      <c r="B2206" t="s">
        <v>1615</v>
      </c>
      <c r="C2206" t="s">
        <v>269</v>
      </c>
      <c r="D2206" t="s">
        <v>1616</v>
      </c>
      <c r="E2206" t="s">
        <v>1113</v>
      </c>
      <c r="F2206" s="20">
        <v>630</v>
      </c>
      <c r="I2206" s="11">
        <f t="shared" si="71"/>
        <v>45737</v>
      </c>
      <c r="J2206" s="12">
        <f t="shared" si="72"/>
        <v>102</v>
      </c>
      <c r="K2206" t="str">
        <f t="shared" si="73"/>
        <v>91-120</v>
      </c>
      <c r="L2206" s="11">
        <v>45839</v>
      </c>
      <c r="M2206" s="23">
        <f>YEAR(Таблица1[[#This Row],[Дата отчета]])</f>
        <v>2025</v>
      </c>
    </row>
    <row r="2207" spans="1:13" x14ac:dyDescent="0.25">
      <c r="A2207" t="s">
        <v>12</v>
      </c>
      <c r="B2207" t="s">
        <v>1615</v>
      </c>
      <c r="C2207" t="s">
        <v>269</v>
      </c>
      <c r="D2207" t="s">
        <v>1864</v>
      </c>
      <c r="E2207" t="s">
        <v>1256</v>
      </c>
      <c r="F2207" s="20">
        <v>2350</v>
      </c>
      <c r="I2207" s="11">
        <f t="shared" si="71"/>
        <v>45754</v>
      </c>
      <c r="J2207" s="12">
        <f t="shared" si="72"/>
        <v>85</v>
      </c>
      <c r="K2207" t="str">
        <f t="shared" si="73"/>
        <v>31-90</v>
      </c>
      <c r="L2207" s="11">
        <v>45839</v>
      </c>
      <c r="M2207" s="23">
        <f>YEAR(Таблица1[[#This Row],[Дата отчета]])</f>
        <v>2025</v>
      </c>
    </row>
    <row r="2208" spans="1:13" x14ac:dyDescent="0.25">
      <c r="A2208" t="s">
        <v>12</v>
      </c>
      <c r="B2208" t="s">
        <v>1615</v>
      </c>
      <c r="C2208" t="s">
        <v>269</v>
      </c>
      <c r="D2208" t="s">
        <v>1913</v>
      </c>
      <c r="E2208" t="s">
        <v>1256</v>
      </c>
      <c r="F2208" s="20">
        <v>3520</v>
      </c>
      <c r="I2208" s="11">
        <f t="shared" si="71"/>
        <v>45754</v>
      </c>
      <c r="J2208" s="12">
        <f t="shared" si="72"/>
        <v>85</v>
      </c>
      <c r="K2208" t="str">
        <f t="shared" si="73"/>
        <v>31-90</v>
      </c>
      <c r="L2208" s="11">
        <v>45839</v>
      </c>
      <c r="M2208" s="23">
        <f>YEAR(Таблица1[[#This Row],[Дата отчета]])</f>
        <v>2025</v>
      </c>
    </row>
    <row r="2209" spans="1:13" x14ac:dyDescent="0.25">
      <c r="A2209" t="s">
        <v>12</v>
      </c>
      <c r="B2209" t="s">
        <v>1615</v>
      </c>
      <c r="C2209" t="s">
        <v>269</v>
      </c>
      <c r="D2209" t="s">
        <v>1865</v>
      </c>
      <c r="E2209" t="s">
        <v>2435</v>
      </c>
      <c r="F2209" s="20">
        <v>1600</v>
      </c>
      <c r="I2209" s="11">
        <f t="shared" ref="I2209:I2272" si="74">E2209*1</f>
        <v>45765</v>
      </c>
      <c r="J2209" s="12">
        <f t="shared" ref="J2209:J2272" si="75">L2209-I2209</f>
        <v>74</v>
      </c>
      <c r="K2209" t="str">
        <f t="shared" si="73"/>
        <v>31-90</v>
      </c>
      <c r="L2209" s="11">
        <v>45839</v>
      </c>
      <c r="M2209" s="23">
        <f>YEAR(Таблица1[[#This Row],[Дата отчета]])</f>
        <v>2025</v>
      </c>
    </row>
    <row r="2210" spans="1:13" x14ac:dyDescent="0.25">
      <c r="A2210" t="s">
        <v>12</v>
      </c>
      <c r="B2210" t="s">
        <v>1615</v>
      </c>
      <c r="C2210" t="s">
        <v>269</v>
      </c>
      <c r="D2210" t="s">
        <v>1919</v>
      </c>
      <c r="E2210" t="s">
        <v>123</v>
      </c>
      <c r="F2210" s="20">
        <v>3600</v>
      </c>
      <c r="I2210" s="11">
        <f t="shared" si="74"/>
        <v>45782</v>
      </c>
      <c r="J2210" s="12">
        <f t="shared" si="75"/>
        <v>57</v>
      </c>
      <c r="K2210" t="str">
        <f t="shared" si="73"/>
        <v>31-90</v>
      </c>
      <c r="L2210" s="11">
        <v>45839</v>
      </c>
      <c r="M2210" s="23">
        <f>YEAR(Таблица1[[#This Row],[Дата отчета]])</f>
        <v>2025</v>
      </c>
    </row>
    <row r="2211" spans="1:13" x14ac:dyDescent="0.25">
      <c r="A2211" t="s">
        <v>12</v>
      </c>
      <c r="B2211" t="s">
        <v>1615</v>
      </c>
      <c r="C2211" t="s">
        <v>269</v>
      </c>
      <c r="D2211" t="s">
        <v>1866</v>
      </c>
      <c r="E2211" t="s">
        <v>2430</v>
      </c>
      <c r="F2211" s="20">
        <v>10848</v>
      </c>
      <c r="I2211" s="11">
        <f t="shared" si="74"/>
        <v>45790</v>
      </c>
      <c r="J2211" s="12">
        <f t="shared" si="75"/>
        <v>49</v>
      </c>
      <c r="K2211" t="str">
        <f t="shared" si="73"/>
        <v>31-90</v>
      </c>
      <c r="L2211" s="11">
        <v>45839</v>
      </c>
      <c r="M2211" s="23">
        <f>YEAR(Таблица1[[#This Row],[Дата отчета]])</f>
        <v>2025</v>
      </c>
    </row>
    <row r="2212" spans="1:13" x14ac:dyDescent="0.25">
      <c r="A2212" t="s">
        <v>12</v>
      </c>
      <c r="B2212" t="s">
        <v>1615</v>
      </c>
      <c r="C2212" t="s">
        <v>269</v>
      </c>
      <c r="D2212" t="s">
        <v>1617</v>
      </c>
      <c r="E2212" t="s">
        <v>761</v>
      </c>
      <c r="F2212" s="20">
        <v>560</v>
      </c>
      <c r="I2212" s="11">
        <f t="shared" si="74"/>
        <v>45803</v>
      </c>
      <c r="J2212" s="12">
        <f t="shared" si="75"/>
        <v>36</v>
      </c>
      <c r="K2212" t="str">
        <f t="shared" si="73"/>
        <v>31-90</v>
      </c>
      <c r="L2212" s="11">
        <v>45839</v>
      </c>
      <c r="M2212" s="23">
        <f>YEAR(Таблица1[[#This Row],[Дата отчета]])</f>
        <v>2025</v>
      </c>
    </row>
    <row r="2213" spans="1:13" x14ac:dyDescent="0.25">
      <c r="A2213" t="s">
        <v>12</v>
      </c>
      <c r="B2213" t="s">
        <v>1615</v>
      </c>
      <c r="C2213" t="s">
        <v>269</v>
      </c>
      <c r="D2213" t="s">
        <v>2209</v>
      </c>
      <c r="E2213" t="s">
        <v>2453</v>
      </c>
      <c r="F2213" s="20">
        <v>4892</v>
      </c>
      <c r="I2213" s="11">
        <f t="shared" si="74"/>
        <v>45806</v>
      </c>
      <c r="J2213" s="12">
        <f t="shared" si="75"/>
        <v>33</v>
      </c>
      <c r="K2213" t="str">
        <f t="shared" si="73"/>
        <v>31-90</v>
      </c>
      <c r="L2213" s="11">
        <v>45839</v>
      </c>
      <c r="M2213" s="23">
        <f>YEAR(Таблица1[[#This Row],[Дата отчета]])</f>
        <v>2025</v>
      </c>
    </row>
    <row r="2214" spans="1:13" x14ac:dyDescent="0.25">
      <c r="A2214" t="s">
        <v>12</v>
      </c>
      <c r="B2214" t="s">
        <v>1615</v>
      </c>
      <c r="C2214" t="s">
        <v>269</v>
      </c>
      <c r="D2214" t="s">
        <v>2210</v>
      </c>
      <c r="E2214" t="s">
        <v>532</v>
      </c>
      <c r="F2214" s="20">
        <v>1500</v>
      </c>
      <c r="I2214" s="11">
        <f t="shared" si="74"/>
        <v>45813</v>
      </c>
      <c r="J2214" s="12">
        <f t="shared" si="75"/>
        <v>26</v>
      </c>
      <c r="K2214" t="str">
        <f t="shared" si="73"/>
        <v>0-30</v>
      </c>
      <c r="L2214" s="11">
        <v>45839</v>
      </c>
      <c r="M2214" s="23">
        <f>YEAR(Таблица1[[#This Row],[Дата отчета]])</f>
        <v>2025</v>
      </c>
    </row>
    <row r="2215" spans="1:13" x14ac:dyDescent="0.25">
      <c r="A2215" t="s">
        <v>12</v>
      </c>
      <c r="B2215" t="s">
        <v>1615</v>
      </c>
      <c r="C2215" t="s">
        <v>269</v>
      </c>
      <c r="D2215" t="s">
        <v>2211</v>
      </c>
      <c r="E2215" t="s">
        <v>1813</v>
      </c>
      <c r="F2215" s="20">
        <v>1780</v>
      </c>
      <c r="I2215" s="11">
        <f t="shared" si="74"/>
        <v>45814</v>
      </c>
      <c r="J2215" s="12">
        <f t="shared" si="75"/>
        <v>25</v>
      </c>
      <c r="K2215" t="str">
        <f t="shared" si="73"/>
        <v>0-30</v>
      </c>
      <c r="L2215" s="11">
        <v>45839</v>
      </c>
      <c r="M2215" s="23">
        <f>YEAR(Таблица1[[#This Row],[Дата отчета]])</f>
        <v>2025</v>
      </c>
    </row>
    <row r="2216" spans="1:13" x14ac:dyDescent="0.25">
      <c r="A2216" t="s">
        <v>12</v>
      </c>
      <c r="B2216" t="s">
        <v>1615</v>
      </c>
      <c r="C2216" t="s">
        <v>269</v>
      </c>
      <c r="D2216" t="s">
        <v>2079</v>
      </c>
      <c r="E2216" t="s">
        <v>1039</v>
      </c>
      <c r="F2216" s="20">
        <v>3600</v>
      </c>
      <c r="I2216" s="11">
        <f t="shared" si="74"/>
        <v>45831</v>
      </c>
      <c r="J2216" s="12">
        <f t="shared" si="75"/>
        <v>8</v>
      </c>
      <c r="K2216" t="str">
        <f t="shared" si="73"/>
        <v>0-30</v>
      </c>
      <c r="L2216" s="11">
        <v>45839</v>
      </c>
      <c r="M2216" s="23">
        <f>YEAR(Таблица1[[#This Row],[Дата отчета]])</f>
        <v>2025</v>
      </c>
    </row>
    <row r="2217" spans="1:13" x14ac:dyDescent="0.25">
      <c r="A2217" t="s">
        <v>12</v>
      </c>
      <c r="B2217" t="s">
        <v>1615</v>
      </c>
      <c r="C2217" t="s">
        <v>269</v>
      </c>
      <c r="D2217" t="s">
        <v>1618</v>
      </c>
      <c r="E2217" t="s">
        <v>415</v>
      </c>
      <c r="F2217" s="20">
        <v>3170</v>
      </c>
      <c r="I2217" s="11">
        <f t="shared" si="74"/>
        <v>45833</v>
      </c>
      <c r="J2217" s="12">
        <f t="shared" si="75"/>
        <v>6</v>
      </c>
      <c r="K2217" t="str">
        <f t="shared" si="73"/>
        <v>0-30</v>
      </c>
      <c r="L2217" s="11">
        <v>45839</v>
      </c>
      <c r="M2217" s="23">
        <f>YEAR(Таблица1[[#This Row],[Дата отчета]])</f>
        <v>2025</v>
      </c>
    </row>
    <row r="2218" spans="1:13" x14ac:dyDescent="0.25">
      <c r="A2218" t="s">
        <v>12</v>
      </c>
      <c r="B2218" t="s">
        <v>1615</v>
      </c>
      <c r="C2218" t="s">
        <v>2212</v>
      </c>
      <c r="D2218" t="s">
        <v>2213</v>
      </c>
      <c r="E2218" t="s">
        <v>183</v>
      </c>
      <c r="F2218" s="20">
        <v>2440</v>
      </c>
      <c r="I2218" s="11">
        <f t="shared" si="74"/>
        <v>45817</v>
      </c>
      <c r="J2218" s="12">
        <f t="shared" si="75"/>
        <v>22</v>
      </c>
      <c r="K2218" t="str">
        <f t="shared" si="73"/>
        <v>0-30</v>
      </c>
      <c r="L2218" s="11">
        <v>45839</v>
      </c>
      <c r="M2218" s="23">
        <f>YEAR(Таблица1[[#This Row],[Дата отчета]])</f>
        <v>2025</v>
      </c>
    </row>
    <row r="2219" spans="1:13" x14ac:dyDescent="0.25">
      <c r="A2219" t="s">
        <v>12</v>
      </c>
      <c r="B2219" t="s">
        <v>1615</v>
      </c>
      <c r="C2219" t="s">
        <v>2214</v>
      </c>
      <c r="D2219" t="s">
        <v>2215</v>
      </c>
      <c r="E2219" t="s">
        <v>2433</v>
      </c>
      <c r="F2219" s="20">
        <v>335277</v>
      </c>
      <c r="I2219" s="11">
        <f t="shared" si="74"/>
        <v>45769</v>
      </c>
      <c r="J2219" s="12">
        <f t="shared" si="75"/>
        <v>70</v>
      </c>
      <c r="K2219" t="str">
        <f t="shared" si="73"/>
        <v>31-90</v>
      </c>
      <c r="L2219" s="11">
        <v>45839</v>
      </c>
      <c r="M2219" s="23">
        <f>YEAR(Таблица1[[#This Row],[Дата отчета]])</f>
        <v>2025</v>
      </c>
    </row>
    <row r="2220" spans="1:13" x14ac:dyDescent="0.25">
      <c r="A2220" t="s">
        <v>12</v>
      </c>
      <c r="B2220" t="s">
        <v>2216</v>
      </c>
      <c r="C2220" t="s">
        <v>269</v>
      </c>
      <c r="D2220" t="s">
        <v>2217</v>
      </c>
      <c r="E2220" t="s">
        <v>1805</v>
      </c>
      <c r="F2220" s="20">
        <v>6000</v>
      </c>
      <c r="I2220" s="11">
        <f t="shared" si="74"/>
        <v>45777</v>
      </c>
      <c r="J2220" s="12">
        <f t="shared" si="75"/>
        <v>62</v>
      </c>
      <c r="K2220" t="str">
        <f t="shared" si="73"/>
        <v>31-90</v>
      </c>
      <c r="L2220" s="11">
        <v>45839</v>
      </c>
      <c r="M2220" s="23">
        <f>YEAR(Таблица1[[#This Row],[Дата отчета]])</f>
        <v>2025</v>
      </c>
    </row>
    <row r="2221" spans="1:13" x14ac:dyDescent="0.25">
      <c r="A2221" t="s">
        <v>12</v>
      </c>
      <c r="B2221" t="s">
        <v>2218</v>
      </c>
      <c r="C2221" t="s">
        <v>2219</v>
      </c>
      <c r="D2221" t="s">
        <v>2220</v>
      </c>
      <c r="E2221" t="s">
        <v>1786</v>
      </c>
      <c r="F2221" s="20">
        <v>1228658.3999999999</v>
      </c>
      <c r="I2221" s="11">
        <f t="shared" si="74"/>
        <v>45832</v>
      </c>
      <c r="J2221" s="12">
        <f t="shared" si="75"/>
        <v>7</v>
      </c>
      <c r="K2221" t="str">
        <f t="shared" si="73"/>
        <v>0-30</v>
      </c>
      <c r="L2221" s="11">
        <v>45839</v>
      </c>
      <c r="M2221" s="23">
        <f>YEAR(Таблица1[[#This Row],[Дата отчета]])</f>
        <v>2025</v>
      </c>
    </row>
    <row r="2222" spans="1:13" x14ac:dyDescent="0.25">
      <c r="A2222" t="s">
        <v>12</v>
      </c>
      <c r="B2222" t="s">
        <v>2221</v>
      </c>
      <c r="C2222" t="s">
        <v>2222</v>
      </c>
      <c r="D2222" t="s">
        <v>2223</v>
      </c>
      <c r="E2222" t="s">
        <v>683</v>
      </c>
      <c r="F2222" s="20">
        <v>14662.69</v>
      </c>
      <c r="I2222" s="11">
        <f t="shared" si="74"/>
        <v>45748</v>
      </c>
      <c r="J2222" s="12">
        <f t="shared" si="75"/>
        <v>91</v>
      </c>
      <c r="K2222" t="str">
        <f t="shared" si="73"/>
        <v>91-120</v>
      </c>
      <c r="L2222" s="11">
        <v>45839</v>
      </c>
      <c r="M2222" s="23">
        <f>YEAR(Таблица1[[#This Row],[Дата отчета]])</f>
        <v>2025</v>
      </c>
    </row>
    <row r="2223" spans="1:13" x14ac:dyDescent="0.25">
      <c r="A2223" t="s">
        <v>12</v>
      </c>
      <c r="B2223" t="s">
        <v>645</v>
      </c>
      <c r="C2223" t="s">
        <v>2224</v>
      </c>
      <c r="D2223" t="s">
        <v>2225</v>
      </c>
      <c r="E2223" t="s">
        <v>834</v>
      </c>
      <c r="F2223" s="20">
        <v>187200</v>
      </c>
      <c r="I2223" s="11">
        <f t="shared" si="74"/>
        <v>45824</v>
      </c>
      <c r="J2223" s="12">
        <f t="shared" si="75"/>
        <v>15</v>
      </c>
      <c r="K2223" t="str">
        <f t="shared" si="73"/>
        <v>0-30</v>
      </c>
      <c r="L2223" s="11">
        <v>45839</v>
      </c>
      <c r="M2223" s="23">
        <f>YEAR(Таблица1[[#This Row],[Дата отчета]])</f>
        <v>2025</v>
      </c>
    </row>
    <row r="2224" spans="1:13" x14ac:dyDescent="0.25">
      <c r="A2224" t="s">
        <v>12</v>
      </c>
      <c r="B2224" t="s">
        <v>2226</v>
      </c>
      <c r="C2224" t="s">
        <v>2227</v>
      </c>
      <c r="D2224" t="s">
        <v>2228</v>
      </c>
      <c r="E2224" t="s">
        <v>834</v>
      </c>
      <c r="F2224" s="20">
        <v>7500</v>
      </c>
      <c r="I2224" s="11">
        <f t="shared" si="74"/>
        <v>45824</v>
      </c>
      <c r="J2224" s="12">
        <f t="shared" si="75"/>
        <v>15</v>
      </c>
      <c r="K2224" t="str">
        <f t="shared" si="73"/>
        <v>0-30</v>
      </c>
      <c r="L2224" s="11">
        <v>45839</v>
      </c>
      <c r="M2224" s="23">
        <f>YEAR(Таблица1[[#This Row],[Дата отчета]])</f>
        <v>2025</v>
      </c>
    </row>
    <row r="2225" spans="1:14" x14ac:dyDescent="0.25">
      <c r="A2225" t="s">
        <v>12</v>
      </c>
      <c r="B2225" t="s">
        <v>2229</v>
      </c>
      <c r="C2225" t="s">
        <v>2230</v>
      </c>
      <c r="D2225" t="s">
        <v>2231</v>
      </c>
      <c r="E2225" t="s">
        <v>769</v>
      </c>
      <c r="F2225" s="20">
        <v>10500</v>
      </c>
      <c r="I2225" s="11">
        <f t="shared" si="74"/>
        <v>45825</v>
      </c>
      <c r="J2225" s="12">
        <f t="shared" si="75"/>
        <v>14</v>
      </c>
      <c r="K2225" t="str">
        <f t="shared" si="73"/>
        <v>0-30</v>
      </c>
      <c r="L2225" s="11">
        <v>45839</v>
      </c>
      <c r="M2225" s="23">
        <f>YEAR(Таблица1[[#This Row],[Дата отчета]])</f>
        <v>2025</v>
      </c>
    </row>
    <row r="2226" spans="1:14" x14ac:dyDescent="0.25">
      <c r="A2226" t="s">
        <v>12</v>
      </c>
      <c r="B2226" t="s">
        <v>663</v>
      </c>
      <c r="C2226" t="s">
        <v>1622</v>
      </c>
      <c r="D2226" t="s">
        <v>1623</v>
      </c>
      <c r="E2226" t="s">
        <v>1805</v>
      </c>
      <c r="F2226" s="20">
        <v>43250</v>
      </c>
      <c r="I2226" s="11">
        <f t="shared" si="74"/>
        <v>45777</v>
      </c>
      <c r="J2226" s="12">
        <f t="shared" si="75"/>
        <v>62</v>
      </c>
      <c r="K2226" t="str">
        <f t="shared" si="73"/>
        <v>31-90</v>
      </c>
      <c r="L2226" s="11">
        <v>45839</v>
      </c>
      <c r="M2226" s="23">
        <f>YEAR(Таблица1[[#This Row],[Дата отчета]])</f>
        <v>2025</v>
      </c>
    </row>
    <row r="2227" spans="1:14" x14ac:dyDescent="0.25">
      <c r="A2227" t="s">
        <v>12</v>
      </c>
      <c r="B2227" t="s">
        <v>2232</v>
      </c>
      <c r="C2227" t="s">
        <v>2233</v>
      </c>
      <c r="D2227" t="s">
        <v>2234</v>
      </c>
      <c r="E2227" t="s">
        <v>2458</v>
      </c>
      <c r="F2227" s="20">
        <v>275000</v>
      </c>
      <c r="I2227" s="11">
        <f t="shared" si="74"/>
        <v>45750</v>
      </c>
      <c r="J2227" s="12">
        <f t="shared" si="75"/>
        <v>89</v>
      </c>
      <c r="K2227" t="str">
        <f t="shared" si="73"/>
        <v>31-90</v>
      </c>
      <c r="L2227" s="11">
        <v>45839</v>
      </c>
      <c r="M2227" s="23">
        <f>YEAR(Таблица1[[#This Row],[Дата отчета]])</f>
        <v>2025</v>
      </c>
    </row>
    <row r="2228" spans="1:14" x14ac:dyDescent="0.25">
      <c r="A2228" t="s">
        <v>12</v>
      </c>
      <c r="B2228" t="s">
        <v>2232</v>
      </c>
      <c r="C2228" t="s">
        <v>2233</v>
      </c>
      <c r="D2228" t="s">
        <v>2235</v>
      </c>
      <c r="E2228" t="s">
        <v>560</v>
      </c>
      <c r="F2228" s="20">
        <v>275000</v>
      </c>
      <c r="I2228" s="11">
        <f t="shared" si="74"/>
        <v>45805</v>
      </c>
      <c r="J2228" s="12">
        <f t="shared" si="75"/>
        <v>34</v>
      </c>
      <c r="K2228" t="str">
        <f t="shared" si="73"/>
        <v>31-90</v>
      </c>
      <c r="L2228" s="11">
        <v>45839</v>
      </c>
      <c r="M2228" s="23">
        <f>YEAR(Таблица1[[#This Row],[Дата отчета]])</f>
        <v>2025</v>
      </c>
    </row>
    <row r="2229" spans="1:14" x14ac:dyDescent="0.25">
      <c r="A2229" t="s">
        <v>12</v>
      </c>
      <c r="B2229" t="s">
        <v>670</v>
      </c>
      <c r="C2229" t="s">
        <v>671</v>
      </c>
      <c r="D2229" t="s">
        <v>672</v>
      </c>
      <c r="E2229" t="s">
        <v>673</v>
      </c>
      <c r="F2229" s="20">
        <v>114.79</v>
      </c>
      <c r="I2229" s="11">
        <f t="shared" si="74"/>
        <v>45775</v>
      </c>
      <c r="J2229" s="12">
        <f t="shared" si="75"/>
        <v>64</v>
      </c>
      <c r="K2229" t="str">
        <f t="shared" si="73"/>
        <v>31-90</v>
      </c>
      <c r="L2229" s="11">
        <v>45839</v>
      </c>
      <c r="M2229" s="23">
        <f>YEAR(Таблица1[[#This Row],[Дата отчета]])</f>
        <v>2025</v>
      </c>
    </row>
    <row r="2230" spans="1:14" x14ac:dyDescent="0.25">
      <c r="A2230" t="s">
        <v>12</v>
      </c>
      <c r="B2230" t="s">
        <v>1628</v>
      </c>
      <c r="C2230" t="s">
        <v>2236</v>
      </c>
      <c r="D2230" t="s">
        <v>2237</v>
      </c>
      <c r="E2230" t="s">
        <v>183</v>
      </c>
      <c r="F2230" s="20">
        <v>2688</v>
      </c>
      <c r="I2230" s="11">
        <f t="shared" si="74"/>
        <v>45817</v>
      </c>
      <c r="J2230" s="12">
        <f t="shared" si="75"/>
        <v>22</v>
      </c>
      <c r="K2230" t="str">
        <f t="shared" si="73"/>
        <v>0-30</v>
      </c>
      <c r="L2230" s="11">
        <v>45839</v>
      </c>
      <c r="M2230" s="23">
        <f>YEAR(Таблица1[[#This Row],[Дата отчета]])</f>
        <v>2025</v>
      </c>
    </row>
    <row r="2231" spans="1:14" x14ac:dyDescent="0.25">
      <c r="A2231" t="s">
        <v>12</v>
      </c>
      <c r="B2231" t="s">
        <v>1628</v>
      </c>
      <c r="C2231" t="s">
        <v>1629</v>
      </c>
      <c r="D2231" t="s">
        <v>1630</v>
      </c>
      <c r="E2231" t="s">
        <v>1786</v>
      </c>
      <c r="F2231" s="20">
        <v>111117.2</v>
      </c>
      <c r="I2231" s="11">
        <f t="shared" si="74"/>
        <v>45832</v>
      </c>
      <c r="J2231" s="12">
        <f t="shared" si="75"/>
        <v>7</v>
      </c>
      <c r="K2231" t="str">
        <f t="shared" si="73"/>
        <v>0-30</v>
      </c>
      <c r="L2231" s="11">
        <v>45839</v>
      </c>
      <c r="M2231" s="23">
        <f>YEAR(Таблица1[[#This Row],[Дата отчета]])</f>
        <v>2025</v>
      </c>
    </row>
    <row r="2232" spans="1:14" x14ac:dyDescent="0.25">
      <c r="A2232" t="s">
        <v>12</v>
      </c>
      <c r="B2232" t="s">
        <v>2238</v>
      </c>
      <c r="C2232" t="s">
        <v>2239</v>
      </c>
      <c r="D2232" t="s">
        <v>2240</v>
      </c>
      <c r="E2232" t="s">
        <v>2459</v>
      </c>
      <c r="F2232" s="20">
        <v>2460300</v>
      </c>
      <c r="I2232" s="11">
        <f t="shared" si="74"/>
        <v>45768</v>
      </c>
      <c r="J2232" s="12">
        <f t="shared" si="75"/>
        <v>71</v>
      </c>
      <c r="K2232" t="str">
        <f t="shared" si="73"/>
        <v>31-90</v>
      </c>
      <c r="L2232" s="11">
        <v>45839</v>
      </c>
      <c r="M2232" s="23">
        <f>YEAR(Таблица1[[#This Row],[Дата отчета]])</f>
        <v>2025</v>
      </c>
    </row>
    <row r="2233" spans="1:14" x14ac:dyDescent="0.25">
      <c r="A2233" t="s">
        <v>12</v>
      </c>
      <c r="B2233" t="s">
        <v>2241</v>
      </c>
      <c r="C2233" t="s">
        <v>2242</v>
      </c>
      <c r="D2233" t="s">
        <v>2243</v>
      </c>
      <c r="E2233" t="s">
        <v>683</v>
      </c>
      <c r="F2233" s="20">
        <v>151999.98000000001</v>
      </c>
      <c r="I2233" s="11">
        <f t="shared" si="74"/>
        <v>45748</v>
      </c>
      <c r="J2233" s="12">
        <f t="shared" si="75"/>
        <v>91</v>
      </c>
      <c r="K2233" t="str">
        <f t="shared" si="73"/>
        <v>91-120</v>
      </c>
      <c r="L2233" s="11">
        <v>45839</v>
      </c>
      <c r="M2233" s="23">
        <f>YEAR(Таблица1[[#This Row],[Дата отчета]])</f>
        <v>2025</v>
      </c>
    </row>
    <row r="2234" spans="1:14" x14ac:dyDescent="0.25">
      <c r="A2234" t="s">
        <v>12</v>
      </c>
      <c r="B2234" t="s">
        <v>680</v>
      </c>
      <c r="C2234" t="s">
        <v>681</v>
      </c>
      <c r="D2234" t="s">
        <v>682</v>
      </c>
      <c r="E2234" t="s">
        <v>683</v>
      </c>
      <c r="F2234" s="20">
        <v>205915.76</v>
      </c>
      <c r="I2234" s="11">
        <f t="shared" si="74"/>
        <v>45748</v>
      </c>
      <c r="J2234" s="12">
        <f t="shared" si="75"/>
        <v>91</v>
      </c>
      <c r="K2234" t="str">
        <f t="shared" si="73"/>
        <v>91-120</v>
      </c>
      <c r="L2234" s="11">
        <v>45839</v>
      </c>
      <c r="M2234" s="23">
        <f>YEAR(Таблица1[[#This Row],[Дата отчета]])</f>
        <v>2025</v>
      </c>
    </row>
    <row r="2235" spans="1:14" x14ac:dyDescent="0.25">
      <c r="A2235" t="s">
        <v>12</v>
      </c>
      <c r="B2235" t="s">
        <v>684</v>
      </c>
      <c r="C2235" t="s">
        <v>685</v>
      </c>
      <c r="D2235" t="s">
        <v>686</v>
      </c>
      <c r="E2235" t="s">
        <v>687</v>
      </c>
      <c r="F2235" s="20">
        <v>469639.56</v>
      </c>
      <c r="I2235" s="11">
        <f t="shared" si="74"/>
        <v>45771</v>
      </c>
      <c r="J2235" s="12">
        <f t="shared" si="75"/>
        <v>68</v>
      </c>
      <c r="K2235" t="str">
        <f t="shared" si="73"/>
        <v>31-90</v>
      </c>
      <c r="L2235" s="11">
        <v>45839</v>
      </c>
      <c r="M2235" s="23">
        <f>YEAR(Таблица1[[#This Row],[Дата отчета]])</f>
        <v>2025</v>
      </c>
    </row>
    <row r="2236" spans="1:14" x14ac:dyDescent="0.25">
      <c r="A2236" t="s">
        <v>12</v>
      </c>
      <c r="B2236" t="s">
        <v>684</v>
      </c>
      <c r="C2236" t="s">
        <v>688</v>
      </c>
      <c r="D2236" t="s">
        <v>2244</v>
      </c>
      <c r="E2236" t="s">
        <v>2441</v>
      </c>
      <c r="F2236" s="20">
        <v>4876488.25</v>
      </c>
      <c r="I2236" s="11">
        <f t="shared" si="74"/>
        <v>45776</v>
      </c>
      <c r="J2236" s="12">
        <f t="shared" si="75"/>
        <v>63</v>
      </c>
      <c r="K2236" t="str">
        <f t="shared" si="73"/>
        <v>31-90</v>
      </c>
      <c r="L2236" s="11">
        <v>45839</v>
      </c>
      <c r="M2236" s="23">
        <f>YEAR(Таблица1[[#This Row],[Дата отчета]])</f>
        <v>2025</v>
      </c>
    </row>
    <row r="2237" spans="1:14" x14ac:dyDescent="0.25">
      <c r="A2237" t="s">
        <v>12</v>
      </c>
      <c r="B2237" t="s">
        <v>684</v>
      </c>
      <c r="C2237" t="s">
        <v>688</v>
      </c>
      <c r="D2237" t="s">
        <v>2245</v>
      </c>
      <c r="E2237" t="s">
        <v>1786</v>
      </c>
      <c r="F2237" s="20">
        <v>288317.94</v>
      </c>
      <c r="I2237" s="11">
        <f t="shared" si="74"/>
        <v>45832</v>
      </c>
      <c r="J2237" s="12">
        <f t="shared" si="75"/>
        <v>7</v>
      </c>
      <c r="K2237" t="str">
        <f t="shared" si="73"/>
        <v>0-30</v>
      </c>
      <c r="L2237" s="11">
        <v>45839</v>
      </c>
      <c r="M2237" s="23">
        <f>YEAR(Таблица1[[#This Row],[Дата отчета]])</f>
        <v>2025</v>
      </c>
    </row>
    <row r="2238" spans="1:14" x14ac:dyDescent="0.25">
      <c r="A2238" t="s">
        <v>12</v>
      </c>
      <c r="B2238" t="s">
        <v>684</v>
      </c>
      <c r="C2238" t="s">
        <v>688</v>
      </c>
      <c r="D2238" t="s">
        <v>2246</v>
      </c>
      <c r="E2238" t="s">
        <v>1786</v>
      </c>
      <c r="F2238" s="20">
        <v>1152282.3600000001</v>
      </c>
      <c r="I2238" s="11">
        <f t="shared" si="74"/>
        <v>45832</v>
      </c>
      <c r="J2238" s="12">
        <f t="shared" si="75"/>
        <v>7</v>
      </c>
      <c r="K2238" t="str">
        <f t="shared" si="73"/>
        <v>0-30</v>
      </c>
      <c r="L2238" s="11">
        <v>45839</v>
      </c>
      <c r="M2238" s="23">
        <f>YEAR(Таблица1[[#This Row],[Дата отчета]])</f>
        <v>2025</v>
      </c>
    </row>
    <row r="2239" spans="1:14" x14ac:dyDescent="0.25">
      <c r="A2239" t="s">
        <v>12</v>
      </c>
      <c r="B2239" t="s">
        <v>684</v>
      </c>
      <c r="C2239" t="s">
        <v>697</v>
      </c>
      <c r="D2239" t="s">
        <v>698</v>
      </c>
      <c r="E2239" t="s">
        <v>699</v>
      </c>
      <c r="F2239" s="20">
        <v>172161</v>
      </c>
      <c r="I2239" s="11">
        <f t="shared" si="74"/>
        <v>45218</v>
      </c>
      <c r="J2239" s="12">
        <f t="shared" si="75"/>
        <v>621</v>
      </c>
      <c r="K2239" t="str">
        <f t="shared" ref="K2239:K2302" si="76">IF(J2239&lt;=30,"0-30",IF(J2239&lt;=90,"31-90",IF(J2239&lt;=120,"91-120",IF(J2239&lt;=180,"121-180",IF(J2239&lt;=270,"181-270",IF(J2239&lt;=360,"271-360","&gt;360"))))))</f>
        <v>&gt;360</v>
      </c>
      <c r="L2239" s="11">
        <v>45839</v>
      </c>
      <c r="M2239" s="23">
        <f>YEAR(Таблица1[[#This Row],[Дата отчета]])</f>
        <v>2025</v>
      </c>
      <c r="N2239" s="2" t="s">
        <v>4535</v>
      </c>
    </row>
    <row r="2240" spans="1:14" x14ac:dyDescent="0.25">
      <c r="A2240" t="s">
        <v>12</v>
      </c>
      <c r="B2240" t="s">
        <v>715</v>
      </c>
      <c r="C2240" t="s">
        <v>2247</v>
      </c>
      <c r="D2240" t="s">
        <v>2248</v>
      </c>
      <c r="E2240" t="s">
        <v>247</v>
      </c>
      <c r="F2240" s="20">
        <v>45241506.920000002</v>
      </c>
      <c r="I2240" s="11">
        <f t="shared" si="74"/>
        <v>45798</v>
      </c>
      <c r="J2240" s="12">
        <f t="shared" si="75"/>
        <v>41</v>
      </c>
      <c r="K2240" t="str">
        <f t="shared" si="76"/>
        <v>31-90</v>
      </c>
      <c r="L2240" s="11">
        <v>45839</v>
      </c>
      <c r="M2240" s="23">
        <f>YEAR(Таблица1[[#This Row],[Дата отчета]])</f>
        <v>2025</v>
      </c>
    </row>
    <row r="2241" spans="1:15" x14ac:dyDescent="0.25">
      <c r="A2241" t="s">
        <v>12</v>
      </c>
      <c r="B2241" t="s">
        <v>715</v>
      </c>
      <c r="C2241" t="s">
        <v>2247</v>
      </c>
      <c r="D2241" t="s">
        <v>2249</v>
      </c>
      <c r="E2241" t="s">
        <v>1039</v>
      </c>
      <c r="F2241" s="20">
        <v>968080.02</v>
      </c>
      <c r="I2241" s="11">
        <f t="shared" si="74"/>
        <v>45831</v>
      </c>
      <c r="J2241" s="12">
        <f t="shared" si="75"/>
        <v>8</v>
      </c>
      <c r="K2241" t="str">
        <f t="shared" si="76"/>
        <v>0-30</v>
      </c>
      <c r="L2241" s="11">
        <v>45839</v>
      </c>
      <c r="M2241" s="23">
        <f>YEAR(Таблица1[[#This Row],[Дата отчета]])</f>
        <v>2025</v>
      </c>
    </row>
    <row r="2242" spans="1:15" x14ac:dyDescent="0.25">
      <c r="A2242" t="s">
        <v>12</v>
      </c>
      <c r="B2242" t="s">
        <v>715</v>
      </c>
      <c r="C2242" t="s">
        <v>2247</v>
      </c>
      <c r="D2242" t="s">
        <v>2250</v>
      </c>
      <c r="E2242" t="s">
        <v>1039</v>
      </c>
      <c r="F2242" s="20">
        <v>972308.97</v>
      </c>
      <c r="I2242" s="11">
        <f t="shared" si="74"/>
        <v>45831</v>
      </c>
      <c r="J2242" s="12">
        <f t="shared" si="75"/>
        <v>8</v>
      </c>
      <c r="K2242" t="str">
        <f t="shared" si="76"/>
        <v>0-30</v>
      </c>
      <c r="L2242" s="11">
        <v>45839</v>
      </c>
      <c r="M2242" s="23">
        <f>YEAR(Таблица1[[#This Row],[Дата отчета]])</f>
        <v>2025</v>
      </c>
    </row>
    <row r="2243" spans="1:15" x14ac:dyDescent="0.25">
      <c r="A2243" t="s">
        <v>12</v>
      </c>
      <c r="B2243" t="s">
        <v>715</v>
      </c>
      <c r="C2243" t="s">
        <v>2247</v>
      </c>
      <c r="D2243" t="s">
        <v>2251</v>
      </c>
      <c r="E2243" t="s">
        <v>1039</v>
      </c>
      <c r="F2243" s="20">
        <v>997683.39</v>
      </c>
      <c r="I2243" s="11">
        <f t="shared" si="74"/>
        <v>45831</v>
      </c>
      <c r="J2243" s="12">
        <f t="shared" si="75"/>
        <v>8</v>
      </c>
      <c r="K2243" t="str">
        <f t="shared" si="76"/>
        <v>0-30</v>
      </c>
      <c r="L2243" s="11">
        <v>45839</v>
      </c>
      <c r="M2243" s="23">
        <f>YEAR(Таблица1[[#This Row],[Дата отчета]])</f>
        <v>2025</v>
      </c>
    </row>
    <row r="2244" spans="1:15" x14ac:dyDescent="0.25">
      <c r="A2244" t="s">
        <v>12</v>
      </c>
      <c r="B2244" t="s">
        <v>715</v>
      </c>
      <c r="C2244" t="s">
        <v>2247</v>
      </c>
      <c r="D2244" t="s">
        <v>2252</v>
      </c>
      <c r="E2244" t="s">
        <v>1039</v>
      </c>
      <c r="F2244" s="20">
        <v>1078046.55</v>
      </c>
      <c r="I2244" s="11">
        <f t="shared" si="74"/>
        <v>45831</v>
      </c>
      <c r="J2244" s="12">
        <f t="shared" si="75"/>
        <v>8</v>
      </c>
      <c r="K2244" t="str">
        <f t="shared" si="76"/>
        <v>0-30</v>
      </c>
      <c r="L2244" s="11">
        <v>45839</v>
      </c>
      <c r="M2244" s="23">
        <f>YEAR(Таблица1[[#This Row],[Дата отчета]])</f>
        <v>2025</v>
      </c>
    </row>
    <row r="2245" spans="1:15" x14ac:dyDescent="0.25">
      <c r="A2245" t="s">
        <v>12</v>
      </c>
      <c r="B2245" t="s">
        <v>719</v>
      </c>
      <c r="C2245" t="s">
        <v>722</v>
      </c>
      <c r="D2245" t="s">
        <v>723</v>
      </c>
      <c r="E2245" t="s">
        <v>183</v>
      </c>
      <c r="F2245" s="20">
        <v>1181250</v>
      </c>
      <c r="I2245" s="11">
        <f t="shared" si="74"/>
        <v>45817</v>
      </c>
      <c r="J2245" s="12">
        <f t="shared" si="75"/>
        <v>22</v>
      </c>
      <c r="K2245" t="str">
        <f t="shared" si="76"/>
        <v>0-30</v>
      </c>
      <c r="L2245" s="11">
        <v>45839</v>
      </c>
      <c r="M2245" s="23">
        <f>YEAR(Таблица1[[#This Row],[Дата отчета]])</f>
        <v>2025</v>
      </c>
      <c r="O2245" s="8">
        <v>46099</v>
      </c>
    </row>
    <row r="2246" spans="1:15" x14ac:dyDescent="0.25">
      <c r="A2246" t="s">
        <v>12</v>
      </c>
      <c r="B2246" t="s">
        <v>726</v>
      </c>
      <c r="C2246" t="s">
        <v>727</v>
      </c>
      <c r="D2246" t="s">
        <v>728</v>
      </c>
      <c r="E2246" t="s">
        <v>729</v>
      </c>
      <c r="F2246" s="20">
        <v>6869.56</v>
      </c>
      <c r="I2246" s="11">
        <f t="shared" si="74"/>
        <v>45799</v>
      </c>
      <c r="J2246" s="12">
        <f t="shared" si="75"/>
        <v>40</v>
      </c>
      <c r="K2246" t="str">
        <f t="shared" si="76"/>
        <v>31-90</v>
      </c>
      <c r="L2246" s="11">
        <v>45839</v>
      </c>
      <c r="M2246" s="23">
        <f>YEAR(Таблица1[[#This Row],[Дата отчета]])</f>
        <v>2025</v>
      </c>
      <c r="N2246" s="2" t="s">
        <v>807</v>
      </c>
    </row>
    <row r="2247" spans="1:15" x14ac:dyDescent="0.25">
      <c r="A2247" t="s">
        <v>12</v>
      </c>
      <c r="B2247" t="s">
        <v>726</v>
      </c>
      <c r="C2247" t="s">
        <v>730</v>
      </c>
      <c r="D2247" t="s">
        <v>731</v>
      </c>
      <c r="E2247" t="s">
        <v>535</v>
      </c>
      <c r="F2247" s="20">
        <v>16930</v>
      </c>
      <c r="I2247" s="11">
        <f t="shared" si="74"/>
        <v>45796</v>
      </c>
      <c r="J2247" s="12">
        <f t="shared" si="75"/>
        <v>43</v>
      </c>
      <c r="K2247" t="str">
        <f t="shared" si="76"/>
        <v>31-90</v>
      </c>
      <c r="L2247" s="11">
        <v>45839</v>
      </c>
      <c r="M2247" s="23">
        <f>YEAR(Таблица1[[#This Row],[Дата отчета]])</f>
        <v>2025</v>
      </c>
      <c r="N2247" s="2" t="s">
        <v>807</v>
      </c>
    </row>
    <row r="2248" spans="1:15" x14ac:dyDescent="0.25">
      <c r="A2248" t="s">
        <v>12</v>
      </c>
      <c r="B2248" t="s">
        <v>726</v>
      </c>
      <c r="C2248" t="s">
        <v>732</v>
      </c>
      <c r="D2248" t="s">
        <v>733</v>
      </c>
      <c r="E2248" t="s">
        <v>734</v>
      </c>
      <c r="F2248" s="20">
        <v>2163.48</v>
      </c>
      <c r="I2248" s="11">
        <f t="shared" si="74"/>
        <v>45541</v>
      </c>
      <c r="J2248" s="12">
        <f t="shared" si="75"/>
        <v>298</v>
      </c>
      <c r="K2248" t="str">
        <f t="shared" si="76"/>
        <v>271-360</v>
      </c>
      <c r="L2248" s="11">
        <v>45839</v>
      </c>
      <c r="M2248" s="23">
        <f>YEAR(Таблица1[[#This Row],[Дата отчета]])</f>
        <v>2025</v>
      </c>
      <c r="N2248" s="2" t="s">
        <v>807</v>
      </c>
    </row>
    <row r="2249" spans="1:15" x14ac:dyDescent="0.25">
      <c r="A2249" t="s">
        <v>12</v>
      </c>
      <c r="B2249" t="s">
        <v>726</v>
      </c>
      <c r="C2249" t="s">
        <v>735</v>
      </c>
      <c r="D2249" t="s">
        <v>736</v>
      </c>
      <c r="E2249" t="s">
        <v>247</v>
      </c>
      <c r="F2249" s="20">
        <v>35983.96</v>
      </c>
      <c r="I2249" s="11">
        <f t="shared" si="74"/>
        <v>45798</v>
      </c>
      <c r="J2249" s="12">
        <f t="shared" si="75"/>
        <v>41</v>
      </c>
      <c r="K2249" t="str">
        <f t="shared" si="76"/>
        <v>31-90</v>
      </c>
      <c r="L2249" s="11">
        <v>45839</v>
      </c>
      <c r="M2249" s="23">
        <f>YEAR(Таблица1[[#This Row],[Дата отчета]])</f>
        <v>2025</v>
      </c>
      <c r="N2249" s="2" t="s">
        <v>807</v>
      </c>
    </row>
    <row r="2250" spans="1:15" x14ac:dyDescent="0.25">
      <c r="A2250" t="s">
        <v>12</v>
      </c>
      <c r="B2250" t="s">
        <v>726</v>
      </c>
      <c r="C2250" t="s">
        <v>2253</v>
      </c>
      <c r="D2250" t="s">
        <v>2254</v>
      </c>
      <c r="E2250" t="s">
        <v>834</v>
      </c>
      <c r="F2250" s="20">
        <v>1934.9</v>
      </c>
      <c r="I2250" s="11">
        <f t="shared" si="74"/>
        <v>45824</v>
      </c>
      <c r="J2250" s="12">
        <f t="shared" si="75"/>
        <v>15</v>
      </c>
      <c r="K2250" t="str">
        <f t="shared" si="76"/>
        <v>0-30</v>
      </c>
      <c r="L2250" s="11">
        <v>45839</v>
      </c>
      <c r="M2250" s="23">
        <f>YEAR(Таблица1[[#This Row],[Дата отчета]])</f>
        <v>2025</v>
      </c>
      <c r="N2250" s="2" t="s">
        <v>807</v>
      </c>
    </row>
    <row r="2251" spans="1:15" x14ac:dyDescent="0.25">
      <c r="A2251" t="s">
        <v>12</v>
      </c>
      <c r="B2251" t="s">
        <v>745</v>
      </c>
      <c r="C2251" t="s">
        <v>746</v>
      </c>
      <c r="D2251" t="s">
        <v>747</v>
      </c>
      <c r="E2251" t="s">
        <v>748</v>
      </c>
      <c r="F2251" s="20">
        <v>4950.5600000000004</v>
      </c>
      <c r="I2251" s="11">
        <f t="shared" si="74"/>
        <v>45580</v>
      </c>
      <c r="J2251" s="12">
        <f t="shared" si="75"/>
        <v>259</v>
      </c>
      <c r="K2251" t="str">
        <f t="shared" si="76"/>
        <v>181-270</v>
      </c>
      <c r="L2251" s="11">
        <v>45839</v>
      </c>
      <c r="M2251" s="23">
        <f>YEAR(Таблица1[[#This Row],[Дата отчета]])</f>
        <v>2025</v>
      </c>
    </row>
    <row r="2252" spans="1:15" x14ac:dyDescent="0.25">
      <c r="A2252" t="s">
        <v>12</v>
      </c>
      <c r="B2252" t="s">
        <v>2255</v>
      </c>
      <c r="C2252" t="s">
        <v>2256</v>
      </c>
      <c r="D2252" t="s">
        <v>2257</v>
      </c>
      <c r="E2252" t="s">
        <v>535</v>
      </c>
      <c r="F2252" s="20">
        <v>78078</v>
      </c>
      <c r="I2252" s="11">
        <f t="shared" si="74"/>
        <v>45796</v>
      </c>
      <c r="J2252" s="12">
        <f t="shared" si="75"/>
        <v>43</v>
      </c>
      <c r="K2252" t="str">
        <f t="shared" si="76"/>
        <v>31-90</v>
      </c>
      <c r="L2252" s="11">
        <v>45839</v>
      </c>
      <c r="M2252" s="23">
        <f>YEAR(Таблица1[[#This Row],[Дата отчета]])</f>
        <v>2025</v>
      </c>
    </row>
    <row r="2253" spans="1:15" x14ac:dyDescent="0.25">
      <c r="A2253" t="s">
        <v>12</v>
      </c>
      <c r="B2253" t="s">
        <v>2258</v>
      </c>
      <c r="C2253" t="s">
        <v>2259</v>
      </c>
      <c r="D2253" t="s">
        <v>2260</v>
      </c>
      <c r="E2253" t="s">
        <v>2458</v>
      </c>
      <c r="F2253" s="20">
        <v>73500</v>
      </c>
      <c r="I2253" s="11">
        <f t="shared" si="74"/>
        <v>45750</v>
      </c>
      <c r="J2253" s="12">
        <f t="shared" si="75"/>
        <v>89</v>
      </c>
      <c r="K2253" t="str">
        <f t="shared" si="76"/>
        <v>31-90</v>
      </c>
      <c r="L2253" s="11">
        <v>45839</v>
      </c>
      <c r="M2253" s="23">
        <f>YEAR(Таблица1[[#This Row],[Дата отчета]])</f>
        <v>2025</v>
      </c>
    </row>
    <row r="2254" spans="1:15" x14ac:dyDescent="0.25">
      <c r="A2254" t="s">
        <v>12</v>
      </c>
      <c r="B2254" t="s">
        <v>1647</v>
      </c>
      <c r="C2254" t="s">
        <v>1648</v>
      </c>
      <c r="D2254" t="s">
        <v>1649</v>
      </c>
      <c r="E2254" t="s">
        <v>1767</v>
      </c>
      <c r="F2254" s="20">
        <v>57175.43</v>
      </c>
      <c r="I2254" s="11">
        <f t="shared" si="74"/>
        <v>45762</v>
      </c>
      <c r="J2254" s="12">
        <f t="shared" si="75"/>
        <v>77</v>
      </c>
      <c r="K2254" t="str">
        <f t="shared" si="76"/>
        <v>31-90</v>
      </c>
      <c r="L2254" s="11">
        <v>45839</v>
      </c>
      <c r="M2254" s="23">
        <f>YEAR(Таблица1[[#This Row],[Дата отчета]])</f>
        <v>2025</v>
      </c>
    </row>
    <row r="2255" spans="1:15" x14ac:dyDescent="0.25">
      <c r="A2255" t="s">
        <v>12</v>
      </c>
      <c r="B2255" t="s">
        <v>752</v>
      </c>
      <c r="C2255" t="s">
        <v>2261</v>
      </c>
      <c r="D2255" t="s">
        <v>2262</v>
      </c>
      <c r="E2255" t="s">
        <v>1779</v>
      </c>
      <c r="F2255" s="20">
        <v>250000</v>
      </c>
      <c r="I2255" s="11">
        <f t="shared" si="74"/>
        <v>45818</v>
      </c>
      <c r="J2255" s="12">
        <f t="shared" si="75"/>
        <v>21</v>
      </c>
      <c r="K2255" t="str">
        <f t="shared" si="76"/>
        <v>0-30</v>
      </c>
      <c r="L2255" s="11">
        <v>45839</v>
      </c>
      <c r="M2255" s="23">
        <f>YEAR(Таблица1[[#This Row],[Дата отчета]])</f>
        <v>2025</v>
      </c>
    </row>
    <row r="2256" spans="1:15" x14ac:dyDescent="0.25">
      <c r="A2256" t="s">
        <v>12</v>
      </c>
      <c r="B2256" t="s">
        <v>2263</v>
      </c>
      <c r="C2256" t="s">
        <v>2264</v>
      </c>
      <c r="D2256" t="s">
        <v>2265</v>
      </c>
      <c r="E2256" t="s">
        <v>123</v>
      </c>
      <c r="F2256" s="20">
        <v>983100</v>
      </c>
      <c r="I2256" s="11">
        <f t="shared" si="74"/>
        <v>45782</v>
      </c>
      <c r="J2256" s="12">
        <f t="shared" si="75"/>
        <v>57</v>
      </c>
      <c r="K2256" t="str">
        <f t="shared" si="76"/>
        <v>31-90</v>
      </c>
      <c r="L2256" s="11">
        <v>45839</v>
      </c>
      <c r="M2256" s="23">
        <f>YEAR(Таблица1[[#This Row],[Дата отчета]])</f>
        <v>2025</v>
      </c>
    </row>
    <row r="2257" spans="1:14" x14ac:dyDescent="0.25">
      <c r="A2257" t="s">
        <v>12</v>
      </c>
      <c r="B2257" t="s">
        <v>2263</v>
      </c>
      <c r="C2257" t="s">
        <v>2264</v>
      </c>
      <c r="D2257" t="s">
        <v>2266</v>
      </c>
      <c r="E2257" t="s">
        <v>276</v>
      </c>
      <c r="F2257" s="20">
        <v>983100</v>
      </c>
      <c r="I2257" s="11">
        <f t="shared" si="74"/>
        <v>45827</v>
      </c>
      <c r="J2257" s="12">
        <f t="shared" si="75"/>
        <v>12</v>
      </c>
      <c r="K2257" t="str">
        <f t="shared" si="76"/>
        <v>0-30</v>
      </c>
      <c r="L2257" s="11">
        <v>45839</v>
      </c>
      <c r="M2257" s="23">
        <f>YEAR(Таблица1[[#This Row],[Дата отчета]])</f>
        <v>2025</v>
      </c>
    </row>
    <row r="2258" spans="1:14" x14ac:dyDescent="0.25">
      <c r="A2258" t="s">
        <v>12</v>
      </c>
      <c r="B2258" t="s">
        <v>2267</v>
      </c>
      <c r="C2258" t="s">
        <v>2268</v>
      </c>
      <c r="D2258" t="s">
        <v>2269</v>
      </c>
      <c r="E2258" t="s">
        <v>2437</v>
      </c>
      <c r="F2258" s="20">
        <v>590021.16</v>
      </c>
      <c r="I2258" s="11">
        <f t="shared" si="74"/>
        <v>45791</v>
      </c>
      <c r="J2258" s="12">
        <f t="shared" si="75"/>
        <v>48</v>
      </c>
      <c r="K2258" t="str">
        <f t="shared" si="76"/>
        <v>31-90</v>
      </c>
      <c r="L2258" s="11">
        <v>45839</v>
      </c>
      <c r="M2258" s="23">
        <f>YEAR(Таблица1[[#This Row],[Дата отчета]])</f>
        <v>2025</v>
      </c>
    </row>
    <row r="2259" spans="1:14" x14ac:dyDescent="0.25">
      <c r="A2259" t="s">
        <v>12</v>
      </c>
      <c r="B2259" t="s">
        <v>758</v>
      </c>
      <c r="C2259" t="s">
        <v>759</v>
      </c>
      <c r="D2259" t="s">
        <v>760</v>
      </c>
      <c r="E2259" t="s">
        <v>761</v>
      </c>
      <c r="F2259" s="20">
        <v>0.3</v>
      </c>
      <c r="I2259" s="11">
        <f t="shared" si="74"/>
        <v>45803</v>
      </c>
      <c r="J2259" s="12">
        <f t="shared" si="75"/>
        <v>36</v>
      </c>
      <c r="K2259" t="str">
        <f t="shared" si="76"/>
        <v>31-90</v>
      </c>
      <c r="L2259" s="11">
        <v>45839</v>
      </c>
      <c r="M2259" s="23">
        <f>YEAR(Таблица1[[#This Row],[Дата отчета]])</f>
        <v>2025</v>
      </c>
    </row>
    <row r="2260" spans="1:14" x14ac:dyDescent="0.25">
      <c r="A2260" t="s">
        <v>12</v>
      </c>
      <c r="B2260" t="s">
        <v>762</v>
      </c>
      <c r="C2260" t="s">
        <v>763</v>
      </c>
      <c r="D2260" t="s">
        <v>764</v>
      </c>
      <c r="E2260" t="s">
        <v>765</v>
      </c>
      <c r="F2260" s="20">
        <v>364891</v>
      </c>
      <c r="I2260" s="11">
        <f t="shared" si="74"/>
        <v>45751</v>
      </c>
      <c r="J2260" s="12">
        <f t="shared" si="75"/>
        <v>88</v>
      </c>
      <c r="K2260" t="str">
        <f t="shared" si="76"/>
        <v>31-90</v>
      </c>
      <c r="L2260" s="11">
        <v>45839</v>
      </c>
      <c r="M2260" s="23">
        <f>YEAR(Таблица1[[#This Row],[Дата отчета]])</f>
        <v>2025</v>
      </c>
      <c r="N2260" s="7"/>
    </row>
    <row r="2261" spans="1:14" x14ac:dyDescent="0.25">
      <c r="A2261" t="s">
        <v>12</v>
      </c>
      <c r="B2261" t="s">
        <v>2270</v>
      </c>
      <c r="C2261" t="s">
        <v>2271</v>
      </c>
      <c r="D2261" t="s">
        <v>2272</v>
      </c>
      <c r="E2261" t="s">
        <v>1256</v>
      </c>
      <c r="F2261" s="20">
        <v>170800</v>
      </c>
      <c r="I2261" s="11">
        <f t="shared" si="74"/>
        <v>45754</v>
      </c>
      <c r="J2261" s="12">
        <f t="shared" si="75"/>
        <v>85</v>
      </c>
      <c r="K2261" t="str">
        <f t="shared" si="76"/>
        <v>31-90</v>
      </c>
      <c r="L2261" s="11">
        <v>45839</v>
      </c>
      <c r="M2261" s="23">
        <f>YEAR(Таблица1[[#This Row],[Дата отчета]])</f>
        <v>2025</v>
      </c>
    </row>
    <row r="2262" spans="1:14" x14ac:dyDescent="0.25">
      <c r="A2262" t="s">
        <v>12</v>
      </c>
      <c r="B2262" t="s">
        <v>2270</v>
      </c>
      <c r="C2262" t="s">
        <v>2273</v>
      </c>
      <c r="D2262" t="s">
        <v>2274</v>
      </c>
      <c r="E2262" t="s">
        <v>2455</v>
      </c>
      <c r="F2262" s="20">
        <v>68300</v>
      </c>
      <c r="I2262" s="11">
        <f t="shared" si="74"/>
        <v>45793</v>
      </c>
      <c r="J2262" s="12">
        <f t="shared" si="75"/>
        <v>46</v>
      </c>
      <c r="K2262" t="str">
        <f t="shared" si="76"/>
        <v>31-90</v>
      </c>
      <c r="L2262" s="11">
        <v>45839</v>
      </c>
      <c r="M2262" s="23">
        <f>YEAR(Таблица1[[#This Row],[Дата отчета]])</f>
        <v>2025</v>
      </c>
    </row>
    <row r="2263" spans="1:14" x14ac:dyDescent="0.25">
      <c r="A2263" t="s">
        <v>12</v>
      </c>
      <c r="B2263" t="s">
        <v>766</v>
      </c>
      <c r="C2263" t="s">
        <v>2275</v>
      </c>
      <c r="D2263" t="s">
        <v>2276</v>
      </c>
      <c r="E2263" t="s">
        <v>146</v>
      </c>
      <c r="F2263" s="20">
        <v>162012</v>
      </c>
      <c r="I2263" s="11">
        <f t="shared" si="74"/>
        <v>45838</v>
      </c>
      <c r="J2263" s="12">
        <f t="shared" si="75"/>
        <v>1</v>
      </c>
      <c r="K2263" t="str">
        <f t="shared" si="76"/>
        <v>0-30</v>
      </c>
      <c r="L2263" s="11">
        <v>45839</v>
      </c>
      <c r="M2263" s="23">
        <f>YEAR(Таблица1[[#This Row],[Дата отчета]])</f>
        <v>2025</v>
      </c>
    </row>
    <row r="2264" spans="1:14" x14ac:dyDescent="0.25">
      <c r="A2264" t="s">
        <v>12</v>
      </c>
      <c r="B2264" t="s">
        <v>766</v>
      </c>
      <c r="C2264" t="s">
        <v>767</v>
      </c>
      <c r="D2264" t="s">
        <v>768</v>
      </c>
      <c r="E2264" t="s">
        <v>769</v>
      </c>
      <c r="F2264" s="20">
        <v>163072</v>
      </c>
      <c r="I2264" s="11">
        <f t="shared" si="74"/>
        <v>45825</v>
      </c>
      <c r="J2264" s="12">
        <f t="shared" si="75"/>
        <v>14</v>
      </c>
      <c r="K2264" t="str">
        <f t="shared" si="76"/>
        <v>0-30</v>
      </c>
      <c r="L2264" s="11">
        <v>45839</v>
      </c>
      <c r="M2264" s="23">
        <f>YEAR(Таблица1[[#This Row],[Дата отчета]])</f>
        <v>2025</v>
      </c>
      <c r="N2264" s="2" t="s">
        <v>4538</v>
      </c>
    </row>
    <row r="2265" spans="1:14" x14ac:dyDescent="0.25">
      <c r="A2265" t="s">
        <v>12</v>
      </c>
      <c r="B2265" t="s">
        <v>766</v>
      </c>
      <c r="C2265" t="s">
        <v>1658</v>
      </c>
      <c r="D2265" t="s">
        <v>1659</v>
      </c>
      <c r="E2265" t="s">
        <v>1786</v>
      </c>
      <c r="F2265" s="20">
        <v>187165.8</v>
      </c>
      <c r="I2265" s="11">
        <f t="shared" si="74"/>
        <v>45832</v>
      </c>
      <c r="J2265" s="12">
        <f t="shared" si="75"/>
        <v>7</v>
      </c>
      <c r="K2265" t="str">
        <f t="shared" si="76"/>
        <v>0-30</v>
      </c>
      <c r="L2265" s="11">
        <v>45839</v>
      </c>
      <c r="M2265" s="23">
        <f>YEAR(Таблица1[[#This Row],[Дата отчета]])</f>
        <v>2025</v>
      </c>
    </row>
    <row r="2266" spans="1:14" x14ac:dyDescent="0.25">
      <c r="A2266" t="s">
        <v>12</v>
      </c>
      <c r="B2266" t="s">
        <v>766</v>
      </c>
      <c r="C2266" t="s">
        <v>1658</v>
      </c>
      <c r="D2266" t="s">
        <v>1660</v>
      </c>
      <c r="E2266" t="s">
        <v>1808</v>
      </c>
      <c r="F2266" s="20">
        <v>345520.2</v>
      </c>
      <c r="I2266" s="11">
        <f t="shared" si="74"/>
        <v>45835</v>
      </c>
      <c r="J2266" s="12">
        <f t="shared" si="75"/>
        <v>4</v>
      </c>
      <c r="K2266" t="str">
        <f t="shared" si="76"/>
        <v>0-30</v>
      </c>
      <c r="L2266" s="11">
        <v>45839</v>
      </c>
      <c r="M2266" s="23">
        <f>YEAR(Таблица1[[#This Row],[Дата отчета]])</f>
        <v>2025</v>
      </c>
    </row>
    <row r="2267" spans="1:14" x14ac:dyDescent="0.25">
      <c r="A2267" t="s">
        <v>12</v>
      </c>
      <c r="B2267" t="s">
        <v>766</v>
      </c>
      <c r="C2267" t="s">
        <v>1661</v>
      </c>
      <c r="D2267" t="s">
        <v>1662</v>
      </c>
      <c r="E2267" t="s">
        <v>1786</v>
      </c>
      <c r="F2267" s="20">
        <v>91200</v>
      </c>
      <c r="I2267" s="11">
        <f t="shared" si="74"/>
        <v>45832</v>
      </c>
      <c r="J2267" s="12">
        <f t="shared" si="75"/>
        <v>7</v>
      </c>
      <c r="K2267" t="str">
        <f t="shared" si="76"/>
        <v>0-30</v>
      </c>
      <c r="L2267" s="11">
        <v>45839</v>
      </c>
      <c r="M2267" s="23">
        <f>YEAR(Таблица1[[#This Row],[Дата отчета]])</f>
        <v>2025</v>
      </c>
    </row>
    <row r="2268" spans="1:14" x14ac:dyDescent="0.25">
      <c r="A2268" t="s">
        <v>12</v>
      </c>
      <c r="B2268" t="s">
        <v>1669</v>
      </c>
      <c r="C2268" t="s">
        <v>1670</v>
      </c>
      <c r="D2268" t="s">
        <v>1671</v>
      </c>
      <c r="E2268" t="s">
        <v>1808</v>
      </c>
      <c r="F2268" s="20">
        <v>188700</v>
      </c>
      <c r="I2268" s="11">
        <f t="shared" si="74"/>
        <v>45835</v>
      </c>
      <c r="J2268" s="12">
        <f t="shared" si="75"/>
        <v>4</v>
      </c>
      <c r="K2268" t="str">
        <f t="shared" si="76"/>
        <v>0-30</v>
      </c>
      <c r="L2268" s="11">
        <v>45839</v>
      </c>
      <c r="M2268" s="23">
        <f>YEAR(Таблица1[[#This Row],[Дата отчета]])</f>
        <v>2025</v>
      </c>
    </row>
    <row r="2269" spans="1:14" x14ac:dyDescent="0.25">
      <c r="A2269" t="s">
        <v>12</v>
      </c>
      <c r="B2269" t="s">
        <v>777</v>
      </c>
      <c r="C2269" t="s">
        <v>778</v>
      </c>
      <c r="D2269" t="s">
        <v>779</v>
      </c>
      <c r="E2269" t="s">
        <v>780</v>
      </c>
      <c r="F2269" s="20">
        <v>196.02</v>
      </c>
      <c r="I2269" s="11">
        <f t="shared" si="74"/>
        <v>44868</v>
      </c>
      <c r="J2269" s="12">
        <f t="shared" si="75"/>
        <v>971</v>
      </c>
      <c r="K2269" t="str">
        <f t="shared" si="76"/>
        <v>&gt;360</v>
      </c>
      <c r="L2269" s="11">
        <v>45839</v>
      </c>
      <c r="M2269" s="23">
        <f>YEAR(Таблица1[[#This Row],[Дата отчета]])</f>
        <v>2025</v>
      </c>
      <c r="N2269" s="2" t="s">
        <v>807</v>
      </c>
    </row>
    <row r="2270" spans="1:14" x14ac:dyDescent="0.25">
      <c r="A2270" t="s">
        <v>12</v>
      </c>
      <c r="B2270" t="s">
        <v>781</v>
      </c>
      <c r="C2270" t="s">
        <v>1672</v>
      </c>
      <c r="D2270" t="s">
        <v>1673</v>
      </c>
      <c r="E2270" t="s">
        <v>1796</v>
      </c>
      <c r="F2270" s="20">
        <v>3772.34</v>
      </c>
      <c r="I2270" s="11">
        <f t="shared" si="74"/>
        <v>45763</v>
      </c>
      <c r="J2270" s="12">
        <f t="shared" si="75"/>
        <v>76</v>
      </c>
      <c r="K2270" t="str">
        <f t="shared" si="76"/>
        <v>31-90</v>
      </c>
      <c r="L2270" s="11">
        <v>45839</v>
      </c>
      <c r="M2270" s="23">
        <f>YEAR(Таблица1[[#This Row],[Дата отчета]])</f>
        <v>2025</v>
      </c>
    </row>
    <row r="2271" spans="1:14" x14ac:dyDescent="0.25">
      <c r="A2271" t="s">
        <v>12</v>
      </c>
      <c r="B2271" t="s">
        <v>1676</v>
      </c>
      <c r="C2271" t="s">
        <v>1677</v>
      </c>
      <c r="D2271" t="s">
        <v>1678</v>
      </c>
      <c r="E2271" t="s">
        <v>91</v>
      </c>
      <c r="F2271" s="20">
        <v>125249.76</v>
      </c>
      <c r="I2271" s="11">
        <f t="shared" si="74"/>
        <v>45723</v>
      </c>
      <c r="J2271" s="12">
        <f t="shared" si="75"/>
        <v>116</v>
      </c>
      <c r="K2271" t="str">
        <f t="shared" si="76"/>
        <v>91-120</v>
      </c>
      <c r="L2271" s="11">
        <v>45839</v>
      </c>
      <c r="M2271" s="23">
        <f>YEAR(Таблица1[[#This Row],[Дата отчета]])</f>
        <v>2025</v>
      </c>
    </row>
    <row r="2272" spans="1:14" x14ac:dyDescent="0.25">
      <c r="A2272" t="s">
        <v>12</v>
      </c>
      <c r="B2272" t="s">
        <v>2277</v>
      </c>
      <c r="C2272" t="s">
        <v>2278</v>
      </c>
      <c r="D2272" t="s">
        <v>2279</v>
      </c>
      <c r="E2272" t="s">
        <v>2430</v>
      </c>
      <c r="F2272" s="20">
        <v>632000</v>
      </c>
      <c r="I2272" s="11">
        <f t="shared" si="74"/>
        <v>45790</v>
      </c>
      <c r="J2272" s="12">
        <f t="shared" si="75"/>
        <v>49</v>
      </c>
      <c r="K2272" t="str">
        <f t="shared" si="76"/>
        <v>31-90</v>
      </c>
      <c r="L2272" s="11">
        <v>45839</v>
      </c>
      <c r="M2272" s="23">
        <f>YEAR(Таблица1[[#This Row],[Дата отчета]])</f>
        <v>2025</v>
      </c>
    </row>
    <row r="2273" spans="1:14" x14ac:dyDescent="0.25">
      <c r="A2273" t="s">
        <v>12</v>
      </c>
      <c r="B2273" t="s">
        <v>784</v>
      </c>
      <c r="C2273" t="s">
        <v>2280</v>
      </c>
      <c r="D2273" t="s">
        <v>2281</v>
      </c>
      <c r="E2273" t="s">
        <v>183</v>
      </c>
      <c r="F2273" s="20">
        <v>202000</v>
      </c>
      <c r="I2273" s="11">
        <f t="shared" ref="I2273:I2336" si="77">E2273*1</f>
        <v>45817</v>
      </c>
      <c r="J2273" s="12">
        <f t="shared" ref="J2273:J2336" si="78">L2273-I2273</f>
        <v>22</v>
      </c>
      <c r="K2273" t="str">
        <f t="shared" si="76"/>
        <v>0-30</v>
      </c>
      <c r="L2273" s="11">
        <v>45839</v>
      </c>
      <c r="M2273" s="23">
        <f>YEAR(Таблица1[[#This Row],[Дата отчета]])</f>
        <v>2025</v>
      </c>
    </row>
    <row r="2274" spans="1:14" x14ac:dyDescent="0.25">
      <c r="A2274" t="s">
        <v>12</v>
      </c>
      <c r="B2274" t="s">
        <v>793</v>
      </c>
      <c r="C2274" t="s">
        <v>794</v>
      </c>
      <c r="D2274" t="s">
        <v>795</v>
      </c>
      <c r="E2274" t="s">
        <v>796</v>
      </c>
      <c r="F2274" s="20">
        <v>650</v>
      </c>
      <c r="I2274" s="11">
        <f t="shared" si="77"/>
        <v>44889</v>
      </c>
      <c r="J2274" s="12">
        <f t="shared" si="78"/>
        <v>950</v>
      </c>
      <c r="K2274" t="str">
        <f t="shared" si="76"/>
        <v>&gt;360</v>
      </c>
      <c r="L2274" s="11">
        <v>45839</v>
      </c>
      <c r="M2274" s="23">
        <f>YEAR(Таблица1[[#This Row],[Дата отчета]])</f>
        <v>2025</v>
      </c>
      <c r="N2274" s="2" t="s">
        <v>807</v>
      </c>
    </row>
    <row r="2275" spans="1:14" x14ac:dyDescent="0.25">
      <c r="A2275" t="s">
        <v>12</v>
      </c>
      <c r="B2275" t="s">
        <v>1224</v>
      </c>
      <c r="C2275" t="s">
        <v>1234</v>
      </c>
      <c r="D2275" t="s">
        <v>1251</v>
      </c>
      <c r="E2275" t="s">
        <v>1258</v>
      </c>
      <c r="F2275" s="20">
        <v>12</v>
      </c>
      <c r="I2275" s="11">
        <f t="shared" si="77"/>
        <v>45288</v>
      </c>
      <c r="J2275" s="12">
        <f t="shared" si="78"/>
        <v>551</v>
      </c>
      <c r="K2275" t="str">
        <f t="shared" si="76"/>
        <v>&gt;360</v>
      </c>
      <c r="L2275" s="11">
        <v>45839</v>
      </c>
      <c r="M2275" s="23">
        <f>YEAR(Таблица1[[#This Row],[Дата отчета]])</f>
        <v>2025</v>
      </c>
    </row>
    <row r="2276" spans="1:14" x14ac:dyDescent="0.25">
      <c r="A2276" t="s">
        <v>12</v>
      </c>
      <c r="B2276" t="s">
        <v>797</v>
      </c>
      <c r="C2276" t="s">
        <v>2282</v>
      </c>
      <c r="D2276" t="s">
        <v>2283</v>
      </c>
      <c r="E2276" t="s">
        <v>284</v>
      </c>
      <c r="F2276" s="20">
        <v>0.3</v>
      </c>
      <c r="I2276" s="11">
        <f t="shared" si="77"/>
        <v>45398</v>
      </c>
      <c r="J2276" s="12">
        <f t="shared" si="78"/>
        <v>441</v>
      </c>
      <c r="K2276" t="str">
        <f t="shared" si="76"/>
        <v>&gt;360</v>
      </c>
      <c r="L2276" s="11">
        <v>45839</v>
      </c>
      <c r="M2276" s="23">
        <f>YEAR(Таблица1[[#This Row],[Дата отчета]])</f>
        <v>2025</v>
      </c>
    </row>
    <row r="2277" spans="1:14" x14ac:dyDescent="0.25">
      <c r="A2277" t="s">
        <v>12</v>
      </c>
      <c r="B2277" t="s">
        <v>797</v>
      </c>
      <c r="C2277" t="s">
        <v>2284</v>
      </c>
      <c r="D2277" t="s">
        <v>2285</v>
      </c>
      <c r="E2277" t="s">
        <v>2460</v>
      </c>
      <c r="F2277" s="20">
        <v>0.1</v>
      </c>
      <c r="I2277" s="11">
        <f t="shared" si="77"/>
        <v>45582</v>
      </c>
      <c r="J2277" s="12">
        <f t="shared" si="78"/>
        <v>257</v>
      </c>
      <c r="K2277" t="str">
        <f t="shared" si="76"/>
        <v>181-270</v>
      </c>
      <c r="L2277" s="11">
        <v>45839</v>
      </c>
      <c r="M2277" s="23">
        <f>YEAR(Таблица1[[#This Row],[Дата отчета]])</f>
        <v>2025</v>
      </c>
    </row>
    <row r="2278" spans="1:14" x14ac:dyDescent="0.25">
      <c r="A2278" t="s">
        <v>12</v>
      </c>
      <c r="B2278" t="s">
        <v>797</v>
      </c>
      <c r="C2278" t="s">
        <v>2286</v>
      </c>
      <c r="D2278" t="s">
        <v>2287</v>
      </c>
      <c r="E2278" t="s">
        <v>1812</v>
      </c>
      <c r="F2278" s="20">
        <v>0.1</v>
      </c>
      <c r="I2278" s="11">
        <f t="shared" si="77"/>
        <v>45744</v>
      </c>
      <c r="J2278" s="12">
        <f t="shared" si="78"/>
        <v>95</v>
      </c>
      <c r="K2278" t="str">
        <f t="shared" si="76"/>
        <v>91-120</v>
      </c>
      <c r="L2278" s="11">
        <v>45839</v>
      </c>
      <c r="M2278" s="23">
        <f>YEAR(Таблица1[[#This Row],[Дата отчета]])</f>
        <v>2025</v>
      </c>
    </row>
    <row r="2279" spans="1:14" x14ac:dyDescent="0.25">
      <c r="A2279" t="s">
        <v>12</v>
      </c>
      <c r="B2279" t="s">
        <v>797</v>
      </c>
      <c r="C2279" t="s">
        <v>2286</v>
      </c>
      <c r="D2279" t="s">
        <v>2288</v>
      </c>
      <c r="E2279" t="s">
        <v>2459</v>
      </c>
      <c r="F2279" s="20">
        <v>229851.07</v>
      </c>
      <c r="I2279" s="11">
        <f t="shared" si="77"/>
        <v>45768</v>
      </c>
      <c r="J2279" s="12">
        <f t="shared" si="78"/>
        <v>71</v>
      </c>
      <c r="K2279" t="str">
        <f t="shared" si="76"/>
        <v>31-90</v>
      </c>
      <c r="L2279" s="11">
        <v>45839</v>
      </c>
      <c r="M2279" s="23">
        <f>YEAR(Таблица1[[#This Row],[Дата отчета]])</f>
        <v>2025</v>
      </c>
    </row>
    <row r="2280" spans="1:14" x14ac:dyDescent="0.25">
      <c r="A2280" t="s">
        <v>12</v>
      </c>
      <c r="B2280" t="s">
        <v>801</v>
      </c>
      <c r="C2280" t="s">
        <v>802</v>
      </c>
      <c r="D2280" t="s">
        <v>2289</v>
      </c>
      <c r="E2280" t="s">
        <v>1790</v>
      </c>
      <c r="F2280" s="20">
        <v>759981.03</v>
      </c>
      <c r="I2280" s="11">
        <f t="shared" si="77"/>
        <v>45828</v>
      </c>
      <c r="J2280" s="12">
        <f t="shared" si="78"/>
        <v>11</v>
      </c>
      <c r="K2280" t="str">
        <f t="shared" si="76"/>
        <v>0-30</v>
      </c>
      <c r="L2280" s="11">
        <v>45839</v>
      </c>
      <c r="M2280" s="23">
        <f>YEAR(Таблица1[[#This Row],[Дата отчета]])</f>
        <v>2025</v>
      </c>
    </row>
    <row r="2281" spans="1:14" x14ac:dyDescent="0.25">
      <c r="A2281" t="s">
        <v>12</v>
      </c>
      <c r="B2281" t="s">
        <v>801</v>
      </c>
      <c r="C2281" t="s">
        <v>2290</v>
      </c>
      <c r="D2281" t="s">
        <v>2291</v>
      </c>
      <c r="E2281" t="s">
        <v>2446</v>
      </c>
      <c r="F2281" s="20">
        <v>151920</v>
      </c>
      <c r="I2281" s="11">
        <f t="shared" si="77"/>
        <v>45819</v>
      </c>
      <c r="J2281" s="12">
        <f t="shared" si="78"/>
        <v>20</v>
      </c>
      <c r="K2281" t="str">
        <f t="shared" si="76"/>
        <v>0-30</v>
      </c>
      <c r="L2281" s="11">
        <v>45839</v>
      </c>
      <c r="M2281" s="23">
        <f>YEAR(Таблица1[[#This Row],[Дата отчета]])</f>
        <v>2025</v>
      </c>
    </row>
    <row r="2282" spans="1:14" x14ac:dyDescent="0.25">
      <c r="A2282" t="s">
        <v>12</v>
      </c>
      <c r="B2282" t="s">
        <v>804</v>
      </c>
      <c r="C2282" t="s">
        <v>2292</v>
      </c>
      <c r="D2282" t="s">
        <v>2293</v>
      </c>
      <c r="E2282" t="s">
        <v>2461</v>
      </c>
      <c r="F2282" s="20">
        <v>81000</v>
      </c>
      <c r="I2282" s="11">
        <f t="shared" si="77"/>
        <v>45736</v>
      </c>
      <c r="J2282" s="12">
        <f t="shared" si="78"/>
        <v>103</v>
      </c>
      <c r="K2282" t="str">
        <f t="shared" si="76"/>
        <v>91-120</v>
      </c>
      <c r="L2282" s="11">
        <v>45839</v>
      </c>
      <c r="M2282" s="23">
        <f>YEAR(Таблица1[[#This Row],[Дата отчета]])</f>
        <v>2025</v>
      </c>
    </row>
    <row r="2283" spans="1:14" x14ac:dyDescent="0.25">
      <c r="A2283" t="s">
        <v>12</v>
      </c>
      <c r="B2283" t="s">
        <v>804</v>
      </c>
      <c r="C2283" t="s">
        <v>2294</v>
      </c>
      <c r="D2283" t="s">
        <v>2295</v>
      </c>
      <c r="E2283" t="s">
        <v>2441</v>
      </c>
      <c r="F2283" s="20">
        <v>324000</v>
      </c>
      <c r="I2283" s="11">
        <f t="shared" si="77"/>
        <v>45776</v>
      </c>
      <c r="J2283" s="12">
        <f t="shared" si="78"/>
        <v>63</v>
      </c>
      <c r="K2283" t="str">
        <f t="shared" si="76"/>
        <v>31-90</v>
      </c>
      <c r="L2283" s="11">
        <v>45839</v>
      </c>
      <c r="M2283" s="23">
        <f>YEAR(Таблица1[[#This Row],[Дата отчета]])</f>
        <v>2025</v>
      </c>
    </row>
    <row r="2284" spans="1:14" x14ac:dyDescent="0.25">
      <c r="A2284" t="s">
        <v>12</v>
      </c>
      <c r="B2284" t="s">
        <v>804</v>
      </c>
      <c r="C2284" t="s">
        <v>805</v>
      </c>
      <c r="D2284" t="s">
        <v>806</v>
      </c>
      <c r="E2284" t="s">
        <v>276</v>
      </c>
      <c r="F2284" s="20">
        <v>8840</v>
      </c>
      <c r="I2284" s="11">
        <f t="shared" si="77"/>
        <v>45827</v>
      </c>
      <c r="J2284" s="12">
        <f t="shared" si="78"/>
        <v>12</v>
      </c>
      <c r="K2284" t="str">
        <f t="shared" si="76"/>
        <v>0-30</v>
      </c>
      <c r="L2284" s="11">
        <v>45839</v>
      </c>
      <c r="M2284" s="23">
        <f>YEAR(Таблица1[[#This Row],[Дата отчета]])</f>
        <v>2025</v>
      </c>
    </row>
    <row r="2285" spans="1:14" x14ac:dyDescent="0.25">
      <c r="A2285" t="s">
        <v>12</v>
      </c>
      <c r="B2285" t="s">
        <v>804</v>
      </c>
      <c r="C2285" t="s">
        <v>2296</v>
      </c>
      <c r="D2285" t="s">
        <v>2297</v>
      </c>
      <c r="E2285" t="s">
        <v>2442</v>
      </c>
      <c r="F2285" s="20">
        <v>475000</v>
      </c>
      <c r="I2285" s="11">
        <f t="shared" si="77"/>
        <v>45826</v>
      </c>
      <c r="J2285" s="12">
        <f t="shared" si="78"/>
        <v>13</v>
      </c>
      <c r="K2285" t="str">
        <f t="shared" si="76"/>
        <v>0-30</v>
      </c>
      <c r="L2285" s="11">
        <v>45839</v>
      </c>
      <c r="M2285" s="23">
        <f>YEAR(Таблица1[[#This Row],[Дата отчета]])</f>
        <v>2025</v>
      </c>
    </row>
    <row r="2286" spans="1:14" x14ac:dyDescent="0.25">
      <c r="A2286" t="s">
        <v>12</v>
      </c>
      <c r="B2286" t="s">
        <v>804</v>
      </c>
      <c r="C2286" t="s">
        <v>2298</v>
      </c>
      <c r="D2286" t="s">
        <v>2299</v>
      </c>
      <c r="E2286" t="s">
        <v>2461</v>
      </c>
      <c r="F2286" s="20">
        <v>373800</v>
      </c>
      <c r="I2286" s="11">
        <f t="shared" si="77"/>
        <v>45736</v>
      </c>
      <c r="J2286" s="12">
        <f t="shared" si="78"/>
        <v>103</v>
      </c>
      <c r="K2286" t="str">
        <f t="shared" si="76"/>
        <v>91-120</v>
      </c>
      <c r="L2286" s="11">
        <v>45839</v>
      </c>
      <c r="M2286" s="23">
        <f>YEAR(Таблица1[[#This Row],[Дата отчета]])</f>
        <v>2025</v>
      </c>
    </row>
    <row r="2287" spans="1:14" x14ac:dyDescent="0.25">
      <c r="A2287" t="s">
        <v>12</v>
      </c>
      <c r="B2287" t="s">
        <v>2300</v>
      </c>
      <c r="C2287" t="s">
        <v>269</v>
      </c>
      <c r="D2287" t="s">
        <v>2301</v>
      </c>
      <c r="E2287" t="s">
        <v>987</v>
      </c>
      <c r="F2287" s="20">
        <v>1372.5</v>
      </c>
      <c r="I2287" s="11">
        <f t="shared" si="77"/>
        <v>45747</v>
      </c>
      <c r="J2287" s="12">
        <f t="shared" si="78"/>
        <v>92</v>
      </c>
      <c r="K2287" t="str">
        <f t="shared" si="76"/>
        <v>91-120</v>
      </c>
      <c r="L2287" s="11">
        <v>45839</v>
      </c>
      <c r="M2287" s="23">
        <f>YEAR(Таблица1[[#This Row],[Дата отчета]])</f>
        <v>2025</v>
      </c>
    </row>
    <row r="2288" spans="1:14" x14ac:dyDescent="0.25">
      <c r="A2288" t="s">
        <v>12</v>
      </c>
      <c r="B2288" t="s">
        <v>2302</v>
      </c>
      <c r="C2288" t="s">
        <v>2303</v>
      </c>
      <c r="D2288" t="s">
        <v>2304</v>
      </c>
      <c r="E2288" t="s">
        <v>2462</v>
      </c>
      <c r="F2288" s="20">
        <v>350000</v>
      </c>
      <c r="I2288" s="11">
        <f t="shared" si="77"/>
        <v>45734</v>
      </c>
      <c r="J2288" s="12">
        <f t="shared" si="78"/>
        <v>105</v>
      </c>
      <c r="K2288" t="str">
        <f t="shared" si="76"/>
        <v>91-120</v>
      </c>
      <c r="L2288" s="11">
        <v>45839</v>
      </c>
      <c r="M2288" s="23">
        <f>YEAR(Таблица1[[#This Row],[Дата отчета]])</f>
        <v>2025</v>
      </c>
    </row>
    <row r="2289" spans="1:14" x14ac:dyDescent="0.25">
      <c r="A2289" t="s">
        <v>12</v>
      </c>
      <c r="B2289" t="s">
        <v>2302</v>
      </c>
      <c r="C2289" t="s">
        <v>2303</v>
      </c>
      <c r="D2289" t="s">
        <v>2305</v>
      </c>
      <c r="E2289" t="s">
        <v>2459</v>
      </c>
      <c r="F2289" s="20">
        <v>200000</v>
      </c>
      <c r="I2289" s="11">
        <f t="shared" si="77"/>
        <v>45768</v>
      </c>
      <c r="J2289" s="12">
        <f t="shared" si="78"/>
        <v>71</v>
      </c>
      <c r="K2289" t="str">
        <f t="shared" si="76"/>
        <v>31-90</v>
      </c>
      <c r="L2289" s="11">
        <v>45839</v>
      </c>
      <c r="M2289" s="23">
        <f>YEAR(Таблица1[[#This Row],[Дата отчета]])</f>
        <v>2025</v>
      </c>
    </row>
    <row r="2290" spans="1:14" x14ac:dyDescent="0.25">
      <c r="A2290" t="s">
        <v>12</v>
      </c>
      <c r="B2290" t="s">
        <v>1685</v>
      </c>
      <c r="C2290" t="s">
        <v>1686</v>
      </c>
      <c r="D2290" t="s">
        <v>1687</v>
      </c>
      <c r="E2290" t="s">
        <v>1809</v>
      </c>
      <c r="F2290" s="20">
        <v>33700</v>
      </c>
      <c r="I2290" s="11">
        <f t="shared" si="77"/>
        <v>45644</v>
      </c>
      <c r="J2290" s="12">
        <f t="shared" si="78"/>
        <v>195</v>
      </c>
      <c r="K2290" t="str">
        <f t="shared" si="76"/>
        <v>181-270</v>
      </c>
      <c r="L2290" s="11">
        <v>45839</v>
      </c>
      <c r="M2290" s="23">
        <f>YEAR(Таблица1[[#This Row],[Дата отчета]])</f>
        <v>2025</v>
      </c>
    </row>
    <row r="2291" spans="1:14" x14ac:dyDescent="0.25">
      <c r="A2291" t="s">
        <v>12</v>
      </c>
      <c r="B2291" t="s">
        <v>1685</v>
      </c>
      <c r="C2291" t="s">
        <v>2306</v>
      </c>
      <c r="D2291" t="s">
        <v>2307</v>
      </c>
      <c r="E2291" t="s">
        <v>885</v>
      </c>
      <c r="F2291" s="20">
        <v>25450</v>
      </c>
      <c r="I2291" s="11">
        <f t="shared" si="77"/>
        <v>45783</v>
      </c>
      <c r="J2291" s="12">
        <f t="shared" si="78"/>
        <v>56</v>
      </c>
      <c r="K2291" t="str">
        <f t="shared" si="76"/>
        <v>31-90</v>
      </c>
      <c r="L2291" s="11">
        <v>45839</v>
      </c>
      <c r="M2291" s="23">
        <f>YEAR(Таблица1[[#This Row],[Дата отчета]])</f>
        <v>2025</v>
      </c>
    </row>
    <row r="2292" spans="1:14" x14ac:dyDescent="0.25">
      <c r="A2292" t="s">
        <v>12</v>
      </c>
      <c r="B2292" t="s">
        <v>2308</v>
      </c>
      <c r="C2292" t="s">
        <v>2309</v>
      </c>
      <c r="D2292" t="s">
        <v>2310</v>
      </c>
      <c r="E2292" t="s">
        <v>673</v>
      </c>
      <c r="F2292" s="20">
        <v>127500</v>
      </c>
      <c r="I2292" s="11">
        <f t="shared" si="77"/>
        <v>45775</v>
      </c>
      <c r="J2292" s="12">
        <f t="shared" si="78"/>
        <v>64</v>
      </c>
      <c r="K2292" t="str">
        <f t="shared" si="76"/>
        <v>31-90</v>
      </c>
      <c r="L2292" s="11">
        <v>45839</v>
      </c>
      <c r="M2292" s="23">
        <f>YEAR(Таблица1[[#This Row],[Дата отчета]])</f>
        <v>2025</v>
      </c>
    </row>
    <row r="2293" spans="1:14" x14ac:dyDescent="0.25">
      <c r="A2293" t="s">
        <v>12</v>
      </c>
      <c r="B2293" t="s">
        <v>831</v>
      </c>
      <c r="C2293" t="s">
        <v>832</v>
      </c>
      <c r="D2293" t="s">
        <v>833</v>
      </c>
      <c r="E2293" t="s">
        <v>834</v>
      </c>
      <c r="F2293" s="20">
        <v>1499873.4</v>
      </c>
      <c r="I2293" s="11">
        <f t="shared" si="77"/>
        <v>45824</v>
      </c>
      <c r="J2293" s="12">
        <f t="shared" si="78"/>
        <v>15</v>
      </c>
      <c r="K2293" t="str">
        <f t="shared" si="76"/>
        <v>0-30</v>
      </c>
      <c r="L2293" s="11">
        <v>45839</v>
      </c>
      <c r="M2293" s="23">
        <f>YEAR(Таблица1[[#This Row],[Дата отчета]])</f>
        <v>2025</v>
      </c>
    </row>
    <row r="2294" spans="1:14" x14ac:dyDescent="0.25">
      <c r="A2294" t="s">
        <v>12</v>
      </c>
      <c r="B2294" t="s">
        <v>831</v>
      </c>
      <c r="C2294" t="s">
        <v>2311</v>
      </c>
      <c r="D2294" t="s">
        <v>2312</v>
      </c>
      <c r="E2294" t="s">
        <v>761</v>
      </c>
      <c r="F2294" s="20">
        <v>66228</v>
      </c>
      <c r="I2294" s="11">
        <f t="shared" si="77"/>
        <v>45803</v>
      </c>
      <c r="J2294" s="12">
        <f t="shared" si="78"/>
        <v>36</v>
      </c>
      <c r="K2294" t="str">
        <f t="shared" si="76"/>
        <v>31-90</v>
      </c>
      <c r="L2294" s="11">
        <v>45839</v>
      </c>
      <c r="M2294" s="23">
        <f>YEAR(Таблица1[[#This Row],[Дата отчета]])</f>
        <v>2025</v>
      </c>
    </row>
    <row r="2295" spans="1:14" x14ac:dyDescent="0.25">
      <c r="A2295" t="s">
        <v>12</v>
      </c>
      <c r="B2295" t="s">
        <v>2313</v>
      </c>
      <c r="C2295" t="s">
        <v>2314</v>
      </c>
      <c r="D2295" t="s">
        <v>2315</v>
      </c>
      <c r="E2295" t="s">
        <v>2463</v>
      </c>
      <c r="F2295" s="20">
        <v>87700</v>
      </c>
      <c r="I2295" s="11">
        <f t="shared" si="77"/>
        <v>45468</v>
      </c>
      <c r="J2295" s="12">
        <f t="shared" si="78"/>
        <v>371</v>
      </c>
      <c r="K2295" t="str">
        <f t="shared" si="76"/>
        <v>&gt;360</v>
      </c>
      <c r="L2295" s="11">
        <v>45839</v>
      </c>
      <c r="M2295" s="23">
        <f>YEAR(Таблица1[[#This Row],[Дата отчета]])</f>
        <v>2025</v>
      </c>
    </row>
    <row r="2296" spans="1:14" x14ac:dyDescent="0.25">
      <c r="A2296" t="s">
        <v>12</v>
      </c>
      <c r="B2296" t="s">
        <v>2313</v>
      </c>
      <c r="C2296" t="s">
        <v>2316</v>
      </c>
      <c r="D2296" t="s">
        <v>2317</v>
      </c>
      <c r="E2296" t="s">
        <v>2464</v>
      </c>
      <c r="F2296" s="20">
        <v>17267</v>
      </c>
      <c r="I2296" s="11">
        <f t="shared" si="77"/>
        <v>45397</v>
      </c>
      <c r="J2296" s="12">
        <f t="shared" si="78"/>
        <v>442</v>
      </c>
      <c r="K2296" t="str">
        <f t="shared" si="76"/>
        <v>&gt;360</v>
      </c>
      <c r="L2296" s="11">
        <v>45839</v>
      </c>
      <c r="M2296" s="23">
        <f>YEAR(Таблица1[[#This Row],[Дата отчета]])</f>
        <v>2025</v>
      </c>
    </row>
    <row r="2297" spans="1:14" x14ac:dyDescent="0.25">
      <c r="A2297" t="s">
        <v>12</v>
      </c>
      <c r="B2297" t="s">
        <v>2318</v>
      </c>
      <c r="C2297" t="s">
        <v>2319</v>
      </c>
      <c r="D2297" t="s">
        <v>2320</v>
      </c>
      <c r="E2297" t="s">
        <v>2465</v>
      </c>
      <c r="F2297" s="20">
        <v>66810</v>
      </c>
      <c r="I2297" s="11">
        <f t="shared" si="77"/>
        <v>45555</v>
      </c>
      <c r="J2297" s="12">
        <f t="shared" si="78"/>
        <v>284</v>
      </c>
      <c r="K2297" t="str">
        <f t="shared" si="76"/>
        <v>271-360</v>
      </c>
      <c r="L2297" s="11">
        <v>45839</v>
      </c>
      <c r="M2297" s="23">
        <f>YEAR(Таблица1[[#This Row],[Дата отчета]])</f>
        <v>2025</v>
      </c>
    </row>
    <row r="2298" spans="1:14" x14ac:dyDescent="0.25">
      <c r="A2298" t="s">
        <v>12</v>
      </c>
      <c r="B2298" t="s">
        <v>844</v>
      </c>
      <c r="C2298" t="s">
        <v>845</v>
      </c>
      <c r="D2298" t="s">
        <v>846</v>
      </c>
      <c r="E2298" t="s">
        <v>847</v>
      </c>
      <c r="F2298" s="20">
        <v>11834</v>
      </c>
      <c r="I2298" s="11">
        <f t="shared" si="77"/>
        <v>45200</v>
      </c>
      <c r="J2298" s="12">
        <f t="shared" si="78"/>
        <v>639</v>
      </c>
      <c r="K2298" t="str">
        <f t="shared" si="76"/>
        <v>&gt;360</v>
      </c>
      <c r="L2298" s="11">
        <v>45839</v>
      </c>
      <c r="M2298" s="23">
        <f>YEAR(Таблица1[[#This Row],[Дата отчета]])</f>
        <v>2025</v>
      </c>
      <c r="N2298" s="2" t="s">
        <v>807</v>
      </c>
    </row>
    <row r="2299" spans="1:14" x14ac:dyDescent="0.25">
      <c r="A2299" t="s">
        <v>12</v>
      </c>
      <c r="B2299" t="s">
        <v>851</v>
      </c>
      <c r="C2299" t="s">
        <v>2321</v>
      </c>
      <c r="D2299" t="s">
        <v>2322</v>
      </c>
      <c r="E2299" t="s">
        <v>2454</v>
      </c>
      <c r="F2299" s="20">
        <v>225000</v>
      </c>
      <c r="I2299" s="11">
        <f t="shared" si="77"/>
        <v>45733</v>
      </c>
      <c r="J2299" s="12">
        <f t="shared" si="78"/>
        <v>106</v>
      </c>
      <c r="K2299" t="str">
        <f t="shared" si="76"/>
        <v>91-120</v>
      </c>
      <c r="L2299" s="11">
        <v>45839</v>
      </c>
      <c r="M2299" s="23">
        <f>YEAR(Таблица1[[#This Row],[Дата отчета]])</f>
        <v>2025</v>
      </c>
    </row>
    <row r="2300" spans="1:14" x14ac:dyDescent="0.25">
      <c r="A2300" t="s">
        <v>12</v>
      </c>
      <c r="B2300" t="s">
        <v>854</v>
      </c>
      <c r="C2300" t="s">
        <v>857</v>
      </c>
      <c r="D2300" t="s">
        <v>858</v>
      </c>
      <c r="E2300" t="s">
        <v>859</v>
      </c>
      <c r="F2300" s="20">
        <v>9250</v>
      </c>
      <c r="I2300" s="11">
        <f t="shared" si="77"/>
        <v>45110</v>
      </c>
      <c r="J2300" s="12">
        <f t="shared" si="78"/>
        <v>729</v>
      </c>
      <c r="K2300" t="str">
        <f t="shared" si="76"/>
        <v>&gt;360</v>
      </c>
      <c r="L2300" s="11">
        <v>45839</v>
      </c>
      <c r="M2300" s="23">
        <f>YEAR(Таблица1[[#This Row],[Дата отчета]])</f>
        <v>2025</v>
      </c>
      <c r="N2300" s="2" t="s">
        <v>807</v>
      </c>
    </row>
    <row r="2301" spans="1:14" x14ac:dyDescent="0.25">
      <c r="A2301" t="s">
        <v>12</v>
      </c>
      <c r="B2301" t="s">
        <v>854</v>
      </c>
      <c r="C2301" t="s">
        <v>860</v>
      </c>
      <c r="D2301" t="s">
        <v>861</v>
      </c>
      <c r="E2301" t="s">
        <v>862</v>
      </c>
      <c r="F2301" s="20">
        <v>4996</v>
      </c>
      <c r="I2301" s="11">
        <f t="shared" si="77"/>
        <v>45187</v>
      </c>
      <c r="J2301" s="12">
        <f t="shared" si="78"/>
        <v>652</v>
      </c>
      <c r="K2301" t="str">
        <f t="shared" si="76"/>
        <v>&gt;360</v>
      </c>
      <c r="L2301" s="11">
        <v>45839</v>
      </c>
      <c r="M2301" s="23">
        <f>YEAR(Таблица1[[#This Row],[Дата отчета]])</f>
        <v>2025</v>
      </c>
      <c r="N2301" s="2" t="s">
        <v>807</v>
      </c>
    </row>
    <row r="2302" spans="1:14" x14ac:dyDescent="0.25">
      <c r="A2302" t="s">
        <v>12</v>
      </c>
      <c r="B2302" t="s">
        <v>854</v>
      </c>
      <c r="C2302" t="s">
        <v>863</v>
      </c>
      <c r="D2302" t="s">
        <v>864</v>
      </c>
      <c r="E2302" t="s">
        <v>865</v>
      </c>
      <c r="F2302" s="20">
        <v>3100</v>
      </c>
      <c r="I2302" s="11">
        <f t="shared" si="77"/>
        <v>45456</v>
      </c>
      <c r="J2302" s="12">
        <f t="shared" si="78"/>
        <v>383</v>
      </c>
      <c r="K2302" t="str">
        <f t="shared" si="76"/>
        <v>&gt;360</v>
      </c>
      <c r="L2302" s="11">
        <v>45839</v>
      </c>
      <c r="M2302" s="23">
        <f>YEAR(Таблица1[[#This Row],[Дата отчета]])</f>
        <v>2025</v>
      </c>
      <c r="N2302" s="2" t="s">
        <v>807</v>
      </c>
    </row>
    <row r="2303" spans="1:14" x14ac:dyDescent="0.25">
      <c r="A2303" t="s">
        <v>12</v>
      </c>
      <c r="B2303" t="s">
        <v>854</v>
      </c>
      <c r="C2303" t="s">
        <v>866</v>
      </c>
      <c r="D2303" t="s">
        <v>867</v>
      </c>
      <c r="E2303" t="s">
        <v>868</v>
      </c>
      <c r="F2303" s="20">
        <v>2640</v>
      </c>
      <c r="I2303" s="11">
        <f t="shared" si="77"/>
        <v>45252</v>
      </c>
      <c r="J2303" s="12">
        <f t="shared" si="78"/>
        <v>587</v>
      </c>
      <c r="K2303" t="str">
        <f t="shared" ref="K2303:K2366" si="79">IF(J2303&lt;=30,"0-30",IF(J2303&lt;=90,"31-90",IF(J2303&lt;=120,"91-120",IF(J2303&lt;=180,"121-180",IF(J2303&lt;=270,"181-270",IF(J2303&lt;=360,"271-360","&gt;360"))))))</f>
        <v>&gt;360</v>
      </c>
      <c r="L2303" s="11">
        <v>45839</v>
      </c>
      <c r="M2303" s="23">
        <f>YEAR(Таблица1[[#This Row],[Дата отчета]])</f>
        <v>2025</v>
      </c>
      <c r="N2303" s="2" t="s">
        <v>807</v>
      </c>
    </row>
    <row r="2304" spans="1:14" x14ac:dyDescent="0.25">
      <c r="A2304" t="s">
        <v>12</v>
      </c>
      <c r="B2304" t="s">
        <v>854</v>
      </c>
      <c r="C2304" t="s">
        <v>883</v>
      </c>
      <c r="D2304" t="s">
        <v>884</v>
      </c>
      <c r="E2304" t="s">
        <v>885</v>
      </c>
      <c r="F2304" s="20">
        <v>26390</v>
      </c>
      <c r="I2304" s="11">
        <f t="shared" si="77"/>
        <v>45783</v>
      </c>
      <c r="J2304" s="12">
        <f t="shared" si="78"/>
        <v>56</v>
      </c>
      <c r="K2304" t="str">
        <f t="shared" si="79"/>
        <v>31-90</v>
      </c>
      <c r="L2304" s="11">
        <v>45839</v>
      </c>
      <c r="M2304" s="23">
        <f>YEAR(Таблица1[[#This Row],[Дата отчета]])</f>
        <v>2025</v>
      </c>
    </row>
    <row r="2305" spans="1:14" x14ac:dyDescent="0.25">
      <c r="A2305" t="s">
        <v>12</v>
      </c>
      <c r="B2305" t="s">
        <v>854</v>
      </c>
      <c r="C2305" t="s">
        <v>2323</v>
      </c>
      <c r="D2305" t="s">
        <v>2324</v>
      </c>
      <c r="E2305" t="s">
        <v>520</v>
      </c>
      <c r="F2305" s="20">
        <v>3790</v>
      </c>
      <c r="I2305" s="11">
        <f t="shared" si="77"/>
        <v>45811</v>
      </c>
      <c r="J2305" s="12">
        <f t="shared" si="78"/>
        <v>28</v>
      </c>
      <c r="K2305" t="str">
        <f t="shared" si="79"/>
        <v>0-30</v>
      </c>
      <c r="L2305" s="11">
        <v>45839</v>
      </c>
      <c r="M2305" s="23">
        <f>YEAR(Таблица1[[#This Row],[Дата отчета]])</f>
        <v>2025</v>
      </c>
    </row>
    <row r="2306" spans="1:14" x14ac:dyDescent="0.25">
      <c r="A2306" t="s">
        <v>12</v>
      </c>
      <c r="B2306" t="s">
        <v>854</v>
      </c>
      <c r="C2306" t="s">
        <v>2325</v>
      </c>
      <c r="D2306" t="s">
        <v>2326</v>
      </c>
      <c r="E2306" t="s">
        <v>834</v>
      </c>
      <c r="F2306" s="20">
        <v>16890</v>
      </c>
      <c r="I2306" s="11">
        <f t="shared" si="77"/>
        <v>45824</v>
      </c>
      <c r="J2306" s="12">
        <f t="shared" si="78"/>
        <v>15</v>
      </c>
      <c r="K2306" t="str">
        <f t="shared" si="79"/>
        <v>0-30</v>
      </c>
      <c r="L2306" s="11">
        <v>45839</v>
      </c>
      <c r="M2306" s="23">
        <f>YEAR(Таблица1[[#This Row],[Дата отчета]])</f>
        <v>2025</v>
      </c>
    </row>
    <row r="2307" spans="1:14" x14ac:dyDescent="0.25">
      <c r="A2307" t="s">
        <v>12</v>
      </c>
      <c r="B2307" t="s">
        <v>854</v>
      </c>
      <c r="C2307" t="s">
        <v>2327</v>
      </c>
      <c r="D2307" t="s">
        <v>2328</v>
      </c>
      <c r="E2307" t="s">
        <v>1790</v>
      </c>
      <c r="F2307" s="20">
        <v>125186</v>
      </c>
      <c r="I2307" s="11">
        <f t="shared" si="77"/>
        <v>45828</v>
      </c>
      <c r="J2307" s="12">
        <f t="shared" si="78"/>
        <v>11</v>
      </c>
      <c r="K2307" t="str">
        <f t="shared" si="79"/>
        <v>0-30</v>
      </c>
      <c r="L2307" s="11">
        <v>45839</v>
      </c>
      <c r="M2307" s="23">
        <f>YEAR(Таблица1[[#This Row],[Дата отчета]])</f>
        <v>2025</v>
      </c>
    </row>
    <row r="2308" spans="1:14" x14ac:dyDescent="0.25">
      <c r="A2308" t="s">
        <v>12</v>
      </c>
      <c r="B2308" t="s">
        <v>854</v>
      </c>
      <c r="C2308" t="s">
        <v>2329</v>
      </c>
      <c r="D2308" t="s">
        <v>2330</v>
      </c>
      <c r="E2308" t="s">
        <v>1790</v>
      </c>
      <c r="F2308" s="20">
        <v>1632</v>
      </c>
      <c r="I2308" s="11">
        <f t="shared" si="77"/>
        <v>45828</v>
      </c>
      <c r="J2308" s="12">
        <f t="shared" si="78"/>
        <v>11</v>
      </c>
      <c r="K2308" t="str">
        <f t="shared" si="79"/>
        <v>0-30</v>
      </c>
      <c r="L2308" s="11">
        <v>45839</v>
      </c>
      <c r="M2308" s="23">
        <f>YEAR(Таблица1[[#This Row],[Дата отчета]])</f>
        <v>2025</v>
      </c>
    </row>
    <row r="2309" spans="1:14" x14ac:dyDescent="0.25">
      <c r="A2309" t="s">
        <v>12</v>
      </c>
      <c r="B2309" t="s">
        <v>854</v>
      </c>
      <c r="C2309" t="s">
        <v>2331</v>
      </c>
      <c r="D2309" t="s">
        <v>2332</v>
      </c>
      <c r="E2309" t="s">
        <v>1039</v>
      </c>
      <c r="F2309" s="20">
        <v>28785</v>
      </c>
      <c r="I2309" s="11">
        <f t="shared" si="77"/>
        <v>45831</v>
      </c>
      <c r="J2309" s="12">
        <f t="shared" si="78"/>
        <v>8</v>
      </c>
      <c r="K2309" t="str">
        <f t="shared" si="79"/>
        <v>0-30</v>
      </c>
      <c r="L2309" s="11">
        <v>45839</v>
      </c>
      <c r="M2309" s="23">
        <f>YEAR(Таблица1[[#This Row],[Дата отчета]])</f>
        <v>2025</v>
      </c>
    </row>
    <row r="2310" spans="1:14" x14ac:dyDescent="0.25">
      <c r="A2310" t="s">
        <v>12</v>
      </c>
      <c r="B2310" t="s">
        <v>854</v>
      </c>
      <c r="C2310" t="s">
        <v>2333</v>
      </c>
      <c r="D2310" t="s">
        <v>2334</v>
      </c>
      <c r="E2310" t="s">
        <v>2452</v>
      </c>
      <c r="F2310" s="20">
        <v>2100</v>
      </c>
      <c r="I2310" s="11">
        <f t="shared" si="77"/>
        <v>45834</v>
      </c>
      <c r="J2310" s="12">
        <f t="shared" si="78"/>
        <v>5</v>
      </c>
      <c r="K2310" t="str">
        <f t="shared" si="79"/>
        <v>0-30</v>
      </c>
      <c r="L2310" s="11">
        <v>45839</v>
      </c>
      <c r="M2310" s="23">
        <f>YEAR(Таблица1[[#This Row],[Дата отчета]])</f>
        <v>2025</v>
      </c>
    </row>
    <row r="2311" spans="1:14" x14ac:dyDescent="0.25">
      <c r="A2311" t="s">
        <v>12</v>
      </c>
      <c r="B2311" t="s">
        <v>894</v>
      </c>
      <c r="C2311" t="s">
        <v>895</v>
      </c>
      <c r="D2311" t="s">
        <v>896</v>
      </c>
      <c r="E2311" t="s">
        <v>897</v>
      </c>
      <c r="F2311" s="20">
        <v>2400</v>
      </c>
      <c r="I2311" s="11">
        <f t="shared" si="77"/>
        <v>45022</v>
      </c>
      <c r="J2311" s="12">
        <f t="shared" si="78"/>
        <v>817</v>
      </c>
      <c r="K2311" t="str">
        <f t="shared" si="79"/>
        <v>&gt;360</v>
      </c>
      <c r="L2311" s="11">
        <v>45839</v>
      </c>
      <c r="M2311" s="23">
        <f>YEAR(Таблица1[[#This Row],[Дата отчета]])</f>
        <v>2025</v>
      </c>
      <c r="N2311" s="2" t="s">
        <v>807</v>
      </c>
    </row>
    <row r="2312" spans="1:14" x14ac:dyDescent="0.25">
      <c r="A2312" t="s">
        <v>12</v>
      </c>
      <c r="B2312" t="s">
        <v>894</v>
      </c>
      <c r="C2312" t="s">
        <v>898</v>
      </c>
      <c r="D2312" t="s">
        <v>899</v>
      </c>
      <c r="E2312" t="s">
        <v>900</v>
      </c>
      <c r="F2312" s="20">
        <v>22029</v>
      </c>
      <c r="I2312" s="11">
        <f t="shared" si="77"/>
        <v>45203</v>
      </c>
      <c r="J2312" s="12">
        <f t="shared" si="78"/>
        <v>636</v>
      </c>
      <c r="K2312" t="str">
        <f t="shared" si="79"/>
        <v>&gt;360</v>
      </c>
      <c r="L2312" s="11">
        <v>45839</v>
      </c>
      <c r="M2312" s="23">
        <f>YEAR(Таблица1[[#This Row],[Дата отчета]])</f>
        <v>2025</v>
      </c>
      <c r="N2312" s="2" t="s">
        <v>807</v>
      </c>
    </row>
    <row r="2313" spans="1:14" x14ac:dyDescent="0.25">
      <c r="A2313" t="s">
        <v>12</v>
      </c>
      <c r="B2313" t="s">
        <v>901</v>
      </c>
      <c r="C2313" t="s">
        <v>775</v>
      </c>
      <c r="D2313" t="s">
        <v>902</v>
      </c>
      <c r="E2313" t="s">
        <v>903</v>
      </c>
      <c r="F2313" s="20">
        <v>270</v>
      </c>
      <c r="I2313" s="11">
        <f t="shared" si="77"/>
        <v>43679</v>
      </c>
      <c r="J2313" s="12">
        <f t="shared" si="78"/>
        <v>2160</v>
      </c>
      <c r="K2313" t="str">
        <f t="shared" si="79"/>
        <v>&gt;360</v>
      </c>
      <c r="L2313" s="11">
        <v>45839</v>
      </c>
      <c r="M2313" s="23">
        <f>YEAR(Таблица1[[#This Row],[Дата отчета]])</f>
        <v>2025</v>
      </c>
      <c r="N2313" s="2" t="s">
        <v>807</v>
      </c>
    </row>
    <row r="2314" spans="1:14" x14ac:dyDescent="0.25">
      <c r="A2314" t="s">
        <v>12</v>
      </c>
      <c r="B2314" t="s">
        <v>2335</v>
      </c>
      <c r="C2314" t="s">
        <v>2336</v>
      </c>
      <c r="D2314" t="s">
        <v>2337</v>
      </c>
      <c r="E2314" t="s">
        <v>2442</v>
      </c>
      <c r="F2314" s="20">
        <v>89400</v>
      </c>
      <c r="I2314" s="11">
        <f t="shared" si="77"/>
        <v>45826</v>
      </c>
      <c r="J2314" s="12">
        <f t="shared" si="78"/>
        <v>13</v>
      </c>
      <c r="K2314" t="str">
        <f t="shared" si="79"/>
        <v>0-30</v>
      </c>
      <c r="L2314" s="11">
        <v>45839</v>
      </c>
      <c r="M2314" s="23">
        <f>YEAR(Таблица1[[#This Row],[Дата отчета]])</f>
        <v>2025</v>
      </c>
    </row>
    <row r="2315" spans="1:14" x14ac:dyDescent="0.25">
      <c r="A2315" t="s">
        <v>12</v>
      </c>
      <c r="B2315" t="s">
        <v>904</v>
      </c>
      <c r="C2315" t="s">
        <v>1698</v>
      </c>
      <c r="D2315" t="s">
        <v>1699</v>
      </c>
      <c r="E2315" t="s">
        <v>1810</v>
      </c>
      <c r="F2315" s="20">
        <v>50600</v>
      </c>
      <c r="I2315" s="11">
        <f t="shared" si="77"/>
        <v>45761</v>
      </c>
      <c r="J2315" s="12">
        <f t="shared" si="78"/>
        <v>78</v>
      </c>
      <c r="K2315" t="str">
        <f t="shared" si="79"/>
        <v>31-90</v>
      </c>
      <c r="L2315" s="11">
        <v>45839</v>
      </c>
      <c r="M2315" s="23">
        <f>YEAR(Таблица1[[#This Row],[Дата отчета]])</f>
        <v>2025</v>
      </c>
    </row>
    <row r="2316" spans="1:14" x14ac:dyDescent="0.25">
      <c r="A2316" t="s">
        <v>12</v>
      </c>
      <c r="B2316" t="s">
        <v>2338</v>
      </c>
      <c r="C2316" t="s">
        <v>2339</v>
      </c>
      <c r="D2316" t="s">
        <v>2340</v>
      </c>
      <c r="E2316" t="s">
        <v>2466</v>
      </c>
      <c r="F2316" s="20">
        <v>85000</v>
      </c>
      <c r="I2316" s="11">
        <f t="shared" si="77"/>
        <v>45764</v>
      </c>
      <c r="J2316" s="12">
        <f t="shared" si="78"/>
        <v>75</v>
      </c>
      <c r="K2316" t="str">
        <f t="shared" si="79"/>
        <v>31-90</v>
      </c>
      <c r="L2316" s="11">
        <v>45839</v>
      </c>
      <c r="M2316" s="23">
        <f>YEAR(Таблица1[[#This Row],[Дата отчета]])</f>
        <v>2025</v>
      </c>
    </row>
    <row r="2317" spans="1:14" x14ac:dyDescent="0.25">
      <c r="A2317" t="s">
        <v>12</v>
      </c>
      <c r="B2317" t="s">
        <v>2338</v>
      </c>
      <c r="C2317" t="s">
        <v>2339</v>
      </c>
      <c r="D2317" t="s">
        <v>2341</v>
      </c>
      <c r="E2317" t="s">
        <v>2435</v>
      </c>
      <c r="F2317" s="20">
        <v>15000</v>
      </c>
      <c r="I2317" s="11">
        <f t="shared" si="77"/>
        <v>45765</v>
      </c>
      <c r="J2317" s="12">
        <f t="shared" si="78"/>
        <v>74</v>
      </c>
      <c r="K2317" t="str">
        <f t="shared" si="79"/>
        <v>31-90</v>
      </c>
      <c r="L2317" s="11">
        <v>45839</v>
      </c>
      <c r="M2317" s="23">
        <f>YEAR(Таблица1[[#This Row],[Дата отчета]])</f>
        <v>2025</v>
      </c>
    </row>
    <row r="2318" spans="1:14" x14ac:dyDescent="0.25">
      <c r="A2318" t="s">
        <v>12</v>
      </c>
      <c r="B2318" t="s">
        <v>2338</v>
      </c>
      <c r="C2318" t="s">
        <v>2339</v>
      </c>
      <c r="D2318" t="s">
        <v>2342</v>
      </c>
      <c r="E2318" t="s">
        <v>2459</v>
      </c>
      <c r="F2318" s="20">
        <v>150000</v>
      </c>
      <c r="I2318" s="11">
        <f t="shared" si="77"/>
        <v>45768</v>
      </c>
      <c r="J2318" s="12">
        <f t="shared" si="78"/>
        <v>71</v>
      </c>
      <c r="K2318" t="str">
        <f t="shared" si="79"/>
        <v>31-90</v>
      </c>
      <c r="L2318" s="11">
        <v>45839</v>
      </c>
      <c r="M2318" s="23">
        <f>YEAR(Таблица1[[#This Row],[Дата отчета]])</f>
        <v>2025</v>
      </c>
    </row>
    <row r="2319" spans="1:14" x14ac:dyDescent="0.25">
      <c r="A2319" t="s">
        <v>12</v>
      </c>
      <c r="B2319" t="s">
        <v>1705</v>
      </c>
      <c r="C2319" t="s">
        <v>775</v>
      </c>
      <c r="D2319" t="s">
        <v>2343</v>
      </c>
      <c r="E2319" t="s">
        <v>289</v>
      </c>
      <c r="F2319" s="20">
        <v>4100</v>
      </c>
      <c r="I2319" s="11">
        <f t="shared" si="77"/>
        <v>45716</v>
      </c>
      <c r="J2319" s="12">
        <f t="shared" si="78"/>
        <v>123</v>
      </c>
      <c r="K2319" t="str">
        <f t="shared" si="79"/>
        <v>121-180</v>
      </c>
      <c r="L2319" s="11">
        <v>45839</v>
      </c>
      <c r="M2319" s="23">
        <f>YEAR(Таблица1[[#This Row],[Дата отчета]])</f>
        <v>2025</v>
      </c>
    </row>
    <row r="2320" spans="1:14" x14ac:dyDescent="0.25">
      <c r="A2320" t="s">
        <v>12</v>
      </c>
      <c r="B2320" t="s">
        <v>2344</v>
      </c>
      <c r="C2320" t="s">
        <v>2345</v>
      </c>
      <c r="D2320" t="s">
        <v>2346</v>
      </c>
      <c r="E2320" t="s">
        <v>761</v>
      </c>
      <c r="F2320" s="20">
        <v>82283</v>
      </c>
      <c r="I2320" s="11">
        <f t="shared" si="77"/>
        <v>45803</v>
      </c>
      <c r="J2320" s="12">
        <f t="shared" si="78"/>
        <v>36</v>
      </c>
      <c r="K2320" t="str">
        <f t="shared" si="79"/>
        <v>31-90</v>
      </c>
      <c r="L2320" s="11">
        <v>45839</v>
      </c>
      <c r="M2320" s="23">
        <f>YEAR(Таблица1[[#This Row],[Дата отчета]])</f>
        <v>2025</v>
      </c>
    </row>
    <row r="2321" spans="1:14" x14ac:dyDescent="0.25">
      <c r="A2321" t="s">
        <v>12</v>
      </c>
      <c r="B2321" t="s">
        <v>915</v>
      </c>
      <c r="C2321" t="s">
        <v>918</v>
      </c>
      <c r="D2321" t="s">
        <v>919</v>
      </c>
      <c r="E2321" t="s">
        <v>920</v>
      </c>
      <c r="F2321" s="20">
        <v>37500</v>
      </c>
      <c r="I2321" s="11">
        <f t="shared" si="77"/>
        <v>45392</v>
      </c>
      <c r="J2321" s="12">
        <f t="shared" si="78"/>
        <v>447</v>
      </c>
      <c r="K2321" t="str">
        <f t="shared" si="79"/>
        <v>&gt;360</v>
      </c>
      <c r="L2321" s="11">
        <v>45839</v>
      </c>
      <c r="M2321" s="23">
        <f>YEAR(Таблица1[[#This Row],[Дата отчета]])</f>
        <v>2025</v>
      </c>
      <c r="N2321" s="2" t="s">
        <v>4538</v>
      </c>
    </row>
    <row r="2322" spans="1:14" x14ac:dyDescent="0.25">
      <c r="A2322" t="s">
        <v>12</v>
      </c>
      <c r="B2322" t="s">
        <v>915</v>
      </c>
      <c r="C2322" t="s">
        <v>2347</v>
      </c>
      <c r="D2322" t="s">
        <v>2348</v>
      </c>
      <c r="E2322" t="s">
        <v>2432</v>
      </c>
      <c r="F2322" s="20">
        <v>2881256.7</v>
      </c>
      <c r="I2322" s="11">
        <f t="shared" si="77"/>
        <v>45693</v>
      </c>
      <c r="J2322" s="12">
        <f t="shared" si="78"/>
        <v>146</v>
      </c>
      <c r="K2322" t="str">
        <f t="shared" si="79"/>
        <v>121-180</v>
      </c>
      <c r="L2322" s="11">
        <v>45839</v>
      </c>
      <c r="M2322" s="23">
        <f>YEAR(Таблица1[[#This Row],[Дата отчета]])</f>
        <v>2025</v>
      </c>
    </row>
    <row r="2323" spans="1:14" x14ac:dyDescent="0.25">
      <c r="A2323" t="s">
        <v>12</v>
      </c>
      <c r="B2323" t="s">
        <v>1711</v>
      </c>
      <c r="C2323" t="s">
        <v>1712</v>
      </c>
      <c r="D2323" t="s">
        <v>1713</v>
      </c>
      <c r="E2323" t="s">
        <v>1812</v>
      </c>
      <c r="F2323" s="20">
        <v>7010</v>
      </c>
      <c r="I2323" s="11">
        <f t="shared" si="77"/>
        <v>45744</v>
      </c>
      <c r="J2323" s="12">
        <f t="shared" si="78"/>
        <v>95</v>
      </c>
      <c r="K2323" t="str">
        <f t="shared" si="79"/>
        <v>91-120</v>
      </c>
      <c r="L2323" s="11">
        <v>45839</v>
      </c>
      <c r="M2323" s="23">
        <f>YEAR(Таблица1[[#This Row],[Дата отчета]])</f>
        <v>2025</v>
      </c>
    </row>
    <row r="2324" spans="1:14" x14ac:dyDescent="0.25">
      <c r="A2324" t="s">
        <v>12</v>
      </c>
      <c r="B2324" t="s">
        <v>2349</v>
      </c>
      <c r="C2324" t="s">
        <v>2350</v>
      </c>
      <c r="D2324" t="s">
        <v>2351</v>
      </c>
      <c r="E2324" t="s">
        <v>2431</v>
      </c>
      <c r="F2324" s="20">
        <v>11030.4</v>
      </c>
      <c r="I2324" s="11">
        <f t="shared" si="77"/>
        <v>45807</v>
      </c>
      <c r="J2324" s="12">
        <f t="shared" si="78"/>
        <v>32</v>
      </c>
      <c r="K2324" t="str">
        <f t="shared" si="79"/>
        <v>31-90</v>
      </c>
      <c r="L2324" s="11">
        <v>45839</v>
      </c>
      <c r="M2324" s="23">
        <f>YEAR(Таблица1[[#This Row],[Дата отчета]])</f>
        <v>2025</v>
      </c>
    </row>
    <row r="2325" spans="1:14" x14ac:dyDescent="0.25">
      <c r="A2325" t="s">
        <v>12</v>
      </c>
      <c r="B2325" t="s">
        <v>2349</v>
      </c>
      <c r="C2325" t="s">
        <v>2352</v>
      </c>
      <c r="D2325" t="s">
        <v>2353</v>
      </c>
      <c r="E2325" t="s">
        <v>834</v>
      </c>
      <c r="F2325" s="20">
        <v>55822.96</v>
      </c>
      <c r="I2325" s="11">
        <f t="shared" si="77"/>
        <v>45824</v>
      </c>
      <c r="J2325" s="12">
        <f t="shared" si="78"/>
        <v>15</v>
      </c>
      <c r="K2325" t="str">
        <f t="shared" si="79"/>
        <v>0-30</v>
      </c>
      <c r="L2325" s="11">
        <v>45839</v>
      </c>
      <c r="M2325" s="23">
        <f>YEAR(Таблица1[[#This Row],[Дата отчета]])</f>
        <v>2025</v>
      </c>
    </row>
    <row r="2326" spans="1:14" x14ac:dyDescent="0.25">
      <c r="A2326" t="s">
        <v>12</v>
      </c>
      <c r="B2326" t="s">
        <v>2349</v>
      </c>
      <c r="C2326" t="s">
        <v>2354</v>
      </c>
      <c r="D2326" t="s">
        <v>2355</v>
      </c>
      <c r="E2326" t="s">
        <v>2458</v>
      </c>
      <c r="F2326" s="20">
        <v>44861.73</v>
      </c>
      <c r="I2326" s="11">
        <f t="shared" si="77"/>
        <v>45750</v>
      </c>
      <c r="J2326" s="12">
        <f t="shared" si="78"/>
        <v>89</v>
      </c>
      <c r="K2326" t="str">
        <f t="shared" si="79"/>
        <v>31-90</v>
      </c>
      <c r="L2326" s="11">
        <v>45839</v>
      </c>
      <c r="M2326" s="23">
        <f>YEAR(Таблица1[[#This Row],[Дата отчета]])</f>
        <v>2025</v>
      </c>
    </row>
    <row r="2327" spans="1:14" x14ac:dyDescent="0.25">
      <c r="A2327" t="s">
        <v>12</v>
      </c>
      <c r="B2327" t="s">
        <v>935</v>
      </c>
      <c r="C2327" t="s">
        <v>2356</v>
      </c>
      <c r="D2327" t="s">
        <v>2357</v>
      </c>
      <c r="E2327" t="s">
        <v>2442</v>
      </c>
      <c r="F2327" s="20">
        <v>4000</v>
      </c>
      <c r="I2327" s="11">
        <f t="shared" si="77"/>
        <v>45826</v>
      </c>
      <c r="J2327" s="12">
        <f t="shared" si="78"/>
        <v>13</v>
      </c>
      <c r="K2327" t="str">
        <f t="shared" si="79"/>
        <v>0-30</v>
      </c>
      <c r="L2327" s="11">
        <v>45839</v>
      </c>
      <c r="M2327" s="23">
        <f>YEAR(Таблица1[[#This Row],[Дата отчета]])</f>
        <v>2025</v>
      </c>
    </row>
    <row r="2328" spans="1:14" x14ac:dyDescent="0.25">
      <c r="A2328" t="s">
        <v>12</v>
      </c>
      <c r="B2328" t="s">
        <v>935</v>
      </c>
      <c r="C2328" t="s">
        <v>942</v>
      </c>
      <c r="D2328" t="s">
        <v>943</v>
      </c>
      <c r="E2328" t="s">
        <v>944</v>
      </c>
      <c r="F2328" s="20">
        <v>14000</v>
      </c>
      <c r="I2328" s="11">
        <f t="shared" si="77"/>
        <v>45749</v>
      </c>
      <c r="J2328" s="12">
        <f t="shared" si="78"/>
        <v>90</v>
      </c>
      <c r="K2328" t="str">
        <f t="shared" si="79"/>
        <v>31-90</v>
      </c>
      <c r="L2328" s="11">
        <v>45839</v>
      </c>
      <c r="M2328" s="23">
        <f>YEAR(Таблица1[[#This Row],[Дата отчета]])</f>
        <v>2025</v>
      </c>
      <c r="N2328" s="7" t="s">
        <v>4538</v>
      </c>
    </row>
    <row r="2329" spans="1:14" x14ac:dyDescent="0.25">
      <c r="A2329" t="s">
        <v>12</v>
      </c>
      <c r="B2329" t="s">
        <v>953</v>
      </c>
      <c r="C2329" t="s">
        <v>2358</v>
      </c>
      <c r="D2329" t="s">
        <v>2359</v>
      </c>
      <c r="E2329" t="s">
        <v>276</v>
      </c>
      <c r="F2329" s="20">
        <v>39600</v>
      </c>
      <c r="I2329" s="11">
        <f t="shared" si="77"/>
        <v>45827</v>
      </c>
      <c r="J2329" s="12">
        <f t="shared" si="78"/>
        <v>12</v>
      </c>
      <c r="K2329" t="str">
        <f t="shared" si="79"/>
        <v>0-30</v>
      </c>
      <c r="L2329" s="11">
        <v>45839</v>
      </c>
      <c r="M2329" s="23">
        <f>YEAR(Таблица1[[#This Row],[Дата отчета]])</f>
        <v>2025</v>
      </c>
    </row>
    <row r="2330" spans="1:14" x14ac:dyDescent="0.25">
      <c r="A2330" t="s">
        <v>12</v>
      </c>
      <c r="B2330" t="s">
        <v>2360</v>
      </c>
      <c r="C2330" t="s">
        <v>2361</v>
      </c>
      <c r="D2330" t="s">
        <v>2362</v>
      </c>
      <c r="E2330" t="s">
        <v>1039</v>
      </c>
      <c r="F2330" s="20">
        <v>12820</v>
      </c>
      <c r="I2330" s="11">
        <f t="shared" si="77"/>
        <v>45831</v>
      </c>
      <c r="J2330" s="12">
        <f t="shared" si="78"/>
        <v>8</v>
      </c>
      <c r="K2330" t="str">
        <f t="shared" si="79"/>
        <v>0-30</v>
      </c>
      <c r="L2330" s="11">
        <v>45839</v>
      </c>
      <c r="M2330" s="23">
        <f>YEAR(Таблица1[[#This Row],[Дата отчета]])</f>
        <v>2025</v>
      </c>
    </row>
    <row r="2331" spans="1:14" x14ac:dyDescent="0.25">
      <c r="A2331" t="s">
        <v>12</v>
      </c>
      <c r="B2331" t="s">
        <v>2363</v>
      </c>
      <c r="C2331" t="s">
        <v>2364</v>
      </c>
      <c r="D2331" t="s">
        <v>2365</v>
      </c>
      <c r="E2331" t="s">
        <v>1790</v>
      </c>
      <c r="F2331" s="20">
        <v>28923</v>
      </c>
      <c r="I2331" s="11">
        <f t="shared" si="77"/>
        <v>45828</v>
      </c>
      <c r="J2331" s="12">
        <f t="shared" si="78"/>
        <v>11</v>
      </c>
      <c r="K2331" t="str">
        <f t="shared" si="79"/>
        <v>0-30</v>
      </c>
      <c r="L2331" s="11">
        <v>45839</v>
      </c>
      <c r="M2331" s="23">
        <f>YEAR(Таблица1[[#This Row],[Дата отчета]])</f>
        <v>2025</v>
      </c>
    </row>
    <row r="2332" spans="1:14" x14ac:dyDescent="0.25">
      <c r="A2332" t="s">
        <v>12</v>
      </c>
      <c r="B2332" t="s">
        <v>1721</v>
      </c>
      <c r="C2332" t="s">
        <v>2366</v>
      </c>
      <c r="D2332" t="s">
        <v>2367</v>
      </c>
      <c r="E2332" t="s">
        <v>276</v>
      </c>
      <c r="F2332" s="20">
        <v>3880</v>
      </c>
      <c r="I2332" s="11">
        <f t="shared" si="77"/>
        <v>45827</v>
      </c>
      <c r="J2332" s="12">
        <f t="shared" si="78"/>
        <v>12</v>
      </c>
      <c r="K2332" t="str">
        <f t="shared" si="79"/>
        <v>0-30</v>
      </c>
      <c r="L2332" s="11">
        <v>45839</v>
      </c>
      <c r="M2332" s="23">
        <f>YEAR(Таблица1[[#This Row],[Дата отчета]])</f>
        <v>2025</v>
      </c>
    </row>
    <row r="2333" spans="1:14" x14ac:dyDescent="0.25">
      <c r="A2333" t="s">
        <v>12</v>
      </c>
      <c r="B2333" t="s">
        <v>2368</v>
      </c>
      <c r="C2333" t="s">
        <v>2369</v>
      </c>
      <c r="D2333" t="s">
        <v>2370</v>
      </c>
      <c r="E2333" t="s">
        <v>1039</v>
      </c>
      <c r="F2333" s="20">
        <v>12710</v>
      </c>
      <c r="I2333" s="11">
        <f t="shared" si="77"/>
        <v>45831</v>
      </c>
      <c r="J2333" s="12">
        <f t="shared" si="78"/>
        <v>8</v>
      </c>
      <c r="K2333" t="str">
        <f t="shared" si="79"/>
        <v>0-30</v>
      </c>
      <c r="L2333" s="11">
        <v>45839</v>
      </c>
      <c r="M2333" s="23">
        <f>YEAR(Таблица1[[#This Row],[Дата отчета]])</f>
        <v>2025</v>
      </c>
    </row>
    <row r="2334" spans="1:14" x14ac:dyDescent="0.25">
      <c r="A2334" t="s">
        <v>12</v>
      </c>
      <c r="B2334" t="s">
        <v>2371</v>
      </c>
      <c r="C2334" t="s">
        <v>2372</v>
      </c>
      <c r="D2334" t="s">
        <v>2373</v>
      </c>
      <c r="E2334" t="s">
        <v>1808</v>
      </c>
      <c r="F2334" s="20">
        <v>2599</v>
      </c>
      <c r="I2334" s="11">
        <f t="shared" si="77"/>
        <v>45835</v>
      </c>
      <c r="J2334" s="12">
        <f t="shared" si="78"/>
        <v>4</v>
      </c>
      <c r="K2334" t="str">
        <f t="shared" si="79"/>
        <v>0-30</v>
      </c>
      <c r="L2334" s="11">
        <v>45839</v>
      </c>
      <c r="M2334" s="23">
        <f>YEAR(Таблица1[[#This Row],[Дата отчета]])</f>
        <v>2025</v>
      </c>
    </row>
    <row r="2335" spans="1:14" x14ac:dyDescent="0.25">
      <c r="A2335" t="s">
        <v>12</v>
      </c>
      <c r="B2335" t="s">
        <v>2374</v>
      </c>
      <c r="C2335" t="s">
        <v>2375</v>
      </c>
      <c r="D2335" t="s">
        <v>2376</v>
      </c>
      <c r="E2335" t="s">
        <v>1783</v>
      </c>
      <c r="F2335" s="20">
        <v>11500</v>
      </c>
      <c r="I2335" s="11">
        <f t="shared" si="77"/>
        <v>45772</v>
      </c>
      <c r="J2335" s="12">
        <f t="shared" si="78"/>
        <v>67</v>
      </c>
      <c r="K2335" t="str">
        <f t="shared" si="79"/>
        <v>31-90</v>
      </c>
      <c r="L2335" s="11">
        <v>45839</v>
      </c>
      <c r="M2335" s="23">
        <f>YEAR(Таблица1[[#This Row],[Дата отчета]])</f>
        <v>2025</v>
      </c>
    </row>
    <row r="2336" spans="1:14" x14ac:dyDescent="0.25">
      <c r="A2336" t="s">
        <v>12</v>
      </c>
      <c r="B2336" t="s">
        <v>1724</v>
      </c>
      <c r="C2336" t="s">
        <v>2377</v>
      </c>
      <c r="D2336" t="s">
        <v>2378</v>
      </c>
      <c r="E2336" t="s">
        <v>560</v>
      </c>
      <c r="F2336" s="20">
        <v>71410</v>
      </c>
      <c r="I2336" s="11">
        <f t="shared" si="77"/>
        <v>45805</v>
      </c>
      <c r="J2336" s="12">
        <f t="shared" si="78"/>
        <v>34</v>
      </c>
      <c r="K2336" t="str">
        <f t="shared" si="79"/>
        <v>31-90</v>
      </c>
      <c r="L2336" s="11">
        <v>45839</v>
      </c>
      <c r="M2336" s="23">
        <f>YEAR(Таблица1[[#This Row],[Дата отчета]])</f>
        <v>2025</v>
      </c>
    </row>
    <row r="2337" spans="1:16" x14ac:dyDescent="0.25">
      <c r="A2337" t="s">
        <v>12</v>
      </c>
      <c r="B2337" t="s">
        <v>1724</v>
      </c>
      <c r="C2337" t="s">
        <v>1725</v>
      </c>
      <c r="D2337" t="s">
        <v>1726</v>
      </c>
      <c r="E2337" t="s">
        <v>1813</v>
      </c>
      <c r="F2337" s="20">
        <v>71410</v>
      </c>
      <c r="I2337" s="11">
        <f t="shared" ref="I2337:I2388" si="80">E2337*1</f>
        <v>45814</v>
      </c>
      <c r="J2337" s="12">
        <f t="shared" ref="J2337:J2388" si="81">L2337-I2337</f>
        <v>25</v>
      </c>
      <c r="K2337" t="str">
        <f t="shared" si="79"/>
        <v>0-30</v>
      </c>
      <c r="L2337" s="11">
        <v>45839</v>
      </c>
      <c r="M2337" s="23">
        <f>YEAR(Таблица1[[#This Row],[Дата отчета]])</f>
        <v>2025</v>
      </c>
    </row>
    <row r="2338" spans="1:16" x14ac:dyDescent="0.25">
      <c r="A2338" t="s">
        <v>12</v>
      </c>
      <c r="B2338" t="s">
        <v>2379</v>
      </c>
      <c r="C2338" t="s">
        <v>2380</v>
      </c>
      <c r="D2338" t="s">
        <v>2381</v>
      </c>
      <c r="E2338" t="s">
        <v>2436</v>
      </c>
      <c r="F2338" s="20">
        <v>226090</v>
      </c>
      <c r="I2338" s="11">
        <f t="shared" si="80"/>
        <v>45792</v>
      </c>
      <c r="J2338" s="12">
        <f t="shared" si="81"/>
        <v>47</v>
      </c>
      <c r="K2338" t="str">
        <f t="shared" si="79"/>
        <v>31-90</v>
      </c>
      <c r="L2338" s="11">
        <v>45839</v>
      </c>
      <c r="M2338" s="23">
        <f>YEAR(Таблица1[[#This Row],[Дата отчета]])</f>
        <v>2025</v>
      </c>
    </row>
    <row r="2339" spans="1:16" x14ac:dyDescent="0.25">
      <c r="A2339" t="s">
        <v>12</v>
      </c>
      <c r="B2339" t="s">
        <v>1727</v>
      </c>
      <c r="C2339" t="s">
        <v>1728</v>
      </c>
      <c r="D2339" t="s">
        <v>1729</v>
      </c>
      <c r="E2339" t="s">
        <v>1779</v>
      </c>
      <c r="F2339" s="20">
        <v>89060</v>
      </c>
      <c r="I2339" s="11">
        <f t="shared" si="80"/>
        <v>45818</v>
      </c>
      <c r="J2339" s="12">
        <f t="shared" si="81"/>
        <v>21</v>
      </c>
      <c r="K2339" t="str">
        <f t="shared" si="79"/>
        <v>0-30</v>
      </c>
      <c r="L2339" s="11">
        <v>45839</v>
      </c>
      <c r="M2339" s="23">
        <f>YEAR(Таблица1[[#This Row],[Дата отчета]])</f>
        <v>2025</v>
      </c>
    </row>
    <row r="2340" spans="1:16" x14ac:dyDescent="0.25">
      <c r="A2340" t="s">
        <v>12</v>
      </c>
      <c r="B2340" t="s">
        <v>965</v>
      </c>
      <c r="C2340" t="s">
        <v>966</v>
      </c>
      <c r="D2340" t="s">
        <v>967</v>
      </c>
      <c r="E2340" t="s">
        <v>968</v>
      </c>
      <c r="F2340" s="20">
        <v>252667.4</v>
      </c>
      <c r="I2340" s="11">
        <f t="shared" si="80"/>
        <v>45729</v>
      </c>
      <c r="J2340" s="12">
        <f t="shared" si="81"/>
        <v>110</v>
      </c>
      <c r="K2340" t="str">
        <f t="shared" si="79"/>
        <v>91-120</v>
      </c>
      <c r="L2340" s="11">
        <v>45839</v>
      </c>
      <c r="M2340" s="23">
        <f>YEAR(Таблица1[[#This Row],[Дата отчета]])</f>
        <v>2025</v>
      </c>
      <c r="N2340" s="7" t="s">
        <v>4536</v>
      </c>
    </row>
    <row r="2341" spans="1:16" x14ac:dyDescent="0.25">
      <c r="A2341" t="s">
        <v>12</v>
      </c>
      <c r="B2341" t="s">
        <v>2382</v>
      </c>
      <c r="C2341" t="s">
        <v>269</v>
      </c>
      <c r="D2341" t="s">
        <v>2383</v>
      </c>
      <c r="E2341" t="s">
        <v>1765</v>
      </c>
      <c r="F2341" s="20">
        <v>1600</v>
      </c>
      <c r="I2341" s="11">
        <f t="shared" si="80"/>
        <v>45735</v>
      </c>
      <c r="J2341" s="12">
        <f t="shared" si="81"/>
        <v>104</v>
      </c>
      <c r="K2341" t="str">
        <f t="shared" si="79"/>
        <v>91-120</v>
      </c>
      <c r="L2341" s="11">
        <v>45839</v>
      </c>
      <c r="M2341" s="23">
        <f>YEAR(Таблица1[[#This Row],[Дата отчета]])</f>
        <v>2025</v>
      </c>
    </row>
    <row r="2342" spans="1:16" x14ac:dyDescent="0.25">
      <c r="A2342" t="s">
        <v>12</v>
      </c>
      <c r="B2342" t="s">
        <v>980</v>
      </c>
      <c r="C2342" t="s">
        <v>2384</v>
      </c>
      <c r="D2342" t="s">
        <v>2385</v>
      </c>
      <c r="E2342" t="s">
        <v>729</v>
      </c>
      <c r="F2342" s="20">
        <v>6480</v>
      </c>
      <c r="I2342" s="11">
        <f t="shared" si="80"/>
        <v>45799</v>
      </c>
      <c r="J2342" s="12">
        <f t="shared" si="81"/>
        <v>40</v>
      </c>
      <c r="K2342" t="str">
        <f t="shared" si="79"/>
        <v>31-90</v>
      </c>
      <c r="L2342" s="11">
        <v>45839</v>
      </c>
      <c r="M2342" s="23">
        <f>YEAR(Таблица1[[#This Row],[Дата отчета]])</f>
        <v>2025</v>
      </c>
    </row>
    <row r="2343" spans="1:16" x14ac:dyDescent="0.25">
      <c r="A2343" t="s">
        <v>12</v>
      </c>
      <c r="B2343" t="s">
        <v>980</v>
      </c>
      <c r="C2343" t="s">
        <v>981</v>
      </c>
      <c r="D2343" t="s">
        <v>982</v>
      </c>
      <c r="E2343" t="s">
        <v>983</v>
      </c>
      <c r="F2343" s="20">
        <v>31000</v>
      </c>
      <c r="I2343" s="11">
        <f t="shared" si="80"/>
        <v>45755</v>
      </c>
      <c r="J2343" s="12">
        <f t="shared" si="81"/>
        <v>84</v>
      </c>
      <c r="K2343" t="str">
        <f t="shared" si="79"/>
        <v>31-90</v>
      </c>
      <c r="L2343" s="11">
        <v>45839</v>
      </c>
      <c r="M2343" s="23">
        <f>YEAR(Таблица1[[#This Row],[Дата отчета]])</f>
        <v>2025</v>
      </c>
      <c r="N2343" s="2" t="s">
        <v>807</v>
      </c>
    </row>
    <row r="2344" spans="1:16" x14ac:dyDescent="0.25">
      <c r="A2344" t="s">
        <v>12</v>
      </c>
      <c r="B2344" t="s">
        <v>984</v>
      </c>
      <c r="C2344" t="s">
        <v>985</v>
      </c>
      <c r="D2344" t="s">
        <v>986</v>
      </c>
      <c r="E2344" t="s">
        <v>987</v>
      </c>
      <c r="F2344" s="20">
        <v>32000</v>
      </c>
      <c r="I2344" s="11">
        <f t="shared" si="80"/>
        <v>45747</v>
      </c>
      <c r="J2344" s="12">
        <f t="shared" si="81"/>
        <v>92</v>
      </c>
      <c r="K2344" t="str">
        <f t="shared" si="79"/>
        <v>91-120</v>
      </c>
      <c r="L2344" s="11">
        <v>45839</v>
      </c>
      <c r="M2344" s="23">
        <f>YEAR(Таблица1[[#This Row],[Дата отчета]])</f>
        <v>2025</v>
      </c>
      <c r="N2344" s="2" t="s">
        <v>807</v>
      </c>
    </row>
    <row r="2345" spans="1:16" x14ac:dyDescent="0.25">
      <c r="A2345" t="s">
        <v>12</v>
      </c>
      <c r="B2345" t="s">
        <v>988</v>
      </c>
      <c r="C2345" t="s">
        <v>989</v>
      </c>
      <c r="D2345" t="s">
        <v>2386</v>
      </c>
      <c r="E2345" t="s">
        <v>683</v>
      </c>
      <c r="F2345" s="20">
        <v>4295409.2</v>
      </c>
      <c r="I2345" s="11">
        <f t="shared" si="80"/>
        <v>45748</v>
      </c>
      <c r="J2345" s="12">
        <f t="shared" si="81"/>
        <v>91</v>
      </c>
      <c r="K2345" t="str">
        <f t="shared" si="79"/>
        <v>91-120</v>
      </c>
      <c r="L2345" s="11">
        <v>45839</v>
      </c>
      <c r="M2345" s="23">
        <f>YEAR(Таблица1[[#This Row],[Дата отчета]])</f>
        <v>2025</v>
      </c>
    </row>
    <row r="2346" spans="1:16" x14ac:dyDescent="0.25">
      <c r="A2346" t="s">
        <v>12</v>
      </c>
      <c r="B2346" t="s">
        <v>991</v>
      </c>
      <c r="C2346" t="s">
        <v>992</v>
      </c>
      <c r="D2346" t="s">
        <v>993</v>
      </c>
      <c r="E2346" t="s">
        <v>994</v>
      </c>
      <c r="F2346" s="20">
        <v>20740</v>
      </c>
      <c r="I2346" s="11">
        <f t="shared" si="80"/>
        <v>45741</v>
      </c>
      <c r="J2346" s="12">
        <f t="shared" si="81"/>
        <v>98</v>
      </c>
      <c r="K2346" t="str">
        <f t="shared" si="79"/>
        <v>91-120</v>
      </c>
      <c r="L2346" s="11">
        <v>45839</v>
      </c>
      <c r="M2346" s="23">
        <f>YEAR(Таблица1[[#This Row],[Дата отчета]])</f>
        <v>2025</v>
      </c>
      <c r="N2346" s="7" t="s">
        <v>4538</v>
      </c>
    </row>
    <row r="2347" spans="1:16" x14ac:dyDescent="0.25">
      <c r="A2347" t="s">
        <v>12</v>
      </c>
      <c r="B2347" t="s">
        <v>995</v>
      </c>
      <c r="C2347" t="s">
        <v>996</v>
      </c>
      <c r="D2347" t="s">
        <v>997</v>
      </c>
      <c r="E2347" t="s">
        <v>998</v>
      </c>
      <c r="F2347" s="20">
        <v>401.24</v>
      </c>
      <c r="I2347" s="11">
        <f t="shared" si="80"/>
        <v>45534</v>
      </c>
      <c r="J2347" s="12">
        <f t="shared" si="81"/>
        <v>305</v>
      </c>
      <c r="K2347" t="str">
        <f t="shared" si="79"/>
        <v>271-360</v>
      </c>
      <c r="L2347" s="11">
        <v>45839</v>
      </c>
      <c r="M2347" s="23">
        <f>YEAR(Таблица1[[#This Row],[Дата отчета]])</f>
        <v>2025</v>
      </c>
      <c r="N2347" s="7" t="s">
        <v>4536</v>
      </c>
      <c r="P2347" s="2" t="s">
        <v>4552</v>
      </c>
    </row>
    <row r="2348" spans="1:16" x14ac:dyDescent="0.25">
      <c r="A2348" t="s">
        <v>12</v>
      </c>
      <c r="B2348" t="s">
        <v>995</v>
      </c>
      <c r="C2348" t="s">
        <v>999</v>
      </c>
      <c r="D2348" t="s">
        <v>1000</v>
      </c>
      <c r="E2348" t="s">
        <v>1001</v>
      </c>
      <c r="F2348" s="20">
        <v>4012.33</v>
      </c>
      <c r="I2348" s="11">
        <f t="shared" si="80"/>
        <v>45573</v>
      </c>
      <c r="J2348" s="12">
        <f t="shared" si="81"/>
        <v>266</v>
      </c>
      <c r="K2348" t="str">
        <f t="shared" si="79"/>
        <v>181-270</v>
      </c>
      <c r="L2348" s="11">
        <v>45839</v>
      </c>
      <c r="M2348" s="23">
        <f>YEAR(Таблица1[[#This Row],[Дата отчета]])</f>
        <v>2025</v>
      </c>
      <c r="N2348" s="7" t="s">
        <v>4536</v>
      </c>
      <c r="P2348" s="2" t="s">
        <v>4552</v>
      </c>
    </row>
    <row r="2349" spans="1:16" x14ac:dyDescent="0.25">
      <c r="A2349" t="s">
        <v>12</v>
      </c>
      <c r="B2349" t="s">
        <v>1736</v>
      </c>
      <c r="C2349" t="s">
        <v>1737</v>
      </c>
      <c r="D2349" t="s">
        <v>1738</v>
      </c>
      <c r="E2349" t="s">
        <v>1816</v>
      </c>
      <c r="F2349" s="20">
        <v>2974.3</v>
      </c>
      <c r="I2349" s="11">
        <f t="shared" si="80"/>
        <v>44594</v>
      </c>
      <c r="J2349" s="12">
        <f t="shared" si="81"/>
        <v>1245</v>
      </c>
      <c r="K2349" t="str">
        <f t="shared" si="79"/>
        <v>&gt;360</v>
      </c>
      <c r="L2349" s="11">
        <v>45839</v>
      </c>
      <c r="M2349" s="23">
        <f>YEAR(Таблица1[[#This Row],[Дата отчета]])</f>
        <v>2025</v>
      </c>
      <c r="N2349" t="s">
        <v>4538</v>
      </c>
    </row>
    <row r="2350" spans="1:16" x14ac:dyDescent="0.25">
      <c r="A2350" t="s">
        <v>12</v>
      </c>
      <c r="B2350" t="s">
        <v>1005</v>
      </c>
      <c r="C2350" t="s">
        <v>1219</v>
      </c>
      <c r="D2350" t="s">
        <v>1220</v>
      </c>
      <c r="E2350" t="s">
        <v>994</v>
      </c>
      <c r="F2350" s="20">
        <v>186197</v>
      </c>
      <c r="I2350" s="11">
        <f t="shared" si="80"/>
        <v>45741</v>
      </c>
      <c r="J2350" s="12">
        <f t="shared" si="81"/>
        <v>98</v>
      </c>
      <c r="K2350" t="str">
        <f t="shared" si="79"/>
        <v>91-120</v>
      </c>
      <c r="L2350" s="11">
        <v>45839</v>
      </c>
      <c r="M2350" s="23">
        <f>YEAR(Таблица1[[#This Row],[Дата отчета]])</f>
        <v>2025</v>
      </c>
    </row>
    <row r="2351" spans="1:16" x14ac:dyDescent="0.25">
      <c r="A2351" t="s">
        <v>12</v>
      </c>
      <c r="B2351" t="s">
        <v>1008</v>
      </c>
      <c r="C2351" t="s">
        <v>775</v>
      </c>
      <c r="D2351" t="s">
        <v>1009</v>
      </c>
      <c r="E2351" t="s">
        <v>1010</v>
      </c>
      <c r="F2351" s="20">
        <v>0.1</v>
      </c>
      <c r="I2351" s="11">
        <f t="shared" si="80"/>
        <v>45519</v>
      </c>
      <c r="J2351" s="12">
        <f t="shared" si="81"/>
        <v>320</v>
      </c>
      <c r="K2351" t="str">
        <f t="shared" si="79"/>
        <v>271-360</v>
      </c>
      <c r="L2351" s="11">
        <v>45839</v>
      </c>
      <c r="M2351" s="23">
        <f>YEAR(Таблица1[[#This Row],[Дата отчета]])</f>
        <v>2025</v>
      </c>
    </row>
    <row r="2352" spans="1:16" x14ac:dyDescent="0.25">
      <c r="A2352" t="s">
        <v>12</v>
      </c>
      <c r="B2352" t="s">
        <v>1011</v>
      </c>
      <c r="C2352" t="s">
        <v>1012</v>
      </c>
      <c r="D2352" t="s">
        <v>1013</v>
      </c>
      <c r="E2352" t="s">
        <v>1014</v>
      </c>
      <c r="F2352" s="20">
        <v>0.01</v>
      </c>
      <c r="I2352" s="11">
        <f t="shared" si="80"/>
        <v>45224</v>
      </c>
      <c r="J2352" s="12">
        <f t="shared" si="81"/>
        <v>615</v>
      </c>
      <c r="K2352" t="str">
        <f t="shared" si="79"/>
        <v>&gt;360</v>
      </c>
      <c r="L2352" s="11">
        <v>45839</v>
      </c>
      <c r="M2352" s="23">
        <f>YEAR(Таблица1[[#This Row],[Дата отчета]])</f>
        <v>2025</v>
      </c>
    </row>
    <row r="2353" spans="1:16" x14ac:dyDescent="0.25">
      <c r="A2353" t="s">
        <v>12</v>
      </c>
      <c r="B2353" t="s">
        <v>1011</v>
      </c>
      <c r="C2353" t="s">
        <v>1015</v>
      </c>
      <c r="D2353" t="s">
        <v>1016</v>
      </c>
      <c r="E2353" t="s">
        <v>123</v>
      </c>
      <c r="F2353" s="20">
        <v>114852.13</v>
      </c>
      <c r="I2353" s="11">
        <f t="shared" si="80"/>
        <v>45782</v>
      </c>
      <c r="J2353" s="12">
        <f t="shared" si="81"/>
        <v>57</v>
      </c>
      <c r="K2353" t="str">
        <f t="shared" si="79"/>
        <v>31-90</v>
      </c>
      <c r="L2353" s="11">
        <v>45839</v>
      </c>
      <c r="M2353" s="23">
        <f>YEAR(Таблица1[[#This Row],[Дата отчета]])</f>
        <v>2025</v>
      </c>
      <c r="N2353" s="2"/>
      <c r="P2353" s="2"/>
    </row>
    <row r="2354" spans="1:16" x14ac:dyDescent="0.25">
      <c r="A2354" t="s">
        <v>12</v>
      </c>
      <c r="B2354" t="s">
        <v>1011</v>
      </c>
      <c r="C2354" t="s">
        <v>1744</v>
      </c>
      <c r="D2354" t="s">
        <v>1745</v>
      </c>
      <c r="E2354" t="s">
        <v>729</v>
      </c>
      <c r="F2354" s="20">
        <v>29109.599999999999</v>
      </c>
      <c r="I2354" s="11">
        <f t="shared" si="80"/>
        <v>45799</v>
      </c>
      <c r="J2354" s="12">
        <f t="shared" si="81"/>
        <v>40</v>
      </c>
      <c r="K2354" t="str">
        <f t="shared" si="79"/>
        <v>31-90</v>
      </c>
      <c r="L2354" s="11">
        <v>45839</v>
      </c>
      <c r="M2354" s="23">
        <f>YEAR(Таблица1[[#This Row],[Дата отчета]])</f>
        <v>2025</v>
      </c>
    </row>
    <row r="2355" spans="1:16" x14ac:dyDescent="0.25">
      <c r="A2355" t="s">
        <v>12</v>
      </c>
      <c r="B2355" t="s">
        <v>1017</v>
      </c>
      <c r="C2355" t="s">
        <v>1237</v>
      </c>
      <c r="D2355" t="s">
        <v>1254</v>
      </c>
      <c r="E2355" t="s">
        <v>1259</v>
      </c>
      <c r="F2355" s="20">
        <v>75000</v>
      </c>
      <c r="I2355" s="11">
        <f t="shared" si="80"/>
        <v>45727</v>
      </c>
      <c r="J2355" s="12">
        <f t="shared" si="81"/>
        <v>112</v>
      </c>
      <c r="K2355" t="str">
        <f t="shared" si="79"/>
        <v>91-120</v>
      </c>
      <c r="L2355" s="11">
        <v>45839</v>
      </c>
      <c r="M2355" s="23">
        <f>YEAR(Таблица1[[#This Row],[Дата отчета]])</f>
        <v>2025</v>
      </c>
    </row>
    <row r="2356" spans="1:16" x14ac:dyDescent="0.25">
      <c r="A2356" t="s">
        <v>12</v>
      </c>
      <c r="B2356" t="s">
        <v>1746</v>
      </c>
      <c r="C2356" t="s">
        <v>2387</v>
      </c>
      <c r="D2356" t="s">
        <v>2388</v>
      </c>
      <c r="E2356" t="s">
        <v>1786</v>
      </c>
      <c r="F2356" s="20">
        <v>32400</v>
      </c>
      <c r="I2356" s="11">
        <f t="shared" si="80"/>
        <v>45832</v>
      </c>
      <c r="J2356" s="12">
        <f t="shared" si="81"/>
        <v>7</v>
      </c>
      <c r="K2356" t="str">
        <f t="shared" si="79"/>
        <v>0-30</v>
      </c>
      <c r="L2356" s="11">
        <v>45839</v>
      </c>
      <c r="M2356" s="23">
        <f>YEAR(Таблица1[[#This Row],[Дата отчета]])</f>
        <v>2025</v>
      </c>
    </row>
    <row r="2357" spans="1:16" x14ac:dyDescent="0.25">
      <c r="A2357" t="s">
        <v>12</v>
      </c>
      <c r="B2357" t="s">
        <v>1746</v>
      </c>
      <c r="C2357" t="s">
        <v>1747</v>
      </c>
      <c r="D2357" t="s">
        <v>1748</v>
      </c>
      <c r="E2357" t="s">
        <v>123</v>
      </c>
      <c r="F2357" s="20">
        <v>12500</v>
      </c>
      <c r="I2357" s="11">
        <f t="shared" si="80"/>
        <v>45782</v>
      </c>
      <c r="J2357" s="12">
        <f t="shared" si="81"/>
        <v>57</v>
      </c>
      <c r="K2357" t="str">
        <f t="shared" si="79"/>
        <v>31-90</v>
      </c>
      <c r="L2357" s="11">
        <v>45839</v>
      </c>
      <c r="M2357" s="23">
        <f>YEAR(Таблица1[[#This Row],[Дата отчета]])</f>
        <v>2025</v>
      </c>
    </row>
    <row r="2358" spans="1:16" x14ac:dyDescent="0.25">
      <c r="A2358" t="s">
        <v>12</v>
      </c>
      <c r="B2358" t="s">
        <v>1020</v>
      </c>
      <c r="C2358" t="s">
        <v>1021</v>
      </c>
      <c r="D2358" t="s">
        <v>1022</v>
      </c>
      <c r="E2358" t="s">
        <v>1023</v>
      </c>
      <c r="F2358" s="20">
        <v>47400</v>
      </c>
      <c r="I2358" s="11">
        <f t="shared" si="80"/>
        <v>45728</v>
      </c>
      <c r="J2358" s="12">
        <f t="shared" si="81"/>
        <v>111</v>
      </c>
      <c r="K2358" t="str">
        <f t="shared" si="79"/>
        <v>91-120</v>
      </c>
      <c r="L2358" s="11">
        <v>45839</v>
      </c>
      <c r="M2358" s="23">
        <f>YEAR(Таблица1[[#This Row],[Дата отчета]])</f>
        <v>2025</v>
      </c>
      <c r="N2358" s="2" t="s">
        <v>4553</v>
      </c>
      <c r="P2358" s="2"/>
    </row>
    <row r="2359" spans="1:16" x14ac:dyDescent="0.25">
      <c r="A2359" t="s">
        <v>12</v>
      </c>
      <c r="B2359" t="s">
        <v>1749</v>
      </c>
      <c r="C2359" t="s">
        <v>1750</v>
      </c>
      <c r="D2359" t="s">
        <v>1751</v>
      </c>
      <c r="E2359" t="s">
        <v>968</v>
      </c>
      <c r="F2359" s="20">
        <v>1145682</v>
      </c>
      <c r="I2359" s="11">
        <f t="shared" si="80"/>
        <v>45729</v>
      </c>
      <c r="J2359" s="12">
        <f t="shared" si="81"/>
        <v>110</v>
      </c>
      <c r="K2359" t="str">
        <f t="shared" si="79"/>
        <v>91-120</v>
      </c>
      <c r="L2359" s="11">
        <v>45839</v>
      </c>
      <c r="M2359" s="23">
        <f>YEAR(Таблица1[[#This Row],[Дата отчета]])</f>
        <v>2025</v>
      </c>
    </row>
    <row r="2360" spans="1:16" x14ac:dyDescent="0.25">
      <c r="A2360" t="s">
        <v>12</v>
      </c>
      <c r="B2360" t="s">
        <v>1028</v>
      </c>
      <c r="C2360" t="s">
        <v>2389</v>
      </c>
      <c r="D2360" t="s">
        <v>2390</v>
      </c>
      <c r="E2360" t="s">
        <v>2454</v>
      </c>
      <c r="F2360" s="20">
        <v>150000</v>
      </c>
      <c r="I2360" s="11">
        <f t="shared" si="80"/>
        <v>45733</v>
      </c>
      <c r="J2360" s="12">
        <f t="shared" si="81"/>
        <v>106</v>
      </c>
      <c r="K2360" t="str">
        <f t="shared" si="79"/>
        <v>91-120</v>
      </c>
      <c r="L2360" s="11">
        <v>45839</v>
      </c>
      <c r="M2360" s="23">
        <f>YEAR(Таблица1[[#This Row],[Дата отчета]])</f>
        <v>2025</v>
      </c>
    </row>
    <row r="2361" spans="1:16" x14ac:dyDescent="0.25">
      <c r="A2361" t="s">
        <v>12</v>
      </c>
      <c r="B2361" t="s">
        <v>1028</v>
      </c>
      <c r="C2361" t="s">
        <v>2391</v>
      </c>
      <c r="D2361" t="s">
        <v>2392</v>
      </c>
      <c r="E2361" t="s">
        <v>2462</v>
      </c>
      <c r="F2361" s="20">
        <v>84000</v>
      </c>
      <c r="I2361" s="11">
        <f t="shared" si="80"/>
        <v>45734</v>
      </c>
      <c r="J2361" s="12">
        <f t="shared" si="81"/>
        <v>105</v>
      </c>
      <c r="K2361" t="str">
        <f t="shared" si="79"/>
        <v>91-120</v>
      </c>
      <c r="L2361" s="11">
        <v>45839</v>
      </c>
      <c r="M2361" s="23">
        <f>YEAR(Таблица1[[#This Row],[Дата отчета]])</f>
        <v>2025</v>
      </c>
    </row>
    <row r="2362" spans="1:16" x14ac:dyDescent="0.25">
      <c r="A2362" t="s">
        <v>12</v>
      </c>
      <c r="B2362" t="s">
        <v>1028</v>
      </c>
      <c r="C2362" t="s">
        <v>2393</v>
      </c>
      <c r="D2362" t="s">
        <v>2394</v>
      </c>
      <c r="E2362" t="s">
        <v>2458</v>
      </c>
      <c r="F2362" s="20">
        <v>84000</v>
      </c>
      <c r="I2362" s="11">
        <f t="shared" si="80"/>
        <v>45750</v>
      </c>
      <c r="J2362" s="12">
        <f t="shared" si="81"/>
        <v>89</v>
      </c>
      <c r="K2362" t="str">
        <f t="shared" si="79"/>
        <v>31-90</v>
      </c>
      <c r="L2362" s="11">
        <v>45839</v>
      </c>
      <c r="M2362" s="23">
        <f>YEAR(Таблица1[[#This Row],[Дата отчета]])</f>
        <v>2025</v>
      </c>
    </row>
    <row r="2363" spans="1:16" x14ac:dyDescent="0.25">
      <c r="A2363" t="s">
        <v>12</v>
      </c>
      <c r="B2363" t="s">
        <v>1028</v>
      </c>
      <c r="C2363" t="s">
        <v>2393</v>
      </c>
      <c r="D2363" t="s">
        <v>2395</v>
      </c>
      <c r="E2363" t="s">
        <v>247</v>
      </c>
      <c r="F2363" s="20">
        <v>154000</v>
      </c>
      <c r="I2363" s="11">
        <f t="shared" si="80"/>
        <v>45798</v>
      </c>
      <c r="J2363" s="12">
        <f t="shared" si="81"/>
        <v>41</v>
      </c>
      <c r="K2363" t="str">
        <f t="shared" si="79"/>
        <v>31-90</v>
      </c>
      <c r="L2363" s="11">
        <v>45839</v>
      </c>
      <c r="M2363" s="23">
        <f>YEAR(Таблица1[[#This Row],[Дата отчета]])</f>
        <v>2025</v>
      </c>
    </row>
    <row r="2364" spans="1:16" x14ac:dyDescent="0.25">
      <c r="A2364" t="s">
        <v>12</v>
      </c>
      <c r="B2364" t="s">
        <v>1028</v>
      </c>
      <c r="C2364" t="s">
        <v>2396</v>
      </c>
      <c r="D2364" t="s">
        <v>2397</v>
      </c>
      <c r="E2364" t="s">
        <v>123</v>
      </c>
      <c r="F2364" s="20">
        <v>90000</v>
      </c>
      <c r="I2364" s="11">
        <f t="shared" si="80"/>
        <v>45782</v>
      </c>
      <c r="J2364" s="12">
        <f t="shared" si="81"/>
        <v>57</v>
      </c>
      <c r="K2364" t="str">
        <f t="shared" si="79"/>
        <v>31-90</v>
      </c>
      <c r="L2364" s="11">
        <v>45839</v>
      </c>
      <c r="M2364" s="23">
        <f>YEAR(Таблица1[[#This Row],[Дата отчета]])</f>
        <v>2025</v>
      </c>
    </row>
    <row r="2365" spans="1:16" x14ac:dyDescent="0.25">
      <c r="A2365" t="s">
        <v>12</v>
      </c>
      <c r="B2365" t="s">
        <v>1028</v>
      </c>
      <c r="C2365" t="s">
        <v>1029</v>
      </c>
      <c r="D2365" t="s">
        <v>1030</v>
      </c>
      <c r="E2365" t="s">
        <v>1031</v>
      </c>
      <c r="F2365" s="20">
        <v>60000</v>
      </c>
      <c r="I2365" s="11">
        <f t="shared" si="80"/>
        <v>45812</v>
      </c>
      <c r="J2365" s="12">
        <f t="shared" si="81"/>
        <v>27</v>
      </c>
      <c r="K2365" t="str">
        <f t="shared" si="79"/>
        <v>0-30</v>
      </c>
      <c r="L2365" s="11">
        <v>45839</v>
      </c>
      <c r="M2365" s="23">
        <f>YEAR(Таблица1[[#This Row],[Дата отчета]])</f>
        <v>2025</v>
      </c>
      <c r="N2365" s="2" t="s">
        <v>807</v>
      </c>
    </row>
    <row r="2366" spans="1:16" x14ac:dyDescent="0.25">
      <c r="A2366" t="s">
        <v>12</v>
      </c>
      <c r="B2366" t="s">
        <v>1028</v>
      </c>
      <c r="C2366" t="s">
        <v>1033</v>
      </c>
      <c r="D2366" t="s">
        <v>1034</v>
      </c>
      <c r="E2366" t="s">
        <v>1031</v>
      </c>
      <c r="F2366" s="20">
        <v>40500</v>
      </c>
      <c r="I2366" s="11">
        <f t="shared" si="80"/>
        <v>45812</v>
      </c>
      <c r="J2366" s="12">
        <f t="shared" si="81"/>
        <v>27</v>
      </c>
      <c r="K2366" t="str">
        <f t="shared" si="79"/>
        <v>0-30</v>
      </c>
      <c r="L2366" s="11">
        <v>45839</v>
      </c>
      <c r="M2366" s="23">
        <f>YEAR(Таблица1[[#This Row],[Дата отчета]])</f>
        <v>2025</v>
      </c>
      <c r="N2366" s="2" t="s">
        <v>807</v>
      </c>
    </row>
    <row r="2367" spans="1:16" x14ac:dyDescent="0.25">
      <c r="A2367" t="s">
        <v>12</v>
      </c>
      <c r="B2367" t="s">
        <v>1028</v>
      </c>
      <c r="C2367" t="s">
        <v>1037</v>
      </c>
      <c r="D2367" t="s">
        <v>1038</v>
      </c>
      <c r="E2367" t="s">
        <v>1039</v>
      </c>
      <c r="F2367" s="20">
        <v>90000</v>
      </c>
      <c r="I2367" s="11">
        <f t="shared" si="80"/>
        <v>45831</v>
      </c>
      <c r="J2367" s="12">
        <f t="shared" si="81"/>
        <v>8</v>
      </c>
      <c r="K2367" t="str">
        <f t="shared" ref="K2367:K2430" si="82">IF(J2367&lt;=30,"0-30",IF(J2367&lt;=90,"31-90",IF(J2367&lt;=120,"91-120",IF(J2367&lt;=180,"121-180",IF(J2367&lt;=270,"181-270",IF(J2367&lt;=360,"271-360","&gt;360"))))))</f>
        <v>0-30</v>
      </c>
      <c r="L2367" s="11">
        <v>45839</v>
      </c>
      <c r="M2367" s="23">
        <f>YEAR(Таблица1[[#This Row],[Дата отчета]])</f>
        <v>2025</v>
      </c>
      <c r="N2367" s="2" t="s">
        <v>807</v>
      </c>
    </row>
    <row r="2368" spans="1:16" x14ac:dyDescent="0.25">
      <c r="A2368" t="s">
        <v>12</v>
      </c>
      <c r="B2368" t="s">
        <v>1028</v>
      </c>
      <c r="C2368" t="s">
        <v>1041</v>
      </c>
      <c r="D2368" t="s">
        <v>1042</v>
      </c>
      <c r="E2368" t="s">
        <v>1039</v>
      </c>
      <c r="F2368" s="20">
        <v>84000</v>
      </c>
      <c r="I2368" s="11">
        <f t="shared" si="80"/>
        <v>45831</v>
      </c>
      <c r="J2368" s="12">
        <f t="shared" si="81"/>
        <v>8</v>
      </c>
      <c r="K2368" t="str">
        <f t="shared" si="82"/>
        <v>0-30</v>
      </c>
      <c r="L2368" s="11">
        <v>45839</v>
      </c>
      <c r="M2368" s="23">
        <f>YEAR(Таблица1[[#This Row],[Дата отчета]])</f>
        <v>2025</v>
      </c>
      <c r="N2368" s="2" t="s">
        <v>807</v>
      </c>
    </row>
    <row r="2369" spans="1:15" x14ac:dyDescent="0.25">
      <c r="A2369" t="s">
        <v>12</v>
      </c>
      <c r="B2369" t="s">
        <v>1043</v>
      </c>
      <c r="C2369" t="s">
        <v>1044</v>
      </c>
      <c r="D2369" t="s">
        <v>1045</v>
      </c>
      <c r="E2369" t="s">
        <v>769</v>
      </c>
      <c r="F2369" s="20">
        <v>9039</v>
      </c>
      <c r="I2369" s="11">
        <f t="shared" si="80"/>
        <v>45825</v>
      </c>
      <c r="J2369" s="12">
        <f t="shared" si="81"/>
        <v>14</v>
      </c>
      <c r="K2369" t="str">
        <f t="shared" si="82"/>
        <v>0-30</v>
      </c>
      <c r="L2369" s="11">
        <v>45839</v>
      </c>
      <c r="M2369" s="23">
        <f>YEAR(Таблица1[[#This Row],[Дата отчета]])</f>
        <v>2025</v>
      </c>
      <c r="N2369" s="2"/>
    </row>
    <row r="2370" spans="1:15" x14ac:dyDescent="0.25">
      <c r="A2370" t="s">
        <v>12</v>
      </c>
      <c r="B2370" t="s">
        <v>2398</v>
      </c>
      <c r="C2370" t="s">
        <v>269</v>
      </c>
      <c r="D2370" t="s">
        <v>2399</v>
      </c>
      <c r="E2370" t="s">
        <v>123</v>
      </c>
      <c r="F2370" s="20">
        <v>25600</v>
      </c>
      <c r="I2370" s="11">
        <f t="shared" si="80"/>
        <v>45782</v>
      </c>
      <c r="J2370" s="12">
        <f t="shared" si="81"/>
        <v>57</v>
      </c>
      <c r="K2370" t="str">
        <f t="shared" si="82"/>
        <v>31-90</v>
      </c>
      <c r="L2370" s="11">
        <v>45839</v>
      </c>
      <c r="M2370" s="23">
        <f>YEAR(Таблица1[[#This Row],[Дата отчета]])</f>
        <v>2025</v>
      </c>
    </row>
    <row r="2371" spans="1:15" x14ac:dyDescent="0.25">
      <c r="A2371" t="s">
        <v>12</v>
      </c>
      <c r="B2371" t="s">
        <v>2400</v>
      </c>
      <c r="C2371" t="s">
        <v>2401</v>
      </c>
      <c r="D2371" t="s">
        <v>2402</v>
      </c>
      <c r="E2371" t="s">
        <v>765</v>
      </c>
      <c r="F2371" s="20">
        <v>12000</v>
      </c>
      <c r="I2371" s="11">
        <f t="shared" si="80"/>
        <v>45751</v>
      </c>
      <c r="J2371" s="12">
        <f t="shared" si="81"/>
        <v>88</v>
      </c>
      <c r="K2371" t="str">
        <f t="shared" si="82"/>
        <v>31-90</v>
      </c>
      <c r="L2371" s="11">
        <v>45839</v>
      </c>
      <c r="M2371" s="23">
        <f>YEAR(Таблица1[[#This Row],[Дата отчета]])</f>
        <v>2025</v>
      </c>
    </row>
    <row r="2372" spans="1:15" x14ac:dyDescent="0.25">
      <c r="A2372" t="s">
        <v>12</v>
      </c>
      <c r="B2372" t="s">
        <v>2403</v>
      </c>
      <c r="C2372" t="s">
        <v>2404</v>
      </c>
      <c r="D2372" t="s">
        <v>2405</v>
      </c>
      <c r="E2372" t="s">
        <v>769</v>
      </c>
      <c r="F2372" s="20">
        <v>137900</v>
      </c>
      <c r="I2372" s="11">
        <f t="shared" si="80"/>
        <v>45825</v>
      </c>
      <c r="J2372" s="12">
        <f t="shared" si="81"/>
        <v>14</v>
      </c>
      <c r="K2372" t="str">
        <f t="shared" si="82"/>
        <v>0-30</v>
      </c>
      <c r="L2372" s="11">
        <v>45839</v>
      </c>
      <c r="M2372" s="23">
        <f>YEAR(Таблица1[[#This Row],[Дата отчета]])</f>
        <v>2025</v>
      </c>
    </row>
    <row r="2373" spans="1:15" x14ac:dyDescent="0.25">
      <c r="A2373" t="s">
        <v>12</v>
      </c>
      <c r="B2373" t="s">
        <v>1050</v>
      </c>
      <c r="C2373" t="s">
        <v>1051</v>
      </c>
      <c r="D2373" t="s">
        <v>1052</v>
      </c>
      <c r="E2373" t="s">
        <v>683</v>
      </c>
      <c r="F2373" s="20">
        <v>86800</v>
      </c>
      <c r="I2373" s="11">
        <f t="shared" si="80"/>
        <v>45748</v>
      </c>
      <c r="J2373" s="12">
        <f t="shared" si="81"/>
        <v>91</v>
      </c>
      <c r="K2373" t="str">
        <f t="shared" si="82"/>
        <v>91-120</v>
      </c>
      <c r="L2373" s="11">
        <v>45839</v>
      </c>
      <c r="M2373" s="23">
        <f>YEAR(Таблица1[[#This Row],[Дата отчета]])</f>
        <v>2025</v>
      </c>
      <c r="N2373" s="2" t="s">
        <v>807</v>
      </c>
    </row>
    <row r="2374" spans="1:15" x14ac:dyDescent="0.25">
      <c r="A2374" t="s">
        <v>12</v>
      </c>
      <c r="B2374" t="s">
        <v>2406</v>
      </c>
      <c r="C2374" t="s">
        <v>2407</v>
      </c>
      <c r="D2374" t="s">
        <v>2408</v>
      </c>
      <c r="E2374" t="s">
        <v>560</v>
      </c>
      <c r="F2374" s="20">
        <v>150000</v>
      </c>
      <c r="I2374" s="11">
        <f t="shared" si="80"/>
        <v>45805</v>
      </c>
      <c r="J2374" s="12">
        <f t="shared" si="81"/>
        <v>34</v>
      </c>
      <c r="K2374" t="str">
        <f t="shared" si="82"/>
        <v>31-90</v>
      </c>
      <c r="L2374" s="11">
        <v>45839</v>
      </c>
      <c r="M2374" s="23">
        <f>YEAR(Таблица1[[#This Row],[Дата отчета]])</f>
        <v>2025</v>
      </c>
    </row>
    <row r="2375" spans="1:15" x14ac:dyDescent="0.25">
      <c r="A2375" t="s">
        <v>12</v>
      </c>
      <c r="B2375" t="s">
        <v>2406</v>
      </c>
      <c r="C2375" t="s">
        <v>2407</v>
      </c>
      <c r="D2375" t="s">
        <v>2409</v>
      </c>
      <c r="E2375" t="s">
        <v>146</v>
      </c>
      <c r="F2375" s="20">
        <v>148150</v>
      </c>
      <c r="I2375" s="11">
        <f t="shared" si="80"/>
        <v>45838</v>
      </c>
      <c r="J2375" s="12">
        <f t="shared" si="81"/>
        <v>1</v>
      </c>
      <c r="K2375" t="str">
        <f t="shared" si="82"/>
        <v>0-30</v>
      </c>
      <c r="L2375" s="11">
        <v>45839</v>
      </c>
      <c r="M2375" s="23">
        <f>YEAR(Таблица1[[#This Row],[Дата отчета]])</f>
        <v>2025</v>
      </c>
    </row>
    <row r="2376" spans="1:15" x14ac:dyDescent="0.25">
      <c r="A2376" t="s">
        <v>12</v>
      </c>
      <c r="B2376" t="s">
        <v>2410</v>
      </c>
      <c r="C2376" t="s">
        <v>2411</v>
      </c>
      <c r="D2376" t="s">
        <v>2412</v>
      </c>
      <c r="E2376" t="s">
        <v>146</v>
      </c>
      <c r="F2376" s="20">
        <v>23368.799999999999</v>
      </c>
      <c r="I2376" s="11">
        <f t="shared" si="80"/>
        <v>45838</v>
      </c>
      <c r="J2376" s="12">
        <f t="shared" si="81"/>
        <v>1</v>
      </c>
      <c r="K2376" t="str">
        <f t="shared" si="82"/>
        <v>0-30</v>
      </c>
      <c r="L2376" s="11">
        <v>45839</v>
      </c>
      <c r="M2376" s="23">
        <f>YEAR(Таблица1[[#This Row],[Дата отчета]])</f>
        <v>2025</v>
      </c>
    </row>
    <row r="2377" spans="1:15" x14ac:dyDescent="0.25">
      <c r="A2377" t="s">
        <v>12</v>
      </c>
      <c r="B2377" t="s">
        <v>2413</v>
      </c>
      <c r="C2377" t="s">
        <v>2414</v>
      </c>
      <c r="D2377" t="s">
        <v>2415</v>
      </c>
      <c r="E2377" t="s">
        <v>1039</v>
      </c>
      <c r="F2377" s="20">
        <v>2800</v>
      </c>
      <c r="I2377" s="11">
        <f t="shared" si="80"/>
        <v>45831</v>
      </c>
      <c r="J2377" s="12">
        <f t="shared" si="81"/>
        <v>8</v>
      </c>
      <c r="K2377" t="str">
        <f t="shared" si="82"/>
        <v>0-30</v>
      </c>
      <c r="L2377" s="11">
        <v>45839</v>
      </c>
      <c r="M2377" s="23">
        <f>YEAR(Таблица1[[#This Row],[Дата отчета]])</f>
        <v>2025</v>
      </c>
    </row>
    <row r="2378" spans="1:15" x14ac:dyDescent="0.25">
      <c r="A2378" t="s">
        <v>12</v>
      </c>
      <c r="B2378" t="s">
        <v>2413</v>
      </c>
      <c r="C2378" t="s">
        <v>2414</v>
      </c>
      <c r="D2378" t="s">
        <v>2416</v>
      </c>
      <c r="E2378" t="s">
        <v>1786</v>
      </c>
      <c r="F2378" s="20">
        <v>0.8</v>
      </c>
      <c r="I2378" s="11">
        <f t="shared" si="80"/>
        <v>45832</v>
      </c>
      <c r="J2378" s="12">
        <f t="shared" si="81"/>
        <v>7</v>
      </c>
      <c r="K2378" t="str">
        <f t="shared" si="82"/>
        <v>0-30</v>
      </c>
      <c r="L2378" s="11">
        <v>45839</v>
      </c>
      <c r="M2378" s="23">
        <f>YEAR(Таблица1[[#This Row],[Дата отчета]])</f>
        <v>2025</v>
      </c>
    </row>
    <row r="2379" spans="1:15" x14ac:dyDescent="0.25">
      <c r="A2379" t="s">
        <v>12</v>
      </c>
      <c r="B2379" t="s">
        <v>2417</v>
      </c>
      <c r="C2379" t="s">
        <v>2418</v>
      </c>
      <c r="D2379" t="s">
        <v>2419</v>
      </c>
      <c r="E2379" t="s">
        <v>2467</v>
      </c>
      <c r="F2379" s="20">
        <v>554500</v>
      </c>
      <c r="I2379" s="11">
        <f t="shared" si="80"/>
        <v>45642</v>
      </c>
      <c r="J2379" s="12">
        <f t="shared" si="81"/>
        <v>197</v>
      </c>
      <c r="K2379" t="str">
        <f t="shared" si="82"/>
        <v>181-270</v>
      </c>
      <c r="L2379" s="11">
        <v>45839</v>
      </c>
      <c r="M2379" s="23">
        <f>YEAR(Таблица1[[#This Row],[Дата отчета]])</f>
        <v>2025</v>
      </c>
    </row>
    <row r="2380" spans="1:15" x14ac:dyDescent="0.25">
      <c r="A2380" t="s">
        <v>12</v>
      </c>
      <c r="B2380" t="s">
        <v>2420</v>
      </c>
      <c r="C2380" t="s">
        <v>2421</v>
      </c>
      <c r="D2380" t="s">
        <v>2422</v>
      </c>
      <c r="E2380" t="s">
        <v>183</v>
      </c>
      <c r="F2380" s="20">
        <v>7380</v>
      </c>
      <c r="I2380" s="11">
        <f t="shared" si="80"/>
        <v>45817</v>
      </c>
      <c r="J2380" s="12">
        <f t="shared" si="81"/>
        <v>22</v>
      </c>
      <c r="K2380" t="str">
        <f t="shared" si="82"/>
        <v>0-30</v>
      </c>
      <c r="L2380" s="11">
        <v>45839</v>
      </c>
      <c r="M2380" s="23">
        <f>YEAR(Таблица1[[#This Row],[Дата отчета]])</f>
        <v>2025</v>
      </c>
    </row>
    <row r="2381" spans="1:15" x14ac:dyDescent="0.25">
      <c r="A2381" t="s">
        <v>12</v>
      </c>
      <c r="B2381" t="s">
        <v>1068</v>
      </c>
      <c r="C2381" t="s">
        <v>1069</v>
      </c>
      <c r="D2381" t="s">
        <v>1070</v>
      </c>
      <c r="E2381" t="s">
        <v>1071</v>
      </c>
      <c r="F2381" s="20">
        <v>4</v>
      </c>
      <c r="I2381" s="11">
        <f t="shared" si="80"/>
        <v>44860</v>
      </c>
      <c r="J2381" s="12">
        <f t="shared" si="81"/>
        <v>979</v>
      </c>
      <c r="K2381" t="str">
        <f t="shared" si="82"/>
        <v>&gt;360</v>
      </c>
      <c r="L2381" s="11">
        <v>45839</v>
      </c>
      <c r="M2381" s="23">
        <f>YEAR(Таблица1[[#This Row],[Дата отчета]])</f>
        <v>2025</v>
      </c>
    </row>
    <row r="2382" spans="1:15" x14ac:dyDescent="0.25">
      <c r="A2382" t="s">
        <v>12</v>
      </c>
      <c r="B2382" t="s">
        <v>2423</v>
      </c>
      <c r="C2382" t="s">
        <v>2424</v>
      </c>
      <c r="D2382" t="s">
        <v>2425</v>
      </c>
      <c r="E2382" t="s">
        <v>535</v>
      </c>
      <c r="F2382" s="20">
        <v>215452.04</v>
      </c>
      <c r="I2382" s="11">
        <f t="shared" si="80"/>
        <v>45796</v>
      </c>
      <c r="J2382" s="12">
        <f t="shared" si="81"/>
        <v>43</v>
      </c>
      <c r="K2382" t="str">
        <f t="shared" si="82"/>
        <v>31-90</v>
      </c>
      <c r="L2382" s="11">
        <v>45839</v>
      </c>
      <c r="M2382" s="23">
        <f>YEAR(Таблица1[[#This Row],[Дата отчета]])</f>
        <v>2025</v>
      </c>
    </row>
    <row r="2383" spans="1:15" x14ac:dyDescent="0.25">
      <c r="A2383" t="s">
        <v>1082</v>
      </c>
      <c r="B2383" t="s">
        <v>1087</v>
      </c>
      <c r="C2383" t="s">
        <v>1090</v>
      </c>
      <c r="D2383" t="s">
        <v>1091</v>
      </c>
      <c r="E2383" t="s">
        <v>1092</v>
      </c>
      <c r="F2383" s="20">
        <v>35421.75</v>
      </c>
      <c r="I2383" s="11">
        <f t="shared" si="80"/>
        <v>45554</v>
      </c>
      <c r="J2383" s="12">
        <f t="shared" si="81"/>
        <v>285</v>
      </c>
      <c r="K2383" t="str">
        <f t="shared" si="82"/>
        <v>271-360</v>
      </c>
      <c r="L2383" s="11">
        <v>45839</v>
      </c>
      <c r="M2383" s="23">
        <f>YEAR(Таблица1[[#This Row],[Дата отчета]])</f>
        <v>2025</v>
      </c>
      <c r="N2383" s="7" t="s">
        <v>4535</v>
      </c>
      <c r="O2383" s="24"/>
    </row>
    <row r="2384" spans="1:15" x14ac:dyDescent="0.25">
      <c r="A2384" t="s">
        <v>1082</v>
      </c>
      <c r="B2384" t="s">
        <v>2426</v>
      </c>
      <c r="C2384" t="s">
        <v>2427</v>
      </c>
      <c r="D2384" t="s">
        <v>2428</v>
      </c>
      <c r="E2384" t="s">
        <v>2468</v>
      </c>
      <c r="F2384" s="20">
        <v>94506324</v>
      </c>
      <c r="I2384" s="11">
        <f t="shared" si="80"/>
        <v>45679</v>
      </c>
      <c r="J2384" s="12">
        <f t="shared" si="81"/>
        <v>160</v>
      </c>
      <c r="K2384" t="str">
        <f t="shared" si="82"/>
        <v>121-180</v>
      </c>
      <c r="L2384" s="11">
        <v>45839</v>
      </c>
      <c r="M2384" s="23">
        <f>YEAR(Таблица1[[#This Row],[Дата отчета]])</f>
        <v>2025</v>
      </c>
    </row>
    <row r="2385" spans="1:13" x14ac:dyDescent="0.25">
      <c r="A2385" t="s">
        <v>1082</v>
      </c>
      <c r="B2385" t="s">
        <v>2426</v>
      </c>
      <c r="C2385" t="s">
        <v>2427</v>
      </c>
      <c r="D2385" t="s">
        <v>2429</v>
      </c>
      <c r="E2385" t="s">
        <v>2431</v>
      </c>
      <c r="F2385" s="20">
        <v>27129170.5</v>
      </c>
      <c r="I2385" s="11">
        <f t="shared" si="80"/>
        <v>45807</v>
      </c>
      <c r="J2385" s="12">
        <f t="shared" si="81"/>
        <v>32</v>
      </c>
      <c r="K2385" t="str">
        <f t="shared" si="82"/>
        <v>31-90</v>
      </c>
      <c r="L2385" s="11">
        <v>45839</v>
      </c>
      <c r="M2385" s="23">
        <f>YEAR(Таблица1[[#This Row],[Дата отчета]])</f>
        <v>2025</v>
      </c>
    </row>
    <row r="2386" spans="1:13" x14ac:dyDescent="0.25">
      <c r="A2386" t="s">
        <v>1082</v>
      </c>
      <c r="B2386" t="s">
        <v>561</v>
      </c>
      <c r="C2386" t="s">
        <v>1111</v>
      </c>
      <c r="D2386" t="s">
        <v>1112</v>
      </c>
      <c r="E2386" t="s">
        <v>1113</v>
      </c>
      <c r="F2386" s="20">
        <v>4.22</v>
      </c>
      <c r="I2386" s="11">
        <f t="shared" si="80"/>
        <v>45737</v>
      </c>
      <c r="J2386" s="12">
        <f t="shared" si="81"/>
        <v>102</v>
      </c>
      <c r="K2386" t="str">
        <f t="shared" si="82"/>
        <v>91-120</v>
      </c>
      <c r="L2386" s="11">
        <v>45839</v>
      </c>
      <c r="M2386" s="23">
        <f>YEAR(Таблица1[[#This Row],[Дата отчета]])</f>
        <v>2025</v>
      </c>
    </row>
    <row r="2387" spans="1:13" x14ac:dyDescent="0.25">
      <c r="A2387" t="s">
        <v>1082</v>
      </c>
      <c r="B2387" t="s">
        <v>561</v>
      </c>
      <c r="C2387" t="s">
        <v>1760</v>
      </c>
      <c r="D2387" t="s">
        <v>1761</v>
      </c>
      <c r="E2387" t="s">
        <v>1818</v>
      </c>
      <c r="F2387" s="20">
        <v>15618063.76</v>
      </c>
      <c r="I2387" s="11">
        <f t="shared" si="80"/>
        <v>45628</v>
      </c>
      <c r="J2387" s="12">
        <f t="shared" si="81"/>
        <v>211</v>
      </c>
      <c r="K2387" t="str">
        <f t="shared" si="82"/>
        <v>181-270</v>
      </c>
      <c r="L2387" s="11">
        <v>45839</v>
      </c>
      <c r="M2387" s="23">
        <f>YEAR(Таблица1[[#This Row],[Дата отчета]])</f>
        <v>2025</v>
      </c>
    </row>
    <row r="2388" spans="1:13" x14ac:dyDescent="0.25">
      <c r="A2388" t="s">
        <v>1082</v>
      </c>
      <c r="B2388" t="s">
        <v>766</v>
      </c>
      <c r="C2388" t="s">
        <v>1762</v>
      </c>
      <c r="D2388" t="s">
        <v>1763</v>
      </c>
      <c r="E2388" t="s">
        <v>1819</v>
      </c>
      <c r="F2388" s="20">
        <v>348705</v>
      </c>
      <c r="I2388" s="11">
        <f t="shared" si="80"/>
        <v>45504</v>
      </c>
      <c r="J2388" s="12">
        <f t="shared" si="81"/>
        <v>335</v>
      </c>
      <c r="K2388" t="str">
        <f t="shared" si="82"/>
        <v>271-360</v>
      </c>
      <c r="L2388" s="11">
        <v>45839</v>
      </c>
      <c r="M2388" s="23">
        <f>YEAR(Таблица1[[#This Row],[Дата отчета]])</f>
        <v>2025</v>
      </c>
    </row>
    <row r="2389" spans="1:13" x14ac:dyDescent="0.25">
      <c r="A2389" t="s">
        <v>12</v>
      </c>
      <c r="B2389" t="s">
        <v>18</v>
      </c>
      <c r="C2389" t="s">
        <v>2469</v>
      </c>
      <c r="D2389" t="s">
        <v>2470</v>
      </c>
      <c r="E2389" t="s">
        <v>2471</v>
      </c>
      <c r="F2389" s="20">
        <v>800</v>
      </c>
      <c r="I2389" s="11">
        <f t="shared" ref="I2389" si="83">E2389*1</f>
        <v>45093</v>
      </c>
      <c r="J2389" s="12">
        <f t="shared" ref="J2389" si="84">L2389-I2389</f>
        <v>655</v>
      </c>
      <c r="K2389" t="str">
        <f t="shared" si="82"/>
        <v>&gt;360</v>
      </c>
      <c r="L2389" s="11">
        <v>45748</v>
      </c>
      <c r="M2389" s="23">
        <f>YEAR(Таблица1[[#This Row],[Дата отчета]])</f>
        <v>2025</v>
      </c>
    </row>
    <row r="2390" spans="1:13" x14ac:dyDescent="0.25">
      <c r="A2390" t="s">
        <v>12</v>
      </c>
      <c r="B2390" t="s">
        <v>23</v>
      </c>
      <c r="C2390" t="s">
        <v>2472</v>
      </c>
      <c r="D2390" t="s">
        <v>2473</v>
      </c>
      <c r="E2390" t="s">
        <v>2474</v>
      </c>
      <c r="F2390" s="20">
        <v>14770</v>
      </c>
      <c r="I2390" s="11">
        <f t="shared" ref="I2390:I2453" si="85">E2390*1</f>
        <v>45643</v>
      </c>
      <c r="J2390" s="12">
        <f t="shared" ref="J2390:J2453" si="86">L2390-I2390</f>
        <v>105</v>
      </c>
      <c r="K2390" t="str">
        <f t="shared" si="82"/>
        <v>91-120</v>
      </c>
      <c r="L2390" s="11">
        <v>45748</v>
      </c>
      <c r="M2390" s="23">
        <f>YEAR(Таблица1[[#This Row],[Дата отчета]])</f>
        <v>2025</v>
      </c>
    </row>
    <row r="2391" spans="1:13" x14ac:dyDescent="0.25">
      <c r="A2391" t="s">
        <v>12</v>
      </c>
      <c r="B2391" t="s">
        <v>32</v>
      </c>
      <c r="C2391" t="s">
        <v>2475</v>
      </c>
      <c r="D2391" t="s">
        <v>2476</v>
      </c>
      <c r="E2391" t="s">
        <v>1023</v>
      </c>
      <c r="F2391" s="20">
        <v>6735764.7699999996</v>
      </c>
      <c r="I2391" s="11">
        <f t="shared" si="85"/>
        <v>45728</v>
      </c>
      <c r="J2391" s="12">
        <f t="shared" si="86"/>
        <v>20</v>
      </c>
      <c r="K2391" t="str">
        <f t="shared" si="82"/>
        <v>0-30</v>
      </c>
      <c r="L2391" s="11">
        <v>45748</v>
      </c>
      <c r="M2391" s="23">
        <f>YEAR(Таблица1[[#This Row],[Дата отчета]])</f>
        <v>2025</v>
      </c>
    </row>
    <row r="2392" spans="1:13" x14ac:dyDescent="0.25">
      <c r="A2392" t="s">
        <v>12</v>
      </c>
      <c r="B2392" t="s">
        <v>32</v>
      </c>
      <c r="C2392" t="s">
        <v>2475</v>
      </c>
      <c r="D2392" t="s">
        <v>2477</v>
      </c>
      <c r="E2392" t="s">
        <v>2462</v>
      </c>
      <c r="F2392" s="20">
        <v>2886756.33</v>
      </c>
      <c r="I2392" s="11">
        <f t="shared" si="85"/>
        <v>45734</v>
      </c>
      <c r="J2392" s="12">
        <f t="shared" si="86"/>
        <v>14</v>
      </c>
      <c r="K2392" t="str">
        <f t="shared" si="82"/>
        <v>0-30</v>
      </c>
      <c r="L2392" s="11">
        <v>45748</v>
      </c>
      <c r="M2392" s="23">
        <f>YEAR(Таблица1[[#This Row],[Дата отчета]])</f>
        <v>2025</v>
      </c>
    </row>
    <row r="2393" spans="1:13" x14ac:dyDescent="0.25">
      <c r="A2393" t="s">
        <v>12</v>
      </c>
      <c r="B2393" t="s">
        <v>32</v>
      </c>
      <c r="C2393" t="s">
        <v>2478</v>
      </c>
      <c r="D2393" t="s">
        <v>2479</v>
      </c>
      <c r="E2393" t="s">
        <v>2468</v>
      </c>
      <c r="F2393" s="20">
        <v>16156907.029999999</v>
      </c>
      <c r="I2393" s="11">
        <f t="shared" si="85"/>
        <v>45679</v>
      </c>
      <c r="J2393" s="12">
        <f t="shared" si="86"/>
        <v>69</v>
      </c>
      <c r="K2393" t="str">
        <f t="shared" si="82"/>
        <v>31-90</v>
      </c>
      <c r="L2393" s="11">
        <v>45748</v>
      </c>
      <c r="M2393" s="23">
        <f>YEAR(Таблица1[[#This Row],[Дата отчета]])</f>
        <v>2025</v>
      </c>
    </row>
    <row r="2394" spans="1:13" x14ac:dyDescent="0.25">
      <c r="A2394" t="s">
        <v>12</v>
      </c>
      <c r="B2394" t="s">
        <v>32</v>
      </c>
      <c r="C2394" t="s">
        <v>2478</v>
      </c>
      <c r="D2394" t="s">
        <v>2480</v>
      </c>
      <c r="E2394" t="s">
        <v>2481</v>
      </c>
      <c r="F2394" s="20">
        <v>6924388.7199999997</v>
      </c>
      <c r="I2394" s="11">
        <f t="shared" si="85"/>
        <v>45714</v>
      </c>
      <c r="J2394" s="12">
        <f t="shared" si="86"/>
        <v>34</v>
      </c>
      <c r="K2394" t="str">
        <f t="shared" si="82"/>
        <v>31-90</v>
      </c>
      <c r="L2394" s="11">
        <v>45748</v>
      </c>
      <c r="M2394" s="23">
        <f>YEAR(Таблица1[[#This Row],[Дата отчета]])</f>
        <v>2025</v>
      </c>
    </row>
    <row r="2395" spans="1:13" x14ac:dyDescent="0.25">
      <c r="A2395" t="s">
        <v>12</v>
      </c>
      <c r="B2395" t="s">
        <v>52</v>
      </c>
      <c r="C2395" t="s">
        <v>1835</v>
      </c>
      <c r="D2395" t="s">
        <v>1836</v>
      </c>
      <c r="E2395" t="s">
        <v>2432</v>
      </c>
      <c r="F2395" s="20">
        <v>173300</v>
      </c>
      <c r="I2395" s="11">
        <f t="shared" si="85"/>
        <v>45693</v>
      </c>
      <c r="J2395" s="12">
        <f t="shared" si="86"/>
        <v>55</v>
      </c>
      <c r="K2395" t="str">
        <f t="shared" si="82"/>
        <v>31-90</v>
      </c>
      <c r="L2395" s="11">
        <v>45748</v>
      </c>
      <c r="M2395" s="23">
        <f>YEAR(Таблица1[[#This Row],[Дата отчета]])</f>
        <v>2025</v>
      </c>
    </row>
    <row r="2396" spans="1:13" x14ac:dyDescent="0.25">
      <c r="A2396" t="s">
        <v>12</v>
      </c>
      <c r="B2396" t="s">
        <v>52</v>
      </c>
      <c r="C2396" t="s">
        <v>1837</v>
      </c>
      <c r="D2396" t="s">
        <v>2482</v>
      </c>
      <c r="E2396" t="s">
        <v>968</v>
      </c>
      <c r="F2396" s="20">
        <v>2176652</v>
      </c>
      <c r="I2396" s="11">
        <f t="shared" si="85"/>
        <v>45729</v>
      </c>
      <c r="J2396" s="12">
        <f t="shared" si="86"/>
        <v>19</v>
      </c>
      <c r="K2396" t="str">
        <f t="shared" si="82"/>
        <v>0-30</v>
      </c>
      <c r="L2396" s="11">
        <v>45748</v>
      </c>
      <c r="M2396" s="23">
        <f>YEAR(Таблица1[[#This Row],[Дата отчета]])</f>
        <v>2025</v>
      </c>
    </row>
    <row r="2397" spans="1:13" x14ac:dyDescent="0.25">
      <c r="A2397" t="s">
        <v>12</v>
      </c>
      <c r="B2397" t="s">
        <v>13</v>
      </c>
      <c r="C2397" t="s">
        <v>14</v>
      </c>
      <c r="D2397" t="s">
        <v>15</v>
      </c>
      <c r="E2397" t="s">
        <v>16</v>
      </c>
      <c r="F2397" s="20">
        <v>0.01</v>
      </c>
      <c r="I2397" s="11">
        <f t="shared" si="85"/>
        <v>45051</v>
      </c>
      <c r="J2397" s="12">
        <f t="shared" si="86"/>
        <v>697</v>
      </c>
      <c r="K2397" t="str">
        <f t="shared" si="82"/>
        <v>&gt;360</v>
      </c>
      <c r="L2397" s="11">
        <v>45748</v>
      </c>
      <c r="M2397" s="23">
        <f>YEAR(Таблица1[[#This Row],[Дата отчета]])</f>
        <v>2025</v>
      </c>
    </row>
    <row r="2398" spans="1:13" x14ac:dyDescent="0.25">
      <c r="A2398" t="s">
        <v>12</v>
      </c>
      <c r="B2398" t="s">
        <v>76</v>
      </c>
      <c r="C2398" t="s">
        <v>2483</v>
      </c>
      <c r="D2398" t="s">
        <v>2484</v>
      </c>
      <c r="E2398" t="s">
        <v>994</v>
      </c>
      <c r="F2398" s="20">
        <v>30000</v>
      </c>
      <c r="I2398" s="11">
        <f t="shared" si="85"/>
        <v>45741</v>
      </c>
      <c r="J2398" s="12">
        <f t="shared" si="86"/>
        <v>7</v>
      </c>
      <c r="K2398" t="str">
        <f t="shared" si="82"/>
        <v>0-30</v>
      </c>
      <c r="L2398" s="11">
        <v>45748</v>
      </c>
      <c r="M2398" s="23">
        <f>YEAR(Таблица1[[#This Row],[Дата отчета]])</f>
        <v>2025</v>
      </c>
    </row>
    <row r="2399" spans="1:13" x14ac:dyDescent="0.25">
      <c r="A2399" t="s">
        <v>12</v>
      </c>
      <c r="B2399" t="s">
        <v>1278</v>
      </c>
      <c r="C2399" t="s">
        <v>2485</v>
      </c>
      <c r="D2399" t="s">
        <v>2486</v>
      </c>
      <c r="E2399" t="s">
        <v>1023</v>
      </c>
      <c r="F2399" s="20">
        <v>3739900</v>
      </c>
      <c r="I2399" s="11">
        <f t="shared" si="85"/>
        <v>45728</v>
      </c>
      <c r="J2399" s="12">
        <f t="shared" si="86"/>
        <v>20</v>
      </c>
      <c r="K2399" t="str">
        <f t="shared" si="82"/>
        <v>0-30</v>
      </c>
      <c r="L2399" s="11">
        <v>45748</v>
      </c>
      <c r="M2399" s="23">
        <f>YEAR(Таблица1[[#This Row],[Дата отчета]])</f>
        <v>2025</v>
      </c>
    </row>
    <row r="2400" spans="1:13" x14ac:dyDescent="0.25">
      <c r="A2400" t="s">
        <v>12</v>
      </c>
      <c r="B2400" t="s">
        <v>1278</v>
      </c>
      <c r="C2400" t="s">
        <v>2487</v>
      </c>
      <c r="D2400" t="s">
        <v>2488</v>
      </c>
      <c r="E2400" t="s">
        <v>1023</v>
      </c>
      <c r="F2400" s="20">
        <v>3739900</v>
      </c>
      <c r="I2400" s="11">
        <f t="shared" si="85"/>
        <v>45728</v>
      </c>
      <c r="J2400" s="12">
        <f t="shared" si="86"/>
        <v>20</v>
      </c>
      <c r="K2400" t="str">
        <f t="shared" si="82"/>
        <v>0-30</v>
      </c>
      <c r="L2400" s="11">
        <v>45748</v>
      </c>
      <c r="M2400" s="23">
        <f>YEAR(Таблица1[[#This Row],[Дата отчета]])</f>
        <v>2025</v>
      </c>
    </row>
    <row r="2401" spans="1:15" x14ac:dyDescent="0.25">
      <c r="A2401" t="s">
        <v>12</v>
      </c>
      <c r="B2401" t="s">
        <v>1278</v>
      </c>
      <c r="C2401" t="s">
        <v>1279</v>
      </c>
      <c r="D2401" t="s">
        <v>1280</v>
      </c>
      <c r="E2401" t="s">
        <v>1765</v>
      </c>
      <c r="F2401" s="20">
        <v>63648</v>
      </c>
      <c r="I2401" s="11">
        <f t="shared" si="85"/>
        <v>45735</v>
      </c>
      <c r="J2401" s="12">
        <f t="shared" si="86"/>
        <v>13</v>
      </c>
      <c r="K2401" t="str">
        <f t="shared" si="82"/>
        <v>0-30</v>
      </c>
      <c r="L2401" s="11">
        <v>45748</v>
      </c>
      <c r="M2401" s="23">
        <f>YEAR(Таблица1[[#This Row],[Дата отчета]])</f>
        <v>2025</v>
      </c>
    </row>
    <row r="2402" spans="1:15" x14ac:dyDescent="0.25">
      <c r="A2402" t="s">
        <v>12</v>
      </c>
      <c r="B2402" t="s">
        <v>1278</v>
      </c>
      <c r="C2402" t="s">
        <v>1281</v>
      </c>
      <c r="D2402" t="s">
        <v>1282</v>
      </c>
      <c r="E2402" t="s">
        <v>1765</v>
      </c>
      <c r="F2402" s="20">
        <v>63648</v>
      </c>
      <c r="I2402" s="11">
        <f t="shared" si="85"/>
        <v>45735</v>
      </c>
      <c r="J2402" s="12">
        <f t="shared" si="86"/>
        <v>13</v>
      </c>
      <c r="K2402" t="str">
        <f t="shared" si="82"/>
        <v>0-30</v>
      </c>
      <c r="L2402" s="11">
        <v>45748</v>
      </c>
      <c r="M2402" s="23">
        <f>YEAR(Таблица1[[#This Row],[Дата отчета]])</f>
        <v>2025</v>
      </c>
    </row>
    <row r="2403" spans="1:15" x14ac:dyDescent="0.25">
      <c r="A2403" t="s">
        <v>12</v>
      </c>
      <c r="B2403" t="s">
        <v>1278</v>
      </c>
      <c r="C2403" t="s">
        <v>1283</v>
      </c>
      <c r="D2403" t="s">
        <v>1284</v>
      </c>
      <c r="E2403" t="s">
        <v>1765</v>
      </c>
      <c r="F2403" s="20">
        <v>33408</v>
      </c>
      <c r="I2403" s="11">
        <f t="shared" si="85"/>
        <v>45735</v>
      </c>
      <c r="J2403" s="12">
        <f t="shared" si="86"/>
        <v>13</v>
      </c>
      <c r="K2403" t="str">
        <f t="shared" si="82"/>
        <v>0-30</v>
      </c>
      <c r="L2403" s="11">
        <v>45748</v>
      </c>
      <c r="M2403" s="23">
        <f>YEAR(Таблица1[[#This Row],[Дата отчета]])</f>
        <v>2025</v>
      </c>
    </row>
    <row r="2404" spans="1:15" x14ac:dyDescent="0.25">
      <c r="A2404" t="s">
        <v>12</v>
      </c>
      <c r="B2404" t="s">
        <v>1278</v>
      </c>
      <c r="C2404" t="s">
        <v>1285</v>
      </c>
      <c r="D2404" t="s">
        <v>1286</v>
      </c>
      <c r="E2404" t="s">
        <v>1765</v>
      </c>
      <c r="F2404" s="20">
        <v>33408</v>
      </c>
      <c r="I2404" s="11">
        <f t="shared" si="85"/>
        <v>45735</v>
      </c>
      <c r="J2404" s="12">
        <f t="shared" si="86"/>
        <v>13</v>
      </c>
      <c r="K2404" t="str">
        <f t="shared" si="82"/>
        <v>0-30</v>
      </c>
      <c r="L2404" s="11">
        <v>45748</v>
      </c>
      <c r="M2404" s="23">
        <f>YEAR(Таблица1[[#This Row],[Дата отчета]])</f>
        <v>2025</v>
      </c>
    </row>
    <row r="2405" spans="1:15" x14ac:dyDescent="0.25">
      <c r="A2405" t="s">
        <v>12</v>
      </c>
      <c r="B2405" t="s">
        <v>84</v>
      </c>
      <c r="C2405" t="s">
        <v>2489</v>
      </c>
      <c r="D2405" t="s">
        <v>2490</v>
      </c>
      <c r="E2405" t="s">
        <v>2467</v>
      </c>
      <c r="F2405" s="20">
        <v>63872028</v>
      </c>
      <c r="I2405" s="11">
        <f t="shared" si="85"/>
        <v>45642</v>
      </c>
      <c r="J2405" s="12">
        <f t="shared" si="86"/>
        <v>106</v>
      </c>
      <c r="K2405" t="str">
        <f t="shared" si="82"/>
        <v>91-120</v>
      </c>
      <c r="L2405" s="11">
        <v>45748</v>
      </c>
      <c r="M2405" s="23">
        <f>YEAR(Таблица1[[#This Row],[Дата отчета]])</f>
        <v>2025</v>
      </c>
    </row>
    <row r="2406" spans="1:15" x14ac:dyDescent="0.25">
      <c r="A2406" t="s">
        <v>12</v>
      </c>
      <c r="B2406" t="s">
        <v>88</v>
      </c>
      <c r="C2406" t="s">
        <v>89</v>
      </c>
      <c r="D2406" t="s">
        <v>90</v>
      </c>
      <c r="E2406" t="s">
        <v>91</v>
      </c>
      <c r="F2406" s="20">
        <v>198000</v>
      </c>
      <c r="I2406" s="11">
        <f t="shared" si="85"/>
        <v>45723</v>
      </c>
      <c r="J2406" s="12">
        <f t="shared" si="86"/>
        <v>25</v>
      </c>
      <c r="K2406" t="str">
        <f t="shared" si="82"/>
        <v>0-30</v>
      </c>
      <c r="L2406" s="11">
        <v>45748</v>
      </c>
      <c r="M2406" s="23">
        <f>YEAR(Таблица1[[#This Row],[Дата отчета]])</f>
        <v>2025</v>
      </c>
      <c r="N2406" s="30" t="s">
        <v>4537</v>
      </c>
      <c r="O2406" s="30"/>
    </row>
    <row r="2407" spans="1:15" x14ac:dyDescent="0.25">
      <c r="A2407" t="s">
        <v>12</v>
      </c>
      <c r="B2407" t="s">
        <v>93</v>
      </c>
      <c r="C2407" t="s">
        <v>2491</v>
      </c>
      <c r="D2407" t="s">
        <v>2492</v>
      </c>
      <c r="E2407" t="s">
        <v>2461</v>
      </c>
      <c r="F2407" s="20">
        <v>377676.6</v>
      </c>
      <c r="I2407" s="11">
        <f t="shared" si="85"/>
        <v>45736</v>
      </c>
      <c r="J2407" s="12">
        <f t="shared" si="86"/>
        <v>12</v>
      </c>
      <c r="K2407" t="str">
        <f t="shared" si="82"/>
        <v>0-30</v>
      </c>
      <c r="L2407" s="11">
        <v>45748</v>
      </c>
      <c r="M2407" s="23">
        <f>YEAR(Таблица1[[#This Row],[Дата отчета]])</f>
        <v>2025</v>
      </c>
    </row>
    <row r="2408" spans="1:15" x14ac:dyDescent="0.25">
      <c r="A2408" t="s">
        <v>12</v>
      </c>
      <c r="B2408" t="s">
        <v>2493</v>
      </c>
      <c r="C2408" t="s">
        <v>2494</v>
      </c>
      <c r="D2408" t="s">
        <v>2495</v>
      </c>
      <c r="E2408" t="s">
        <v>1023</v>
      </c>
      <c r="F2408" s="20">
        <v>3312506.05</v>
      </c>
      <c r="I2408" s="11">
        <f t="shared" si="85"/>
        <v>45728</v>
      </c>
      <c r="J2408" s="12">
        <f t="shared" si="86"/>
        <v>20</v>
      </c>
      <c r="K2408" t="str">
        <f t="shared" si="82"/>
        <v>0-30</v>
      </c>
      <c r="L2408" s="11">
        <v>45748</v>
      </c>
      <c r="M2408" s="23">
        <f>YEAR(Таблица1[[#This Row],[Дата отчета]])</f>
        <v>2025</v>
      </c>
    </row>
    <row r="2409" spans="1:15" x14ac:dyDescent="0.25">
      <c r="A2409" t="s">
        <v>12</v>
      </c>
      <c r="B2409" t="s">
        <v>2493</v>
      </c>
      <c r="C2409" t="s">
        <v>2496</v>
      </c>
      <c r="D2409" t="s">
        <v>2497</v>
      </c>
      <c r="E2409" t="s">
        <v>1023</v>
      </c>
      <c r="F2409" s="20">
        <v>1386364</v>
      </c>
      <c r="I2409" s="11">
        <f t="shared" si="85"/>
        <v>45728</v>
      </c>
      <c r="J2409" s="12">
        <f t="shared" si="86"/>
        <v>20</v>
      </c>
      <c r="K2409" t="str">
        <f t="shared" si="82"/>
        <v>0-30</v>
      </c>
      <c r="L2409" s="11">
        <v>45748</v>
      </c>
      <c r="M2409" s="23">
        <f>YEAR(Таблица1[[#This Row],[Дата отчета]])</f>
        <v>2025</v>
      </c>
    </row>
    <row r="2410" spans="1:15" x14ac:dyDescent="0.25">
      <c r="A2410" t="s">
        <v>12</v>
      </c>
      <c r="B2410" t="s">
        <v>2498</v>
      </c>
      <c r="C2410" t="s">
        <v>2499</v>
      </c>
      <c r="D2410" t="s">
        <v>2500</v>
      </c>
      <c r="E2410" t="s">
        <v>2461</v>
      </c>
      <c r="F2410" s="20">
        <v>351130</v>
      </c>
      <c r="I2410" s="11">
        <f t="shared" si="85"/>
        <v>45736</v>
      </c>
      <c r="J2410" s="12">
        <f t="shared" si="86"/>
        <v>12</v>
      </c>
      <c r="K2410" t="str">
        <f t="shared" si="82"/>
        <v>0-30</v>
      </c>
      <c r="L2410" s="11">
        <v>45748</v>
      </c>
      <c r="M2410" s="23">
        <f>YEAR(Таблица1[[#This Row],[Дата отчета]])</f>
        <v>2025</v>
      </c>
    </row>
    <row r="2411" spans="1:15" x14ac:dyDescent="0.25">
      <c r="A2411" t="s">
        <v>12</v>
      </c>
      <c r="B2411" t="s">
        <v>1867</v>
      </c>
      <c r="C2411" t="s">
        <v>1868</v>
      </c>
      <c r="D2411" t="s">
        <v>1869</v>
      </c>
      <c r="E2411" t="s">
        <v>968</v>
      </c>
      <c r="F2411" s="20">
        <v>2940</v>
      </c>
      <c r="I2411" s="11">
        <f t="shared" si="85"/>
        <v>45729</v>
      </c>
      <c r="J2411" s="12">
        <f t="shared" si="86"/>
        <v>19</v>
      </c>
      <c r="K2411" t="str">
        <f t="shared" si="82"/>
        <v>0-30</v>
      </c>
      <c r="L2411" s="11">
        <v>45748</v>
      </c>
      <c r="M2411" s="23">
        <f>YEAR(Таблица1[[#This Row],[Дата отчета]])</f>
        <v>2025</v>
      </c>
    </row>
    <row r="2412" spans="1:15" x14ac:dyDescent="0.25">
      <c r="A2412" t="s">
        <v>12</v>
      </c>
      <c r="B2412" t="s">
        <v>2501</v>
      </c>
      <c r="C2412" t="s">
        <v>2502</v>
      </c>
      <c r="D2412" t="s">
        <v>2503</v>
      </c>
      <c r="E2412" t="s">
        <v>1787</v>
      </c>
      <c r="F2412" s="20">
        <v>415752.6</v>
      </c>
      <c r="I2412" s="11">
        <f t="shared" si="85"/>
        <v>45742</v>
      </c>
      <c r="J2412" s="12">
        <f t="shared" si="86"/>
        <v>6</v>
      </c>
      <c r="K2412" t="str">
        <f t="shared" si="82"/>
        <v>0-30</v>
      </c>
      <c r="L2412" s="11">
        <v>45748</v>
      </c>
      <c r="M2412" s="23">
        <f>YEAR(Таблица1[[#This Row],[Дата отчета]])</f>
        <v>2025</v>
      </c>
    </row>
    <row r="2413" spans="1:15" x14ac:dyDescent="0.25">
      <c r="A2413" t="s">
        <v>12</v>
      </c>
      <c r="B2413" t="s">
        <v>114</v>
      </c>
      <c r="C2413" t="s">
        <v>2504</v>
      </c>
      <c r="D2413" t="s">
        <v>2505</v>
      </c>
      <c r="E2413" t="s">
        <v>1023</v>
      </c>
      <c r="F2413" s="20">
        <v>3409264.1</v>
      </c>
      <c r="I2413" s="11">
        <f t="shared" si="85"/>
        <v>45728</v>
      </c>
      <c r="J2413" s="12">
        <f t="shared" si="86"/>
        <v>20</v>
      </c>
      <c r="K2413" t="str">
        <f t="shared" si="82"/>
        <v>0-30</v>
      </c>
      <c r="L2413" s="11">
        <v>45748</v>
      </c>
      <c r="M2413" s="23">
        <f>YEAR(Таблица1[[#This Row],[Дата отчета]])</f>
        <v>2025</v>
      </c>
    </row>
    <row r="2414" spans="1:15" x14ac:dyDescent="0.25">
      <c r="A2414" t="s">
        <v>12</v>
      </c>
      <c r="B2414" t="s">
        <v>114</v>
      </c>
      <c r="C2414" t="s">
        <v>2504</v>
      </c>
      <c r="D2414" t="s">
        <v>2506</v>
      </c>
      <c r="E2414" t="s">
        <v>968</v>
      </c>
      <c r="F2414" s="20">
        <v>1704632</v>
      </c>
      <c r="I2414" s="11">
        <f t="shared" si="85"/>
        <v>45729</v>
      </c>
      <c r="J2414" s="12">
        <f t="shared" si="86"/>
        <v>19</v>
      </c>
      <c r="K2414" t="str">
        <f t="shared" si="82"/>
        <v>0-30</v>
      </c>
      <c r="L2414" s="11">
        <v>45748</v>
      </c>
      <c r="M2414" s="23">
        <f>YEAR(Таблица1[[#This Row],[Дата отчета]])</f>
        <v>2025</v>
      </c>
    </row>
    <row r="2415" spans="1:15" x14ac:dyDescent="0.25">
      <c r="A2415" t="s">
        <v>12</v>
      </c>
      <c r="B2415" t="s">
        <v>1888</v>
      </c>
      <c r="C2415" t="s">
        <v>1889</v>
      </c>
      <c r="D2415" t="s">
        <v>1890</v>
      </c>
      <c r="E2415" t="s">
        <v>2438</v>
      </c>
      <c r="F2415" s="20">
        <v>12470</v>
      </c>
      <c r="I2415" s="11">
        <f t="shared" si="85"/>
        <v>45365</v>
      </c>
      <c r="J2415" s="12">
        <f t="shared" si="86"/>
        <v>383</v>
      </c>
      <c r="K2415" t="str">
        <f t="shared" si="82"/>
        <v>&gt;360</v>
      </c>
      <c r="L2415" s="11">
        <v>45748</v>
      </c>
      <c r="M2415" s="23">
        <f>YEAR(Таблица1[[#This Row],[Дата отчета]])</f>
        <v>2025</v>
      </c>
    </row>
    <row r="2416" spans="1:15" x14ac:dyDescent="0.25">
      <c r="A2416" t="s">
        <v>12</v>
      </c>
      <c r="B2416" t="s">
        <v>124</v>
      </c>
      <c r="C2416" t="s">
        <v>125</v>
      </c>
      <c r="D2416" t="s">
        <v>1299</v>
      </c>
      <c r="E2416" t="s">
        <v>1768</v>
      </c>
      <c r="F2416" s="20">
        <v>49500</v>
      </c>
      <c r="I2416" s="11">
        <f t="shared" si="85"/>
        <v>45639</v>
      </c>
      <c r="J2416" s="12">
        <f t="shared" si="86"/>
        <v>109</v>
      </c>
      <c r="K2416" t="str">
        <f t="shared" si="82"/>
        <v>91-120</v>
      </c>
      <c r="L2416" s="11">
        <v>45748</v>
      </c>
      <c r="M2416" s="23">
        <f>YEAR(Таблица1[[#This Row],[Дата отчета]])</f>
        <v>2025</v>
      </c>
    </row>
    <row r="2417" spans="1:14" x14ac:dyDescent="0.25">
      <c r="A2417" t="s">
        <v>12</v>
      </c>
      <c r="B2417" t="s">
        <v>1891</v>
      </c>
      <c r="C2417" t="s">
        <v>1892</v>
      </c>
      <c r="D2417" t="s">
        <v>1893</v>
      </c>
      <c r="E2417" t="s">
        <v>2439</v>
      </c>
      <c r="F2417" s="20">
        <v>2818</v>
      </c>
      <c r="I2417" s="11">
        <f t="shared" si="85"/>
        <v>45016</v>
      </c>
      <c r="J2417" s="12">
        <f t="shared" si="86"/>
        <v>732</v>
      </c>
      <c r="K2417" t="str">
        <f t="shared" si="82"/>
        <v>&gt;360</v>
      </c>
      <c r="L2417" s="11">
        <v>45748</v>
      </c>
      <c r="M2417" s="23">
        <f>YEAR(Таблица1[[#This Row],[Дата отчета]])</f>
        <v>2025</v>
      </c>
    </row>
    <row r="2418" spans="1:14" x14ac:dyDescent="0.25">
      <c r="A2418" t="s">
        <v>12</v>
      </c>
      <c r="B2418" t="s">
        <v>1894</v>
      </c>
      <c r="C2418" t="s">
        <v>1895</v>
      </c>
      <c r="D2418" t="s">
        <v>1896</v>
      </c>
      <c r="E2418" t="s">
        <v>91</v>
      </c>
      <c r="F2418" s="20">
        <v>10800</v>
      </c>
      <c r="I2418" s="11">
        <f t="shared" si="85"/>
        <v>45723</v>
      </c>
      <c r="J2418" s="12">
        <f t="shared" si="86"/>
        <v>25</v>
      </c>
      <c r="K2418" t="str">
        <f t="shared" si="82"/>
        <v>0-30</v>
      </c>
      <c r="L2418" s="11">
        <v>45748</v>
      </c>
      <c r="M2418" s="23">
        <f>YEAR(Таблица1[[#This Row],[Дата отчета]])</f>
        <v>2025</v>
      </c>
    </row>
    <row r="2419" spans="1:14" x14ac:dyDescent="0.25">
      <c r="A2419" t="s">
        <v>12</v>
      </c>
      <c r="B2419" t="s">
        <v>147</v>
      </c>
      <c r="C2419" t="s">
        <v>1897</v>
      </c>
      <c r="D2419" t="s">
        <v>1898</v>
      </c>
      <c r="E2419" t="s">
        <v>2440</v>
      </c>
      <c r="F2419" s="20">
        <v>297353</v>
      </c>
      <c r="I2419" s="11">
        <f t="shared" si="85"/>
        <v>45692</v>
      </c>
      <c r="J2419" s="12">
        <f t="shared" si="86"/>
        <v>56</v>
      </c>
      <c r="K2419" t="str">
        <f t="shared" si="82"/>
        <v>31-90</v>
      </c>
      <c r="L2419" s="11">
        <v>45748</v>
      </c>
      <c r="M2419" s="23">
        <f>YEAR(Таблица1[[#This Row],[Дата отчета]])</f>
        <v>2025</v>
      </c>
    </row>
    <row r="2420" spans="1:14" x14ac:dyDescent="0.25">
      <c r="A2420" t="s">
        <v>12</v>
      </c>
      <c r="B2420" t="s">
        <v>147</v>
      </c>
      <c r="C2420" t="s">
        <v>1899</v>
      </c>
      <c r="D2420" t="s">
        <v>1900</v>
      </c>
      <c r="E2420" t="s">
        <v>2440</v>
      </c>
      <c r="F2420" s="20">
        <v>134438</v>
      </c>
      <c r="I2420" s="11">
        <f t="shared" si="85"/>
        <v>45692</v>
      </c>
      <c r="J2420" s="12">
        <f t="shared" si="86"/>
        <v>56</v>
      </c>
      <c r="K2420" t="str">
        <f t="shared" si="82"/>
        <v>31-90</v>
      </c>
      <c r="L2420" s="11">
        <v>45748</v>
      </c>
      <c r="M2420" s="23">
        <f>YEAR(Таблица1[[#This Row],[Дата отчета]])</f>
        <v>2025</v>
      </c>
    </row>
    <row r="2421" spans="1:14" x14ac:dyDescent="0.25">
      <c r="A2421" t="s">
        <v>12</v>
      </c>
      <c r="B2421" t="s">
        <v>147</v>
      </c>
      <c r="C2421" t="s">
        <v>1901</v>
      </c>
      <c r="D2421" t="s">
        <v>1902</v>
      </c>
      <c r="E2421" t="s">
        <v>2440</v>
      </c>
      <c r="F2421" s="20">
        <v>40000</v>
      </c>
      <c r="I2421" s="11">
        <f t="shared" si="85"/>
        <v>45692</v>
      </c>
      <c r="J2421" s="12">
        <f t="shared" si="86"/>
        <v>56</v>
      </c>
      <c r="K2421" t="str">
        <f t="shared" si="82"/>
        <v>31-90</v>
      </c>
      <c r="L2421" s="11">
        <v>45748</v>
      </c>
      <c r="M2421" s="23">
        <f>YEAR(Таблица1[[#This Row],[Дата отчета]])</f>
        <v>2025</v>
      </c>
    </row>
    <row r="2422" spans="1:14" x14ac:dyDescent="0.25">
      <c r="A2422" t="s">
        <v>12</v>
      </c>
      <c r="B2422" t="s">
        <v>150</v>
      </c>
      <c r="C2422" t="s">
        <v>1308</v>
      </c>
      <c r="D2422" t="s">
        <v>1309</v>
      </c>
      <c r="E2422" t="s">
        <v>1770</v>
      </c>
      <c r="F2422" s="20">
        <v>685187.3</v>
      </c>
      <c r="I2422" s="11">
        <f t="shared" si="85"/>
        <v>45713</v>
      </c>
      <c r="J2422" s="12">
        <f t="shared" si="86"/>
        <v>35</v>
      </c>
      <c r="K2422" t="str">
        <f t="shared" si="82"/>
        <v>31-90</v>
      </c>
      <c r="L2422" s="11">
        <v>45748</v>
      </c>
      <c r="M2422" s="23">
        <f>YEAR(Таблица1[[#This Row],[Дата отчета]])</f>
        <v>2025</v>
      </c>
    </row>
    <row r="2423" spans="1:14" x14ac:dyDescent="0.25">
      <c r="A2423" t="s">
        <v>12</v>
      </c>
      <c r="B2423" t="s">
        <v>150</v>
      </c>
      <c r="C2423" t="s">
        <v>1310</v>
      </c>
      <c r="D2423" t="s">
        <v>1311</v>
      </c>
      <c r="E2423" t="s">
        <v>1771</v>
      </c>
      <c r="F2423" s="20">
        <v>1434476.02</v>
      </c>
      <c r="I2423" s="11">
        <f t="shared" si="85"/>
        <v>45687</v>
      </c>
      <c r="J2423" s="12">
        <f t="shared" si="86"/>
        <v>61</v>
      </c>
      <c r="K2423" t="str">
        <f t="shared" si="82"/>
        <v>31-90</v>
      </c>
      <c r="L2423" s="11">
        <v>45748</v>
      </c>
      <c r="M2423" s="23">
        <f>YEAR(Таблица1[[#This Row],[Дата отчета]])</f>
        <v>2025</v>
      </c>
    </row>
    <row r="2424" spans="1:14" x14ac:dyDescent="0.25">
      <c r="A2424" t="s">
        <v>12</v>
      </c>
      <c r="B2424" t="s">
        <v>172</v>
      </c>
      <c r="C2424" t="s">
        <v>173</v>
      </c>
      <c r="D2424" t="s">
        <v>174</v>
      </c>
      <c r="E2424" t="s">
        <v>175</v>
      </c>
      <c r="F2424" s="20">
        <v>12630</v>
      </c>
      <c r="I2424" s="11">
        <f t="shared" si="85"/>
        <v>45399</v>
      </c>
      <c r="J2424" s="12">
        <f t="shared" si="86"/>
        <v>349</v>
      </c>
      <c r="K2424" t="str">
        <f t="shared" si="82"/>
        <v>271-360</v>
      </c>
      <c r="L2424" s="11">
        <v>45748</v>
      </c>
      <c r="M2424" s="23">
        <f>YEAR(Таблица1[[#This Row],[Дата отчета]])</f>
        <v>2025</v>
      </c>
      <c r="N2424" s="7" t="s">
        <v>4547</v>
      </c>
    </row>
    <row r="2425" spans="1:14" x14ac:dyDescent="0.25">
      <c r="A2425" t="s">
        <v>12</v>
      </c>
      <c r="B2425" t="s">
        <v>2507</v>
      </c>
      <c r="C2425" t="s">
        <v>2508</v>
      </c>
      <c r="D2425" t="s">
        <v>2509</v>
      </c>
      <c r="E2425" t="s">
        <v>2510</v>
      </c>
      <c r="F2425" s="20">
        <v>54800</v>
      </c>
      <c r="I2425" s="11">
        <f t="shared" si="85"/>
        <v>45572</v>
      </c>
      <c r="J2425" s="12">
        <f t="shared" si="86"/>
        <v>176</v>
      </c>
      <c r="K2425" t="str">
        <f t="shared" si="82"/>
        <v>121-180</v>
      </c>
      <c r="L2425" s="11">
        <v>45748</v>
      </c>
      <c r="M2425" s="23">
        <f>YEAR(Таблица1[[#This Row],[Дата отчета]])</f>
        <v>2025</v>
      </c>
    </row>
    <row r="2426" spans="1:14" x14ac:dyDescent="0.25">
      <c r="A2426" t="s">
        <v>12</v>
      </c>
      <c r="B2426" t="s">
        <v>1313</v>
      </c>
      <c r="C2426" t="s">
        <v>269</v>
      </c>
      <c r="D2426" t="s">
        <v>1910</v>
      </c>
      <c r="E2426" t="s">
        <v>1259</v>
      </c>
      <c r="F2426" s="20">
        <v>400</v>
      </c>
      <c r="I2426" s="11">
        <f t="shared" si="85"/>
        <v>45727</v>
      </c>
      <c r="J2426" s="12">
        <f t="shared" si="86"/>
        <v>21</v>
      </c>
      <c r="K2426" t="str">
        <f t="shared" si="82"/>
        <v>0-30</v>
      </c>
      <c r="L2426" s="11">
        <v>45748</v>
      </c>
      <c r="M2426" s="23">
        <f>YEAR(Таблица1[[#This Row],[Дата отчета]])</f>
        <v>2025</v>
      </c>
    </row>
    <row r="2427" spans="1:14" x14ac:dyDescent="0.25">
      <c r="A2427" t="s">
        <v>12</v>
      </c>
      <c r="B2427" t="s">
        <v>1313</v>
      </c>
      <c r="C2427" t="s">
        <v>269</v>
      </c>
      <c r="D2427" t="s">
        <v>1911</v>
      </c>
      <c r="E2427" t="s">
        <v>968</v>
      </c>
      <c r="F2427" s="20">
        <v>26000</v>
      </c>
      <c r="I2427" s="11">
        <f t="shared" si="85"/>
        <v>45729</v>
      </c>
      <c r="J2427" s="12">
        <f t="shared" si="86"/>
        <v>19</v>
      </c>
      <c r="K2427" t="str">
        <f t="shared" si="82"/>
        <v>0-30</v>
      </c>
      <c r="L2427" s="11">
        <v>45748</v>
      </c>
      <c r="M2427" s="23">
        <f>YEAR(Таблица1[[#This Row],[Дата отчета]])</f>
        <v>2025</v>
      </c>
    </row>
    <row r="2428" spans="1:14" x14ac:dyDescent="0.25">
      <c r="A2428" t="s">
        <v>12</v>
      </c>
      <c r="B2428" t="s">
        <v>1313</v>
      </c>
      <c r="C2428" t="s">
        <v>269</v>
      </c>
      <c r="D2428" t="s">
        <v>1912</v>
      </c>
      <c r="E2428" t="s">
        <v>1765</v>
      </c>
      <c r="F2428" s="20">
        <v>2300</v>
      </c>
      <c r="I2428" s="11">
        <f t="shared" si="85"/>
        <v>45735</v>
      </c>
      <c r="J2428" s="12">
        <f t="shared" si="86"/>
        <v>13</v>
      </c>
      <c r="K2428" t="str">
        <f t="shared" si="82"/>
        <v>0-30</v>
      </c>
      <c r="L2428" s="11">
        <v>45748</v>
      </c>
      <c r="M2428" s="23">
        <f>YEAR(Таблица1[[#This Row],[Дата отчета]])</f>
        <v>2025</v>
      </c>
    </row>
    <row r="2429" spans="1:14" x14ac:dyDescent="0.25">
      <c r="A2429" t="s">
        <v>12</v>
      </c>
      <c r="B2429" t="s">
        <v>186</v>
      </c>
      <c r="C2429" t="s">
        <v>187</v>
      </c>
      <c r="D2429" t="s">
        <v>188</v>
      </c>
      <c r="E2429" t="s">
        <v>189</v>
      </c>
      <c r="F2429" s="20">
        <v>6600</v>
      </c>
      <c r="I2429" s="11">
        <f t="shared" si="85"/>
        <v>45471</v>
      </c>
      <c r="J2429" s="12">
        <f t="shared" si="86"/>
        <v>277</v>
      </c>
      <c r="K2429" t="str">
        <f t="shared" si="82"/>
        <v>271-360</v>
      </c>
      <c r="L2429" s="11">
        <v>45748</v>
      </c>
      <c r="M2429" s="23">
        <f>YEAR(Таблица1[[#This Row],[Дата отчета]])</f>
        <v>2025</v>
      </c>
    </row>
    <row r="2430" spans="1:14" x14ac:dyDescent="0.25">
      <c r="A2430" t="s">
        <v>12</v>
      </c>
      <c r="B2430" t="s">
        <v>186</v>
      </c>
      <c r="C2430" t="s">
        <v>190</v>
      </c>
      <c r="D2430" t="s">
        <v>191</v>
      </c>
      <c r="E2430" t="s">
        <v>192</v>
      </c>
      <c r="F2430" s="20">
        <v>6600</v>
      </c>
      <c r="I2430" s="11">
        <f t="shared" si="85"/>
        <v>45467</v>
      </c>
      <c r="J2430" s="12">
        <f t="shared" si="86"/>
        <v>281</v>
      </c>
      <c r="K2430" t="str">
        <f t="shared" si="82"/>
        <v>271-360</v>
      </c>
      <c r="L2430" s="11">
        <v>45748</v>
      </c>
      <c r="M2430" s="23">
        <f>YEAR(Таблица1[[#This Row],[Дата отчета]])</f>
        <v>2025</v>
      </c>
    </row>
    <row r="2431" spans="1:14" x14ac:dyDescent="0.25">
      <c r="A2431" t="s">
        <v>12</v>
      </c>
      <c r="B2431" t="s">
        <v>186</v>
      </c>
      <c r="C2431" t="s">
        <v>1947</v>
      </c>
      <c r="D2431" t="s">
        <v>1948</v>
      </c>
      <c r="E2431" t="s">
        <v>2447</v>
      </c>
      <c r="F2431" s="20">
        <v>6600</v>
      </c>
      <c r="I2431" s="11">
        <f t="shared" si="85"/>
        <v>45548</v>
      </c>
      <c r="J2431" s="12">
        <f t="shared" si="86"/>
        <v>200</v>
      </c>
      <c r="K2431" t="str">
        <f t="shared" ref="K2431:K2494" si="87">IF(J2431&lt;=30,"0-30",IF(J2431&lt;=90,"31-90",IF(J2431&lt;=120,"91-120",IF(J2431&lt;=180,"121-180",IF(J2431&lt;=270,"181-270",IF(J2431&lt;=360,"271-360","&gt;360"))))))</f>
        <v>181-270</v>
      </c>
      <c r="L2431" s="11">
        <v>45748</v>
      </c>
      <c r="M2431" s="23">
        <f>YEAR(Таблица1[[#This Row],[Дата отчета]])</f>
        <v>2025</v>
      </c>
    </row>
    <row r="2432" spans="1:14" x14ac:dyDescent="0.25">
      <c r="A2432" t="s">
        <v>12</v>
      </c>
      <c r="B2432" t="s">
        <v>186</v>
      </c>
      <c r="C2432" t="s">
        <v>196</v>
      </c>
      <c r="D2432" t="s">
        <v>197</v>
      </c>
      <c r="E2432" t="s">
        <v>198</v>
      </c>
      <c r="F2432" s="20">
        <v>6600</v>
      </c>
      <c r="I2432" s="11">
        <f t="shared" si="85"/>
        <v>45439</v>
      </c>
      <c r="J2432" s="12">
        <f t="shared" si="86"/>
        <v>309</v>
      </c>
      <c r="K2432" t="str">
        <f t="shared" si="87"/>
        <v>271-360</v>
      </c>
      <c r="L2432" s="11">
        <v>45748</v>
      </c>
      <c r="M2432" s="23">
        <f>YEAR(Таблица1[[#This Row],[Дата отчета]])</f>
        <v>2025</v>
      </c>
    </row>
    <row r="2433" spans="1:14" x14ac:dyDescent="0.25">
      <c r="A2433" t="s">
        <v>12</v>
      </c>
      <c r="B2433" t="s">
        <v>186</v>
      </c>
      <c r="C2433" t="s">
        <v>202</v>
      </c>
      <c r="D2433" t="s">
        <v>203</v>
      </c>
      <c r="E2433" t="s">
        <v>204</v>
      </c>
      <c r="F2433" s="20">
        <v>25000</v>
      </c>
      <c r="I2433" s="11">
        <f t="shared" si="85"/>
        <v>45481</v>
      </c>
      <c r="J2433" s="12">
        <f t="shared" si="86"/>
        <v>267</v>
      </c>
      <c r="K2433" t="str">
        <f t="shared" si="87"/>
        <v>181-270</v>
      </c>
      <c r="L2433" s="11">
        <v>45748</v>
      </c>
      <c r="M2433" s="23">
        <f>YEAR(Таблица1[[#This Row],[Дата отчета]])</f>
        <v>2025</v>
      </c>
    </row>
    <row r="2434" spans="1:14" x14ac:dyDescent="0.25">
      <c r="A2434" t="s">
        <v>12</v>
      </c>
      <c r="B2434" t="s">
        <v>1350</v>
      </c>
      <c r="C2434" t="s">
        <v>1351</v>
      </c>
      <c r="D2434" t="s">
        <v>1352</v>
      </c>
      <c r="E2434" t="s">
        <v>1775</v>
      </c>
      <c r="F2434" s="20">
        <v>360000</v>
      </c>
      <c r="I2434" s="11">
        <f t="shared" si="85"/>
        <v>45629</v>
      </c>
      <c r="J2434" s="12">
        <f t="shared" si="86"/>
        <v>119</v>
      </c>
      <c r="K2434" t="str">
        <f t="shared" si="87"/>
        <v>91-120</v>
      </c>
      <c r="L2434" s="11">
        <v>45748</v>
      </c>
      <c r="M2434" s="23">
        <f>YEAR(Таблица1[[#This Row],[Дата отчета]])</f>
        <v>2025</v>
      </c>
    </row>
    <row r="2435" spans="1:14" x14ac:dyDescent="0.25">
      <c r="A2435" t="s">
        <v>12</v>
      </c>
      <c r="B2435" t="s">
        <v>2511</v>
      </c>
      <c r="C2435" t="s">
        <v>2512</v>
      </c>
      <c r="D2435" t="s">
        <v>2513</v>
      </c>
      <c r="E2435" t="s">
        <v>2514</v>
      </c>
      <c r="F2435" s="20">
        <v>40040</v>
      </c>
      <c r="I2435" s="11">
        <f t="shared" si="85"/>
        <v>45666</v>
      </c>
      <c r="J2435" s="12">
        <f t="shared" si="86"/>
        <v>82</v>
      </c>
      <c r="K2435" t="str">
        <f t="shared" si="87"/>
        <v>31-90</v>
      </c>
      <c r="L2435" s="11">
        <v>45748</v>
      </c>
      <c r="M2435" s="23">
        <f>YEAR(Таблица1[[#This Row],[Дата отчета]])</f>
        <v>2025</v>
      </c>
    </row>
    <row r="2436" spans="1:14" x14ac:dyDescent="0.25">
      <c r="A2436" t="s">
        <v>12</v>
      </c>
      <c r="B2436" t="s">
        <v>208</v>
      </c>
      <c r="C2436" t="s">
        <v>2515</v>
      </c>
      <c r="D2436" t="s">
        <v>2516</v>
      </c>
      <c r="E2436" t="s">
        <v>1259</v>
      </c>
      <c r="F2436" s="20">
        <v>297024</v>
      </c>
      <c r="I2436" s="11">
        <f t="shared" si="85"/>
        <v>45727</v>
      </c>
      <c r="J2436" s="12">
        <f t="shared" si="86"/>
        <v>21</v>
      </c>
      <c r="K2436" t="str">
        <f t="shared" si="87"/>
        <v>0-30</v>
      </c>
      <c r="L2436" s="11">
        <v>45748</v>
      </c>
      <c r="M2436" s="23">
        <f>YEAR(Таблица1[[#This Row],[Дата отчета]])</f>
        <v>2025</v>
      </c>
    </row>
    <row r="2437" spans="1:14" x14ac:dyDescent="0.25">
      <c r="A2437" t="s">
        <v>12</v>
      </c>
      <c r="B2437" t="s">
        <v>1221</v>
      </c>
      <c r="C2437" t="s">
        <v>1225</v>
      </c>
      <c r="D2437" t="s">
        <v>2517</v>
      </c>
      <c r="E2437" t="s">
        <v>1768</v>
      </c>
      <c r="F2437" s="20">
        <v>160000</v>
      </c>
      <c r="I2437" s="11">
        <f t="shared" si="85"/>
        <v>45639</v>
      </c>
      <c r="J2437" s="12">
        <f t="shared" si="86"/>
        <v>109</v>
      </c>
      <c r="K2437" t="str">
        <f t="shared" si="87"/>
        <v>91-120</v>
      </c>
      <c r="L2437" s="11">
        <v>45748</v>
      </c>
      <c r="M2437" s="23">
        <f>YEAR(Таблица1[[#This Row],[Дата отчета]])</f>
        <v>2025</v>
      </c>
    </row>
    <row r="2438" spans="1:14" x14ac:dyDescent="0.25">
      <c r="A2438" t="s">
        <v>12</v>
      </c>
      <c r="B2438" t="s">
        <v>248</v>
      </c>
      <c r="C2438" t="s">
        <v>1969</v>
      </c>
      <c r="D2438" t="s">
        <v>1970</v>
      </c>
      <c r="E2438" t="s">
        <v>2448</v>
      </c>
      <c r="F2438" s="20">
        <v>59580</v>
      </c>
      <c r="I2438" s="11">
        <f t="shared" si="85"/>
        <v>45653</v>
      </c>
      <c r="J2438" s="12">
        <f t="shared" si="86"/>
        <v>95</v>
      </c>
      <c r="K2438" t="str">
        <f t="shared" si="87"/>
        <v>91-120</v>
      </c>
      <c r="L2438" s="11">
        <v>45748</v>
      </c>
      <c r="M2438" s="23">
        <f>YEAR(Таблица1[[#This Row],[Дата отчета]])</f>
        <v>2025</v>
      </c>
    </row>
    <row r="2439" spans="1:14" x14ac:dyDescent="0.25">
      <c r="A2439" t="s">
        <v>12</v>
      </c>
      <c r="B2439" t="s">
        <v>248</v>
      </c>
      <c r="C2439" t="s">
        <v>1971</v>
      </c>
      <c r="D2439" t="s">
        <v>1972</v>
      </c>
      <c r="E2439" t="s">
        <v>2449</v>
      </c>
      <c r="F2439" s="20">
        <v>306305.52</v>
      </c>
      <c r="I2439" s="11">
        <f t="shared" si="85"/>
        <v>45672</v>
      </c>
      <c r="J2439" s="12">
        <f t="shared" si="86"/>
        <v>76</v>
      </c>
      <c r="K2439" t="str">
        <f t="shared" si="87"/>
        <v>31-90</v>
      </c>
      <c r="L2439" s="11">
        <v>45748</v>
      </c>
      <c r="M2439" s="23">
        <f>YEAR(Таблица1[[#This Row],[Дата отчета]])</f>
        <v>2025</v>
      </c>
    </row>
    <row r="2440" spans="1:14" x14ac:dyDescent="0.25">
      <c r="A2440" t="s">
        <v>12</v>
      </c>
      <c r="B2440" t="s">
        <v>248</v>
      </c>
      <c r="C2440" t="s">
        <v>1973</v>
      </c>
      <c r="D2440" t="s">
        <v>1974</v>
      </c>
      <c r="E2440" t="s">
        <v>2450</v>
      </c>
      <c r="F2440" s="20">
        <v>2323.89</v>
      </c>
      <c r="I2440" s="11">
        <f t="shared" si="85"/>
        <v>45427</v>
      </c>
      <c r="J2440" s="12">
        <f t="shared" si="86"/>
        <v>321</v>
      </c>
      <c r="K2440" t="str">
        <f t="shared" si="87"/>
        <v>271-360</v>
      </c>
      <c r="L2440" s="11">
        <v>45748</v>
      </c>
      <c r="M2440" s="23">
        <f>YEAR(Таблица1[[#This Row],[Дата отчета]])</f>
        <v>2025</v>
      </c>
    </row>
    <row r="2441" spans="1:14" x14ac:dyDescent="0.25">
      <c r="A2441" t="s">
        <v>12</v>
      </c>
      <c r="B2441" t="s">
        <v>248</v>
      </c>
      <c r="C2441" t="s">
        <v>2518</v>
      </c>
      <c r="D2441" t="s">
        <v>2519</v>
      </c>
      <c r="E2441" t="s">
        <v>2454</v>
      </c>
      <c r="F2441" s="20">
        <v>295440</v>
      </c>
      <c r="I2441" s="11">
        <f t="shared" si="85"/>
        <v>45733</v>
      </c>
      <c r="J2441" s="12">
        <f t="shared" si="86"/>
        <v>15</v>
      </c>
      <c r="K2441" t="str">
        <f t="shared" si="87"/>
        <v>0-30</v>
      </c>
      <c r="L2441" s="11">
        <v>45748</v>
      </c>
      <c r="M2441" s="23">
        <f>YEAR(Таблица1[[#This Row],[Дата отчета]])</f>
        <v>2025</v>
      </c>
    </row>
    <row r="2442" spans="1:14" x14ac:dyDescent="0.25">
      <c r="A2442" t="s">
        <v>12</v>
      </c>
      <c r="B2442" t="s">
        <v>1364</v>
      </c>
      <c r="C2442" t="s">
        <v>775</v>
      </c>
      <c r="D2442" t="s">
        <v>1365</v>
      </c>
      <c r="E2442" t="s">
        <v>1778</v>
      </c>
      <c r="F2442" s="20">
        <v>5433.05</v>
      </c>
      <c r="I2442" s="11">
        <f t="shared" si="85"/>
        <v>44403</v>
      </c>
      <c r="J2442" s="12">
        <f t="shared" si="86"/>
        <v>1345</v>
      </c>
      <c r="K2442" t="str">
        <f t="shared" si="87"/>
        <v>&gt;360</v>
      </c>
      <c r="L2442" s="11">
        <v>45748</v>
      </c>
      <c r="M2442" s="23">
        <f>YEAR(Таблица1[[#This Row],[Дата отчета]])</f>
        <v>2025</v>
      </c>
    </row>
    <row r="2443" spans="1:14" x14ac:dyDescent="0.25">
      <c r="A2443" t="s">
        <v>12</v>
      </c>
      <c r="B2443" t="s">
        <v>271</v>
      </c>
      <c r="C2443" t="s">
        <v>2520</v>
      </c>
      <c r="D2443" t="s">
        <v>2521</v>
      </c>
      <c r="E2443" t="s">
        <v>2522</v>
      </c>
      <c r="F2443" s="20">
        <v>1781406.54</v>
      </c>
      <c r="I2443" s="11">
        <f t="shared" si="85"/>
        <v>45720</v>
      </c>
      <c r="J2443" s="12">
        <f t="shared" si="86"/>
        <v>28</v>
      </c>
      <c r="K2443" t="str">
        <f t="shared" si="87"/>
        <v>0-30</v>
      </c>
      <c r="L2443" s="11">
        <v>45748</v>
      </c>
      <c r="M2443" s="23">
        <f>YEAR(Таблица1[[#This Row],[Дата отчета]])</f>
        <v>2025</v>
      </c>
    </row>
    <row r="2444" spans="1:14" x14ac:dyDescent="0.25">
      <c r="A2444" t="s">
        <v>12</v>
      </c>
      <c r="B2444" t="s">
        <v>271</v>
      </c>
      <c r="C2444" t="s">
        <v>2523</v>
      </c>
      <c r="D2444" t="s">
        <v>2524</v>
      </c>
      <c r="E2444" t="s">
        <v>1812</v>
      </c>
      <c r="F2444" s="20">
        <v>1242695</v>
      </c>
      <c r="I2444" s="11">
        <f t="shared" si="85"/>
        <v>45744</v>
      </c>
      <c r="J2444" s="12">
        <f t="shared" si="86"/>
        <v>4</v>
      </c>
      <c r="K2444" t="str">
        <f t="shared" si="87"/>
        <v>0-30</v>
      </c>
      <c r="L2444" s="11">
        <v>45748</v>
      </c>
      <c r="M2444" s="23">
        <f>YEAR(Таблица1[[#This Row],[Дата отчета]])</f>
        <v>2025</v>
      </c>
    </row>
    <row r="2445" spans="1:14" x14ac:dyDescent="0.25">
      <c r="A2445" t="s">
        <v>12</v>
      </c>
      <c r="B2445" t="s">
        <v>271</v>
      </c>
      <c r="C2445" t="s">
        <v>282</v>
      </c>
      <c r="D2445" t="s">
        <v>283</v>
      </c>
      <c r="E2445" t="s">
        <v>284</v>
      </c>
      <c r="F2445" s="20">
        <v>600</v>
      </c>
      <c r="I2445" s="11">
        <f t="shared" si="85"/>
        <v>45398</v>
      </c>
      <c r="J2445" s="12">
        <f t="shared" si="86"/>
        <v>350</v>
      </c>
      <c r="K2445" t="str">
        <f t="shared" si="87"/>
        <v>271-360</v>
      </c>
      <c r="L2445" s="11">
        <v>45748</v>
      </c>
      <c r="M2445" s="23">
        <f>YEAR(Таблица1[[#This Row],[Дата отчета]])</f>
        <v>2025</v>
      </c>
    </row>
    <row r="2446" spans="1:14" x14ac:dyDescent="0.25">
      <c r="A2446" t="s">
        <v>12</v>
      </c>
      <c r="B2446" t="s">
        <v>271</v>
      </c>
      <c r="C2446" t="s">
        <v>287</v>
      </c>
      <c r="D2446" t="s">
        <v>288</v>
      </c>
      <c r="E2446" t="s">
        <v>289</v>
      </c>
      <c r="F2446" s="20">
        <v>29963</v>
      </c>
      <c r="I2446" s="11">
        <f t="shared" si="85"/>
        <v>45716</v>
      </c>
      <c r="J2446" s="12">
        <f t="shared" si="86"/>
        <v>32</v>
      </c>
      <c r="K2446" t="str">
        <f t="shared" si="87"/>
        <v>31-90</v>
      </c>
      <c r="L2446" s="11">
        <v>45748</v>
      </c>
      <c r="M2446" s="23">
        <f>YEAR(Таблица1[[#This Row],[Дата отчета]])</f>
        <v>2025</v>
      </c>
      <c r="N2446" s="2" t="s">
        <v>4538</v>
      </c>
    </row>
    <row r="2447" spans="1:14" x14ac:dyDescent="0.25">
      <c r="A2447" t="s">
        <v>12</v>
      </c>
      <c r="B2447" t="s">
        <v>2525</v>
      </c>
      <c r="C2447" t="s">
        <v>2526</v>
      </c>
      <c r="D2447" t="s">
        <v>2527</v>
      </c>
      <c r="E2447" t="s">
        <v>2528</v>
      </c>
      <c r="F2447" s="20">
        <v>1721000</v>
      </c>
      <c r="I2447" s="11">
        <f t="shared" si="85"/>
        <v>45719</v>
      </c>
      <c r="J2447" s="12">
        <f t="shared" si="86"/>
        <v>29</v>
      </c>
      <c r="K2447" t="str">
        <f t="shared" si="87"/>
        <v>0-30</v>
      </c>
      <c r="L2447" s="11">
        <v>45748</v>
      </c>
      <c r="M2447" s="23">
        <f>YEAR(Таблица1[[#This Row],[Дата отчета]])</f>
        <v>2025</v>
      </c>
    </row>
    <row r="2448" spans="1:14" x14ac:dyDescent="0.25">
      <c r="A2448" t="s">
        <v>12</v>
      </c>
      <c r="B2448" t="s">
        <v>297</v>
      </c>
      <c r="C2448" t="s">
        <v>298</v>
      </c>
      <c r="D2448" t="s">
        <v>299</v>
      </c>
      <c r="E2448" t="s">
        <v>300</v>
      </c>
      <c r="F2448" s="20">
        <v>3959</v>
      </c>
      <c r="I2448" s="11">
        <f t="shared" si="85"/>
        <v>45449</v>
      </c>
      <c r="J2448" s="12">
        <f t="shared" si="86"/>
        <v>299</v>
      </c>
      <c r="K2448" t="str">
        <f t="shared" si="87"/>
        <v>271-360</v>
      </c>
      <c r="L2448" s="11">
        <v>45748</v>
      </c>
      <c r="M2448" s="23">
        <f>YEAR(Таблица1[[#This Row],[Дата отчета]])</f>
        <v>2025</v>
      </c>
      <c r="N2448" s="7" t="s">
        <v>4547</v>
      </c>
    </row>
    <row r="2449" spans="1:13" x14ac:dyDescent="0.25">
      <c r="A2449" t="s">
        <v>12</v>
      </c>
      <c r="B2449" t="s">
        <v>297</v>
      </c>
      <c r="C2449" t="s">
        <v>2529</v>
      </c>
      <c r="D2449" t="s">
        <v>2530</v>
      </c>
      <c r="E2449" t="s">
        <v>1765</v>
      </c>
      <c r="F2449" s="20">
        <v>13169</v>
      </c>
      <c r="I2449" s="11">
        <f t="shared" si="85"/>
        <v>45735</v>
      </c>
      <c r="J2449" s="12">
        <f t="shared" si="86"/>
        <v>13</v>
      </c>
      <c r="K2449" t="str">
        <f t="shared" si="87"/>
        <v>0-30</v>
      </c>
      <c r="L2449" s="11">
        <v>45748</v>
      </c>
      <c r="M2449" s="23">
        <f>YEAR(Таблица1[[#This Row],[Дата отчета]])</f>
        <v>2025</v>
      </c>
    </row>
    <row r="2450" spans="1:13" x14ac:dyDescent="0.25">
      <c r="A2450" t="s">
        <v>12</v>
      </c>
      <c r="B2450" t="s">
        <v>297</v>
      </c>
      <c r="C2450" t="s">
        <v>2531</v>
      </c>
      <c r="D2450" t="s">
        <v>2532</v>
      </c>
      <c r="E2450" t="s">
        <v>1812</v>
      </c>
      <c r="F2450" s="20">
        <v>27831</v>
      </c>
      <c r="I2450" s="11">
        <f t="shared" si="85"/>
        <v>45744</v>
      </c>
      <c r="J2450" s="12">
        <f t="shared" si="86"/>
        <v>4</v>
      </c>
      <c r="K2450" t="str">
        <f t="shared" si="87"/>
        <v>0-30</v>
      </c>
      <c r="L2450" s="11">
        <v>45748</v>
      </c>
      <c r="M2450" s="23">
        <f>YEAR(Таблица1[[#This Row],[Дата отчета]])</f>
        <v>2025</v>
      </c>
    </row>
    <row r="2451" spans="1:13" x14ac:dyDescent="0.25">
      <c r="A2451" t="s">
        <v>12</v>
      </c>
      <c r="B2451" t="s">
        <v>297</v>
      </c>
      <c r="C2451" t="s">
        <v>2533</v>
      </c>
      <c r="D2451" t="s">
        <v>2534</v>
      </c>
      <c r="E2451" t="s">
        <v>2535</v>
      </c>
      <c r="F2451" s="20">
        <v>23945</v>
      </c>
      <c r="I2451" s="11">
        <f t="shared" si="85"/>
        <v>45670</v>
      </c>
      <c r="J2451" s="12">
        <f t="shared" si="86"/>
        <v>78</v>
      </c>
      <c r="K2451" t="str">
        <f t="shared" si="87"/>
        <v>31-90</v>
      </c>
      <c r="L2451" s="11">
        <v>45748</v>
      </c>
      <c r="M2451" s="23">
        <f>YEAR(Таблица1[[#This Row],[Дата отчета]])</f>
        <v>2025</v>
      </c>
    </row>
    <row r="2452" spans="1:13" x14ac:dyDescent="0.25">
      <c r="A2452" t="s">
        <v>12</v>
      </c>
      <c r="B2452" t="s">
        <v>297</v>
      </c>
      <c r="C2452" t="s">
        <v>2536</v>
      </c>
      <c r="D2452" t="s">
        <v>2537</v>
      </c>
      <c r="E2452" t="s">
        <v>2538</v>
      </c>
      <c r="F2452" s="20">
        <v>7956</v>
      </c>
      <c r="I2452" s="11">
        <f t="shared" si="85"/>
        <v>45743</v>
      </c>
      <c r="J2452" s="12">
        <f t="shared" si="86"/>
        <v>5</v>
      </c>
      <c r="K2452" t="str">
        <f t="shared" si="87"/>
        <v>0-30</v>
      </c>
      <c r="L2452" s="11">
        <v>45748</v>
      </c>
      <c r="M2452" s="23">
        <f>YEAR(Таблица1[[#This Row],[Дата отчета]])</f>
        <v>2025</v>
      </c>
    </row>
    <row r="2453" spans="1:13" x14ac:dyDescent="0.25">
      <c r="A2453" t="s">
        <v>12</v>
      </c>
      <c r="B2453" t="s">
        <v>297</v>
      </c>
      <c r="C2453" t="s">
        <v>2539</v>
      </c>
      <c r="D2453" t="s">
        <v>2540</v>
      </c>
      <c r="E2453" t="s">
        <v>1812</v>
      </c>
      <c r="F2453" s="20">
        <v>6608</v>
      </c>
      <c r="I2453" s="11">
        <f t="shared" si="85"/>
        <v>45744</v>
      </c>
      <c r="J2453" s="12">
        <f t="shared" si="86"/>
        <v>4</v>
      </c>
      <c r="K2453" t="str">
        <f t="shared" si="87"/>
        <v>0-30</v>
      </c>
      <c r="L2453" s="11">
        <v>45748</v>
      </c>
      <c r="M2453" s="23">
        <f>YEAR(Таблица1[[#This Row],[Дата отчета]])</f>
        <v>2025</v>
      </c>
    </row>
    <row r="2454" spans="1:13" x14ac:dyDescent="0.25">
      <c r="A2454" t="s">
        <v>12</v>
      </c>
      <c r="B2454" t="s">
        <v>297</v>
      </c>
      <c r="C2454" t="s">
        <v>2541</v>
      </c>
      <c r="D2454" t="s">
        <v>2542</v>
      </c>
      <c r="E2454" t="s">
        <v>994</v>
      </c>
      <c r="F2454" s="20">
        <v>10327</v>
      </c>
      <c r="I2454" s="11">
        <f t="shared" ref="I2454:I2517" si="88">E2454*1</f>
        <v>45741</v>
      </c>
      <c r="J2454" s="12">
        <f t="shared" ref="J2454:J2517" si="89">L2454-I2454</f>
        <v>7</v>
      </c>
      <c r="K2454" t="str">
        <f t="shared" si="87"/>
        <v>0-30</v>
      </c>
      <c r="L2454" s="11">
        <v>45748</v>
      </c>
      <c r="M2454" s="23">
        <f>YEAR(Таблица1[[#This Row],[Дата отчета]])</f>
        <v>2025</v>
      </c>
    </row>
    <row r="2455" spans="1:13" x14ac:dyDescent="0.25">
      <c r="A2455" t="s">
        <v>12</v>
      </c>
      <c r="B2455" t="s">
        <v>297</v>
      </c>
      <c r="C2455" t="s">
        <v>2543</v>
      </c>
      <c r="D2455" t="s">
        <v>2544</v>
      </c>
      <c r="E2455" t="s">
        <v>1113</v>
      </c>
      <c r="F2455" s="20">
        <v>47595</v>
      </c>
      <c r="I2455" s="11">
        <f t="shared" si="88"/>
        <v>45737</v>
      </c>
      <c r="J2455" s="12">
        <f t="shared" si="89"/>
        <v>11</v>
      </c>
      <c r="K2455" t="str">
        <f t="shared" si="87"/>
        <v>0-30</v>
      </c>
      <c r="L2455" s="11">
        <v>45748</v>
      </c>
      <c r="M2455" s="23">
        <f>YEAR(Таблица1[[#This Row],[Дата отчета]])</f>
        <v>2025</v>
      </c>
    </row>
    <row r="2456" spans="1:13" x14ac:dyDescent="0.25">
      <c r="A2456" t="s">
        <v>12</v>
      </c>
      <c r="B2456" t="s">
        <v>297</v>
      </c>
      <c r="C2456" t="s">
        <v>2545</v>
      </c>
      <c r="D2456" t="s">
        <v>2546</v>
      </c>
      <c r="E2456" t="s">
        <v>987</v>
      </c>
      <c r="F2456" s="20">
        <v>82472</v>
      </c>
      <c r="I2456" s="11">
        <f t="shared" si="88"/>
        <v>45747</v>
      </c>
      <c r="J2456" s="12">
        <f t="shared" si="89"/>
        <v>1</v>
      </c>
      <c r="K2456" t="str">
        <f t="shared" si="87"/>
        <v>0-30</v>
      </c>
      <c r="L2456" s="11">
        <v>45748</v>
      </c>
      <c r="M2456" s="23">
        <f>YEAR(Таблица1[[#This Row],[Дата отчета]])</f>
        <v>2025</v>
      </c>
    </row>
    <row r="2457" spans="1:13" x14ac:dyDescent="0.25">
      <c r="A2457" t="s">
        <v>12</v>
      </c>
      <c r="B2457" t="s">
        <v>2058</v>
      </c>
      <c r="C2457" t="s">
        <v>2059</v>
      </c>
      <c r="D2457" t="s">
        <v>2060</v>
      </c>
      <c r="E2457" t="s">
        <v>1812</v>
      </c>
      <c r="F2457" s="20">
        <v>460000</v>
      </c>
      <c r="I2457" s="11">
        <f t="shared" si="88"/>
        <v>45744</v>
      </c>
      <c r="J2457" s="12">
        <f t="shared" si="89"/>
        <v>4</v>
      </c>
      <c r="K2457" t="str">
        <f t="shared" si="87"/>
        <v>0-30</v>
      </c>
      <c r="L2457" s="11">
        <v>45748</v>
      </c>
      <c r="M2457" s="23">
        <f>YEAR(Таблица1[[#This Row],[Дата отчета]])</f>
        <v>2025</v>
      </c>
    </row>
    <row r="2458" spans="1:13" x14ac:dyDescent="0.25">
      <c r="A2458" t="s">
        <v>12</v>
      </c>
      <c r="B2458" t="s">
        <v>383</v>
      </c>
      <c r="C2458" t="s">
        <v>2547</v>
      </c>
      <c r="D2458" t="s">
        <v>2548</v>
      </c>
      <c r="E2458" t="s">
        <v>1812</v>
      </c>
      <c r="F2458" s="20">
        <v>44289</v>
      </c>
      <c r="I2458" s="11">
        <f t="shared" si="88"/>
        <v>45744</v>
      </c>
      <c r="J2458" s="12">
        <f t="shared" si="89"/>
        <v>4</v>
      </c>
      <c r="K2458" t="str">
        <f t="shared" si="87"/>
        <v>0-30</v>
      </c>
      <c r="L2458" s="11">
        <v>45748</v>
      </c>
      <c r="M2458" s="23">
        <f>YEAR(Таблица1[[#This Row],[Дата отчета]])</f>
        <v>2025</v>
      </c>
    </row>
    <row r="2459" spans="1:13" x14ac:dyDescent="0.25">
      <c r="A2459" t="s">
        <v>12</v>
      </c>
      <c r="B2459" t="s">
        <v>383</v>
      </c>
      <c r="C2459" t="s">
        <v>2549</v>
      </c>
      <c r="D2459" t="s">
        <v>2550</v>
      </c>
      <c r="E2459" t="s">
        <v>1787</v>
      </c>
      <c r="F2459" s="20">
        <v>111647</v>
      </c>
      <c r="I2459" s="11">
        <f t="shared" si="88"/>
        <v>45742</v>
      </c>
      <c r="J2459" s="12">
        <f t="shared" si="89"/>
        <v>6</v>
      </c>
      <c r="K2459" t="str">
        <f t="shared" si="87"/>
        <v>0-30</v>
      </c>
      <c r="L2459" s="11">
        <v>45748</v>
      </c>
      <c r="M2459" s="23">
        <f>YEAR(Таблица1[[#This Row],[Дата отчета]])</f>
        <v>2025</v>
      </c>
    </row>
    <row r="2460" spans="1:13" x14ac:dyDescent="0.25">
      <c r="A2460" t="s">
        <v>12</v>
      </c>
      <c r="B2460" t="s">
        <v>2551</v>
      </c>
      <c r="C2460" t="s">
        <v>2552</v>
      </c>
      <c r="D2460" t="s">
        <v>2553</v>
      </c>
      <c r="E2460" t="s">
        <v>1765</v>
      </c>
      <c r="F2460" s="20">
        <v>244795</v>
      </c>
      <c r="I2460" s="11">
        <f t="shared" si="88"/>
        <v>45735</v>
      </c>
      <c r="J2460" s="12">
        <f t="shared" si="89"/>
        <v>13</v>
      </c>
      <c r="K2460" t="str">
        <f t="shared" si="87"/>
        <v>0-30</v>
      </c>
      <c r="L2460" s="11">
        <v>45748</v>
      </c>
      <c r="M2460" s="23">
        <f>YEAR(Таблица1[[#This Row],[Дата отчета]])</f>
        <v>2025</v>
      </c>
    </row>
    <row r="2461" spans="1:13" x14ac:dyDescent="0.25">
      <c r="A2461" t="s">
        <v>12</v>
      </c>
      <c r="B2461" t="s">
        <v>2554</v>
      </c>
      <c r="C2461" t="s">
        <v>2555</v>
      </c>
      <c r="D2461" t="s">
        <v>2556</v>
      </c>
      <c r="E2461" t="s">
        <v>2522</v>
      </c>
      <c r="F2461" s="20">
        <v>558700</v>
      </c>
      <c r="I2461" s="11">
        <f t="shared" si="88"/>
        <v>45720</v>
      </c>
      <c r="J2461" s="12">
        <f t="shared" si="89"/>
        <v>28</v>
      </c>
      <c r="K2461" t="str">
        <f t="shared" si="87"/>
        <v>0-30</v>
      </c>
      <c r="L2461" s="11">
        <v>45748</v>
      </c>
      <c r="M2461" s="23">
        <f>YEAR(Таблица1[[#This Row],[Дата отчета]])</f>
        <v>2025</v>
      </c>
    </row>
    <row r="2462" spans="1:13" x14ac:dyDescent="0.25">
      <c r="A2462" t="s">
        <v>12</v>
      </c>
      <c r="B2462" t="s">
        <v>389</v>
      </c>
      <c r="C2462" t="s">
        <v>2557</v>
      </c>
      <c r="D2462" t="s">
        <v>2558</v>
      </c>
      <c r="E2462" t="s">
        <v>2559</v>
      </c>
      <c r="F2462" s="20">
        <v>38732</v>
      </c>
      <c r="I2462" s="11">
        <f t="shared" si="88"/>
        <v>45632</v>
      </c>
      <c r="J2462" s="12">
        <f t="shared" si="89"/>
        <v>116</v>
      </c>
      <c r="K2462" t="str">
        <f t="shared" si="87"/>
        <v>91-120</v>
      </c>
      <c r="L2462" s="11">
        <v>45748</v>
      </c>
      <c r="M2462" s="23">
        <f>YEAR(Таблица1[[#This Row],[Дата отчета]])</f>
        <v>2025</v>
      </c>
    </row>
    <row r="2463" spans="1:13" x14ac:dyDescent="0.25">
      <c r="A2463" t="s">
        <v>12</v>
      </c>
      <c r="B2463" t="s">
        <v>389</v>
      </c>
      <c r="C2463" t="s">
        <v>2560</v>
      </c>
      <c r="D2463" t="s">
        <v>2561</v>
      </c>
      <c r="E2463" t="s">
        <v>2467</v>
      </c>
      <c r="F2463" s="20">
        <v>92047</v>
      </c>
      <c r="I2463" s="11">
        <f t="shared" si="88"/>
        <v>45642</v>
      </c>
      <c r="J2463" s="12">
        <f t="shared" si="89"/>
        <v>106</v>
      </c>
      <c r="K2463" t="str">
        <f t="shared" si="87"/>
        <v>91-120</v>
      </c>
      <c r="L2463" s="11">
        <v>45748</v>
      </c>
      <c r="M2463" s="23">
        <f>YEAR(Таблица1[[#This Row],[Дата отчета]])</f>
        <v>2025</v>
      </c>
    </row>
    <row r="2464" spans="1:13" x14ac:dyDescent="0.25">
      <c r="A2464" t="s">
        <v>12</v>
      </c>
      <c r="B2464" t="s">
        <v>389</v>
      </c>
      <c r="C2464" t="s">
        <v>2560</v>
      </c>
      <c r="D2464" t="s">
        <v>2562</v>
      </c>
      <c r="E2464" t="s">
        <v>1771</v>
      </c>
      <c r="F2464" s="20">
        <v>400</v>
      </c>
      <c r="I2464" s="11">
        <f t="shared" si="88"/>
        <v>45687</v>
      </c>
      <c r="J2464" s="12">
        <f t="shared" si="89"/>
        <v>61</v>
      </c>
      <c r="K2464" t="str">
        <f t="shared" si="87"/>
        <v>31-90</v>
      </c>
      <c r="L2464" s="11">
        <v>45748</v>
      </c>
      <c r="M2464" s="23">
        <f>YEAR(Таблица1[[#This Row],[Дата отчета]])</f>
        <v>2025</v>
      </c>
    </row>
    <row r="2465" spans="1:14" x14ac:dyDescent="0.25">
      <c r="A2465" t="s">
        <v>12</v>
      </c>
      <c r="B2465" t="s">
        <v>389</v>
      </c>
      <c r="C2465" t="s">
        <v>2563</v>
      </c>
      <c r="D2465" t="s">
        <v>2564</v>
      </c>
      <c r="E2465" t="s">
        <v>2468</v>
      </c>
      <c r="F2465" s="20">
        <v>6602</v>
      </c>
      <c r="I2465" s="11">
        <f t="shared" si="88"/>
        <v>45679</v>
      </c>
      <c r="J2465" s="12">
        <f t="shared" si="89"/>
        <v>69</v>
      </c>
      <c r="K2465" t="str">
        <f t="shared" si="87"/>
        <v>31-90</v>
      </c>
      <c r="L2465" s="11">
        <v>45748</v>
      </c>
      <c r="M2465" s="23">
        <f>YEAR(Таблица1[[#This Row],[Дата отчета]])</f>
        <v>2025</v>
      </c>
    </row>
    <row r="2466" spans="1:14" x14ac:dyDescent="0.25">
      <c r="A2466" t="s">
        <v>12</v>
      </c>
      <c r="B2466" t="s">
        <v>389</v>
      </c>
      <c r="C2466" t="s">
        <v>2565</v>
      </c>
      <c r="D2466" t="s">
        <v>2566</v>
      </c>
      <c r="E2466" t="s">
        <v>2448</v>
      </c>
      <c r="F2466" s="20">
        <v>4563</v>
      </c>
      <c r="I2466" s="11">
        <f t="shared" si="88"/>
        <v>45653</v>
      </c>
      <c r="J2466" s="12">
        <f t="shared" si="89"/>
        <v>95</v>
      </c>
      <c r="K2466" t="str">
        <f t="shared" si="87"/>
        <v>91-120</v>
      </c>
      <c r="L2466" s="11">
        <v>45748</v>
      </c>
      <c r="M2466" s="23">
        <f>YEAR(Таблица1[[#This Row],[Дата отчета]])</f>
        <v>2025</v>
      </c>
    </row>
    <row r="2467" spans="1:14" x14ac:dyDescent="0.25">
      <c r="A2467" t="s">
        <v>12</v>
      </c>
      <c r="B2467" t="s">
        <v>389</v>
      </c>
      <c r="C2467" t="s">
        <v>2567</v>
      </c>
      <c r="D2467" t="s">
        <v>2568</v>
      </c>
      <c r="E2467" t="s">
        <v>2468</v>
      </c>
      <c r="F2467" s="20">
        <v>800</v>
      </c>
      <c r="I2467" s="11">
        <f t="shared" si="88"/>
        <v>45679</v>
      </c>
      <c r="J2467" s="12">
        <f t="shared" si="89"/>
        <v>69</v>
      </c>
      <c r="K2467" t="str">
        <f t="shared" si="87"/>
        <v>31-90</v>
      </c>
      <c r="L2467" s="11">
        <v>45748</v>
      </c>
      <c r="M2467" s="23">
        <f>YEAR(Таблица1[[#This Row],[Дата отчета]])</f>
        <v>2025</v>
      </c>
    </row>
    <row r="2468" spans="1:14" x14ac:dyDescent="0.25">
      <c r="A2468" t="s">
        <v>12</v>
      </c>
      <c r="B2468" t="s">
        <v>389</v>
      </c>
      <c r="C2468" t="s">
        <v>2569</v>
      </c>
      <c r="D2468" t="s">
        <v>2570</v>
      </c>
      <c r="E2468" t="s">
        <v>2559</v>
      </c>
      <c r="F2468" s="20">
        <v>5740</v>
      </c>
      <c r="I2468" s="11">
        <f t="shared" si="88"/>
        <v>45632</v>
      </c>
      <c r="J2468" s="12">
        <f t="shared" si="89"/>
        <v>116</v>
      </c>
      <c r="K2468" t="str">
        <f t="shared" si="87"/>
        <v>91-120</v>
      </c>
      <c r="L2468" s="11">
        <v>45748</v>
      </c>
      <c r="M2468" s="23">
        <f>YEAR(Таблица1[[#This Row],[Дата отчета]])</f>
        <v>2025</v>
      </c>
    </row>
    <row r="2469" spans="1:14" x14ac:dyDescent="0.25">
      <c r="A2469" t="s">
        <v>12</v>
      </c>
      <c r="B2469" t="s">
        <v>389</v>
      </c>
      <c r="C2469" t="s">
        <v>2571</v>
      </c>
      <c r="D2469" t="s">
        <v>2572</v>
      </c>
      <c r="E2469" t="s">
        <v>2467</v>
      </c>
      <c r="F2469" s="20">
        <v>2600</v>
      </c>
      <c r="I2469" s="11">
        <f t="shared" si="88"/>
        <v>45642</v>
      </c>
      <c r="J2469" s="12">
        <f t="shared" si="89"/>
        <v>106</v>
      </c>
      <c r="K2469" t="str">
        <f t="shared" si="87"/>
        <v>91-120</v>
      </c>
      <c r="L2469" s="11">
        <v>45748</v>
      </c>
      <c r="M2469" s="23">
        <f>YEAR(Таблица1[[#This Row],[Дата отчета]])</f>
        <v>2025</v>
      </c>
    </row>
    <row r="2470" spans="1:14" x14ac:dyDescent="0.25">
      <c r="A2470" t="s">
        <v>12</v>
      </c>
      <c r="B2470" t="s">
        <v>399</v>
      </c>
      <c r="C2470" t="s">
        <v>2573</v>
      </c>
      <c r="D2470" t="s">
        <v>2574</v>
      </c>
      <c r="E2470" t="s">
        <v>1259</v>
      </c>
      <c r="F2470" s="20">
        <v>782541.58</v>
      </c>
      <c r="I2470" s="11">
        <f t="shared" si="88"/>
        <v>45727</v>
      </c>
      <c r="J2470" s="12">
        <f t="shared" si="89"/>
        <v>21</v>
      </c>
      <c r="K2470" t="str">
        <f t="shared" si="87"/>
        <v>0-30</v>
      </c>
      <c r="L2470" s="11">
        <v>45748</v>
      </c>
      <c r="M2470" s="23">
        <f>YEAR(Таблица1[[#This Row],[Дата отчета]])</f>
        <v>2025</v>
      </c>
    </row>
    <row r="2471" spans="1:14" x14ac:dyDescent="0.25">
      <c r="A2471" t="s">
        <v>12</v>
      </c>
      <c r="B2471" t="s">
        <v>399</v>
      </c>
      <c r="C2471" t="s">
        <v>2573</v>
      </c>
      <c r="D2471" t="s">
        <v>2575</v>
      </c>
      <c r="E2471" t="s">
        <v>2576</v>
      </c>
      <c r="F2471" s="20">
        <v>782541.58</v>
      </c>
      <c r="I2471" s="11">
        <f t="shared" si="88"/>
        <v>45740</v>
      </c>
      <c r="J2471" s="12">
        <f t="shared" si="89"/>
        <v>8</v>
      </c>
      <c r="K2471" t="str">
        <f t="shared" si="87"/>
        <v>0-30</v>
      </c>
      <c r="L2471" s="11">
        <v>45748</v>
      </c>
      <c r="M2471" s="23">
        <f>YEAR(Таблица1[[#This Row],[Дата отчета]])</f>
        <v>2025</v>
      </c>
    </row>
    <row r="2472" spans="1:14" x14ac:dyDescent="0.25">
      <c r="A2472" t="s">
        <v>12</v>
      </c>
      <c r="B2472" t="s">
        <v>1427</v>
      </c>
      <c r="C2472" t="s">
        <v>269</v>
      </c>
      <c r="D2472" t="s">
        <v>1910</v>
      </c>
      <c r="E2472" t="s">
        <v>1259</v>
      </c>
      <c r="F2472" s="20">
        <v>5399</v>
      </c>
      <c r="I2472" s="11">
        <f t="shared" si="88"/>
        <v>45727</v>
      </c>
      <c r="J2472" s="12">
        <f t="shared" si="89"/>
        <v>21</v>
      </c>
      <c r="K2472" t="str">
        <f t="shared" si="87"/>
        <v>0-30</v>
      </c>
      <c r="L2472" s="11">
        <v>45748</v>
      </c>
      <c r="M2472" s="23">
        <f>YEAR(Таблица1[[#This Row],[Дата отчета]])</f>
        <v>2025</v>
      </c>
    </row>
    <row r="2473" spans="1:14" x14ac:dyDescent="0.25">
      <c r="A2473" t="s">
        <v>12</v>
      </c>
      <c r="B2473" t="s">
        <v>1427</v>
      </c>
      <c r="C2473" t="s">
        <v>269</v>
      </c>
      <c r="D2473" t="s">
        <v>2078</v>
      </c>
      <c r="E2473" t="s">
        <v>1023</v>
      </c>
      <c r="F2473" s="20">
        <v>26445</v>
      </c>
      <c r="I2473" s="11">
        <f t="shared" si="88"/>
        <v>45728</v>
      </c>
      <c r="J2473" s="12">
        <f t="shared" si="89"/>
        <v>20</v>
      </c>
      <c r="K2473" t="str">
        <f t="shared" si="87"/>
        <v>0-30</v>
      </c>
      <c r="L2473" s="11">
        <v>45748</v>
      </c>
      <c r="M2473" s="23">
        <f>YEAR(Таблица1[[#This Row],[Дата отчета]])</f>
        <v>2025</v>
      </c>
    </row>
    <row r="2474" spans="1:14" x14ac:dyDescent="0.25">
      <c r="A2474" t="s">
        <v>12</v>
      </c>
      <c r="B2474" t="s">
        <v>1427</v>
      </c>
      <c r="C2474" t="s">
        <v>269</v>
      </c>
      <c r="D2474" t="s">
        <v>1912</v>
      </c>
      <c r="E2474" t="s">
        <v>1765</v>
      </c>
      <c r="F2474" s="20">
        <v>2084</v>
      </c>
      <c r="I2474" s="11">
        <f t="shared" si="88"/>
        <v>45735</v>
      </c>
      <c r="J2474" s="12">
        <f t="shared" si="89"/>
        <v>13</v>
      </c>
      <c r="K2474" t="str">
        <f t="shared" si="87"/>
        <v>0-30</v>
      </c>
      <c r="L2474" s="11">
        <v>45748</v>
      </c>
      <c r="M2474" s="23">
        <f>YEAR(Таблица1[[#This Row],[Дата отчета]])</f>
        <v>2025</v>
      </c>
    </row>
    <row r="2475" spans="1:14" x14ac:dyDescent="0.25">
      <c r="A2475" t="s">
        <v>12</v>
      </c>
      <c r="B2475" t="s">
        <v>2080</v>
      </c>
      <c r="C2475" t="s">
        <v>2577</v>
      </c>
      <c r="D2475" t="s">
        <v>2578</v>
      </c>
      <c r="E2475" t="s">
        <v>1765</v>
      </c>
      <c r="F2475" s="20">
        <v>1221000</v>
      </c>
      <c r="I2475" s="11">
        <f t="shared" si="88"/>
        <v>45735</v>
      </c>
      <c r="J2475" s="12">
        <f t="shared" si="89"/>
        <v>13</v>
      </c>
      <c r="K2475" t="str">
        <f t="shared" si="87"/>
        <v>0-30</v>
      </c>
      <c r="L2475" s="11">
        <v>45748</v>
      </c>
      <c r="M2475" s="23">
        <f>YEAR(Таблица1[[#This Row],[Дата отчета]])</f>
        <v>2025</v>
      </c>
    </row>
    <row r="2476" spans="1:14" x14ac:dyDescent="0.25">
      <c r="A2476" t="s">
        <v>12</v>
      </c>
      <c r="B2476" t="s">
        <v>1428</v>
      </c>
      <c r="C2476" t="s">
        <v>1429</v>
      </c>
      <c r="D2476" t="s">
        <v>1430</v>
      </c>
      <c r="E2476" t="s">
        <v>1782</v>
      </c>
      <c r="F2476" s="20">
        <v>1000</v>
      </c>
      <c r="I2476" s="11">
        <f t="shared" si="88"/>
        <v>45450</v>
      </c>
      <c r="J2476" s="12">
        <f t="shared" si="89"/>
        <v>298</v>
      </c>
      <c r="K2476" t="str">
        <f t="shared" si="87"/>
        <v>271-360</v>
      </c>
      <c r="L2476" s="11">
        <v>45748</v>
      </c>
      <c r="M2476" s="23">
        <f>YEAR(Таблица1[[#This Row],[Дата отчета]])</f>
        <v>2025</v>
      </c>
    </row>
    <row r="2477" spans="1:14" x14ac:dyDescent="0.25">
      <c r="A2477" t="s">
        <v>12</v>
      </c>
      <c r="B2477" t="s">
        <v>1434</v>
      </c>
      <c r="C2477" t="s">
        <v>1435</v>
      </c>
      <c r="D2477" t="s">
        <v>1436</v>
      </c>
      <c r="E2477" t="s">
        <v>1784</v>
      </c>
      <c r="F2477" s="20">
        <v>4583.33</v>
      </c>
      <c r="I2477" s="11">
        <f t="shared" si="88"/>
        <v>44600</v>
      </c>
      <c r="J2477" s="12">
        <f t="shared" si="89"/>
        <v>1148</v>
      </c>
      <c r="K2477" t="str">
        <f t="shared" si="87"/>
        <v>&gt;360</v>
      </c>
      <c r="L2477" s="11">
        <v>45748</v>
      </c>
      <c r="M2477" s="23">
        <f>YEAR(Таблица1[[#This Row],[Дата отчета]])</f>
        <v>2025</v>
      </c>
      <c r="N2477" s="2" t="s">
        <v>807</v>
      </c>
    </row>
    <row r="2478" spans="1:14" x14ac:dyDescent="0.25">
      <c r="A2478" t="s">
        <v>12</v>
      </c>
      <c r="B2478" t="s">
        <v>2579</v>
      </c>
      <c r="C2478" t="s">
        <v>2580</v>
      </c>
      <c r="D2478" t="s">
        <v>2581</v>
      </c>
      <c r="E2478" t="s">
        <v>2576</v>
      </c>
      <c r="F2478" s="20">
        <v>24390</v>
      </c>
      <c r="I2478" s="11">
        <f t="shared" si="88"/>
        <v>45740</v>
      </c>
      <c r="J2478" s="12">
        <f t="shared" si="89"/>
        <v>8</v>
      </c>
      <c r="K2478" t="str">
        <f t="shared" si="87"/>
        <v>0-30</v>
      </c>
      <c r="L2478" s="11">
        <v>45748</v>
      </c>
      <c r="M2478" s="23">
        <f>YEAR(Таблица1[[#This Row],[Дата отчета]])</f>
        <v>2025</v>
      </c>
    </row>
    <row r="2479" spans="1:14" x14ac:dyDescent="0.25">
      <c r="A2479" t="s">
        <v>12</v>
      </c>
      <c r="B2479" t="s">
        <v>402</v>
      </c>
      <c r="C2479" t="s">
        <v>2582</v>
      </c>
      <c r="D2479" t="s">
        <v>2583</v>
      </c>
      <c r="E2479" t="s">
        <v>1113</v>
      </c>
      <c r="F2479" s="20">
        <v>344160</v>
      </c>
      <c r="I2479" s="11">
        <f t="shared" si="88"/>
        <v>45737</v>
      </c>
      <c r="J2479" s="12">
        <f t="shared" si="89"/>
        <v>11</v>
      </c>
      <c r="K2479" t="str">
        <f t="shared" si="87"/>
        <v>0-30</v>
      </c>
      <c r="L2479" s="11">
        <v>45748</v>
      </c>
      <c r="M2479" s="23">
        <f>YEAR(Таблица1[[#This Row],[Дата отчета]])</f>
        <v>2025</v>
      </c>
    </row>
    <row r="2480" spans="1:14" x14ac:dyDescent="0.25">
      <c r="A2480" t="s">
        <v>12</v>
      </c>
      <c r="B2480" t="s">
        <v>402</v>
      </c>
      <c r="C2480" t="s">
        <v>403</v>
      </c>
      <c r="D2480" t="s">
        <v>404</v>
      </c>
      <c r="E2480" t="s">
        <v>405</v>
      </c>
      <c r="F2480" s="20">
        <v>6881.46</v>
      </c>
      <c r="I2480" s="11">
        <f t="shared" si="88"/>
        <v>44773</v>
      </c>
      <c r="J2480" s="12">
        <f t="shared" si="89"/>
        <v>975</v>
      </c>
      <c r="K2480" t="str">
        <f t="shared" si="87"/>
        <v>&gt;360</v>
      </c>
      <c r="L2480" s="11">
        <v>45748</v>
      </c>
      <c r="M2480" s="23">
        <f>YEAR(Таблица1[[#This Row],[Дата отчета]])</f>
        <v>2025</v>
      </c>
      <c r="N2480" s="7" t="s">
        <v>4538</v>
      </c>
    </row>
    <row r="2481" spans="1:14" x14ac:dyDescent="0.25">
      <c r="A2481" t="s">
        <v>12</v>
      </c>
      <c r="B2481" t="s">
        <v>1469</v>
      </c>
      <c r="C2481" t="s">
        <v>1470</v>
      </c>
      <c r="D2481" t="s">
        <v>1471</v>
      </c>
      <c r="E2481" t="s">
        <v>1785</v>
      </c>
      <c r="F2481" s="20">
        <v>2220000</v>
      </c>
      <c r="I2481" s="11">
        <f t="shared" si="88"/>
        <v>45448</v>
      </c>
      <c r="J2481" s="12">
        <f t="shared" si="89"/>
        <v>300</v>
      </c>
      <c r="K2481" t="str">
        <f t="shared" si="87"/>
        <v>271-360</v>
      </c>
      <c r="L2481" s="11">
        <v>45748</v>
      </c>
      <c r="M2481" s="23">
        <f>YEAR(Таблица1[[#This Row],[Дата отчета]])</f>
        <v>2025</v>
      </c>
      <c r="N2481" s="7" t="s">
        <v>4536</v>
      </c>
    </row>
    <row r="2482" spans="1:14" x14ac:dyDescent="0.25">
      <c r="A2482" t="s">
        <v>12</v>
      </c>
      <c r="B2482" t="s">
        <v>1469</v>
      </c>
      <c r="C2482" t="s">
        <v>1472</v>
      </c>
      <c r="D2482" t="s">
        <v>1473</v>
      </c>
      <c r="E2482" t="s">
        <v>1258</v>
      </c>
      <c r="F2482" s="20">
        <v>352732.55</v>
      </c>
      <c r="I2482" s="11">
        <f t="shared" si="88"/>
        <v>45288</v>
      </c>
      <c r="J2482" s="12">
        <f t="shared" si="89"/>
        <v>460</v>
      </c>
      <c r="K2482" t="str">
        <f t="shared" si="87"/>
        <v>&gt;360</v>
      </c>
      <c r="L2482" s="11">
        <v>45748</v>
      </c>
      <c r="M2482" s="23">
        <f>YEAR(Таблица1[[#This Row],[Дата отчета]])</f>
        <v>2025</v>
      </c>
      <c r="N2482" s="7" t="s">
        <v>4536</v>
      </c>
    </row>
    <row r="2483" spans="1:14" x14ac:dyDescent="0.25">
      <c r="A2483" t="s">
        <v>12</v>
      </c>
      <c r="B2483" t="s">
        <v>434</v>
      </c>
      <c r="C2483" t="s">
        <v>2092</v>
      </c>
      <c r="D2483" t="s">
        <v>2584</v>
      </c>
      <c r="E2483" t="s">
        <v>2585</v>
      </c>
      <c r="F2483" s="20">
        <v>3439850</v>
      </c>
      <c r="I2483" s="11">
        <f t="shared" si="88"/>
        <v>45707</v>
      </c>
      <c r="J2483" s="12">
        <f t="shared" si="89"/>
        <v>41</v>
      </c>
      <c r="K2483" t="str">
        <f t="shared" si="87"/>
        <v>31-90</v>
      </c>
      <c r="L2483" s="11">
        <v>45748</v>
      </c>
      <c r="M2483" s="23">
        <f>YEAR(Таблица1[[#This Row],[Дата отчета]])</f>
        <v>2025</v>
      </c>
    </row>
    <row r="2484" spans="1:14" x14ac:dyDescent="0.25">
      <c r="A2484" t="s">
        <v>12</v>
      </c>
      <c r="B2484" t="s">
        <v>441</v>
      </c>
      <c r="C2484" t="s">
        <v>2586</v>
      </c>
      <c r="D2484" t="s">
        <v>2587</v>
      </c>
      <c r="E2484" t="s">
        <v>1812</v>
      </c>
      <c r="F2484" s="20">
        <v>231735.4</v>
      </c>
      <c r="I2484" s="11">
        <f t="shared" si="88"/>
        <v>45744</v>
      </c>
      <c r="J2484" s="12">
        <f t="shared" si="89"/>
        <v>4</v>
      </c>
      <c r="K2484" t="str">
        <f t="shared" si="87"/>
        <v>0-30</v>
      </c>
      <c r="L2484" s="11">
        <v>45748</v>
      </c>
      <c r="M2484" s="23">
        <f>YEAR(Таблица1[[#This Row],[Дата отчета]])</f>
        <v>2025</v>
      </c>
    </row>
    <row r="2485" spans="1:14" x14ac:dyDescent="0.25">
      <c r="A2485" t="s">
        <v>12</v>
      </c>
      <c r="B2485" t="s">
        <v>441</v>
      </c>
      <c r="C2485" t="s">
        <v>2588</v>
      </c>
      <c r="D2485" t="s">
        <v>2589</v>
      </c>
      <c r="E2485" t="s">
        <v>2461</v>
      </c>
      <c r="F2485" s="20">
        <v>1103885</v>
      </c>
      <c r="I2485" s="11">
        <f t="shared" si="88"/>
        <v>45736</v>
      </c>
      <c r="J2485" s="12">
        <f t="shared" si="89"/>
        <v>12</v>
      </c>
      <c r="K2485" t="str">
        <f t="shared" si="87"/>
        <v>0-30</v>
      </c>
      <c r="L2485" s="11">
        <v>45748</v>
      </c>
      <c r="M2485" s="23">
        <f>YEAR(Таблица1[[#This Row],[Дата отчета]])</f>
        <v>2025</v>
      </c>
    </row>
    <row r="2486" spans="1:14" x14ac:dyDescent="0.25">
      <c r="A2486" t="s">
        <v>12</v>
      </c>
      <c r="B2486" t="s">
        <v>441</v>
      </c>
      <c r="C2486" t="s">
        <v>1475</v>
      </c>
      <c r="D2486" t="s">
        <v>1476</v>
      </c>
      <c r="E2486" t="s">
        <v>1787</v>
      </c>
      <c r="F2486" s="20">
        <v>403324</v>
      </c>
      <c r="I2486" s="11">
        <f t="shared" si="88"/>
        <v>45742</v>
      </c>
      <c r="J2486" s="12">
        <f t="shared" si="89"/>
        <v>6</v>
      </c>
      <c r="K2486" t="str">
        <f t="shared" si="87"/>
        <v>0-30</v>
      </c>
      <c r="L2486" s="11">
        <v>45748</v>
      </c>
      <c r="M2486" s="23">
        <f>YEAR(Таблица1[[#This Row],[Дата отчета]])</f>
        <v>2025</v>
      </c>
    </row>
    <row r="2487" spans="1:14" x14ac:dyDescent="0.25">
      <c r="A2487" t="s">
        <v>12</v>
      </c>
      <c r="B2487" t="s">
        <v>456</v>
      </c>
      <c r="C2487" t="s">
        <v>457</v>
      </c>
      <c r="D2487" t="s">
        <v>458</v>
      </c>
      <c r="E2487" t="s">
        <v>459</v>
      </c>
      <c r="F2487" s="20">
        <v>5500</v>
      </c>
      <c r="I2487" s="11">
        <f t="shared" si="88"/>
        <v>45195</v>
      </c>
      <c r="J2487" s="12">
        <f t="shared" si="89"/>
        <v>553</v>
      </c>
      <c r="K2487" t="str">
        <f t="shared" si="87"/>
        <v>&gt;360</v>
      </c>
      <c r="L2487" s="11">
        <v>45748</v>
      </c>
      <c r="M2487" s="23">
        <f>YEAR(Таблица1[[#This Row],[Дата отчета]])</f>
        <v>2025</v>
      </c>
    </row>
    <row r="2488" spans="1:14" x14ac:dyDescent="0.25">
      <c r="A2488" t="s">
        <v>12</v>
      </c>
      <c r="B2488" t="s">
        <v>467</v>
      </c>
      <c r="C2488" t="s">
        <v>468</v>
      </c>
      <c r="D2488" t="s">
        <v>469</v>
      </c>
      <c r="E2488" t="s">
        <v>470</v>
      </c>
      <c r="F2488" s="20">
        <v>2000</v>
      </c>
      <c r="I2488" s="11">
        <f t="shared" si="88"/>
        <v>44551</v>
      </c>
      <c r="J2488" s="12">
        <f t="shared" si="89"/>
        <v>1197</v>
      </c>
      <c r="K2488" t="str">
        <f t="shared" si="87"/>
        <v>&gt;360</v>
      </c>
      <c r="L2488" s="11">
        <v>45748</v>
      </c>
      <c r="M2488" s="23">
        <f>YEAR(Таблица1[[#This Row],[Дата отчета]])</f>
        <v>2025</v>
      </c>
    </row>
    <row r="2489" spans="1:14" x14ac:dyDescent="0.25">
      <c r="A2489" t="s">
        <v>12</v>
      </c>
      <c r="B2489" t="s">
        <v>2590</v>
      </c>
      <c r="C2489" t="s">
        <v>2591</v>
      </c>
      <c r="D2489" t="s">
        <v>2592</v>
      </c>
      <c r="E2489" t="s">
        <v>2462</v>
      </c>
      <c r="F2489" s="20">
        <v>44000</v>
      </c>
      <c r="I2489" s="11">
        <f t="shared" si="88"/>
        <v>45734</v>
      </c>
      <c r="J2489" s="12">
        <f t="shared" si="89"/>
        <v>14</v>
      </c>
      <c r="K2489" t="str">
        <f t="shared" si="87"/>
        <v>0-30</v>
      </c>
      <c r="L2489" s="11">
        <v>45748</v>
      </c>
      <c r="M2489" s="23">
        <f>YEAR(Таблица1[[#This Row],[Дата отчета]])</f>
        <v>2025</v>
      </c>
    </row>
    <row r="2490" spans="1:14" x14ac:dyDescent="0.25">
      <c r="A2490" t="s">
        <v>12</v>
      </c>
      <c r="B2490" t="s">
        <v>474</v>
      </c>
      <c r="C2490" t="s">
        <v>475</v>
      </c>
      <c r="D2490" t="s">
        <v>476</v>
      </c>
      <c r="E2490" t="s">
        <v>477</v>
      </c>
      <c r="F2490" s="20">
        <v>8850</v>
      </c>
      <c r="I2490" s="11">
        <f t="shared" si="88"/>
        <v>45401</v>
      </c>
      <c r="J2490" s="12">
        <f t="shared" si="89"/>
        <v>347</v>
      </c>
      <c r="K2490" t="str">
        <f t="shared" si="87"/>
        <v>271-360</v>
      </c>
      <c r="L2490" s="11">
        <v>45748</v>
      </c>
      <c r="M2490" s="23">
        <f>YEAR(Таблица1[[#This Row],[Дата отчета]])</f>
        <v>2025</v>
      </c>
    </row>
    <row r="2491" spans="1:14" x14ac:dyDescent="0.25">
      <c r="A2491" t="s">
        <v>12</v>
      </c>
      <c r="B2491" t="s">
        <v>2593</v>
      </c>
      <c r="C2491" t="s">
        <v>2594</v>
      </c>
      <c r="D2491" t="s">
        <v>2595</v>
      </c>
      <c r="E2491" t="s">
        <v>2596</v>
      </c>
      <c r="F2491" s="20">
        <v>234630</v>
      </c>
      <c r="I2491" s="11">
        <f t="shared" si="88"/>
        <v>45637</v>
      </c>
      <c r="J2491" s="12">
        <f t="shared" si="89"/>
        <v>111</v>
      </c>
      <c r="K2491" t="str">
        <f t="shared" si="87"/>
        <v>91-120</v>
      </c>
      <c r="L2491" s="11">
        <v>45748</v>
      </c>
      <c r="M2491" s="23">
        <f>YEAR(Таблица1[[#This Row],[Дата отчета]])</f>
        <v>2025</v>
      </c>
    </row>
    <row r="2492" spans="1:14" x14ac:dyDescent="0.25">
      <c r="A2492" t="s">
        <v>12</v>
      </c>
      <c r="B2492" t="s">
        <v>2597</v>
      </c>
      <c r="C2492" t="s">
        <v>2598</v>
      </c>
      <c r="D2492" t="s">
        <v>2599</v>
      </c>
      <c r="E2492" t="s">
        <v>1812</v>
      </c>
      <c r="F2492" s="20">
        <v>197400</v>
      </c>
      <c r="I2492" s="11">
        <f t="shared" si="88"/>
        <v>45744</v>
      </c>
      <c r="J2492" s="12">
        <f t="shared" si="89"/>
        <v>4</v>
      </c>
      <c r="K2492" t="str">
        <f t="shared" si="87"/>
        <v>0-30</v>
      </c>
      <c r="L2492" s="11">
        <v>45748</v>
      </c>
      <c r="M2492" s="23">
        <f>YEAR(Таблица1[[#This Row],[Дата отчета]])</f>
        <v>2025</v>
      </c>
    </row>
    <row r="2493" spans="1:14" x14ac:dyDescent="0.25">
      <c r="A2493" t="s">
        <v>12</v>
      </c>
      <c r="B2493" t="s">
        <v>2600</v>
      </c>
      <c r="C2493" t="s">
        <v>2601</v>
      </c>
      <c r="D2493" t="s">
        <v>2602</v>
      </c>
      <c r="E2493" t="s">
        <v>1787</v>
      </c>
      <c r="F2493" s="20">
        <v>22500</v>
      </c>
      <c r="I2493" s="11">
        <f t="shared" si="88"/>
        <v>45742</v>
      </c>
      <c r="J2493" s="12">
        <f t="shared" si="89"/>
        <v>6</v>
      </c>
      <c r="K2493" t="str">
        <f t="shared" si="87"/>
        <v>0-30</v>
      </c>
      <c r="L2493" s="11">
        <v>45748</v>
      </c>
      <c r="M2493" s="23">
        <f>YEAR(Таблица1[[#This Row],[Дата отчета]])</f>
        <v>2025</v>
      </c>
    </row>
    <row r="2494" spans="1:14" x14ac:dyDescent="0.25">
      <c r="A2494" t="s">
        <v>12</v>
      </c>
      <c r="B2494" t="s">
        <v>2600</v>
      </c>
      <c r="C2494" t="s">
        <v>2601</v>
      </c>
      <c r="D2494" t="s">
        <v>2603</v>
      </c>
      <c r="E2494" t="s">
        <v>1787</v>
      </c>
      <c r="F2494" s="20">
        <v>22500</v>
      </c>
      <c r="I2494" s="11">
        <f t="shared" si="88"/>
        <v>45742</v>
      </c>
      <c r="J2494" s="12">
        <f t="shared" si="89"/>
        <v>6</v>
      </c>
      <c r="K2494" t="str">
        <f t="shared" si="87"/>
        <v>0-30</v>
      </c>
      <c r="L2494" s="11">
        <v>45748</v>
      </c>
      <c r="M2494" s="23">
        <f>YEAR(Таблица1[[#This Row],[Дата отчета]])</f>
        <v>2025</v>
      </c>
    </row>
    <row r="2495" spans="1:14" x14ac:dyDescent="0.25">
      <c r="A2495" t="s">
        <v>12</v>
      </c>
      <c r="B2495" t="s">
        <v>487</v>
      </c>
      <c r="C2495" t="s">
        <v>488</v>
      </c>
      <c r="D2495" t="s">
        <v>489</v>
      </c>
      <c r="E2495" t="s">
        <v>490</v>
      </c>
      <c r="F2495" s="20">
        <v>2390812</v>
      </c>
      <c r="I2495" s="11">
        <f t="shared" si="88"/>
        <v>45631</v>
      </c>
      <c r="J2495" s="12">
        <f t="shared" si="89"/>
        <v>117</v>
      </c>
      <c r="K2495" t="str">
        <f t="shared" ref="K2495:K2558" si="90">IF(J2495&lt;=30,"0-30",IF(J2495&lt;=90,"31-90",IF(J2495&lt;=120,"91-120",IF(J2495&lt;=180,"121-180",IF(J2495&lt;=270,"181-270",IF(J2495&lt;=360,"271-360","&gt;360"))))))</f>
        <v>91-120</v>
      </c>
      <c r="L2495" s="11">
        <v>45748</v>
      </c>
      <c r="M2495" s="23">
        <f>YEAR(Таблица1[[#This Row],[Дата отчета]])</f>
        <v>2025</v>
      </c>
    </row>
    <row r="2496" spans="1:14" x14ac:dyDescent="0.25">
      <c r="A2496" t="s">
        <v>12</v>
      </c>
      <c r="B2496" t="s">
        <v>2604</v>
      </c>
      <c r="C2496" t="s">
        <v>2605</v>
      </c>
      <c r="D2496" t="s">
        <v>2606</v>
      </c>
      <c r="E2496" t="s">
        <v>1812</v>
      </c>
      <c r="F2496" s="20">
        <v>22486.36</v>
      </c>
      <c r="I2496" s="11">
        <f t="shared" si="88"/>
        <v>45744</v>
      </c>
      <c r="J2496" s="12">
        <f t="shared" si="89"/>
        <v>4</v>
      </c>
      <c r="K2496" t="str">
        <f t="shared" si="90"/>
        <v>0-30</v>
      </c>
      <c r="L2496" s="11">
        <v>45748</v>
      </c>
      <c r="M2496" s="23">
        <f>YEAR(Таблица1[[#This Row],[Дата отчета]])</f>
        <v>2025</v>
      </c>
    </row>
    <row r="2497" spans="1:14" x14ac:dyDescent="0.25">
      <c r="A2497" t="s">
        <v>12</v>
      </c>
      <c r="B2497" t="s">
        <v>2607</v>
      </c>
      <c r="C2497" t="s">
        <v>2608</v>
      </c>
      <c r="D2497" t="s">
        <v>2609</v>
      </c>
      <c r="E2497" t="s">
        <v>1812</v>
      </c>
      <c r="F2497" s="20">
        <v>1117</v>
      </c>
      <c r="I2497" s="11">
        <f t="shared" si="88"/>
        <v>45744</v>
      </c>
      <c r="J2497" s="12">
        <f t="shared" si="89"/>
        <v>4</v>
      </c>
      <c r="K2497" t="str">
        <f t="shared" si="90"/>
        <v>0-30</v>
      </c>
      <c r="L2497" s="11">
        <v>45748</v>
      </c>
      <c r="M2497" s="23">
        <f>YEAR(Таблица1[[#This Row],[Дата отчета]])</f>
        <v>2025</v>
      </c>
    </row>
    <row r="2498" spans="1:14" x14ac:dyDescent="0.25">
      <c r="A2498" t="s">
        <v>12</v>
      </c>
      <c r="B2498" t="s">
        <v>502</v>
      </c>
      <c r="C2498" t="s">
        <v>503</v>
      </c>
      <c r="D2498" t="s">
        <v>504</v>
      </c>
      <c r="E2498" t="s">
        <v>505</v>
      </c>
      <c r="F2498" s="20">
        <v>1334.4</v>
      </c>
      <c r="I2498" s="11">
        <f t="shared" si="88"/>
        <v>45587</v>
      </c>
      <c r="J2498" s="12">
        <f t="shared" si="89"/>
        <v>161</v>
      </c>
      <c r="K2498" t="str">
        <f t="shared" si="90"/>
        <v>121-180</v>
      </c>
      <c r="L2498" s="11">
        <v>45748</v>
      </c>
      <c r="M2498" s="23">
        <f>YEAR(Таблица1[[#This Row],[Дата отчета]])</f>
        <v>2025</v>
      </c>
      <c r="N2498" s="7" t="s">
        <v>4538</v>
      </c>
    </row>
    <row r="2499" spans="1:14" x14ac:dyDescent="0.25">
      <c r="A2499" t="s">
        <v>12</v>
      </c>
      <c r="B2499" t="s">
        <v>502</v>
      </c>
      <c r="C2499" t="s">
        <v>506</v>
      </c>
      <c r="D2499" t="s">
        <v>507</v>
      </c>
      <c r="E2499" t="s">
        <v>508</v>
      </c>
      <c r="F2499" s="20">
        <v>6990</v>
      </c>
      <c r="I2499" s="11">
        <f t="shared" si="88"/>
        <v>45593</v>
      </c>
      <c r="J2499" s="12">
        <f t="shared" si="89"/>
        <v>155</v>
      </c>
      <c r="K2499" t="str">
        <f t="shared" si="90"/>
        <v>121-180</v>
      </c>
      <c r="L2499" s="11">
        <v>45748</v>
      </c>
      <c r="M2499" s="23">
        <f>YEAR(Таблица1[[#This Row],[Дата отчета]])</f>
        <v>2025</v>
      </c>
      <c r="N2499" s="7" t="s">
        <v>4538</v>
      </c>
    </row>
    <row r="2500" spans="1:14" x14ac:dyDescent="0.25">
      <c r="A2500" t="s">
        <v>12</v>
      </c>
      <c r="B2500" t="s">
        <v>2147</v>
      </c>
      <c r="C2500" t="s">
        <v>2148</v>
      </c>
      <c r="D2500" t="s">
        <v>2149</v>
      </c>
      <c r="E2500" t="s">
        <v>2454</v>
      </c>
      <c r="F2500" s="20">
        <v>140000</v>
      </c>
      <c r="I2500" s="11">
        <f t="shared" si="88"/>
        <v>45733</v>
      </c>
      <c r="J2500" s="12">
        <f t="shared" si="89"/>
        <v>15</v>
      </c>
      <c r="K2500" t="str">
        <f t="shared" si="90"/>
        <v>0-30</v>
      </c>
      <c r="L2500" s="11">
        <v>45748</v>
      </c>
      <c r="M2500" s="23">
        <f>YEAR(Таблица1[[#This Row],[Дата отчета]])</f>
        <v>2025</v>
      </c>
    </row>
    <row r="2501" spans="1:14" x14ac:dyDescent="0.25">
      <c r="A2501" t="s">
        <v>12</v>
      </c>
      <c r="B2501" t="s">
        <v>512</v>
      </c>
      <c r="C2501" t="s">
        <v>2610</v>
      </c>
      <c r="D2501" t="s">
        <v>2611</v>
      </c>
      <c r="E2501" t="s">
        <v>2576</v>
      </c>
      <c r="F2501" s="20">
        <v>33750</v>
      </c>
      <c r="I2501" s="11">
        <f t="shared" si="88"/>
        <v>45740</v>
      </c>
      <c r="J2501" s="12">
        <f t="shared" si="89"/>
        <v>8</v>
      </c>
      <c r="K2501" t="str">
        <f t="shared" si="90"/>
        <v>0-30</v>
      </c>
      <c r="L2501" s="11">
        <v>45748</v>
      </c>
      <c r="M2501" s="23">
        <f>YEAR(Таблица1[[#This Row],[Дата отчета]])</f>
        <v>2025</v>
      </c>
    </row>
    <row r="2502" spans="1:14" x14ac:dyDescent="0.25">
      <c r="A2502" t="s">
        <v>12</v>
      </c>
      <c r="B2502" t="s">
        <v>526</v>
      </c>
      <c r="C2502" t="s">
        <v>269</v>
      </c>
      <c r="D2502" t="s">
        <v>2612</v>
      </c>
      <c r="E2502" t="s">
        <v>994</v>
      </c>
      <c r="F2502" s="20">
        <v>3019428.6</v>
      </c>
      <c r="I2502" s="11">
        <f t="shared" si="88"/>
        <v>45741</v>
      </c>
      <c r="J2502" s="12">
        <f t="shared" si="89"/>
        <v>7</v>
      </c>
      <c r="K2502" t="str">
        <f t="shared" si="90"/>
        <v>0-30</v>
      </c>
      <c r="L2502" s="11">
        <v>45748</v>
      </c>
      <c r="M2502" s="23">
        <f>YEAR(Таблица1[[#This Row],[Дата отчета]])</f>
        <v>2025</v>
      </c>
    </row>
    <row r="2503" spans="1:14" x14ac:dyDescent="0.25">
      <c r="A2503" t="s">
        <v>12</v>
      </c>
      <c r="B2503" t="s">
        <v>536</v>
      </c>
      <c r="C2503" t="s">
        <v>2613</v>
      </c>
      <c r="D2503" t="s">
        <v>2614</v>
      </c>
      <c r="E2503" t="s">
        <v>91</v>
      </c>
      <c r="F2503" s="20">
        <v>3000</v>
      </c>
      <c r="I2503" s="11">
        <f t="shared" si="88"/>
        <v>45723</v>
      </c>
      <c r="J2503" s="12">
        <f t="shared" si="89"/>
        <v>25</v>
      </c>
      <c r="K2503" t="str">
        <f t="shared" si="90"/>
        <v>0-30</v>
      </c>
      <c r="L2503" s="11">
        <v>45748</v>
      </c>
      <c r="M2503" s="23">
        <f>YEAR(Таблица1[[#This Row],[Дата отчета]])</f>
        <v>2025</v>
      </c>
      <c r="N2503" s="2" t="s">
        <v>807</v>
      </c>
    </row>
    <row r="2504" spans="1:14" x14ac:dyDescent="0.25">
      <c r="A2504" t="s">
        <v>12</v>
      </c>
      <c r="B2504" t="s">
        <v>536</v>
      </c>
      <c r="C2504" t="s">
        <v>537</v>
      </c>
      <c r="D2504" t="s">
        <v>538</v>
      </c>
      <c r="E2504" t="s">
        <v>91</v>
      </c>
      <c r="F2504" s="20">
        <v>9000</v>
      </c>
      <c r="I2504" s="11">
        <f t="shared" si="88"/>
        <v>45723</v>
      </c>
      <c r="J2504" s="12">
        <f t="shared" si="89"/>
        <v>25</v>
      </c>
      <c r="K2504" t="str">
        <f t="shared" si="90"/>
        <v>0-30</v>
      </c>
      <c r="L2504" s="11">
        <v>45748</v>
      </c>
      <c r="M2504" s="23">
        <f>YEAR(Таблица1[[#This Row],[Дата отчета]])</f>
        <v>2025</v>
      </c>
      <c r="N2504" s="2" t="s">
        <v>807</v>
      </c>
    </row>
    <row r="2505" spans="1:14" x14ac:dyDescent="0.25">
      <c r="A2505" t="s">
        <v>12</v>
      </c>
      <c r="B2505" t="s">
        <v>2615</v>
      </c>
      <c r="C2505" t="s">
        <v>2616</v>
      </c>
      <c r="D2505" t="s">
        <v>2617</v>
      </c>
      <c r="E2505" t="s">
        <v>2618</v>
      </c>
      <c r="F2505" s="20">
        <v>3000000</v>
      </c>
      <c r="I2505" s="11">
        <f t="shared" si="88"/>
        <v>45684</v>
      </c>
      <c r="J2505" s="12">
        <f t="shared" si="89"/>
        <v>64</v>
      </c>
      <c r="K2505" t="str">
        <f t="shared" si="90"/>
        <v>31-90</v>
      </c>
      <c r="L2505" s="11">
        <v>45748</v>
      </c>
      <c r="M2505" s="23">
        <f>YEAR(Таблица1[[#This Row],[Дата отчета]])</f>
        <v>2025</v>
      </c>
    </row>
    <row r="2506" spans="1:14" x14ac:dyDescent="0.25">
      <c r="A2506" t="s">
        <v>12</v>
      </c>
      <c r="B2506" t="s">
        <v>544</v>
      </c>
      <c r="C2506" t="s">
        <v>2619</v>
      </c>
      <c r="D2506" t="s">
        <v>2620</v>
      </c>
      <c r="E2506" t="s">
        <v>2621</v>
      </c>
      <c r="F2506" s="20">
        <v>4443000</v>
      </c>
      <c r="I2506" s="11">
        <f t="shared" si="88"/>
        <v>45699</v>
      </c>
      <c r="J2506" s="12">
        <f t="shared" si="89"/>
        <v>49</v>
      </c>
      <c r="K2506" t="str">
        <f t="shared" si="90"/>
        <v>31-90</v>
      </c>
      <c r="L2506" s="11">
        <v>45748</v>
      </c>
      <c r="M2506" s="23">
        <f>YEAR(Таблица1[[#This Row],[Дата отчета]])</f>
        <v>2025</v>
      </c>
    </row>
    <row r="2507" spans="1:14" x14ac:dyDescent="0.25">
      <c r="A2507" t="s">
        <v>12</v>
      </c>
      <c r="B2507" t="s">
        <v>544</v>
      </c>
      <c r="C2507" t="s">
        <v>2622</v>
      </c>
      <c r="D2507" t="s">
        <v>2623</v>
      </c>
      <c r="E2507" t="s">
        <v>2585</v>
      </c>
      <c r="F2507" s="20">
        <v>3906315</v>
      </c>
      <c r="I2507" s="11">
        <f t="shared" si="88"/>
        <v>45707</v>
      </c>
      <c r="J2507" s="12">
        <f t="shared" si="89"/>
        <v>41</v>
      </c>
      <c r="K2507" t="str">
        <f t="shared" si="90"/>
        <v>31-90</v>
      </c>
      <c r="L2507" s="11">
        <v>45748</v>
      </c>
      <c r="M2507" s="23">
        <f>YEAR(Таблица1[[#This Row],[Дата отчета]])</f>
        <v>2025</v>
      </c>
    </row>
    <row r="2508" spans="1:14" x14ac:dyDescent="0.25">
      <c r="A2508" t="s">
        <v>12</v>
      </c>
      <c r="B2508" t="s">
        <v>1523</v>
      </c>
      <c r="C2508" t="s">
        <v>269</v>
      </c>
      <c r="D2508" t="s">
        <v>1524</v>
      </c>
      <c r="E2508" t="s">
        <v>1765</v>
      </c>
      <c r="F2508" s="20">
        <v>725</v>
      </c>
      <c r="I2508" s="11">
        <f t="shared" si="88"/>
        <v>45735</v>
      </c>
      <c r="J2508" s="12">
        <f t="shared" si="89"/>
        <v>13</v>
      </c>
      <c r="K2508" t="str">
        <f t="shared" si="90"/>
        <v>0-30</v>
      </c>
      <c r="L2508" s="11">
        <v>45748</v>
      </c>
      <c r="M2508" s="23">
        <f>YEAR(Таблица1[[#This Row],[Дата отчета]])</f>
        <v>2025</v>
      </c>
    </row>
    <row r="2509" spans="1:14" x14ac:dyDescent="0.25">
      <c r="A2509" t="s">
        <v>12</v>
      </c>
      <c r="B2509" t="s">
        <v>2624</v>
      </c>
      <c r="C2509" t="s">
        <v>2625</v>
      </c>
      <c r="D2509" t="s">
        <v>2626</v>
      </c>
      <c r="E2509" t="s">
        <v>2576</v>
      </c>
      <c r="F2509" s="20">
        <v>96300</v>
      </c>
      <c r="I2509" s="11">
        <f t="shared" si="88"/>
        <v>45740</v>
      </c>
      <c r="J2509" s="12">
        <f t="shared" si="89"/>
        <v>8</v>
      </c>
      <c r="K2509" t="str">
        <f t="shared" si="90"/>
        <v>0-30</v>
      </c>
      <c r="L2509" s="11">
        <v>45748</v>
      </c>
      <c r="M2509" s="23">
        <f>YEAR(Таблица1[[#This Row],[Дата отчета]])</f>
        <v>2025</v>
      </c>
    </row>
    <row r="2510" spans="1:14" x14ac:dyDescent="0.25">
      <c r="A2510" t="s">
        <v>12</v>
      </c>
      <c r="B2510" t="s">
        <v>557</v>
      </c>
      <c r="C2510" t="s">
        <v>2184</v>
      </c>
      <c r="D2510" t="s">
        <v>2185</v>
      </c>
      <c r="E2510" t="s">
        <v>2450</v>
      </c>
      <c r="F2510" s="20">
        <v>19087.77</v>
      </c>
      <c r="I2510" s="11">
        <f t="shared" si="88"/>
        <v>45427</v>
      </c>
      <c r="J2510" s="12">
        <f t="shared" si="89"/>
        <v>321</v>
      </c>
      <c r="K2510" t="str">
        <f t="shared" si="90"/>
        <v>271-360</v>
      </c>
      <c r="L2510" s="11">
        <v>45748</v>
      </c>
      <c r="M2510" s="23">
        <f>YEAR(Таблица1[[#This Row],[Дата отчета]])</f>
        <v>2025</v>
      </c>
    </row>
    <row r="2511" spans="1:14" x14ac:dyDescent="0.25">
      <c r="A2511" t="s">
        <v>12</v>
      </c>
      <c r="B2511" t="s">
        <v>561</v>
      </c>
      <c r="C2511" t="s">
        <v>1527</v>
      </c>
      <c r="D2511" t="s">
        <v>1528</v>
      </c>
      <c r="E2511" t="s">
        <v>1794</v>
      </c>
      <c r="F2511" s="20">
        <v>1715565.24</v>
      </c>
      <c r="I2511" s="11">
        <f t="shared" si="88"/>
        <v>45069</v>
      </c>
      <c r="J2511" s="12">
        <f t="shared" si="89"/>
        <v>679</v>
      </c>
      <c r="K2511" t="str">
        <f t="shared" si="90"/>
        <v>&gt;360</v>
      </c>
      <c r="L2511" s="11">
        <v>45748</v>
      </c>
      <c r="M2511" s="23">
        <f>YEAR(Таблица1[[#This Row],[Дата отчета]])</f>
        <v>2025</v>
      </c>
    </row>
    <row r="2512" spans="1:14" x14ac:dyDescent="0.25">
      <c r="A2512" t="s">
        <v>12</v>
      </c>
      <c r="B2512" t="s">
        <v>561</v>
      </c>
      <c r="C2512" t="s">
        <v>2627</v>
      </c>
      <c r="D2512" t="s">
        <v>2628</v>
      </c>
      <c r="E2512" t="s">
        <v>1113</v>
      </c>
      <c r="F2512" s="20">
        <v>8224311.3799999999</v>
      </c>
      <c r="I2512" s="11">
        <f t="shared" si="88"/>
        <v>45737</v>
      </c>
      <c r="J2512" s="12">
        <f t="shared" si="89"/>
        <v>11</v>
      </c>
      <c r="K2512" t="str">
        <f t="shared" si="90"/>
        <v>0-30</v>
      </c>
      <c r="L2512" s="11">
        <v>45748</v>
      </c>
      <c r="M2512" s="23">
        <f>YEAR(Таблица1[[#This Row],[Дата отчета]])</f>
        <v>2025</v>
      </c>
    </row>
    <row r="2513" spans="1:13" x14ac:dyDescent="0.25">
      <c r="A2513" t="s">
        <v>12</v>
      </c>
      <c r="B2513" t="s">
        <v>561</v>
      </c>
      <c r="C2513" t="s">
        <v>1529</v>
      </c>
      <c r="D2513" t="s">
        <v>1530</v>
      </c>
      <c r="E2513" t="s">
        <v>1795</v>
      </c>
      <c r="F2513" s="20">
        <v>5092824.9400000004</v>
      </c>
      <c r="I2513" s="11">
        <f t="shared" si="88"/>
        <v>45391</v>
      </c>
      <c r="J2513" s="12">
        <f t="shared" si="89"/>
        <v>357</v>
      </c>
      <c r="K2513" t="str">
        <f t="shared" si="90"/>
        <v>271-360</v>
      </c>
      <c r="L2513" s="11">
        <v>45748</v>
      </c>
      <c r="M2513" s="23">
        <f>YEAR(Таблица1[[#This Row],[Дата отчета]])</f>
        <v>2025</v>
      </c>
    </row>
    <row r="2514" spans="1:13" x14ac:dyDescent="0.25">
      <c r="A2514" t="s">
        <v>12</v>
      </c>
      <c r="B2514" t="s">
        <v>561</v>
      </c>
      <c r="C2514" t="s">
        <v>2629</v>
      </c>
      <c r="D2514" t="s">
        <v>2630</v>
      </c>
      <c r="E2514" t="s">
        <v>1765</v>
      </c>
      <c r="F2514" s="20">
        <v>230296.94</v>
      </c>
      <c r="I2514" s="11">
        <f t="shared" si="88"/>
        <v>45735</v>
      </c>
      <c r="J2514" s="12">
        <f t="shared" si="89"/>
        <v>13</v>
      </c>
      <c r="K2514" t="str">
        <f t="shared" si="90"/>
        <v>0-30</v>
      </c>
      <c r="L2514" s="11">
        <v>45748</v>
      </c>
      <c r="M2514" s="23">
        <f>YEAR(Таблица1[[#This Row],[Дата отчета]])</f>
        <v>2025</v>
      </c>
    </row>
    <row r="2515" spans="1:13" x14ac:dyDescent="0.25">
      <c r="A2515" t="s">
        <v>12</v>
      </c>
      <c r="B2515" t="s">
        <v>561</v>
      </c>
      <c r="C2515" t="s">
        <v>2631</v>
      </c>
      <c r="D2515" t="s">
        <v>2632</v>
      </c>
      <c r="E2515" t="s">
        <v>2576</v>
      </c>
      <c r="F2515" s="20">
        <v>24832.51</v>
      </c>
      <c r="I2515" s="11">
        <f t="shared" si="88"/>
        <v>45740</v>
      </c>
      <c r="J2515" s="12">
        <f t="shared" si="89"/>
        <v>8</v>
      </c>
      <c r="K2515" t="str">
        <f t="shared" si="90"/>
        <v>0-30</v>
      </c>
      <c r="L2515" s="11">
        <v>45748</v>
      </c>
      <c r="M2515" s="23">
        <f>YEAR(Таблица1[[#This Row],[Дата отчета]])</f>
        <v>2025</v>
      </c>
    </row>
    <row r="2516" spans="1:13" x14ac:dyDescent="0.25">
      <c r="A2516" t="s">
        <v>12</v>
      </c>
      <c r="B2516" t="s">
        <v>561</v>
      </c>
      <c r="C2516" t="s">
        <v>1533</v>
      </c>
      <c r="D2516" t="s">
        <v>1534</v>
      </c>
      <c r="E2516" t="s">
        <v>175</v>
      </c>
      <c r="F2516" s="20">
        <v>0.02</v>
      </c>
      <c r="I2516" s="11">
        <f t="shared" si="88"/>
        <v>45399</v>
      </c>
      <c r="J2516" s="12">
        <f t="shared" si="89"/>
        <v>349</v>
      </c>
      <c r="K2516" t="str">
        <f t="shared" si="90"/>
        <v>271-360</v>
      </c>
      <c r="L2516" s="11">
        <v>45748</v>
      </c>
      <c r="M2516" s="23">
        <f>YEAR(Таблица1[[#This Row],[Дата отчета]])</f>
        <v>2025</v>
      </c>
    </row>
    <row r="2517" spans="1:13" x14ac:dyDescent="0.25">
      <c r="A2517" t="s">
        <v>12</v>
      </c>
      <c r="B2517" t="s">
        <v>561</v>
      </c>
      <c r="C2517" t="s">
        <v>1541</v>
      </c>
      <c r="D2517" t="s">
        <v>1542</v>
      </c>
      <c r="E2517" t="s">
        <v>192</v>
      </c>
      <c r="F2517" s="20">
        <v>6277.48</v>
      </c>
      <c r="I2517" s="11">
        <f t="shared" si="88"/>
        <v>45467</v>
      </c>
      <c r="J2517" s="12">
        <f t="shared" si="89"/>
        <v>281</v>
      </c>
      <c r="K2517" t="str">
        <f t="shared" si="90"/>
        <v>271-360</v>
      </c>
      <c r="L2517" s="11">
        <v>45748</v>
      </c>
      <c r="M2517" s="23">
        <f>YEAR(Таблица1[[#This Row],[Дата отчета]])</f>
        <v>2025</v>
      </c>
    </row>
    <row r="2518" spans="1:13" x14ac:dyDescent="0.25">
      <c r="A2518" t="s">
        <v>12</v>
      </c>
      <c r="B2518" t="s">
        <v>561</v>
      </c>
      <c r="C2518" t="s">
        <v>1543</v>
      </c>
      <c r="D2518" t="s">
        <v>1544</v>
      </c>
      <c r="E2518" t="s">
        <v>1798</v>
      </c>
      <c r="F2518" s="20">
        <v>2474.62</v>
      </c>
      <c r="I2518" s="11">
        <f t="shared" ref="I2518:I2581" si="91">E2518*1</f>
        <v>45470</v>
      </c>
      <c r="J2518" s="12">
        <f t="shared" ref="J2518:J2581" si="92">L2518-I2518</f>
        <v>278</v>
      </c>
      <c r="K2518" t="str">
        <f t="shared" si="90"/>
        <v>271-360</v>
      </c>
      <c r="L2518" s="11">
        <v>45748</v>
      </c>
      <c r="M2518" s="23">
        <f>YEAR(Таблица1[[#This Row],[Дата отчета]])</f>
        <v>2025</v>
      </c>
    </row>
    <row r="2519" spans="1:13" x14ac:dyDescent="0.25">
      <c r="A2519" t="s">
        <v>12</v>
      </c>
      <c r="B2519" t="s">
        <v>561</v>
      </c>
      <c r="C2519" t="s">
        <v>1545</v>
      </c>
      <c r="D2519" t="s">
        <v>566</v>
      </c>
      <c r="E2519" t="s">
        <v>204</v>
      </c>
      <c r="F2519" s="20">
        <v>995281.85</v>
      </c>
      <c r="I2519" s="11">
        <f t="shared" si="91"/>
        <v>45481</v>
      </c>
      <c r="J2519" s="12">
        <f t="shared" si="92"/>
        <v>267</v>
      </c>
      <c r="K2519" t="str">
        <f t="shared" si="90"/>
        <v>181-270</v>
      </c>
      <c r="L2519" s="11">
        <v>45748</v>
      </c>
      <c r="M2519" s="23">
        <f>YEAR(Таблица1[[#This Row],[Дата отчета]])</f>
        <v>2025</v>
      </c>
    </row>
    <row r="2520" spans="1:13" x14ac:dyDescent="0.25">
      <c r="A2520" t="s">
        <v>12</v>
      </c>
      <c r="B2520" t="s">
        <v>561</v>
      </c>
      <c r="C2520" t="s">
        <v>1548</v>
      </c>
      <c r="D2520" t="s">
        <v>1549</v>
      </c>
      <c r="E2520" t="s">
        <v>1799</v>
      </c>
      <c r="F2520" s="20">
        <v>2.4</v>
      </c>
      <c r="I2520" s="11">
        <f t="shared" si="91"/>
        <v>45478</v>
      </c>
      <c r="J2520" s="12">
        <f t="shared" si="92"/>
        <v>270</v>
      </c>
      <c r="K2520" t="str">
        <f t="shared" si="90"/>
        <v>181-270</v>
      </c>
      <c r="L2520" s="11">
        <v>45748</v>
      </c>
      <c r="M2520" s="23">
        <f>YEAR(Таблица1[[#This Row],[Дата отчета]])</f>
        <v>2025</v>
      </c>
    </row>
    <row r="2521" spans="1:13" x14ac:dyDescent="0.25">
      <c r="A2521" t="s">
        <v>12</v>
      </c>
      <c r="B2521" t="s">
        <v>561</v>
      </c>
      <c r="C2521" t="s">
        <v>1550</v>
      </c>
      <c r="D2521" t="s">
        <v>565</v>
      </c>
      <c r="E2521" t="s">
        <v>204</v>
      </c>
      <c r="F2521" s="20">
        <v>31.2</v>
      </c>
      <c r="I2521" s="11">
        <f t="shared" si="91"/>
        <v>45481</v>
      </c>
      <c r="J2521" s="12">
        <f t="shared" si="92"/>
        <v>267</v>
      </c>
      <c r="K2521" t="str">
        <f t="shared" si="90"/>
        <v>181-270</v>
      </c>
      <c r="L2521" s="11">
        <v>45748</v>
      </c>
      <c r="M2521" s="23">
        <f>YEAR(Таблица1[[#This Row],[Дата отчета]])</f>
        <v>2025</v>
      </c>
    </row>
    <row r="2522" spans="1:13" x14ac:dyDescent="0.25">
      <c r="A2522" t="s">
        <v>12</v>
      </c>
      <c r="B2522" t="s">
        <v>561</v>
      </c>
      <c r="C2522" t="s">
        <v>1559</v>
      </c>
      <c r="D2522" t="s">
        <v>567</v>
      </c>
      <c r="E2522" t="s">
        <v>568</v>
      </c>
      <c r="F2522" s="20">
        <v>395493.5</v>
      </c>
      <c r="I2522" s="11">
        <f t="shared" si="91"/>
        <v>45527</v>
      </c>
      <c r="J2522" s="12">
        <f t="shared" si="92"/>
        <v>221</v>
      </c>
      <c r="K2522" t="str">
        <f t="shared" si="90"/>
        <v>181-270</v>
      </c>
      <c r="L2522" s="11">
        <v>45748</v>
      </c>
      <c r="M2522" s="23">
        <f>YEAR(Таблица1[[#This Row],[Дата отчета]])</f>
        <v>2025</v>
      </c>
    </row>
    <row r="2523" spans="1:13" x14ac:dyDescent="0.25">
      <c r="A2523" t="s">
        <v>12</v>
      </c>
      <c r="B2523" t="s">
        <v>561</v>
      </c>
      <c r="C2523" t="s">
        <v>2633</v>
      </c>
      <c r="D2523" t="s">
        <v>2634</v>
      </c>
      <c r="E2523" t="s">
        <v>2635</v>
      </c>
      <c r="F2523" s="20">
        <v>36345.29</v>
      </c>
      <c r="I2523" s="11">
        <f t="shared" si="91"/>
        <v>45505</v>
      </c>
      <c r="J2523" s="12">
        <f t="shared" si="92"/>
        <v>243</v>
      </c>
      <c r="K2523" t="str">
        <f t="shared" si="90"/>
        <v>181-270</v>
      </c>
      <c r="L2523" s="11">
        <v>45748</v>
      </c>
      <c r="M2523" s="23">
        <f>YEAR(Таблица1[[#This Row],[Дата отчета]])</f>
        <v>2025</v>
      </c>
    </row>
    <row r="2524" spans="1:13" x14ac:dyDescent="0.25">
      <c r="A2524" t="s">
        <v>12</v>
      </c>
      <c r="B2524" t="s">
        <v>561</v>
      </c>
      <c r="C2524" t="s">
        <v>2636</v>
      </c>
      <c r="D2524" t="s">
        <v>2637</v>
      </c>
      <c r="E2524" t="s">
        <v>1800</v>
      </c>
      <c r="F2524" s="20">
        <v>35878.480000000003</v>
      </c>
      <c r="I2524" s="11">
        <f t="shared" si="91"/>
        <v>45512</v>
      </c>
      <c r="J2524" s="12">
        <f t="shared" si="92"/>
        <v>236</v>
      </c>
      <c r="K2524" t="str">
        <f t="shared" si="90"/>
        <v>181-270</v>
      </c>
      <c r="L2524" s="11">
        <v>45748</v>
      </c>
      <c r="M2524" s="23">
        <f>YEAR(Таблица1[[#This Row],[Дата отчета]])</f>
        <v>2025</v>
      </c>
    </row>
    <row r="2525" spans="1:13" x14ac:dyDescent="0.25">
      <c r="A2525" t="s">
        <v>12</v>
      </c>
      <c r="B2525" t="s">
        <v>561</v>
      </c>
      <c r="C2525" t="s">
        <v>1562</v>
      </c>
      <c r="D2525" t="s">
        <v>1563</v>
      </c>
      <c r="E2525" t="s">
        <v>1800</v>
      </c>
      <c r="F2525" s="20">
        <v>13920</v>
      </c>
      <c r="I2525" s="11">
        <f t="shared" si="91"/>
        <v>45512</v>
      </c>
      <c r="J2525" s="12">
        <f t="shared" si="92"/>
        <v>236</v>
      </c>
      <c r="K2525" t="str">
        <f t="shared" si="90"/>
        <v>181-270</v>
      </c>
      <c r="L2525" s="11">
        <v>45748</v>
      </c>
      <c r="M2525" s="23">
        <f>YEAR(Таблица1[[#This Row],[Дата отчета]])</f>
        <v>2025</v>
      </c>
    </row>
    <row r="2526" spans="1:13" x14ac:dyDescent="0.25">
      <c r="A2526" t="s">
        <v>12</v>
      </c>
      <c r="B2526" t="s">
        <v>561</v>
      </c>
      <c r="C2526" t="s">
        <v>1566</v>
      </c>
      <c r="D2526" t="s">
        <v>1567</v>
      </c>
      <c r="E2526" t="s">
        <v>1801</v>
      </c>
      <c r="F2526" s="20">
        <v>355885.99</v>
      </c>
      <c r="I2526" s="11">
        <f t="shared" si="91"/>
        <v>45524</v>
      </c>
      <c r="J2526" s="12">
        <f t="shared" si="92"/>
        <v>224</v>
      </c>
      <c r="K2526" t="str">
        <f t="shared" si="90"/>
        <v>181-270</v>
      </c>
      <c r="L2526" s="11">
        <v>45748</v>
      </c>
      <c r="M2526" s="23">
        <f>YEAR(Таблица1[[#This Row],[Дата отчета]])</f>
        <v>2025</v>
      </c>
    </row>
    <row r="2527" spans="1:13" x14ac:dyDescent="0.25">
      <c r="A2527" t="s">
        <v>12</v>
      </c>
      <c r="B2527" t="s">
        <v>561</v>
      </c>
      <c r="C2527" t="s">
        <v>1568</v>
      </c>
      <c r="D2527" t="s">
        <v>1569</v>
      </c>
      <c r="E2527" t="s">
        <v>1802</v>
      </c>
      <c r="F2527" s="20">
        <v>21441.599999999999</v>
      </c>
      <c r="I2527" s="11">
        <f t="shared" si="91"/>
        <v>45531</v>
      </c>
      <c r="J2527" s="12">
        <f t="shared" si="92"/>
        <v>217</v>
      </c>
      <c r="K2527" t="str">
        <f t="shared" si="90"/>
        <v>181-270</v>
      </c>
      <c r="L2527" s="11">
        <v>45748</v>
      </c>
      <c r="M2527" s="23">
        <f>YEAR(Таблица1[[#This Row],[Дата отчета]])</f>
        <v>2025</v>
      </c>
    </row>
    <row r="2528" spans="1:13" x14ac:dyDescent="0.25">
      <c r="A2528" t="s">
        <v>12</v>
      </c>
      <c r="B2528" t="s">
        <v>561</v>
      </c>
      <c r="C2528" t="s">
        <v>1570</v>
      </c>
      <c r="D2528" t="s">
        <v>1571</v>
      </c>
      <c r="E2528" t="s">
        <v>734</v>
      </c>
      <c r="F2528" s="20">
        <v>121190.09</v>
      </c>
      <c r="I2528" s="11">
        <f t="shared" si="91"/>
        <v>45541</v>
      </c>
      <c r="J2528" s="12">
        <f t="shared" si="92"/>
        <v>207</v>
      </c>
      <c r="K2528" t="str">
        <f t="shared" si="90"/>
        <v>181-270</v>
      </c>
      <c r="L2528" s="11">
        <v>45748</v>
      </c>
      <c r="M2528" s="23">
        <f>YEAR(Таблица1[[#This Row],[Дата отчета]])</f>
        <v>2025</v>
      </c>
    </row>
    <row r="2529" spans="1:13" x14ac:dyDescent="0.25">
      <c r="A2529" t="s">
        <v>12</v>
      </c>
      <c r="B2529" t="s">
        <v>561</v>
      </c>
      <c r="C2529" t="s">
        <v>2638</v>
      </c>
      <c r="D2529" t="s">
        <v>2639</v>
      </c>
      <c r="E2529" t="s">
        <v>2640</v>
      </c>
      <c r="F2529" s="20">
        <v>50950.98</v>
      </c>
      <c r="I2529" s="11">
        <f t="shared" si="91"/>
        <v>45574</v>
      </c>
      <c r="J2529" s="12">
        <f t="shared" si="92"/>
        <v>174</v>
      </c>
      <c r="K2529" t="str">
        <f t="shared" si="90"/>
        <v>121-180</v>
      </c>
      <c r="L2529" s="11">
        <v>45748</v>
      </c>
      <c r="M2529" s="23">
        <f>YEAR(Таблица1[[#This Row],[Дата отчета]])</f>
        <v>2025</v>
      </c>
    </row>
    <row r="2530" spans="1:13" x14ac:dyDescent="0.25">
      <c r="A2530" t="s">
        <v>12</v>
      </c>
      <c r="B2530" t="s">
        <v>561</v>
      </c>
      <c r="C2530" t="s">
        <v>1600</v>
      </c>
      <c r="D2530" t="s">
        <v>1601</v>
      </c>
      <c r="E2530" t="s">
        <v>1803</v>
      </c>
      <c r="F2530" s="20">
        <v>13646774.310000001</v>
      </c>
      <c r="I2530" s="11">
        <f t="shared" si="91"/>
        <v>45673</v>
      </c>
      <c r="J2530" s="12">
        <f t="shared" si="92"/>
        <v>75</v>
      </c>
      <c r="K2530" t="str">
        <f t="shared" si="90"/>
        <v>31-90</v>
      </c>
      <c r="L2530" s="11">
        <v>45748</v>
      </c>
      <c r="M2530" s="23">
        <f>YEAR(Таблица1[[#This Row],[Дата отчета]])</f>
        <v>2025</v>
      </c>
    </row>
    <row r="2531" spans="1:13" x14ac:dyDescent="0.25">
      <c r="A2531" t="s">
        <v>12</v>
      </c>
      <c r="B2531" t="s">
        <v>2641</v>
      </c>
      <c r="C2531" t="s">
        <v>2642</v>
      </c>
      <c r="D2531" t="s">
        <v>2643</v>
      </c>
      <c r="E2531" t="s">
        <v>987</v>
      </c>
      <c r="F2531" s="20">
        <v>9500</v>
      </c>
      <c r="I2531" s="11">
        <f t="shared" si="91"/>
        <v>45747</v>
      </c>
      <c r="J2531" s="12">
        <f t="shared" si="92"/>
        <v>1</v>
      </c>
      <c r="K2531" t="str">
        <f t="shared" si="90"/>
        <v>0-30</v>
      </c>
      <c r="L2531" s="11">
        <v>45748</v>
      </c>
      <c r="M2531" s="23">
        <f>YEAR(Таблица1[[#This Row],[Дата отчета]])</f>
        <v>2025</v>
      </c>
    </row>
    <row r="2532" spans="1:13" x14ac:dyDescent="0.25">
      <c r="A2532" t="s">
        <v>12</v>
      </c>
      <c r="B2532" t="s">
        <v>2644</v>
      </c>
      <c r="C2532" t="s">
        <v>2645</v>
      </c>
      <c r="D2532" t="s">
        <v>2646</v>
      </c>
      <c r="E2532" t="s">
        <v>2647</v>
      </c>
      <c r="F2532" s="20">
        <v>10350</v>
      </c>
      <c r="I2532" s="11">
        <f t="shared" si="91"/>
        <v>45609</v>
      </c>
      <c r="J2532" s="12">
        <f t="shared" si="92"/>
        <v>139</v>
      </c>
      <c r="K2532" t="str">
        <f t="shared" si="90"/>
        <v>121-180</v>
      </c>
      <c r="L2532" s="11">
        <v>45748</v>
      </c>
      <c r="M2532" s="23">
        <f>YEAR(Таблица1[[#This Row],[Дата отчета]])</f>
        <v>2025</v>
      </c>
    </row>
    <row r="2533" spans="1:13" x14ac:dyDescent="0.25">
      <c r="A2533" t="s">
        <v>12</v>
      </c>
      <c r="B2533" t="s">
        <v>2197</v>
      </c>
      <c r="C2533" t="s">
        <v>2198</v>
      </c>
      <c r="D2533" t="s">
        <v>2199</v>
      </c>
      <c r="E2533" t="s">
        <v>490</v>
      </c>
      <c r="F2533" s="20">
        <v>325000</v>
      </c>
      <c r="I2533" s="11">
        <f t="shared" si="91"/>
        <v>45631</v>
      </c>
      <c r="J2533" s="12">
        <f t="shared" si="92"/>
        <v>117</v>
      </c>
      <c r="K2533" t="str">
        <f t="shared" si="90"/>
        <v>91-120</v>
      </c>
      <c r="L2533" s="11">
        <v>45748</v>
      </c>
      <c r="M2533" s="23">
        <f>YEAR(Таблица1[[#This Row],[Дата отчета]])</f>
        <v>2025</v>
      </c>
    </row>
    <row r="2534" spans="1:13" x14ac:dyDescent="0.25">
      <c r="A2534" t="s">
        <v>12</v>
      </c>
      <c r="B2534" t="s">
        <v>2197</v>
      </c>
      <c r="C2534" t="s">
        <v>2200</v>
      </c>
      <c r="D2534" t="s">
        <v>2201</v>
      </c>
      <c r="E2534" t="s">
        <v>284</v>
      </c>
      <c r="F2534" s="20">
        <v>1207500</v>
      </c>
      <c r="I2534" s="11">
        <f t="shared" si="91"/>
        <v>45398</v>
      </c>
      <c r="J2534" s="12">
        <f t="shared" si="92"/>
        <v>350</v>
      </c>
      <c r="K2534" t="str">
        <f t="shared" si="90"/>
        <v>271-360</v>
      </c>
      <c r="L2534" s="11">
        <v>45748</v>
      </c>
      <c r="M2534" s="23">
        <f>YEAR(Таблица1[[#This Row],[Дата отчета]])</f>
        <v>2025</v>
      </c>
    </row>
    <row r="2535" spans="1:13" x14ac:dyDescent="0.25">
      <c r="A2535" t="s">
        <v>12</v>
      </c>
      <c r="B2535" t="s">
        <v>2197</v>
      </c>
      <c r="C2535" t="s">
        <v>2200</v>
      </c>
      <c r="D2535" t="s">
        <v>2202</v>
      </c>
      <c r="E2535" t="s">
        <v>2456</v>
      </c>
      <c r="F2535" s="20">
        <v>1207500</v>
      </c>
      <c r="I2535" s="11">
        <f t="shared" si="91"/>
        <v>45597</v>
      </c>
      <c r="J2535" s="12">
        <f t="shared" si="92"/>
        <v>151</v>
      </c>
      <c r="K2535" t="str">
        <f t="shared" si="90"/>
        <v>121-180</v>
      </c>
      <c r="L2535" s="11">
        <v>45748</v>
      </c>
      <c r="M2535" s="23">
        <f>YEAR(Таблица1[[#This Row],[Дата отчета]])</f>
        <v>2025</v>
      </c>
    </row>
    <row r="2536" spans="1:13" x14ac:dyDescent="0.25">
      <c r="A2536" t="s">
        <v>12</v>
      </c>
      <c r="B2536" t="s">
        <v>589</v>
      </c>
      <c r="C2536" t="s">
        <v>590</v>
      </c>
      <c r="D2536" t="s">
        <v>2203</v>
      </c>
      <c r="E2536" t="s">
        <v>2457</v>
      </c>
      <c r="F2536" s="20">
        <v>1792.02</v>
      </c>
      <c r="I2536" s="11">
        <f t="shared" si="91"/>
        <v>45721</v>
      </c>
      <c r="J2536" s="12">
        <f t="shared" si="92"/>
        <v>27</v>
      </c>
      <c r="K2536" t="str">
        <f t="shared" si="90"/>
        <v>0-30</v>
      </c>
      <c r="L2536" s="11">
        <v>45748</v>
      </c>
      <c r="M2536" s="23">
        <f>YEAR(Таблица1[[#This Row],[Дата отчета]])</f>
        <v>2025</v>
      </c>
    </row>
    <row r="2537" spans="1:13" x14ac:dyDescent="0.25">
      <c r="A2537" t="s">
        <v>12</v>
      </c>
      <c r="B2537" t="s">
        <v>589</v>
      </c>
      <c r="C2537" t="s">
        <v>594</v>
      </c>
      <c r="D2537" t="s">
        <v>2648</v>
      </c>
      <c r="E2537" t="s">
        <v>2457</v>
      </c>
      <c r="F2537" s="20">
        <v>1976.19</v>
      </c>
      <c r="I2537" s="11">
        <f t="shared" si="91"/>
        <v>45721</v>
      </c>
      <c r="J2537" s="12">
        <f t="shared" si="92"/>
        <v>27</v>
      </c>
      <c r="K2537" t="str">
        <f t="shared" si="90"/>
        <v>0-30</v>
      </c>
      <c r="L2537" s="11">
        <v>45748</v>
      </c>
      <c r="M2537" s="23">
        <f>YEAR(Таблица1[[#This Row],[Дата отчета]])</f>
        <v>2025</v>
      </c>
    </row>
    <row r="2538" spans="1:13" x14ac:dyDescent="0.25">
      <c r="A2538" t="s">
        <v>12</v>
      </c>
      <c r="B2538" t="s">
        <v>589</v>
      </c>
      <c r="C2538" t="s">
        <v>596</v>
      </c>
      <c r="D2538" t="s">
        <v>2649</v>
      </c>
      <c r="E2538" t="s">
        <v>490</v>
      </c>
      <c r="F2538" s="20">
        <v>6071.35</v>
      </c>
      <c r="I2538" s="11">
        <f t="shared" si="91"/>
        <v>45631</v>
      </c>
      <c r="J2538" s="12">
        <f t="shared" si="92"/>
        <v>117</v>
      </c>
      <c r="K2538" t="str">
        <f t="shared" si="90"/>
        <v>91-120</v>
      </c>
      <c r="L2538" s="11">
        <v>45748</v>
      </c>
      <c r="M2538" s="23">
        <f>YEAR(Таблица1[[#This Row],[Дата отчета]])</f>
        <v>2025</v>
      </c>
    </row>
    <row r="2539" spans="1:13" x14ac:dyDescent="0.25">
      <c r="A2539" t="s">
        <v>12</v>
      </c>
      <c r="B2539" t="s">
        <v>589</v>
      </c>
      <c r="C2539" t="s">
        <v>596</v>
      </c>
      <c r="D2539" t="s">
        <v>2650</v>
      </c>
      <c r="E2539" t="s">
        <v>2457</v>
      </c>
      <c r="F2539" s="20">
        <v>2000</v>
      </c>
      <c r="I2539" s="11">
        <f t="shared" si="91"/>
        <v>45721</v>
      </c>
      <c r="J2539" s="12">
        <f t="shared" si="92"/>
        <v>27</v>
      </c>
      <c r="K2539" t="str">
        <f t="shared" si="90"/>
        <v>0-30</v>
      </c>
      <c r="L2539" s="11">
        <v>45748</v>
      </c>
      <c r="M2539" s="23">
        <f>YEAR(Таблица1[[#This Row],[Дата отчета]])</f>
        <v>2025</v>
      </c>
    </row>
    <row r="2540" spans="1:13" x14ac:dyDescent="0.25">
      <c r="A2540" t="s">
        <v>12</v>
      </c>
      <c r="B2540" t="s">
        <v>589</v>
      </c>
      <c r="C2540" t="s">
        <v>598</v>
      </c>
      <c r="D2540" t="s">
        <v>599</v>
      </c>
      <c r="E2540" t="s">
        <v>600</v>
      </c>
      <c r="F2540" s="20">
        <v>45.91</v>
      </c>
      <c r="I2540" s="11">
        <f t="shared" si="91"/>
        <v>43560</v>
      </c>
      <c r="J2540" s="12">
        <f t="shared" si="92"/>
        <v>2188</v>
      </c>
      <c r="K2540" t="str">
        <f t="shared" si="90"/>
        <v>&gt;360</v>
      </c>
      <c r="L2540" s="11">
        <v>45748</v>
      </c>
      <c r="M2540" s="23">
        <f>YEAR(Таблица1[[#This Row],[Дата отчета]])</f>
        <v>2025</v>
      </c>
    </row>
    <row r="2541" spans="1:13" x14ac:dyDescent="0.25">
      <c r="A2541" t="s">
        <v>12</v>
      </c>
      <c r="B2541" t="s">
        <v>589</v>
      </c>
      <c r="C2541" t="s">
        <v>601</v>
      </c>
      <c r="D2541" t="s">
        <v>2651</v>
      </c>
      <c r="E2541" t="s">
        <v>2457</v>
      </c>
      <c r="F2541" s="20">
        <v>1942.41</v>
      </c>
      <c r="I2541" s="11">
        <f t="shared" si="91"/>
        <v>45721</v>
      </c>
      <c r="J2541" s="12">
        <f t="shared" si="92"/>
        <v>27</v>
      </c>
      <c r="K2541" t="str">
        <f t="shared" si="90"/>
        <v>0-30</v>
      </c>
      <c r="L2541" s="11">
        <v>45748</v>
      </c>
      <c r="M2541" s="23">
        <f>YEAR(Таблица1[[#This Row],[Дата отчета]])</f>
        <v>2025</v>
      </c>
    </row>
    <row r="2542" spans="1:13" x14ac:dyDescent="0.25">
      <c r="A2542" t="s">
        <v>12</v>
      </c>
      <c r="B2542" t="s">
        <v>589</v>
      </c>
      <c r="C2542" t="s">
        <v>604</v>
      </c>
      <c r="D2542" t="s">
        <v>1609</v>
      </c>
      <c r="E2542" t="s">
        <v>1804</v>
      </c>
      <c r="F2542" s="20">
        <v>310.13</v>
      </c>
      <c r="I2542" s="11">
        <f t="shared" si="91"/>
        <v>45477</v>
      </c>
      <c r="J2542" s="12">
        <f t="shared" si="92"/>
        <v>271</v>
      </c>
      <c r="K2542" t="str">
        <f t="shared" si="90"/>
        <v>271-360</v>
      </c>
      <c r="L2542" s="11">
        <v>45748</v>
      </c>
      <c r="M2542" s="23">
        <f>YEAR(Таблица1[[#This Row],[Дата отчета]])</f>
        <v>2025</v>
      </c>
    </row>
    <row r="2543" spans="1:13" x14ac:dyDescent="0.25">
      <c r="A2543" t="s">
        <v>12</v>
      </c>
      <c r="B2543" t="s">
        <v>589</v>
      </c>
      <c r="C2543" t="s">
        <v>607</v>
      </c>
      <c r="D2543" t="s">
        <v>608</v>
      </c>
      <c r="E2543" t="s">
        <v>609</v>
      </c>
      <c r="F2543" s="20">
        <v>771.25</v>
      </c>
      <c r="I2543" s="11">
        <f t="shared" si="91"/>
        <v>45233</v>
      </c>
      <c r="J2543" s="12">
        <f t="shared" si="92"/>
        <v>515</v>
      </c>
      <c r="K2543" t="str">
        <f t="shared" si="90"/>
        <v>&gt;360</v>
      </c>
      <c r="L2543" s="11">
        <v>45748</v>
      </c>
      <c r="M2543" s="23">
        <f>YEAR(Таблица1[[#This Row],[Дата отчета]])</f>
        <v>2025</v>
      </c>
    </row>
    <row r="2544" spans="1:13" x14ac:dyDescent="0.25">
      <c r="A2544" t="s">
        <v>12</v>
      </c>
      <c r="B2544" t="s">
        <v>589</v>
      </c>
      <c r="C2544" t="s">
        <v>607</v>
      </c>
      <c r="D2544" t="s">
        <v>610</v>
      </c>
      <c r="E2544" t="s">
        <v>611</v>
      </c>
      <c r="F2544" s="20">
        <v>500</v>
      </c>
      <c r="I2544" s="11">
        <f t="shared" si="91"/>
        <v>45335</v>
      </c>
      <c r="J2544" s="12">
        <f t="shared" si="92"/>
        <v>413</v>
      </c>
      <c r="K2544" t="str">
        <f t="shared" si="90"/>
        <v>&gt;360</v>
      </c>
      <c r="L2544" s="11">
        <v>45748</v>
      </c>
      <c r="M2544" s="23">
        <f>YEAR(Таблица1[[#This Row],[Дата отчета]])</f>
        <v>2025</v>
      </c>
    </row>
    <row r="2545" spans="1:13" x14ac:dyDescent="0.25">
      <c r="A2545" t="s">
        <v>12</v>
      </c>
      <c r="B2545" t="s">
        <v>589</v>
      </c>
      <c r="C2545" t="s">
        <v>612</v>
      </c>
      <c r="D2545" t="s">
        <v>2652</v>
      </c>
      <c r="E2545" t="s">
        <v>490</v>
      </c>
      <c r="F2545" s="20">
        <v>607.66999999999996</v>
      </c>
      <c r="I2545" s="11">
        <f t="shared" si="91"/>
        <v>45631</v>
      </c>
      <c r="J2545" s="12">
        <f t="shared" si="92"/>
        <v>117</v>
      </c>
      <c r="K2545" t="str">
        <f t="shared" si="90"/>
        <v>91-120</v>
      </c>
      <c r="L2545" s="11">
        <v>45748</v>
      </c>
      <c r="M2545" s="23">
        <f>YEAR(Таблица1[[#This Row],[Дата отчета]])</f>
        <v>2025</v>
      </c>
    </row>
    <row r="2546" spans="1:13" x14ac:dyDescent="0.25">
      <c r="A2546" t="s">
        <v>12</v>
      </c>
      <c r="B2546" t="s">
        <v>589</v>
      </c>
      <c r="C2546" t="s">
        <v>612</v>
      </c>
      <c r="D2546" t="s">
        <v>2653</v>
      </c>
      <c r="E2546" t="s">
        <v>2457</v>
      </c>
      <c r="F2546" s="20">
        <v>2000</v>
      </c>
      <c r="I2546" s="11">
        <f t="shared" si="91"/>
        <v>45721</v>
      </c>
      <c r="J2546" s="12">
        <f t="shared" si="92"/>
        <v>27</v>
      </c>
      <c r="K2546" t="str">
        <f t="shared" si="90"/>
        <v>0-30</v>
      </c>
      <c r="L2546" s="11">
        <v>45748</v>
      </c>
      <c r="M2546" s="23">
        <f>YEAR(Таблица1[[#This Row],[Дата отчета]])</f>
        <v>2025</v>
      </c>
    </row>
    <row r="2547" spans="1:13" x14ac:dyDescent="0.25">
      <c r="A2547" t="s">
        <v>12</v>
      </c>
      <c r="B2547" t="s">
        <v>589</v>
      </c>
      <c r="C2547" t="s">
        <v>615</v>
      </c>
      <c r="D2547" t="s">
        <v>616</v>
      </c>
      <c r="E2547" t="s">
        <v>617</v>
      </c>
      <c r="F2547" s="20">
        <v>127.6</v>
      </c>
      <c r="I2547" s="11">
        <f t="shared" si="91"/>
        <v>42468</v>
      </c>
      <c r="J2547" s="12">
        <f t="shared" si="92"/>
        <v>3280</v>
      </c>
      <c r="K2547" t="str">
        <f t="shared" si="90"/>
        <v>&gt;360</v>
      </c>
      <c r="L2547" s="11">
        <v>45748</v>
      </c>
      <c r="M2547" s="23">
        <f>YEAR(Таблица1[[#This Row],[Дата отчета]])</f>
        <v>2025</v>
      </c>
    </row>
    <row r="2548" spans="1:13" x14ac:dyDescent="0.25">
      <c r="A2548" t="s">
        <v>12</v>
      </c>
      <c r="B2548" t="s">
        <v>589</v>
      </c>
      <c r="C2548" t="s">
        <v>615</v>
      </c>
      <c r="D2548" t="s">
        <v>618</v>
      </c>
      <c r="E2548" t="s">
        <v>619</v>
      </c>
      <c r="F2548" s="20">
        <v>430</v>
      </c>
      <c r="I2548" s="11">
        <f t="shared" si="91"/>
        <v>42501</v>
      </c>
      <c r="J2548" s="12">
        <f t="shared" si="92"/>
        <v>3247</v>
      </c>
      <c r="K2548" t="str">
        <f t="shared" si="90"/>
        <v>&gt;360</v>
      </c>
      <c r="L2548" s="11">
        <v>45748</v>
      </c>
      <c r="M2548" s="23">
        <f>YEAR(Таблица1[[#This Row],[Дата отчета]])</f>
        <v>2025</v>
      </c>
    </row>
    <row r="2549" spans="1:13" x14ac:dyDescent="0.25">
      <c r="A2549" t="s">
        <v>12</v>
      </c>
      <c r="B2549" t="s">
        <v>589</v>
      </c>
      <c r="C2549" t="s">
        <v>615</v>
      </c>
      <c r="D2549" t="s">
        <v>620</v>
      </c>
      <c r="E2549" t="s">
        <v>621</v>
      </c>
      <c r="F2549" s="20">
        <v>0.01</v>
      </c>
      <c r="I2549" s="11">
        <f t="shared" si="91"/>
        <v>43817</v>
      </c>
      <c r="J2549" s="12">
        <f t="shared" si="92"/>
        <v>1931</v>
      </c>
      <c r="K2549" t="str">
        <f t="shared" si="90"/>
        <v>&gt;360</v>
      </c>
      <c r="L2549" s="11">
        <v>45748</v>
      </c>
      <c r="M2549" s="23">
        <f>YEAR(Таблица1[[#This Row],[Дата отчета]])</f>
        <v>2025</v>
      </c>
    </row>
    <row r="2550" spans="1:13" x14ac:dyDescent="0.25">
      <c r="A2550" t="s">
        <v>12</v>
      </c>
      <c r="B2550" t="s">
        <v>589</v>
      </c>
      <c r="C2550" t="s">
        <v>622</v>
      </c>
      <c r="F2550" s="20">
        <v>68.27</v>
      </c>
      <c r="I2550" s="11">
        <f t="shared" si="91"/>
        <v>0</v>
      </c>
      <c r="J2550" s="12">
        <f t="shared" si="92"/>
        <v>45748</v>
      </c>
      <c r="K2550" t="str">
        <f t="shared" si="90"/>
        <v>&gt;360</v>
      </c>
      <c r="L2550" s="11">
        <v>45748</v>
      </c>
      <c r="M2550" s="23">
        <f>YEAR(Таблица1[[#This Row],[Дата отчета]])</f>
        <v>2025</v>
      </c>
    </row>
    <row r="2551" spans="1:13" x14ac:dyDescent="0.25">
      <c r="A2551" t="s">
        <v>12</v>
      </c>
      <c r="B2551" t="s">
        <v>589</v>
      </c>
      <c r="C2551" t="s">
        <v>623</v>
      </c>
      <c r="D2551" t="s">
        <v>624</v>
      </c>
      <c r="E2551" t="s">
        <v>625</v>
      </c>
      <c r="F2551" s="20">
        <v>799.94</v>
      </c>
      <c r="I2551" s="11">
        <f t="shared" si="91"/>
        <v>42429</v>
      </c>
      <c r="J2551" s="12">
        <f t="shared" si="92"/>
        <v>3319</v>
      </c>
      <c r="K2551" t="str">
        <f t="shared" si="90"/>
        <v>&gt;360</v>
      </c>
      <c r="L2551" s="11">
        <v>45748</v>
      </c>
      <c r="M2551" s="23">
        <f>YEAR(Таблица1[[#This Row],[Дата отчета]])</f>
        <v>2025</v>
      </c>
    </row>
    <row r="2552" spans="1:13" x14ac:dyDescent="0.25">
      <c r="A2552" t="s">
        <v>12</v>
      </c>
      <c r="B2552" t="s">
        <v>589</v>
      </c>
      <c r="C2552" t="s">
        <v>626</v>
      </c>
      <c r="D2552" t="s">
        <v>2654</v>
      </c>
      <c r="E2552" t="s">
        <v>490</v>
      </c>
      <c r="F2552" s="20">
        <v>6675.76</v>
      </c>
      <c r="I2552" s="11">
        <f t="shared" si="91"/>
        <v>45631</v>
      </c>
      <c r="J2552" s="12">
        <f t="shared" si="92"/>
        <v>117</v>
      </c>
      <c r="K2552" t="str">
        <f t="shared" si="90"/>
        <v>91-120</v>
      </c>
      <c r="L2552" s="11">
        <v>45748</v>
      </c>
      <c r="M2552" s="23">
        <f>YEAR(Таблица1[[#This Row],[Дата отчета]])</f>
        <v>2025</v>
      </c>
    </row>
    <row r="2553" spans="1:13" x14ac:dyDescent="0.25">
      <c r="A2553" t="s">
        <v>12</v>
      </c>
      <c r="B2553" t="s">
        <v>589</v>
      </c>
      <c r="C2553" t="s">
        <v>626</v>
      </c>
      <c r="D2553" t="s">
        <v>2207</v>
      </c>
      <c r="E2553" t="s">
        <v>2457</v>
      </c>
      <c r="F2553" s="20">
        <v>2000</v>
      </c>
      <c r="I2553" s="11">
        <f t="shared" si="91"/>
        <v>45721</v>
      </c>
      <c r="J2553" s="12">
        <f t="shared" si="92"/>
        <v>27</v>
      </c>
      <c r="K2553" t="str">
        <f t="shared" si="90"/>
        <v>0-30</v>
      </c>
      <c r="L2553" s="11">
        <v>45748</v>
      </c>
      <c r="M2553" s="23">
        <f>YEAR(Таблица1[[#This Row],[Дата отчета]])</f>
        <v>2025</v>
      </c>
    </row>
    <row r="2554" spans="1:13" x14ac:dyDescent="0.25">
      <c r="A2554" t="s">
        <v>12</v>
      </c>
      <c r="B2554" t="s">
        <v>1615</v>
      </c>
      <c r="C2554" t="s">
        <v>269</v>
      </c>
      <c r="D2554" t="s">
        <v>1524</v>
      </c>
      <c r="E2554" t="s">
        <v>1765</v>
      </c>
      <c r="F2554" s="20">
        <v>6300</v>
      </c>
      <c r="I2554" s="11">
        <f t="shared" si="91"/>
        <v>45735</v>
      </c>
      <c r="J2554" s="12">
        <f t="shared" si="92"/>
        <v>13</v>
      </c>
      <c r="K2554" t="str">
        <f t="shared" si="90"/>
        <v>0-30</v>
      </c>
      <c r="L2554" s="11">
        <v>45748</v>
      </c>
      <c r="M2554" s="23">
        <f>YEAR(Таблица1[[#This Row],[Дата отчета]])</f>
        <v>2025</v>
      </c>
    </row>
    <row r="2555" spans="1:13" x14ac:dyDescent="0.25">
      <c r="A2555" t="s">
        <v>12</v>
      </c>
      <c r="B2555" t="s">
        <v>1615</v>
      </c>
      <c r="C2555" t="s">
        <v>269</v>
      </c>
      <c r="D2555" t="s">
        <v>1616</v>
      </c>
      <c r="E2555" t="s">
        <v>1113</v>
      </c>
      <c r="F2555" s="20">
        <v>630</v>
      </c>
      <c r="I2555" s="11">
        <f t="shared" si="91"/>
        <v>45737</v>
      </c>
      <c r="J2555" s="12">
        <f t="shared" si="92"/>
        <v>11</v>
      </c>
      <c r="K2555" t="str">
        <f t="shared" si="90"/>
        <v>0-30</v>
      </c>
      <c r="L2555" s="11">
        <v>45748</v>
      </c>
      <c r="M2555" s="23">
        <f>YEAR(Таблица1[[#This Row],[Дата отчета]])</f>
        <v>2025</v>
      </c>
    </row>
    <row r="2556" spans="1:13" x14ac:dyDescent="0.25">
      <c r="A2556" t="s">
        <v>12</v>
      </c>
      <c r="B2556" t="s">
        <v>666</v>
      </c>
      <c r="C2556" t="s">
        <v>2655</v>
      </c>
      <c r="D2556" t="s">
        <v>2656</v>
      </c>
      <c r="E2556" t="s">
        <v>2576</v>
      </c>
      <c r="F2556" s="20">
        <v>25603</v>
      </c>
      <c r="I2556" s="11">
        <f t="shared" si="91"/>
        <v>45740</v>
      </c>
      <c r="J2556" s="12">
        <f t="shared" si="92"/>
        <v>8</v>
      </c>
      <c r="K2556" t="str">
        <f t="shared" si="90"/>
        <v>0-30</v>
      </c>
      <c r="L2556" s="11">
        <v>45748</v>
      </c>
      <c r="M2556" s="23">
        <f>YEAR(Таблица1[[#This Row],[Дата отчета]])</f>
        <v>2025</v>
      </c>
    </row>
    <row r="2557" spans="1:13" x14ac:dyDescent="0.25">
      <c r="A2557" t="s">
        <v>12</v>
      </c>
      <c r="B2557" t="s">
        <v>666</v>
      </c>
      <c r="C2557" t="s">
        <v>2657</v>
      </c>
      <c r="D2557" t="s">
        <v>2658</v>
      </c>
      <c r="E2557" t="s">
        <v>1812</v>
      </c>
      <c r="F2557" s="20">
        <v>40439</v>
      </c>
      <c r="I2557" s="11">
        <f t="shared" si="91"/>
        <v>45744</v>
      </c>
      <c r="J2557" s="12">
        <f t="shared" si="92"/>
        <v>4</v>
      </c>
      <c r="K2557" t="str">
        <f t="shared" si="90"/>
        <v>0-30</v>
      </c>
      <c r="L2557" s="11">
        <v>45748</v>
      </c>
      <c r="M2557" s="23">
        <f>YEAR(Таблица1[[#This Row],[Дата отчета]])</f>
        <v>2025</v>
      </c>
    </row>
    <row r="2558" spans="1:13" x14ac:dyDescent="0.25">
      <c r="A2558" t="s">
        <v>12</v>
      </c>
      <c r="B2558" t="s">
        <v>670</v>
      </c>
      <c r="C2558" t="s">
        <v>671</v>
      </c>
      <c r="D2558" t="s">
        <v>2659</v>
      </c>
      <c r="E2558" t="s">
        <v>2660</v>
      </c>
      <c r="F2558" s="20">
        <v>188732.83</v>
      </c>
      <c r="I2558" s="11">
        <f t="shared" si="91"/>
        <v>45701</v>
      </c>
      <c r="J2558" s="12">
        <f t="shared" si="92"/>
        <v>47</v>
      </c>
      <c r="K2558" t="str">
        <f t="shared" si="90"/>
        <v>31-90</v>
      </c>
      <c r="L2558" s="11">
        <v>45748</v>
      </c>
      <c r="M2558" s="23">
        <f>YEAR(Таблица1[[#This Row],[Дата отчета]])</f>
        <v>2025</v>
      </c>
    </row>
    <row r="2559" spans="1:13" x14ac:dyDescent="0.25">
      <c r="A2559" t="s">
        <v>12</v>
      </c>
      <c r="B2559" t="s">
        <v>670</v>
      </c>
      <c r="C2559" t="s">
        <v>2661</v>
      </c>
      <c r="D2559" t="s">
        <v>2662</v>
      </c>
      <c r="E2559" t="s">
        <v>1787</v>
      </c>
      <c r="F2559" s="20">
        <v>32140</v>
      </c>
      <c r="I2559" s="11">
        <f t="shared" si="91"/>
        <v>45742</v>
      </c>
      <c r="J2559" s="12">
        <f t="shared" si="92"/>
        <v>6</v>
      </c>
      <c r="K2559" t="str">
        <f t="shared" ref="K2559:K2622" si="93">IF(J2559&lt;=30,"0-30",IF(J2559&lt;=90,"31-90",IF(J2559&lt;=120,"91-120",IF(J2559&lt;=180,"121-180",IF(J2559&lt;=270,"181-270",IF(J2559&lt;=360,"271-360","&gt;360"))))))</f>
        <v>0-30</v>
      </c>
      <c r="L2559" s="11">
        <v>45748</v>
      </c>
      <c r="M2559" s="23">
        <f>YEAR(Таблица1[[#This Row],[Дата отчета]])</f>
        <v>2025</v>
      </c>
    </row>
    <row r="2560" spans="1:13" x14ac:dyDescent="0.25">
      <c r="A2560" t="s">
        <v>12</v>
      </c>
      <c r="B2560" t="s">
        <v>677</v>
      </c>
      <c r="C2560" t="s">
        <v>269</v>
      </c>
      <c r="F2560" s="20">
        <v>135269</v>
      </c>
      <c r="I2560" s="11">
        <f t="shared" si="91"/>
        <v>0</v>
      </c>
      <c r="J2560" s="12">
        <f t="shared" si="92"/>
        <v>45748</v>
      </c>
      <c r="K2560" t="str">
        <f t="shared" si="93"/>
        <v>&gt;360</v>
      </c>
      <c r="L2560" s="11">
        <v>45748</v>
      </c>
      <c r="M2560" s="23">
        <f>YEAR(Таблица1[[#This Row],[Дата отчета]])</f>
        <v>2025</v>
      </c>
    </row>
    <row r="2561" spans="1:14" x14ac:dyDescent="0.25">
      <c r="A2561" t="s">
        <v>12</v>
      </c>
      <c r="B2561" t="s">
        <v>684</v>
      </c>
      <c r="C2561" t="s">
        <v>685</v>
      </c>
      <c r="D2561" t="s">
        <v>2663</v>
      </c>
      <c r="E2561" t="s">
        <v>1765</v>
      </c>
      <c r="F2561" s="20">
        <v>25980.98</v>
      </c>
      <c r="I2561" s="11">
        <f t="shared" si="91"/>
        <v>45735</v>
      </c>
      <c r="J2561" s="12">
        <f t="shared" si="92"/>
        <v>13</v>
      </c>
      <c r="K2561" t="str">
        <f t="shared" si="93"/>
        <v>0-30</v>
      </c>
      <c r="L2561" s="11">
        <v>45748</v>
      </c>
      <c r="M2561" s="23">
        <f>YEAR(Таблица1[[#This Row],[Дата отчета]])</f>
        <v>2025</v>
      </c>
    </row>
    <row r="2562" spans="1:14" x14ac:dyDescent="0.25">
      <c r="A2562" t="s">
        <v>12</v>
      </c>
      <c r="B2562" t="s">
        <v>684</v>
      </c>
      <c r="C2562" t="s">
        <v>685</v>
      </c>
      <c r="D2562" t="s">
        <v>2664</v>
      </c>
      <c r="E2562" t="s">
        <v>1787</v>
      </c>
      <c r="F2562" s="20">
        <v>645910.02</v>
      </c>
      <c r="I2562" s="11">
        <f t="shared" si="91"/>
        <v>45742</v>
      </c>
      <c r="J2562" s="12">
        <f t="shared" si="92"/>
        <v>6</v>
      </c>
      <c r="K2562" t="str">
        <f t="shared" si="93"/>
        <v>0-30</v>
      </c>
      <c r="L2562" s="11">
        <v>45748</v>
      </c>
      <c r="M2562" s="23">
        <f>YEAR(Таблица1[[#This Row],[Дата отчета]])</f>
        <v>2025</v>
      </c>
    </row>
    <row r="2563" spans="1:14" x14ac:dyDescent="0.25">
      <c r="A2563" t="s">
        <v>12</v>
      </c>
      <c r="B2563" t="s">
        <v>684</v>
      </c>
      <c r="C2563" t="s">
        <v>697</v>
      </c>
      <c r="D2563" t="s">
        <v>698</v>
      </c>
      <c r="E2563" t="s">
        <v>699</v>
      </c>
      <c r="F2563" s="20">
        <v>172161</v>
      </c>
      <c r="I2563" s="11">
        <f t="shared" si="91"/>
        <v>45218</v>
      </c>
      <c r="J2563" s="12">
        <f t="shared" si="92"/>
        <v>530</v>
      </c>
      <c r="K2563" t="str">
        <f t="shared" si="93"/>
        <v>&gt;360</v>
      </c>
      <c r="L2563" s="11">
        <v>45748</v>
      </c>
      <c r="M2563" s="23">
        <f>YEAR(Таблица1[[#This Row],[Дата отчета]])</f>
        <v>2025</v>
      </c>
      <c r="N2563" s="2" t="s">
        <v>4535</v>
      </c>
    </row>
    <row r="2564" spans="1:14" x14ac:dyDescent="0.25">
      <c r="A2564" t="s">
        <v>12</v>
      </c>
      <c r="B2564" t="s">
        <v>712</v>
      </c>
      <c r="C2564" t="s">
        <v>2665</v>
      </c>
      <c r="D2564" t="s">
        <v>2666</v>
      </c>
      <c r="E2564" t="s">
        <v>994</v>
      </c>
      <c r="F2564" s="20">
        <v>350000</v>
      </c>
      <c r="I2564" s="11">
        <f t="shared" si="91"/>
        <v>45741</v>
      </c>
      <c r="J2564" s="12">
        <f t="shared" si="92"/>
        <v>7</v>
      </c>
      <c r="K2564" t="str">
        <f t="shared" si="93"/>
        <v>0-30</v>
      </c>
      <c r="L2564" s="11">
        <v>45748</v>
      </c>
      <c r="M2564" s="23">
        <f>YEAR(Таблица1[[#This Row],[Дата отчета]])</f>
        <v>2025</v>
      </c>
    </row>
    <row r="2565" spans="1:14" x14ac:dyDescent="0.25">
      <c r="A2565" t="s">
        <v>12</v>
      </c>
      <c r="B2565" t="s">
        <v>715</v>
      </c>
      <c r="C2565" t="s">
        <v>2667</v>
      </c>
      <c r="D2565" t="s">
        <v>2668</v>
      </c>
      <c r="E2565" t="s">
        <v>2448</v>
      </c>
      <c r="F2565" s="20">
        <v>31149761.760000002</v>
      </c>
      <c r="I2565" s="11">
        <f t="shared" si="91"/>
        <v>45653</v>
      </c>
      <c r="J2565" s="12">
        <f t="shared" si="92"/>
        <v>95</v>
      </c>
      <c r="K2565" t="str">
        <f t="shared" si="93"/>
        <v>91-120</v>
      </c>
      <c r="L2565" s="11">
        <v>45748</v>
      </c>
      <c r="M2565" s="23">
        <f>YEAR(Таблица1[[#This Row],[Дата отчета]])</f>
        <v>2025</v>
      </c>
    </row>
    <row r="2566" spans="1:14" x14ac:dyDescent="0.25">
      <c r="A2566" t="s">
        <v>12</v>
      </c>
      <c r="B2566" t="s">
        <v>715</v>
      </c>
      <c r="C2566" t="s">
        <v>2667</v>
      </c>
      <c r="D2566" t="s">
        <v>2669</v>
      </c>
      <c r="E2566" t="s">
        <v>2457</v>
      </c>
      <c r="F2566" s="20">
        <v>1124172.49</v>
      </c>
      <c r="I2566" s="11">
        <f t="shared" si="91"/>
        <v>45721</v>
      </c>
      <c r="J2566" s="12">
        <f t="shared" si="92"/>
        <v>27</v>
      </c>
      <c r="K2566" t="str">
        <f t="shared" si="93"/>
        <v>0-30</v>
      </c>
      <c r="L2566" s="11">
        <v>45748</v>
      </c>
      <c r="M2566" s="23">
        <f>YEAR(Таблица1[[#This Row],[Дата отчета]])</f>
        <v>2025</v>
      </c>
    </row>
    <row r="2567" spans="1:14" x14ac:dyDescent="0.25">
      <c r="A2567" t="s">
        <v>12</v>
      </c>
      <c r="B2567" t="s">
        <v>715</v>
      </c>
      <c r="C2567" t="s">
        <v>2667</v>
      </c>
      <c r="D2567" t="s">
        <v>2670</v>
      </c>
      <c r="E2567" t="s">
        <v>2457</v>
      </c>
      <c r="F2567" s="20">
        <v>1149103.51</v>
      </c>
      <c r="I2567" s="11">
        <f t="shared" si="91"/>
        <v>45721</v>
      </c>
      <c r="J2567" s="12">
        <f t="shared" si="92"/>
        <v>27</v>
      </c>
      <c r="K2567" t="str">
        <f t="shared" si="93"/>
        <v>0-30</v>
      </c>
      <c r="L2567" s="11">
        <v>45748</v>
      </c>
      <c r="M2567" s="23">
        <f>YEAR(Таблица1[[#This Row],[Дата отчета]])</f>
        <v>2025</v>
      </c>
    </row>
    <row r="2568" spans="1:14" x14ac:dyDescent="0.25">
      <c r="A2568" t="s">
        <v>12</v>
      </c>
      <c r="B2568" t="s">
        <v>715</v>
      </c>
      <c r="C2568" t="s">
        <v>2667</v>
      </c>
      <c r="D2568" t="s">
        <v>2671</v>
      </c>
      <c r="E2568" t="s">
        <v>2457</v>
      </c>
      <c r="F2568" s="20">
        <v>1167936.31</v>
      </c>
      <c r="I2568" s="11">
        <f t="shared" si="91"/>
        <v>45721</v>
      </c>
      <c r="J2568" s="12">
        <f t="shared" si="92"/>
        <v>27</v>
      </c>
      <c r="K2568" t="str">
        <f t="shared" si="93"/>
        <v>0-30</v>
      </c>
      <c r="L2568" s="11">
        <v>45748</v>
      </c>
      <c r="M2568" s="23">
        <f>YEAR(Таблица1[[#This Row],[Дата отчета]])</f>
        <v>2025</v>
      </c>
    </row>
    <row r="2569" spans="1:14" x14ac:dyDescent="0.25">
      <c r="A2569" t="s">
        <v>12</v>
      </c>
      <c r="B2569" t="s">
        <v>715</v>
      </c>
      <c r="C2569" t="s">
        <v>2667</v>
      </c>
      <c r="D2569" t="s">
        <v>2672</v>
      </c>
      <c r="E2569" t="s">
        <v>2457</v>
      </c>
      <c r="F2569" s="20">
        <v>1176453.19</v>
      </c>
      <c r="I2569" s="11">
        <f t="shared" si="91"/>
        <v>45721</v>
      </c>
      <c r="J2569" s="12">
        <f t="shared" si="92"/>
        <v>27</v>
      </c>
      <c r="K2569" t="str">
        <f t="shared" si="93"/>
        <v>0-30</v>
      </c>
      <c r="L2569" s="11">
        <v>45748</v>
      </c>
      <c r="M2569" s="23">
        <f>YEAR(Таблица1[[#This Row],[Дата отчета]])</f>
        <v>2025</v>
      </c>
    </row>
    <row r="2570" spans="1:14" x14ac:dyDescent="0.25">
      <c r="A2570" t="s">
        <v>12</v>
      </c>
      <c r="B2570" t="s">
        <v>715</v>
      </c>
      <c r="C2570" t="s">
        <v>2667</v>
      </c>
      <c r="D2570" t="s">
        <v>2673</v>
      </c>
      <c r="E2570" t="s">
        <v>2457</v>
      </c>
      <c r="F2570" s="20">
        <v>1182636.19</v>
      </c>
      <c r="I2570" s="11">
        <f t="shared" si="91"/>
        <v>45721</v>
      </c>
      <c r="J2570" s="12">
        <f t="shared" si="92"/>
        <v>27</v>
      </c>
      <c r="K2570" t="str">
        <f t="shared" si="93"/>
        <v>0-30</v>
      </c>
      <c r="L2570" s="11">
        <v>45748</v>
      </c>
      <c r="M2570" s="23">
        <f>YEAR(Таблица1[[#This Row],[Дата отчета]])</f>
        <v>2025</v>
      </c>
    </row>
    <row r="2571" spans="1:14" x14ac:dyDescent="0.25">
      <c r="A2571" t="s">
        <v>12</v>
      </c>
      <c r="B2571" t="s">
        <v>715</v>
      </c>
      <c r="C2571" t="s">
        <v>2667</v>
      </c>
      <c r="D2571" t="s">
        <v>2674</v>
      </c>
      <c r="E2571" t="s">
        <v>2457</v>
      </c>
      <c r="F2571" s="20">
        <v>1185384.19</v>
      </c>
      <c r="I2571" s="11">
        <f t="shared" si="91"/>
        <v>45721</v>
      </c>
      <c r="J2571" s="12">
        <f t="shared" si="92"/>
        <v>27</v>
      </c>
      <c r="K2571" t="str">
        <f t="shared" si="93"/>
        <v>0-30</v>
      </c>
      <c r="L2571" s="11">
        <v>45748</v>
      </c>
      <c r="M2571" s="23">
        <f>YEAR(Таблица1[[#This Row],[Дата отчета]])</f>
        <v>2025</v>
      </c>
    </row>
    <row r="2572" spans="1:14" x14ac:dyDescent="0.25">
      <c r="A2572" t="s">
        <v>12</v>
      </c>
      <c r="B2572" t="s">
        <v>715</v>
      </c>
      <c r="C2572" t="s">
        <v>2667</v>
      </c>
      <c r="D2572" t="s">
        <v>2675</v>
      </c>
      <c r="E2572" t="s">
        <v>2457</v>
      </c>
      <c r="F2572" s="20">
        <v>1199615.78</v>
      </c>
      <c r="I2572" s="11">
        <f t="shared" si="91"/>
        <v>45721</v>
      </c>
      <c r="J2572" s="12">
        <f t="shared" si="92"/>
        <v>27</v>
      </c>
      <c r="K2572" t="str">
        <f t="shared" si="93"/>
        <v>0-30</v>
      </c>
      <c r="L2572" s="11">
        <v>45748</v>
      </c>
      <c r="M2572" s="23">
        <f>YEAR(Таблица1[[#This Row],[Дата отчета]])</f>
        <v>2025</v>
      </c>
    </row>
    <row r="2573" spans="1:14" x14ac:dyDescent="0.25">
      <c r="A2573" t="s">
        <v>12</v>
      </c>
      <c r="B2573" t="s">
        <v>715</v>
      </c>
      <c r="C2573" t="s">
        <v>2667</v>
      </c>
      <c r="D2573" t="s">
        <v>2676</v>
      </c>
      <c r="E2573" t="s">
        <v>2677</v>
      </c>
      <c r="F2573" s="20">
        <v>1154484.31</v>
      </c>
      <c r="I2573" s="11">
        <f t="shared" si="91"/>
        <v>45722</v>
      </c>
      <c r="J2573" s="12">
        <f t="shared" si="92"/>
        <v>26</v>
      </c>
      <c r="K2573" t="str">
        <f t="shared" si="93"/>
        <v>0-30</v>
      </c>
      <c r="L2573" s="11">
        <v>45748</v>
      </c>
      <c r="M2573" s="23">
        <f>YEAR(Таблица1[[#This Row],[Дата отчета]])</f>
        <v>2025</v>
      </c>
    </row>
    <row r="2574" spans="1:14" x14ac:dyDescent="0.25">
      <c r="A2574" t="s">
        <v>12</v>
      </c>
      <c r="B2574" t="s">
        <v>715</v>
      </c>
      <c r="C2574" t="s">
        <v>2667</v>
      </c>
      <c r="D2574" t="s">
        <v>2678</v>
      </c>
      <c r="E2574" t="s">
        <v>2677</v>
      </c>
      <c r="F2574" s="20">
        <v>1157847.31</v>
      </c>
      <c r="I2574" s="11">
        <f t="shared" si="91"/>
        <v>45722</v>
      </c>
      <c r="J2574" s="12">
        <f t="shared" si="92"/>
        <v>26</v>
      </c>
      <c r="K2574" t="str">
        <f t="shared" si="93"/>
        <v>0-30</v>
      </c>
      <c r="L2574" s="11">
        <v>45748</v>
      </c>
      <c r="M2574" s="23">
        <f>YEAR(Таблица1[[#This Row],[Дата отчета]])</f>
        <v>2025</v>
      </c>
    </row>
    <row r="2575" spans="1:14" x14ac:dyDescent="0.25">
      <c r="A2575" t="s">
        <v>12</v>
      </c>
      <c r="B2575" t="s">
        <v>715</v>
      </c>
      <c r="C2575" t="s">
        <v>2667</v>
      </c>
      <c r="D2575" t="s">
        <v>2679</v>
      </c>
      <c r="E2575" t="s">
        <v>2677</v>
      </c>
      <c r="F2575" s="20">
        <v>1165245.9099999999</v>
      </c>
      <c r="I2575" s="11">
        <f t="shared" si="91"/>
        <v>45722</v>
      </c>
      <c r="J2575" s="12">
        <f t="shared" si="92"/>
        <v>26</v>
      </c>
      <c r="K2575" t="str">
        <f t="shared" si="93"/>
        <v>0-30</v>
      </c>
      <c r="L2575" s="11">
        <v>45748</v>
      </c>
      <c r="M2575" s="23">
        <f>YEAR(Таблица1[[#This Row],[Дата отчета]])</f>
        <v>2025</v>
      </c>
    </row>
    <row r="2576" spans="1:14" x14ac:dyDescent="0.25">
      <c r="A2576" t="s">
        <v>12</v>
      </c>
      <c r="B2576" t="s">
        <v>715</v>
      </c>
      <c r="C2576" t="s">
        <v>2667</v>
      </c>
      <c r="D2576" t="s">
        <v>2680</v>
      </c>
      <c r="E2576" t="s">
        <v>2677</v>
      </c>
      <c r="F2576" s="20">
        <v>1219154.8</v>
      </c>
      <c r="I2576" s="11">
        <f t="shared" si="91"/>
        <v>45722</v>
      </c>
      <c r="J2576" s="12">
        <f t="shared" si="92"/>
        <v>26</v>
      </c>
      <c r="K2576" t="str">
        <f t="shared" si="93"/>
        <v>0-30</v>
      </c>
      <c r="L2576" s="11">
        <v>45748</v>
      </c>
      <c r="M2576" s="23">
        <f>YEAR(Таблица1[[#This Row],[Дата отчета]])</f>
        <v>2025</v>
      </c>
    </row>
    <row r="2577" spans="1:13" x14ac:dyDescent="0.25">
      <c r="A2577" t="s">
        <v>12</v>
      </c>
      <c r="B2577" t="s">
        <v>715</v>
      </c>
      <c r="C2577" t="s">
        <v>2667</v>
      </c>
      <c r="D2577" t="s">
        <v>2681</v>
      </c>
      <c r="E2577" t="s">
        <v>91</v>
      </c>
      <c r="F2577" s="20">
        <v>1214272.54</v>
      </c>
      <c r="I2577" s="11">
        <f t="shared" si="91"/>
        <v>45723</v>
      </c>
      <c r="J2577" s="12">
        <f t="shared" si="92"/>
        <v>25</v>
      </c>
      <c r="K2577" t="str">
        <f t="shared" si="93"/>
        <v>0-30</v>
      </c>
      <c r="L2577" s="11">
        <v>45748</v>
      </c>
      <c r="M2577" s="23">
        <f>YEAR(Таблица1[[#This Row],[Дата отчета]])</f>
        <v>2025</v>
      </c>
    </row>
    <row r="2578" spans="1:13" x14ac:dyDescent="0.25">
      <c r="A2578" t="s">
        <v>12</v>
      </c>
      <c r="B2578" t="s">
        <v>715</v>
      </c>
      <c r="C2578" t="s">
        <v>2667</v>
      </c>
      <c r="D2578" t="s">
        <v>2682</v>
      </c>
      <c r="E2578" t="s">
        <v>2683</v>
      </c>
      <c r="F2578" s="20">
        <v>1095867.22</v>
      </c>
      <c r="I2578" s="11">
        <f t="shared" si="91"/>
        <v>45726</v>
      </c>
      <c r="J2578" s="12">
        <f t="shared" si="92"/>
        <v>22</v>
      </c>
      <c r="K2578" t="str">
        <f t="shared" si="93"/>
        <v>0-30</v>
      </c>
      <c r="L2578" s="11">
        <v>45748</v>
      </c>
      <c r="M2578" s="23">
        <f>YEAR(Таблица1[[#This Row],[Дата отчета]])</f>
        <v>2025</v>
      </c>
    </row>
    <row r="2579" spans="1:13" x14ac:dyDescent="0.25">
      <c r="A2579" t="s">
        <v>12</v>
      </c>
      <c r="B2579" t="s">
        <v>715</v>
      </c>
      <c r="C2579" t="s">
        <v>2667</v>
      </c>
      <c r="D2579" t="s">
        <v>2684</v>
      </c>
      <c r="E2579" t="s">
        <v>2683</v>
      </c>
      <c r="F2579" s="20">
        <v>1099444.46</v>
      </c>
      <c r="I2579" s="11">
        <f t="shared" si="91"/>
        <v>45726</v>
      </c>
      <c r="J2579" s="12">
        <f t="shared" si="92"/>
        <v>22</v>
      </c>
      <c r="K2579" t="str">
        <f t="shared" si="93"/>
        <v>0-30</v>
      </c>
      <c r="L2579" s="11">
        <v>45748</v>
      </c>
      <c r="M2579" s="23">
        <f>YEAR(Таблица1[[#This Row],[Дата отчета]])</f>
        <v>2025</v>
      </c>
    </row>
    <row r="2580" spans="1:13" x14ac:dyDescent="0.25">
      <c r="A2580" t="s">
        <v>12</v>
      </c>
      <c r="B2580" t="s">
        <v>715</v>
      </c>
      <c r="C2580" t="s">
        <v>2667</v>
      </c>
      <c r="D2580" t="s">
        <v>2685</v>
      </c>
      <c r="E2580" t="s">
        <v>2683</v>
      </c>
      <c r="F2580" s="20">
        <v>1105087.46</v>
      </c>
      <c r="I2580" s="11">
        <f t="shared" si="91"/>
        <v>45726</v>
      </c>
      <c r="J2580" s="12">
        <f t="shared" si="92"/>
        <v>22</v>
      </c>
      <c r="K2580" t="str">
        <f t="shared" si="93"/>
        <v>0-30</v>
      </c>
      <c r="L2580" s="11">
        <v>45748</v>
      </c>
      <c r="M2580" s="23">
        <f>YEAR(Таблица1[[#This Row],[Дата отчета]])</f>
        <v>2025</v>
      </c>
    </row>
    <row r="2581" spans="1:13" x14ac:dyDescent="0.25">
      <c r="A2581" t="s">
        <v>12</v>
      </c>
      <c r="B2581" t="s">
        <v>715</v>
      </c>
      <c r="C2581" t="s">
        <v>2667</v>
      </c>
      <c r="D2581" t="s">
        <v>2686</v>
      </c>
      <c r="E2581" t="s">
        <v>2683</v>
      </c>
      <c r="F2581" s="20">
        <v>1111623.92</v>
      </c>
      <c r="I2581" s="11">
        <f t="shared" si="91"/>
        <v>45726</v>
      </c>
      <c r="J2581" s="12">
        <f t="shared" si="92"/>
        <v>22</v>
      </c>
      <c r="K2581" t="str">
        <f t="shared" si="93"/>
        <v>0-30</v>
      </c>
      <c r="L2581" s="11">
        <v>45748</v>
      </c>
      <c r="M2581" s="23">
        <f>YEAR(Таблица1[[#This Row],[Дата отчета]])</f>
        <v>2025</v>
      </c>
    </row>
    <row r="2582" spans="1:13" x14ac:dyDescent="0.25">
      <c r="A2582" t="s">
        <v>12</v>
      </c>
      <c r="B2582" t="s">
        <v>715</v>
      </c>
      <c r="C2582" t="s">
        <v>2667</v>
      </c>
      <c r="D2582" t="s">
        <v>2687</v>
      </c>
      <c r="E2582" t="s">
        <v>2683</v>
      </c>
      <c r="F2582" s="20">
        <v>1145706.8799999999</v>
      </c>
      <c r="I2582" s="11">
        <f t="shared" ref="I2582:I2645" si="94">E2582*1</f>
        <v>45726</v>
      </c>
      <c r="J2582" s="12">
        <f t="shared" ref="J2582:J2645" si="95">L2582-I2582</f>
        <v>22</v>
      </c>
      <c r="K2582" t="str">
        <f t="shared" si="93"/>
        <v>0-30</v>
      </c>
      <c r="L2582" s="11">
        <v>45748</v>
      </c>
      <c r="M2582" s="23">
        <f>YEAR(Таблица1[[#This Row],[Дата отчета]])</f>
        <v>2025</v>
      </c>
    </row>
    <row r="2583" spans="1:13" x14ac:dyDescent="0.25">
      <c r="A2583" t="s">
        <v>12</v>
      </c>
      <c r="B2583" t="s">
        <v>715</v>
      </c>
      <c r="C2583" t="s">
        <v>2667</v>
      </c>
      <c r="D2583" t="s">
        <v>2688</v>
      </c>
      <c r="E2583" t="s">
        <v>1259</v>
      </c>
      <c r="F2583" s="20">
        <v>1131083.83</v>
      </c>
      <c r="I2583" s="11">
        <f t="shared" si="94"/>
        <v>45727</v>
      </c>
      <c r="J2583" s="12">
        <f t="shared" si="95"/>
        <v>21</v>
      </c>
      <c r="K2583" t="str">
        <f t="shared" si="93"/>
        <v>0-30</v>
      </c>
      <c r="L2583" s="11">
        <v>45748</v>
      </c>
      <c r="M2583" s="23">
        <f>YEAR(Таблица1[[#This Row],[Дата отчета]])</f>
        <v>2025</v>
      </c>
    </row>
    <row r="2584" spans="1:13" x14ac:dyDescent="0.25">
      <c r="A2584" t="s">
        <v>12</v>
      </c>
      <c r="B2584" t="s">
        <v>715</v>
      </c>
      <c r="C2584" t="s">
        <v>2667</v>
      </c>
      <c r="D2584" t="s">
        <v>2689</v>
      </c>
      <c r="E2584" t="s">
        <v>1259</v>
      </c>
      <c r="F2584" s="20">
        <v>1150204.54</v>
      </c>
      <c r="I2584" s="11">
        <f t="shared" si="94"/>
        <v>45727</v>
      </c>
      <c r="J2584" s="12">
        <f t="shared" si="95"/>
        <v>21</v>
      </c>
      <c r="K2584" t="str">
        <f t="shared" si="93"/>
        <v>0-30</v>
      </c>
      <c r="L2584" s="11">
        <v>45748</v>
      </c>
      <c r="M2584" s="23">
        <f>YEAR(Таблица1[[#This Row],[Дата отчета]])</f>
        <v>2025</v>
      </c>
    </row>
    <row r="2585" spans="1:13" x14ac:dyDescent="0.25">
      <c r="A2585" t="s">
        <v>12</v>
      </c>
      <c r="B2585" t="s">
        <v>715</v>
      </c>
      <c r="C2585" t="s">
        <v>2667</v>
      </c>
      <c r="D2585" t="s">
        <v>2690</v>
      </c>
      <c r="E2585" t="s">
        <v>2454</v>
      </c>
      <c r="F2585" s="20">
        <v>1035753.35</v>
      </c>
      <c r="I2585" s="11">
        <f t="shared" si="94"/>
        <v>45733</v>
      </c>
      <c r="J2585" s="12">
        <f t="shared" si="95"/>
        <v>15</v>
      </c>
      <c r="K2585" t="str">
        <f t="shared" si="93"/>
        <v>0-30</v>
      </c>
      <c r="L2585" s="11">
        <v>45748</v>
      </c>
      <c r="M2585" s="23">
        <f>YEAR(Таблица1[[#This Row],[Дата отчета]])</f>
        <v>2025</v>
      </c>
    </row>
    <row r="2586" spans="1:13" x14ac:dyDescent="0.25">
      <c r="A2586" t="s">
        <v>12</v>
      </c>
      <c r="B2586" t="s">
        <v>715</v>
      </c>
      <c r="C2586" t="s">
        <v>2667</v>
      </c>
      <c r="D2586" t="s">
        <v>2691</v>
      </c>
      <c r="E2586" t="s">
        <v>2454</v>
      </c>
      <c r="F2586" s="20">
        <v>1087994.74</v>
      </c>
      <c r="I2586" s="11">
        <f t="shared" si="94"/>
        <v>45733</v>
      </c>
      <c r="J2586" s="12">
        <f t="shared" si="95"/>
        <v>15</v>
      </c>
      <c r="K2586" t="str">
        <f t="shared" si="93"/>
        <v>0-30</v>
      </c>
      <c r="L2586" s="11">
        <v>45748</v>
      </c>
      <c r="M2586" s="23">
        <f>YEAR(Таблица1[[#This Row],[Дата отчета]])</f>
        <v>2025</v>
      </c>
    </row>
    <row r="2587" spans="1:13" x14ac:dyDescent="0.25">
      <c r="A2587" t="s">
        <v>12</v>
      </c>
      <c r="B2587" t="s">
        <v>715</v>
      </c>
      <c r="C2587" t="s">
        <v>2667</v>
      </c>
      <c r="D2587" t="s">
        <v>2692</v>
      </c>
      <c r="E2587" t="s">
        <v>2454</v>
      </c>
      <c r="F2587" s="20">
        <v>1135873.1599999999</v>
      </c>
      <c r="I2587" s="11">
        <f t="shared" si="94"/>
        <v>45733</v>
      </c>
      <c r="J2587" s="12">
        <f t="shared" si="95"/>
        <v>15</v>
      </c>
      <c r="K2587" t="str">
        <f t="shared" si="93"/>
        <v>0-30</v>
      </c>
      <c r="L2587" s="11">
        <v>45748</v>
      </c>
      <c r="M2587" s="23">
        <f>YEAR(Таблица1[[#This Row],[Дата отчета]])</f>
        <v>2025</v>
      </c>
    </row>
    <row r="2588" spans="1:13" x14ac:dyDescent="0.25">
      <c r="A2588" t="s">
        <v>12</v>
      </c>
      <c r="B2588" t="s">
        <v>715</v>
      </c>
      <c r="C2588" t="s">
        <v>2667</v>
      </c>
      <c r="D2588" t="s">
        <v>2693</v>
      </c>
      <c r="E2588" t="s">
        <v>2462</v>
      </c>
      <c r="F2588" s="20">
        <v>1039342.55</v>
      </c>
      <c r="I2588" s="11">
        <f t="shared" si="94"/>
        <v>45734</v>
      </c>
      <c r="J2588" s="12">
        <f t="shared" si="95"/>
        <v>14</v>
      </c>
      <c r="K2588" t="str">
        <f t="shared" si="93"/>
        <v>0-30</v>
      </c>
      <c r="L2588" s="11">
        <v>45748</v>
      </c>
      <c r="M2588" s="23">
        <f>YEAR(Таблица1[[#This Row],[Дата отчета]])</f>
        <v>2025</v>
      </c>
    </row>
    <row r="2589" spans="1:13" x14ac:dyDescent="0.25">
      <c r="A2589" t="s">
        <v>12</v>
      </c>
      <c r="B2589" t="s">
        <v>715</v>
      </c>
      <c r="C2589" t="s">
        <v>2667</v>
      </c>
      <c r="D2589" t="s">
        <v>2694</v>
      </c>
      <c r="E2589" t="s">
        <v>2462</v>
      </c>
      <c r="F2589" s="20">
        <v>1210150.54</v>
      </c>
      <c r="I2589" s="11">
        <f t="shared" si="94"/>
        <v>45734</v>
      </c>
      <c r="J2589" s="12">
        <f t="shared" si="95"/>
        <v>14</v>
      </c>
      <c r="K2589" t="str">
        <f t="shared" si="93"/>
        <v>0-30</v>
      </c>
      <c r="L2589" s="11">
        <v>45748</v>
      </c>
      <c r="M2589" s="23">
        <f>YEAR(Таблица1[[#This Row],[Дата отчета]])</f>
        <v>2025</v>
      </c>
    </row>
    <row r="2590" spans="1:13" x14ac:dyDescent="0.25">
      <c r="A2590" t="s">
        <v>12</v>
      </c>
      <c r="B2590" t="s">
        <v>715</v>
      </c>
      <c r="C2590" t="s">
        <v>2667</v>
      </c>
      <c r="D2590" t="s">
        <v>2695</v>
      </c>
      <c r="E2590" t="s">
        <v>1765</v>
      </c>
      <c r="F2590" s="20">
        <v>1091920.46</v>
      </c>
      <c r="I2590" s="11">
        <f t="shared" si="94"/>
        <v>45735</v>
      </c>
      <c r="J2590" s="12">
        <f t="shared" si="95"/>
        <v>13</v>
      </c>
      <c r="K2590" t="str">
        <f t="shared" si="93"/>
        <v>0-30</v>
      </c>
      <c r="L2590" s="11">
        <v>45748</v>
      </c>
      <c r="M2590" s="23">
        <f>YEAR(Таблица1[[#This Row],[Дата отчета]])</f>
        <v>2025</v>
      </c>
    </row>
    <row r="2591" spans="1:13" x14ac:dyDescent="0.25">
      <c r="A2591" t="s">
        <v>12</v>
      </c>
      <c r="B2591" t="s">
        <v>715</v>
      </c>
      <c r="C2591" t="s">
        <v>2667</v>
      </c>
      <c r="D2591" t="s">
        <v>2696</v>
      </c>
      <c r="E2591" t="s">
        <v>1765</v>
      </c>
      <c r="F2591" s="20">
        <v>1100071.46</v>
      </c>
      <c r="I2591" s="11">
        <f t="shared" si="94"/>
        <v>45735</v>
      </c>
      <c r="J2591" s="12">
        <f t="shared" si="95"/>
        <v>13</v>
      </c>
      <c r="K2591" t="str">
        <f t="shared" si="93"/>
        <v>0-30</v>
      </c>
      <c r="L2591" s="11">
        <v>45748</v>
      </c>
      <c r="M2591" s="23">
        <f>YEAR(Таблица1[[#This Row],[Дата отчета]])</f>
        <v>2025</v>
      </c>
    </row>
    <row r="2592" spans="1:13" x14ac:dyDescent="0.25">
      <c r="A2592" t="s">
        <v>12</v>
      </c>
      <c r="B2592" t="s">
        <v>715</v>
      </c>
      <c r="C2592" t="s">
        <v>2667</v>
      </c>
      <c r="D2592" t="s">
        <v>2697</v>
      </c>
      <c r="E2592" t="s">
        <v>1765</v>
      </c>
      <c r="F2592" s="20">
        <v>1107595.46</v>
      </c>
      <c r="I2592" s="11">
        <f t="shared" si="94"/>
        <v>45735</v>
      </c>
      <c r="J2592" s="12">
        <f t="shared" si="95"/>
        <v>13</v>
      </c>
      <c r="K2592" t="str">
        <f t="shared" si="93"/>
        <v>0-30</v>
      </c>
      <c r="L2592" s="11">
        <v>45748</v>
      </c>
      <c r="M2592" s="23">
        <f>YEAR(Таблица1[[#This Row],[Дата отчета]])</f>
        <v>2025</v>
      </c>
    </row>
    <row r="2593" spans="1:13" x14ac:dyDescent="0.25">
      <c r="A2593" t="s">
        <v>12</v>
      </c>
      <c r="B2593" t="s">
        <v>715</v>
      </c>
      <c r="C2593" t="s">
        <v>2667</v>
      </c>
      <c r="D2593" t="s">
        <v>2698</v>
      </c>
      <c r="E2593" t="s">
        <v>2461</v>
      </c>
      <c r="F2593" s="20">
        <v>1087500.1100000001</v>
      </c>
      <c r="I2593" s="11">
        <f t="shared" si="94"/>
        <v>45736</v>
      </c>
      <c r="J2593" s="12">
        <f t="shared" si="95"/>
        <v>12</v>
      </c>
      <c r="K2593" t="str">
        <f t="shared" si="93"/>
        <v>0-30</v>
      </c>
      <c r="L2593" s="11">
        <v>45748</v>
      </c>
      <c r="M2593" s="23">
        <f>YEAR(Таблица1[[#This Row],[Дата отчета]])</f>
        <v>2025</v>
      </c>
    </row>
    <row r="2594" spans="1:13" x14ac:dyDescent="0.25">
      <c r="A2594" t="s">
        <v>12</v>
      </c>
      <c r="B2594" t="s">
        <v>715</v>
      </c>
      <c r="C2594" t="s">
        <v>2667</v>
      </c>
      <c r="D2594" t="s">
        <v>2699</v>
      </c>
      <c r="E2594" t="s">
        <v>2461</v>
      </c>
      <c r="F2594" s="20">
        <v>1101952.46</v>
      </c>
      <c r="I2594" s="11">
        <f t="shared" si="94"/>
        <v>45736</v>
      </c>
      <c r="J2594" s="12">
        <f t="shared" si="95"/>
        <v>12</v>
      </c>
      <c r="K2594" t="str">
        <f t="shared" si="93"/>
        <v>0-30</v>
      </c>
      <c r="L2594" s="11">
        <v>45748</v>
      </c>
      <c r="M2594" s="23">
        <f>YEAR(Таблица1[[#This Row],[Дата отчета]])</f>
        <v>2025</v>
      </c>
    </row>
    <row r="2595" spans="1:13" x14ac:dyDescent="0.25">
      <c r="A2595" t="s">
        <v>12</v>
      </c>
      <c r="B2595" t="s">
        <v>715</v>
      </c>
      <c r="C2595" t="s">
        <v>2667</v>
      </c>
      <c r="D2595" t="s">
        <v>2700</v>
      </c>
      <c r="E2595" t="s">
        <v>2461</v>
      </c>
      <c r="F2595" s="20">
        <v>1110730.46</v>
      </c>
      <c r="I2595" s="11">
        <f t="shared" si="94"/>
        <v>45736</v>
      </c>
      <c r="J2595" s="12">
        <f t="shared" si="95"/>
        <v>12</v>
      </c>
      <c r="K2595" t="str">
        <f t="shared" si="93"/>
        <v>0-30</v>
      </c>
      <c r="L2595" s="11">
        <v>45748</v>
      </c>
      <c r="M2595" s="23">
        <f>YEAR(Таблица1[[#This Row],[Дата отчета]])</f>
        <v>2025</v>
      </c>
    </row>
    <row r="2596" spans="1:13" x14ac:dyDescent="0.25">
      <c r="A2596" t="s">
        <v>12</v>
      </c>
      <c r="B2596" t="s">
        <v>715</v>
      </c>
      <c r="C2596" t="s">
        <v>2667</v>
      </c>
      <c r="D2596" t="s">
        <v>2701</v>
      </c>
      <c r="E2596" t="s">
        <v>2576</v>
      </c>
      <c r="F2596" s="20">
        <v>1091262.1100000001</v>
      </c>
      <c r="I2596" s="11">
        <f t="shared" si="94"/>
        <v>45740</v>
      </c>
      <c r="J2596" s="12">
        <f t="shared" si="95"/>
        <v>8</v>
      </c>
      <c r="K2596" t="str">
        <f t="shared" si="93"/>
        <v>0-30</v>
      </c>
      <c r="L2596" s="11">
        <v>45748</v>
      </c>
      <c r="M2596" s="23">
        <f>YEAR(Таблица1[[#This Row],[Дата отчета]])</f>
        <v>2025</v>
      </c>
    </row>
    <row r="2597" spans="1:13" x14ac:dyDescent="0.25">
      <c r="A2597" t="s">
        <v>12</v>
      </c>
      <c r="B2597" t="s">
        <v>715</v>
      </c>
      <c r="C2597" t="s">
        <v>2667</v>
      </c>
      <c r="D2597" t="s">
        <v>2702</v>
      </c>
      <c r="E2597" t="s">
        <v>2576</v>
      </c>
      <c r="F2597" s="20">
        <v>1092547.46</v>
      </c>
      <c r="I2597" s="11">
        <f t="shared" si="94"/>
        <v>45740</v>
      </c>
      <c r="J2597" s="12">
        <f t="shared" si="95"/>
        <v>8</v>
      </c>
      <c r="K2597" t="str">
        <f t="shared" si="93"/>
        <v>0-30</v>
      </c>
      <c r="L2597" s="11">
        <v>45748</v>
      </c>
      <c r="M2597" s="23">
        <f>YEAR(Таблица1[[#This Row],[Дата отчета]])</f>
        <v>2025</v>
      </c>
    </row>
    <row r="2598" spans="1:13" x14ac:dyDescent="0.25">
      <c r="A2598" t="s">
        <v>12</v>
      </c>
      <c r="B2598" t="s">
        <v>715</v>
      </c>
      <c r="C2598" t="s">
        <v>2667</v>
      </c>
      <c r="D2598" t="s">
        <v>2703</v>
      </c>
      <c r="E2598" t="s">
        <v>2576</v>
      </c>
      <c r="F2598" s="20">
        <v>1095055.46</v>
      </c>
      <c r="I2598" s="11">
        <f t="shared" si="94"/>
        <v>45740</v>
      </c>
      <c r="J2598" s="12">
        <f t="shared" si="95"/>
        <v>8</v>
      </c>
      <c r="K2598" t="str">
        <f t="shared" si="93"/>
        <v>0-30</v>
      </c>
      <c r="L2598" s="11">
        <v>45748</v>
      </c>
      <c r="M2598" s="23">
        <f>YEAR(Таблица1[[#This Row],[Дата отчета]])</f>
        <v>2025</v>
      </c>
    </row>
    <row r="2599" spans="1:13" x14ac:dyDescent="0.25">
      <c r="A2599" t="s">
        <v>12</v>
      </c>
      <c r="B2599" t="s">
        <v>715</v>
      </c>
      <c r="C2599" t="s">
        <v>2667</v>
      </c>
      <c r="D2599" t="s">
        <v>2704</v>
      </c>
      <c r="E2599" t="s">
        <v>2576</v>
      </c>
      <c r="F2599" s="20">
        <v>1106341.46</v>
      </c>
      <c r="I2599" s="11">
        <f t="shared" si="94"/>
        <v>45740</v>
      </c>
      <c r="J2599" s="12">
        <f t="shared" si="95"/>
        <v>8</v>
      </c>
      <c r="K2599" t="str">
        <f t="shared" si="93"/>
        <v>0-30</v>
      </c>
      <c r="L2599" s="11">
        <v>45748</v>
      </c>
      <c r="M2599" s="23">
        <f>YEAR(Таблица1[[#This Row],[Дата отчета]])</f>
        <v>2025</v>
      </c>
    </row>
    <row r="2600" spans="1:13" x14ac:dyDescent="0.25">
      <c r="A2600" t="s">
        <v>12</v>
      </c>
      <c r="B2600" t="s">
        <v>715</v>
      </c>
      <c r="C2600" t="s">
        <v>2667</v>
      </c>
      <c r="D2600" t="s">
        <v>2705</v>
      </c>
      <c r="E2600" t="s">
        <v>994</v>
      </c>
      <c r="F2600" s="20">
        <v>1061911.43</v>
      </c>
      <c r="I2600" s="11">
        <f t="shared" si="94"/>
        <v>45741</v>
      </c>
      <c r="J2600" s="12">
        <f t="shared" si="95"/>
        <v>7</v>
      </c>
      <c r="K2600" t="str">
        <f t="shared" si="93"/>
        <v>0-30</v>
      </c>
      <c r="L2600" s="11">
        <v>45748</v>
      </c>
      <c r="M2600" s="23">
        <f>YEAR(Таблица1[[#This Row],[Дата отчета]])</f>
        <v>2025</v>
      </c>
    </row>
    <row r="2601" spans="1:13" x14ac:dyDescent="0.25">
      <c r="A2601" t="s">
        <v>12</v>
      </c>
      <c r="B2601" t="s">
        <v>715</v>
      </c>
      <c r="C2601" t="s">
        <v>2667</v>
      </c>
      <c r="D2601" t="s">
        <v>2706</v>
      </c>
      <c r="E2601" t="s">
        <v>994</v>
      </c>
      <c r="F2601" s="20">
        <v>1061911.43</v>
      </c>
      <c r="I2601" s="11">
        <f t="shared" si="94"/>
        <v>45741</v>
      </c>
      <c r="J2601" s="12">
        <f t="shared" si="95"/>
        <v>7</v>
      </c>
      <c r="K2601" t="str">
        <f t="shared" si="93"/>
        <v>0-30</v>
      </c>
      <c r="L2601" s="11">
        <v>45748</v>
      </c>
      <c r="M2601" s="23">
        <f>YEAR(Таблица1[[#This Row],[Дата отчета]])</f>
        <v>2025</v>
      </c>
    </row>
    <row r="2602" spans="1:13" x14ac:dyDescent="0.25">
      <c r="A2602" t="s">
        <v>12</v>
      </c>
      <c r="B2602" t="s">
        <v>715</v>
      </c>
      <c r="C2602" t="s">
        <v>2667</v>
      </c>
      <c r="D2602" t="s">
        <v>2707</v>
      </c>
      <c r="E2602" t="s">
        <v>994</v>
      </c>
      <c r="F2602" s="20">
        <v>1063749.23</v>
      </c>
      <c r="I2602" s="11">
        <f t="shared" si="94"/>
        <v>45741</v>
      </c>
      <c r="J2602" s="12">
        <f t="shared" si="95"/>
        <v>7</v>
      </c>
      <c r="K2602" t="str">
        <f t="shared" si="93"/>
        <v>0-30</v>
      </c>
      <c r="L2602" s="11">
        <v>45748</v>
      </c>
      <c r="M2602" s="23">
        <f>YEAR(Таблица1[[#This Row],[Дата отчета]])</f>
        <v>2025</v>
      </c>
    </row>
    <row r="2603" spans="1:13" x14ac:dyDescent="0.25">
      <c r="A2603" t="s">
        <v>12</v>
      </c>
      <c r="B2603" t="s">
        <v>715</v>
      </c>
      <c r="C2603" t="s">
        <v>2667</v>
      </c>
      <c r="D2603" t="s">
        <v>2708</v>
      </c>
      <c r="E2603" t="s">
        <v>994</v>
      </c>
      <c r="F2603" s="20">
        <v>1160677.44</v>
      </c>
      <c r="I2603" s="11">
        <f t="shared" si="94"/>
        <v>45741</v>
      </c>
      <c r="J2603" s="12">
        <f t="shared" si="95"/>
        <v>7</v>
      </c>
      <c r="K2603" t="str">
        <f t="shared" si="93"/>
        <v>0-30</v>
      </c>
      <c r="L2603" s="11">
        <v>45748</v>
      </c>
      <c r="M2603" s="23">
        <f>YEAR(Таблица1[[#This Row],[Дата отчета]])</f>
        <v>2025</v>
      </c>
    </row>
    <row r="2604" spans="1:13" x14ac:dyDescent="0.25">
      <c r="A2604" t="s">
        <v>12</v>
      </c>
      <c r="B2604" t="s">
        <v>715</v>
      </c>
      <c r="C2604" t="s">
        <v>2667</v>
      </c>
      <c r="D2604" t="s">
        <v>2709</v>
      </c>
      <c r="E2604" t="s">
        <v>1787</v>
      </c>
      <c r="F2604" s="20">
        <v>1034142.41</v>
      </c>
      <c r="I2604" s="11">
        <f t="shared" si="94"/>
        <v>45742</v>
      </c>
      <c r="J2604" s="12">
        <f t="shared" si="95"/>
        <v>6</v>
      </c>
      <c r="K2604" t="str">
        <f t="shared" si="93"/>
        <v>0-30</v>
      </c>
      <c r="L2604" s="11">
        <v>45748</v>
      </c>
      <c r="M2604" s="23">
        <f>YEAR(Таблица1[[#This Row],[Дата отчета]])</f>
        <v>2025</v>
      </c>
    </row>
    <row r="2605" spans="1:13" x14ac:dyDescent="0.25">
      <c r="A2605" t="s">
        <v>12</v>
      </c>
      <c r="B2605" t="s">
        <v>715</v>
      </c>
      <c r="C2605" t="s">
        <v>2667</v>
      </c>
      <c r="D2605" t="s">
        <v>2710</v>
      </c>
      <c r="E2605" t="s">
        <v>1787</v>
      </c>
      <c r="F2605" s="20">
        <v>1061177.4099999999</v>
      </c>
      <c r="I2605" s="11">
        <f t="shared" si="94"/>
        <v>45742</v>
      </c>
      <c r="J2605" s="12">
        <f t="shared" si="95"/>
        <v>6</v>
      </c>
      <c r="K2605" t="str">
        <f t="shared" si="93"/>
        <v>0-30</v>
      </c>
      <c r="L2605" s="11">
        <v>45748</v>
      </c>
      <c r="M2605" s="23">
        <f>YEAR(Таблица1[[#This Row],[Дата отчета]])</f>
        <v>2025</v>
      </c>
    </row>
    <row r="2606" spans="1:13" x14ac:dyDescent="0.25">
      <c r="A2606" t="s">
        <v>12</v>
      </c>
      <c r="B2606" t="s">
        <v>715</v>
      </c>
      <c r="C2606" t="s">
        <v>2667</v>
      </c>
      <c r="D2606" t="s">
        <v>2711</v>
      </c>
      <c r="E2606" t="s">
        <v>1787</v>
      </c>
      <c r="F2606" s="20">
        <v>1078722.1100000001</v>
      </c>
      <c r="I2606" s="11">
        <f t="shared" si="94"/>
        <v>45742</v>
      </c>
      <c r="J2606" s="12">
        <f t="shared" si="95"/>
        <v>6</v>
      </c>
      <c r="K2606" t="str">
        <f t="shared" si="93"/>
        <v>0-30</v>
      </c>
      <c r="L2606" s="11">
        <v>45748</v>
      </c>
      <c r="M2606" s="23">
        <f>YEAR(Таблица1[[#This Row],[Дата отчета]])</f>
        <v>2025</v>
      </c>
    </row>
    <row r="2607" spans="1:13" x14ac:dyDescent="0.25">
      <c r="A2607" t="s">
        <v>12</v>
      </c>
      <c r="B2607" t="s">
        <v>715</v>
      </c>
      <c r="C2607" t="s">
        <v>2667</v>
      </c>
      <c r="D2607" t="s">
        <v>2712</v>
      </c>
      <c r="E2607" t="s">
        <v>1787</v>
      </c>
      <c r="F2607" s="20">
        <v>1085619.1100000001</v>
      </c>
      <c r="I2607" s="11">
        <f t="shared" si="94"/>
        <v>45742</v>
      </c>
      <c r="J2607" s="12">
        <f t="shared" si="95"/>
        <v>6</v>
      </c>
      <c r="K2607" t="str">
        <f t="shared" si="93"/>
        <v>0-30</v>
      </c>
      <c r="L2607" s="11">
        <v>45748</v>
      </c>
      <c r="M2607" s="23">
        <f>YEAR(Таблица1[[#This Row],[Дата отчета]])</f>
        <v>2025</v>
      </c>
    </row>
    <row r="2608" spans="1:13" x14ac:dyDescent="0.25">
      <c r="A2608" t="s">
        <v>12</v>
      </c>
      <c r="B2608" t="s">
        <v>715</v>
      </c>
      <c r="C2608" t="s">
        <v>2667</v>
      </c>
      <c r="D2608" t="s">
        <v>2713</v>
      </c>
      <c r="E2608" t="s">
        <v>1812</v>
      </c>
      <c r="F2608" s="20">
        <v>1052486.08</v>
      </c>
      <c r="I2608" s="11">
        <f t="shared" si="94"/>
        <v>45744</v>
      </c>
      <c r="J2608" s="12">
        <f t="shared" si="95"/>
        <v>4</v>
      </c>
      <c r="K2608" t="str">
        <f t="shared" si="93"/>
        <v>0-30</v>
      </c>
      <c r="L2608" s="11">
        <v>45748</v>
      </c>
      <c r="M2608" s="23">
        <f>YEAR(Таблица1[[#This Row],[Дата отчета]])</f>
        <v>2025</v>
      </c>
    </row>
    <row r="2609" spans="1:14" x14ac:dyDescent="0.25">
      <c r="A2609" t="s">
        <v>12</v>
      </c>
      <c r="B2609" t="s">
        <v>715</v>
      </c>
      <c r="C2609" t="s">
        <v>2667</v>
      </c>
      <c r="D2609" t="s">
        <v>2714</v>
      </c>
      <c r="E2609" t="s">
        <v>1812</v>
      </c>
      <c r="F2609" s="20">
        <v>1062414.6100000001</v>
      </c>
      <c r="I2609" s="11">
        <f t="shared" si="94"/>
        <v>45744</v>
      </c>
      <c r="J2609" s="12">
        <f t="shared" si="95"/>
        <v>4</v>
      </c>
      <c r="K2609" t="str">
        <f t="shared" si="93"/>
        <v>0-30</v>
      </c>
      <c r="L2609" s="11">
        <v>45748</v>
      </c>
      <c r="M2609" s="23">
        <f>YEAR(Таблица1[[#This Row],[Дата отчета]])</f>
        <v>2025</v>
      </c>
    </row>
    <row r="2610" spans="1:14" x14ac:dyDescent="0.25">
      <c r="A2610" t="s">
        <v>12</v>
      </c>
      <c r="B2610" t="s">
        <v>715</v>
      </c>
      <c r="C2610" t="s">
        <v>2667</v>
      </c>
      <c r="D2610" t="s">
        <v>2715</v>
      </c>
      <c r="E2610" t="s">
        <v>1812</v>
      </c>
      <c r="F2610" s="20">
        <v>1066744.81</v>
      </c>
      <c r="I2610" s="11">
        <f t="shared" si="94"/>
        <v>45744</v>
      </c>
      <c r="J2610" s="12">
        <f t="shared" si="95"/>
        <v>4</v>
      </c>
      <c r="K2610" t="str">
        <f t="shared" si="93"/>
        <v>0-30</v>
      </c>
      <c r="L2610" s="11">
        <v>45748</v>
      </c>
      <c r="M2610" s="23">
        <f>YEAR(Таблица1[[#This Row],[Дата отчета]])</f>
        <v>2025</v>
      </c>
    </row>
    <row r="2611" spans="1:14" x14ac:dyDescent="0.25">
      <c r="A2611" t="s">
        <v>12</v>
      </c>
      <c r="B2611" t="s">
        <v>715</v>
      </c>
      <c r="C2611" t="s">
        <v>2667</v>
      </c>
      <c r="D2611" t="s">
        <v>2716</v>
      </c>
      <c r="E2611" t="s">
        <v>1812</v>
      </c>
      <c r="F2611" s="20">
        <v>1084365.1100000001</v>
      </c>
      <c r="I2611" s="11">
        <f t="shared" si="94"/>
        <v>45744</v>
      </c>
      <c r="J2611" s="12">
        <f t="shared" si="95"/>
        <v>4</v>
      </c>
      <c r="K2611" t="str">
        <f t="shared" si="93"/>
        <v>0-30</v>
      </c>
      <c r="L2611" s="11">
        <v>45748</v>
      </c>
      <c r="M2611" s="23">
        <f>YEAR(Таблица1[[#This Row],[Дата отчета]])</f>
        <v>2025</v>
      </c>
    </row>
    <row r="2612" spans="1:14" x14ac:dyDescent="0.25">
      <c r="A2612" t="s">
        <v>12</v>
      </c>
      <c r="B2612" t="s">
        <v>715</v>
      </c>
      <c r="C2612" t="s">
        <v>2667</v>
      </c>
      <c r="D2612" t="s">
        <v>2717</v>
      </c>
      <c r="E2612" t="s">
        <v>1812</v>
      </c>
      <c r="F2612" s="20">
        <v>1092547.46</v>
      </c>
      <c r="I2612" s="11">
        <f t="shared" si="94"/>
        <v>45744</v>
      </c>
      <c r="J2612" s="12">
        <f t="shared" si="95"/>
        <v>4</v>
      </c>
      <c r="K2612" t="str">
        <f t="shared" si="93"/>
        <v>0-30</v>
      </c>
      <c r="L2612" s="11">
        <v>45748</v>
      </c>
      <c r="M2612" s="23">
        <f>YEAR(Таблица1[[#This Row],[Дата отчета]])</f>
        <v>2025</v>
      </c>
    </row>
    <row r="2613" spans="1:14" x14ac:dyDescent="0.25">
      <c r="A2613" t="s">
        <v>12</v>
      </c>
      <c r="B2613" t="s">
        <v>715</v>
      </c>
      <c r="C2613" t="s">
        <v>2667</v>
      </c>
      <c r="D2613" t="s">
        <v>2718</v>
      </c>
      <c r="E2613" t="s">
        <v>1812</v>
      </c>
      <c r="F2613" s="20">
        <v>1143305.28</v>
      </c>
      <c r="I2613" s="11">
        <f t="shared" si="94"/>
        <v>45744</v>
      </c>
      <c r="J2613" s="12">
        <f t="shared" si="95"/>
        <v>4</v>
      </c>
      <c r="K2613" t="str">
        <f t="shared" si="93"/>
        <v>0-30</v>
      </c>
      <c r="L2613" s="11">
        <v>45748</v>
      </c>
      <c r="M2613" s="23">
        <f>YEAR(Таблица1[[#This Row],[Дата отчета]])</f>
        <v>2025</v>
      </c>
    </row>
    <row r="2614" spans="1:14" x14ac:dyDescent="0.25">
      <c r="A2614" t="s">
        <v>12</v>
      </c>
      <c r="B2614" t="s">
        <v>715</v>
      </c>
      <c r="C2614" t="s">
        <v>2667</v>
      </c>
      <c r="D2614" t="s">
        <v>2719</v>
      </c>
      <c r="E2614" t="s">
        <v>1812</v>
      </c>
      <c r="F2614" s="20">
        <v>1143305.28</v>
      </c>
      <c r="I2614" s="11">
        <f t="shared" si="94"/>
        <v>45744</v>
      </c>
      <c r="J2614" s="12">
        <f t="shared" si="95"/>
        <v>4</v>
      </c>
      <c r="K2614" t="str">
        <f t="shared" si="93"/>
        <v>0-30</v>
      </c>
      <c r="L2614" s="11">
        <v>45748</v>
      </c>
      <c r="M2614" s="23">
        <f>YEAR(Таблица1[[#This Row],[Дата отчета]])</f>
        <v>2025</v>
      </c>
    </row>
    <row r="2615" spans="1:14" x14ac:dyDescent="0.25">
      <c r="A2615" t="s">
        <v>12</v>
      </c>
      <c r="B2615" t="s">
        <v>2720</v>
      </c>
      <c r="C2615" t="s">
        <v>2721</v>
      </c>
      <c r="D2615" t="s">
        <v>2722</v>
      </c>
      <c r="E2615" t="s">
        <v>91</v>
      </c>
      <c r="F2615" s="20">
        <v>1826235</v>
      </c>
      <c r="I2615" s="11">
        <f t="shared" si="94"/>
        <v>45723</v>
      </c>
      <c r="J2615" s="12">
        <f t="shared" si="95"/>
        <v>25</v>
      </c>
      <c r="K2615" t="str">
        <f t="shared" si="93"/>
        <v>0-30</v>
      </c>
      <c r="L2615" s="11">
        <v>45748</v>
      </c>
      <c r="M2615" s="23">
        <f>YEAR(Таблица1[[#This Row],[Дата отчета]])</f>
        <v>2025</v>
      </c>
    </row>
    <row r="2616" spans="1:14" x14ac:dyDescent="0.25">
      <c r="A2616" t="s">
        <v>12</v>
      </c>
      <c r="B2616" t="s">
        <v>2720</v>
      </c>
      <c r="C2616" t="s">
        <v>2721</v>
      </c>
      <c r="D2616" t="s">
        <v>2723</v>
      </c>
      <c r="E2616" t="s">
        <v>91</v>
      </c>
      <c r="F2616" s="20">
        <v>4261215</v>
      </c>
      <c r="I2616" s="11">
        <f t="shared" si="94"/>
        <v>45723</v>
      </c>
      <c r="J2616" s="12">
        <f t="shared" si="95"/>
        <v>25</v>
      </c>
      <c r="K2616" t="str">
        <f t="shared" si="93"/>
        <v>0-30</v>
      </c>
      <c r="L2616" s="11">
        <v>45748</v>
      </c>
      <c r="M2616" s="23">
        <f>YEAR(Таблица1[[#This Row],[Дата отчета]])</f>
        <v>2025</v>
      </c>
    </row>
    <row r="2617" spans="1:14" x14ac:dyDescent="0.25">
      <c r="A2617" t="s">
        <v>12</v>
      </c>
      <c r="B2617" t="s">
        <v>726</v>
      </c>
      <c r="C2617" t="s">
        <v>732</v>
      </c>
      <c r="D2617" t="s">
        <v>733</v>
      </c>
      <c r="E2617" t="s">
        <v>734</v>
      </c>
      <c r="F2617" s="20">
        <v>2163.48</v>
      </c>
      <c r="I2617" s="11">
        <f t="shared" si="94"/>
        <v>45541</v>
      </c>
      <c r="J2617" s="12">
        <f t="shared" si="95"/>
        <v>207</v>
      </c>
      <c r="K2617" t="str">
        <f t="shared" si="93"/>
        <v>181-270</v>
      </c>
      <c r="L2617" s="11">
        <v>45748</v>
      </c>
      <c r="M2617" s="23">
        <f>YEAR(Таблица1[[#This Row],[Дата отчета]])</f>
        <v>2025</v>
      </c>
      <c r="N2617" s="2" t="s">
        <v>807</v>
      </c>
    </row>
    <row r="2618" spans="1:14" x14ac:dyDescent="0.25">
      <c r="A2618" t="s">
        <v>12</v>
      </c>
      <c r="B2618" t="s">
        <v>745</v>
      </c>
      <c r="C2618" t="s">
        <v>269</v>
      </c>
      <c r="D2618" t="s">
        <v>2724</v>
      </c>
      <c r="E2618" t="s">
        <v>2725</v>
      </c>
      <c r="F2618" s="20">
        <v>789.72</v>
      </c>
      <c r="I2618" s="11">
        <f t="shared" si="94"/>
        <v>45520</v>
      </c>
      <c r="J2618" s="12">
        <f t="shared" si="95"/>
        <v>228</v>
      </c>
      <c r="K2618" t="str">
        <f t="shared" si="93"/>
        <v>181-270</v>
      </c>
      <c r="L2618" s="11">
        <v>45748</v>
      </c>
      <c r="M2618" s="23">
        <f>YEAR(Таблица1[[#This Row],[Дата отчета]])</f>
        <v>2025</v>
      </c>
    </row>
    <row r="2619" spans="1:14" x14ac:dyDescent="0.25">
      <c r="A2619" t="s">
        <v>12</v>
      </c>
      <c r="B2619" t="s">
        <v>745</v>
      </c>
      <c r="C2619" t="s">
        <v>746</v>
      </c>
      <c r="D2619" t="s">
        <v>747</v>
      </c>
      <c r="E2619" t="s">
        <v>748</v>
      </c>
      <c r="F2619" s="20">
        <v>4953</v>
      </c>
      <c r="I2619" s="11">
        <f t="shared" si="94"/>
        <v>45580</v>
      </c>
      <c r="J2619" s="12">
        <f t="shared" si="95"/>
        <v>168</v>
      </c>
      <c r="K2619" t="str">
        <f t="shared" si="93"/>
        <v>121-180</v>
      </c>
      <c r="L2619" s="11">
        <v>45748</v>
      </c>
      <c r="M2619" s="23">
        <f>YEAR(Таблица1[[#This Row],[Дата отчета]])</f>
        <v>2025</v>
      </c>
    </row>
    <row r="2620" spans="1:14" x14ac:dyDescent="0.25">
      <c r="A2620" t="s">
        <v>12</v>
      </c>
      <c r="B2620" t="s">
        <v>2726</v>
      </c>
      <c r="C2620" t="s">
        <v>2727</v>
      </c>
      <c r="D2620" t="s">
        <v>2728</v>
      </c>
      <c r="E2620" t="s">
        <v>2729</v>
      </c>
      <c r="F2620" s="20">
        <v>60000</v>
      </c>
      <c r="I2620" s="11">
        <f t="shared" si="94"/>
        <v>45489</v>
      </c>
      <c r="J2620" s="12">
        <f t="shared" si="95"/>
        <v>259</v>
      </c>
      <c r="K2620" t="str">
        <f t="shared" si="93"/>
        <v>181-270</v>
      </c>
      <c r="L2620" s="11">
        <v>45748</v>
      </c>
      <c r="M2620" s="23">
        <f>YEAR(Таблица1[[#This Row],[Дата отчета]])</f>
        <v>2025</v>
      </c>
    </row>
    <row r="2621" spans="1:14" x14ac:dyDescent="0.25">
      <c r="A2621" t="s">
        <v>12</v>
      </c>
      <c r="B2621" t="s">
        <v>752</v>
      </c>
      <c r="C2621" t="s">
        <v>2730</v>
      </c>
      <c r="D2621" t="s">
        <v>2731</v>
      </c>
      <c r="E2621" t="s">
        <v>2732</v>
      </c>
      <c r="F2621" s="20">
        <v>60000</v>
      </c>
      <c r="I2621" s="11">
        <f t="shared" si="94"/>
        <v>45694</v>
      </c>
      <c r="J2621" s="12">
        <f t="shared" si="95"/>
        <v>54</v>
      </c>
      <c r="K2621" t="str">
        <f t="shared" si="93"/>
        <v>31-90</v>
      </c>
      <c r="L2621" s="11">
        <v>45748</v>
      </c>
      <c r="M2621" s="23">
        <f>YEAR(Таблица1[[#This Row],[Дата отчета]])</f>
        <v>2025</v>
      </c>
    </row>
    <row r="2622" spans="1:14" x14ac:dyDescent="0.25">
      <c r="A2622" t="s">
        <v>12</v>
      </c>
      <c r="B2622" t="s">
        <v>752</v>
      </c>
      <c r="C2622" t="s">
        <v>2733</v>
      </c>
      <c r="D2622" t="s">
        <v>2734</v>
      </c>
      <c r="E2622" t="s">
        <v>2732</v>
      </c>
      <c r="F2622" s="20">
        <v>60000</v>
      </c>
      <c r="I2622" s="11">
        <f t="shared" si="94"/>
        <v>45694</v>
      </c>
      <c r="J2622" s="12">
        <f t="shared" si="95"/>
        <v>54</v>
      </c>
      <c r="K2622" t="str">
        <f t="shared" si="93"/>
        <v>31-90</v>
      </c>
      <c r="L2622" s="11">
        <v>45748</v>
      </c>
      <c r="M2622" s="23">
        <f>YEAR(Таблица1[[#This Row],[Дата отчета]])</f>
        <v>2025</v>
      </c>
    </row>
    <row r="2623" spans="1:14" x14ac:dyDescent="0.25">
      <c r="A2623" t="s">
        <v>12</v>
      </c>
      <c r="B2623" t="s">
        <v>752</v>
      </c>
      <c r="C2623" t="s">
        <v>2735</v>
      </c>
      <c r="D2623" t="s">
        <v>2736</v>
      </c>
      <c r="E2623" t="s">
        <v>289</v>
      </c>
      <c r="F2623" s="20">
        <v>140000</v>
      </c>
      <c r="I2623" s="11">
        <f t="shared" si="94"/>
        <v>45716</v>
      </c>
      <c r="J2623" s="12">
        <f t="shared" si="95"/>
        <v>32</v>
      </c>
      <c r="K2623" t="str">
        <f t="shared" ref="K2623:K2686" si="96">IF(J2623&lt;=30,"0-30",IF(J2623&lt;=90,"31-90",IF(J2623&lt;=120,"91-120",IF(J2623&lt;=180,"121-180",IF(J2623&lt;=270,"181-270",IF(J2623&lt;=360,"271-360","&gt;360"))))))</f>
        <v>31-90</v>
      </c>
      <c r="L2623" s="11">
        <v>45748</v>
      </c>
      <c r="M2623" s="23">
        <f>YEAR(Таблица1[[#This Row],[Дата отчета]])</f>
        <v>2025</v>
      </c>
    </row>
    <row r="2624" spans="1:14" x14ac:dyDescent="0.25">
      <c r="A2624" t="s">
        <v>12</v>
      </c>
      <c r="B2624" t="s">
        <v>752</v>
      </c>
      <c r="C2624" t="s">
        <v>2737</v>
      </c>
      <c r="D2624" t="s">
        <v>2738</v>
      </c>
      <c r="E2624" t="s">
        <v>2660</v>
      </c>
      <c r="F2624" s="20">
        <v>110000</v>
      </c>
      <c r="I2624" s="11">
        <f t="shared" si="94"/>
        <v>45701</v>
      </c>
      <c r="J2624" s="12">
        <f t="shared" si="95"/>
        <v>47</v>
      </c>
      <c r="K2624" t="str">
        <f t="shared" si="96"/>
        <v>31-90</v>
      </c>
      <c r="L2624" s="11">
        <v>45748</v>
      </c>
      <c r="M2624" s="23">
        <f>YEAR(Таблица1[[#This Row],[Дата отчета]])</f>
        <v>2025</v>
      </c>
    </row>
    <row r="2625" spans="1:14" x14ac:dyDescent="0.25">
      <c r="A2625" t="s">
        <v>12</v>
      </c>
      <c r="B2625" t="s">
        <v>752</v>
      </c>
      <c r="C2625" t="s">
        <v>2739</v>
      </c>
      <c r="D2625" t="s">
        <v>2740</v>
      </c>
      <c r="E2625" t="s">
        <v>2660</v>
      </c>
      <c r="F2625" s="20">
        <v>110000</v>
      </c>
      <c r="I2625" s="11">
        <f t="shared" si="94"/>
        <v>45701</v>
      </c>
      <c r="J2625" s="12">
        <f t="shared" si="95"/>
        <v>47</v>
      </c>
      <c r="K2625" t="str">
        <f t="shared" si="96"/>
        <v>31-90</v>
      </c>
      <c r="L2625" s="11">
        <v>45748</v>
      </c>
      <c r="M2625" s="23">
        <f>YEAR(Таблица1[[#This Row],[Дата отчета]])</f>
        <v>2025</v>
      </c>
    </row>
    <row r="2626" spans="1:14" x14ac:dyDescent="0.25">
      <c r="A2626" t="s">
        <v>12</v>
      </c>
      <c r="B2626" t="s">
        <v>752</v>
      </c>
      <c r="C2626" t="s">
        <v>2741</v>
      </c>
      <c r="D2626" t="s">
        <v>2742</v>
      </c>
      <c r="E2626" t="s">
        <v>2454</v>
      </c>
      <c r="F2626" s="20">
        <v>206474.51</v>
      </c>
      <c r="I2626" s="11">
        <f t="shared" si="94"/>
        <v>45733</v>
      </c>
      <c r="J2626" s="12">
        <f t="shared" si="95"/>
        <v>15</v>
      </c>
      <c r="K2626" t="str">
        <f t="shared" si="96"/>
        <v>0-30</v>
      </c>
      <c r="L2626" s="11">
        <v>45748</v>
      </c>
      <c r="M2626" s="23">
        <f>YEAR(Таблица1[[#This Row],[Дата отчета]])</f>
        <v>2025</v>
      </c>
    </row>
    <row r="2627" spans="1:14" x14ac:dyDescent="0.25">
      <c r="A2627" t="s">
        <v>12</v>
      </c>
      <c r="B2627" t="s">
        <v>752</v>
      </c>
      <c r="C2627" t="s">
        <v>2743</v>
      </c>
      <c r="D2627" t="s">
        <v>2744</v>
      </c>
      <c r="E2627" t="s">
        <v>2576</v>
      </c>
      <c r="F2627" s="20">
        <v>10000</v>
      </c>
      <c r="I2627" s="11">
        <f t="shared" si="94"/>
        <v>45740</v>
      </c>
      <c r="J2627" s="12">
        <f t="shared" si="95"/>
        <v>8</v>
      </c>
      <c r="K2627" t="str">
        <f t="shared" si="96"/>
        <v>0-30</v>
      </c>
      <c r="L2627" s="11">
        <v>45748</v>
      </c>
      <c r="M2627" s="23">
        <f>YEAR(Таблица1[[#This Row],[Дата отчета]])</f>
        <v>2025</v>
      </c>
    </row>
    <row r="2628" spans="1:14" x14ac:dyDescent="0.25">
      <c r="A2628" t="s">
        <v>12</v>
      </c>
      <c r="B2628" t="s">
        <v>752</v>
      </c>
      <c r="C2628" t="s">
        <v>2745</v>
      </c>
      <c r="D2628" t="s">
        <v>2746</v>
      </c>
      <c r="E2628" t="s">
        <v>2747</v>
      </c>
      <c r="F2628" s="20">
        <v>90000</v>
      </c>
      <c r="I2628" s="11">
        <f t="shared" si="94"/>
        <v>45601</v>
      </c>
      <c r="J2628" s="12">
        <f t="shared" si="95"/>
        <v>147</v>
      </c>
      <c r="K2628" t="str">
        <f t="shared" si="96"/>
        <v>121-180</v>
      </c>
      <c r="L2628" s="11">
        <v>45748</v>
      </c>
      <c r="M2628" s="23">
        <f>YEAR(Таблица1[[#This Row],[Дата отчета]])</f>
        <v>2025</v>
      </c>
    </row>
    <row r="2629" spans="1:14" x14ac:dyDescent="0.25">
      <c r="A2629" t="s">
        <v>12</v>
      </c>
      <c r="B2629" t="s">
        <v>766</v>
      </c>
      <c r="C2629" t="s">
        <v>767</v>
      </c>
      <c r="D2629" t="s">
        <v>2748</v>
      </c>
      <c r="E2629" t="s">
        <v>2522</v>
      </c>
      <c r="F2629" s="20">
        <v>4031762.4</v>
      </c>
      <c r="I2629" s="11">
        <f t="shared" si="94"/>
        <v>45720</v>
      </c>
      <c r="J2629" s="12">
        <f t="shared" si="95"/>
        <v>28</v>
      </c>
      <c r="K2629" t="str">
        <f t="shared" si="96"/>
        <v>0-30</v>
      </c>
      <c r="L2629" s="11">
        <v>45748</v>
      </c>
      <c r="M2629" s="23">
        <f>YEAR(Таблица1[[#This Row],[Дата отчета]])</f>
        <v>2025</v>
      </c>
    </row>
    <row r="2630" spans="1:14" x14ac:dyDescent="0.25">
      <c r="A2630" t="s">
        <v>12</v>
      </c>
      <c r="B2630" t="s">
        <v>770</v>
      </c>
      <c r="C2630" t="s">
        <v>2749</v>
      </c>
      <c r="D2630" t="s">
        <v>2750</v>
      </c>
      <c r="E2630" t="s">
        <v>1812</v>
      </c>
      <c r="F2630" s="20">
        <v>9800</v>
      </c>
      <c r="I2630" s="11">
        <f t="shared" si="94"/>
        <v>45744</v>
      </c>
      <c r="J2630" s="12">
        <f t="shared" si="95"/>
        <v>4</v>
      </c>
      <c r="K2630" t="str">
        <f t="shared" si="96"/>
        <v>0-30</v>
      </c>
      <c r="L2630" s="11">
        <v>45748</v>
      </c>
      <c r="M2630" s="23">
        <f>YEAR(Таблица1[[#This Row],[Дата отчета]])</f>
        <v>2025</v>
      </c>
    </row>
    <row r="2631" spans="1:14" x14ac:dyDescent="0.25">
      <c r="A2631" t="s">
        <v>12</v>
      </c>
      <c r="B2631" t="s">
        <v>777</v>
      </c>
      <c r="C2631" t="s">
        <v>778</v>
      </c>
      <c r="D2631" t="s">
        <v>779</v>
      </c>
      <c r="E2631" t="s">
        <v>780</v>
      </c>
      <c r="F2631" s="20">
        <v>196.02</v>
      </c>
      <c r="I2631" s="11">
        <f t="shared" si="94"/>
        <v>44868</v>
      </c>
      <c r="J2631" s="12">
        <f t="shared" si="95"/>
        <v>880</v>
      </c>
      <c r="K2631" t="str">
        <f t="shared" si="96"/>
        <v>&gt;360</v>
      </c>
      <c r="L2631" s="11">
        <v>45748</v>
      </c>
      <c r="M2631" s="23">
        <f>YEAR(Таблица1[[#This Row],[Дата отчета]])</f>
        <v>2025</v>
      </c>
      <c r="N2631" s="2" t="s">
        <v>807</v>
      </c>
    </row>
    <row r="2632" spans="1:14" x14ac:dyDescent="0.25">
      <c r="A2632" t="s">
        <v>12</v>
      </c>
      <c r="B2632" t="s">
        <v>777</v>
      </c>
      <c r="C2632" t="s">
        <v>2751</v>
      </c>
      <c r="D2632" t="s">
        <v>2752</v>
      </c>
      <c r="E2632" t="s">
        <v>2576</v>
      </c>
      <c r="F2632" s="20">
        <v>6781.68</v>
      </c>
      <c r="I2632" s="11">
        <f t="shared" si="94"/>
        <v>45740</v>
      </c>
      <c r="J2632" s="12">
        <f t="shared" si="95"/>
        <v>8</v>
      </c>
      <c r="K2632" t="str">
        <f t="shared" si="96"/>
        <v>0-30</v>
      </c>
      <c r="L2632" s="11">
        <v>45748</v>
      </c>
      <c r="M2632" s="23">
        <f>YEAR(Таблица1[[#This Row],[Дата отчета]])</f>
        <v>2025</v>
      </c>
      <c r="N2632" s="7"/>
    </row>
    <row r="2633" spans="1:14" x14ac:dyDescent="0.25">
      <c r="A2633" t="s">
        <v>12</v>
      </c>
      <c r="B2633" t="s">
        <v>1676</v>
      </c>
      <c r="C2633" t="s">
        <v>1677</v>
      </c>
      <c r="D2633" t="s">
        <v>1678</v>
      </c>
      <c r="E2633" t="s">
        <v>91</v>
      </c>
      <c r="F2633" s="20">
        <v>125249.76</v>
      </c>
      <c r="I2633" s="11">
        <f t="shared" si="94"/>
        <v>45723</v>
      </c>
      <c r="J2633" s="12">
        <f t="shared" si="95"/>
        <v>25</v>
      </c>
      <c r="K2633" t="str">
        <f t="shared" si="96"/>
        <v>0-30</v>
      </c>
      <c r="L2633" s="11">
        <v>45748</v>
      </c>
      <c r="M2633" s="23">
        <f>YEAR(Таблица1[[#This Row],[Дата отчета]])</f>
        <v>2025</v>
      </c>
    </row>
    <row r="2634" spans="1:14" x14ac:dyDescent="0.25">
      <c r="A2634" t="s">
        <v>12</v>
      </c>
      <c r="B2634" t="s">
        <v>784</v>
      </c>
      <c r="C2634" t="s">
        <v>2753</v>
      </c>
      <c r="D2634" t="s">
        <v>2754</v>
      </c>
      <c r="E2634" t="s">
        <v>968</v>
      </c>
      <c r="F2634" s="20">
        <v>6164093.25</v>
      </c>
      <c r="I2634" s="11">
        <f t="shared" si="94"/>
        <v>45729</v>
      </c>
      <c r="J2634" s="12">
        <f t="shared" si="95"/>
        <v>19</v>
      </c>
      <c r="K2634" t="str">
        <f t="shared" si="96"/>
        <v>0-30</v>
      </c>
      <c r="L2634" s="11">
        <v>45748</v>
      </c>
      <c r="M2634" s="23">
        <f>YEAR(Таблица1[[#This Row],[Дата отчета]])</f>
        <v>2025</v>
      </c>
    </row>
    <row r="2635" spans="1:14" x14ac:dyDescent="0.25">
      <c r="A2635" t="s">
        <v>12</v>
      </c>
      <c r="B2635" t="s">
        <v>793</v>
      </c>
      <c r="C2635" t="s">
        <v>794</v>
      </c>
      <c r="D2635" t="s">
        <v>795</v>
      </c>
      <c r="E2635" t="s">
        <v>796</v>
      </c>
      <c r="F2635" s="20">
        <v>650</v>
      </c>
      <c r="I2635" s="11">
        <f t="shared" si="94"/>
        <v>44889</v>
      </c>
      <c r="J2635" s="12">
        <f t="shared" si="95"/>
        <v>859</v>
      </c>
      <c r="K2635" t="str">
        <f t="shared" si="96"/>
        <v>&gt;360</v>
      </c>
      <c r="L2635" s="11">
        <v>45748</v>
      </c>
      <c r="M2635" s="23">
        <f>YEAR(Таблица1[[#This Row],[Дата отчета]])</f>
        <v>2025</v>
      </c>
      <c r="N2635" s="2" t="s">
        <v>807</v>
      </c>
    </row>
    <row r="2636" spans="1:14" x14ac:dyDescent="0.25">
      <c r="A2636" t="s">
        <v>12</v>
      </c>
      <c r="B2636" t="s">
        <v>1224</v>
      </c>
      <c r="C2636" t="s">
        <v>1234</v>
      </c>
      <c r="D2636" t="s">
        <v>1251</v>
      </c>
      <c r="E2636" t="s">
        <v>1258</v>
      </c>
      <c r="F2636" s="20">
        <v>12</v>
      </c>
      <c r="I2636" s="11">
        <f t="shared" si="94"/>
        <v>45288</v>
      </c>
      <c r="J2636" s="12">
        <f t="shared" si="95"/>
        <v>460</v>
      </c>
      <c r="K2636" t="str">
        <f t="shared" si="96"/>
        <v>&gt;360</v>
      </c>
      <c r="L2636" s="11">
        <v>45748</v>
      </c>
      <c r="M2636" s="23">
        <f>YEAR(Таблица1[[#This Row],[Дата отчета]])</f>
        <v>2025</v>
      </c>
    </row>
    <row r="2637" spans="1:14" x14ac:dyDescent="0.25">
      <c r="A2637" t="s">
        <v>12</v>
      </c>
      <c r="B2637" t="s">
        <v>797</v>
      </c>
      <c r="C2637" t="s">
        <v>2282</v>
      </c>
      <c r="D2637" t="s">
        <v>2283</v>
      </c>
      <c r="E2637" t="s">
        <v>284</v>
      </c>
      <c r="F2637" s="20">
        <v>0.3</v>
      </c>
      <c r="I2637" s="11">
        <f t="shared" si="94"/>
        <v>45398</v>
      </c>
      <c r="J2637" s="12">
        <f t="shared" si="95"/>
        <v>350</v>
      </c>
      <c r="K2637" t="str">
        <f t="shared" si="96"/>
        <v>271-360</v>
      </c>
      <c r="L2637" s="11">
        <v>45748</v>
      </c>
      <c r="M2637" s="23">
        <f>YEAR(Таблица1[[#This Row],[Дата отчета]])</f>
        <v>2025</v>
      </c>
    </row>
    <row r="2638" spans="1:14" x14ac:dyDescent="0.25">
      <c r="A2638" t="s">
        <v>12</v>
      </c>
      <c r="B2638" t="s">
        <v>797</v>
      </c>
      <c r="C2638" t="s">
        <v>2284</v>
      </c>
      <c r="D2638" t="s">
        <v>2285</v>
      </c>
      <c r="E2638" t="s">
        <v>2460</v>
      </c>
      <c r="F2638" s="20">
        <v>0.1</v>
      </c>
      <c r="I2638" s="11">
        <f t="shared" si="94"/>
        <v>45582</v>
      </c>
      <c r="J2638" s="12">
        <f t="shared" si="95"/>
        <v>166</v>
      </c>
      <c r="K2638" t="str">
        <f t="shared" si="96"/>
        <v>121-180</v>
      </c>
      <c r="L2638" s="11">
        <v>45748</v>
      </c>
      <c r="M2638" s="23">
        <f>YEAR(Таблица1[[#This Row],[Дата отчета]])</f>
        <v>2025</v>
      </c>
    </row>
    <row r="2639" spans="1:14" x14ac:dyDescent="0.25">
      <c r="A2639" t="s">
        <v>12</v>
      </c>
      <c r="B2639" t="s">
        <v>797</v>
      </c>
      <c r="C2639" t="s">
        <v>2286</v>
      </c>
      <c r="D2639" t="s">
        <v>2287</v>
      </c>
      <c r="E2639" t="s">
        <v>1812</v>
      </c>
      <c r="F2639" s="20">
        <v>0.1</v>
      </c>
      <c r="I2639" s="11">
        <f t="shared" si="94"/>
        <v>45744</v>
      </c>
      <c r="J2639" s="12">
        <f t="shared" si="95"/>
        <v>4</v>
      </c>
      <c r="K2639" t="str">
        <f t="shared" si="96"/>
        <v>0-30</v>
      </c>
      <c r="L2639" s="11">
        <v>45748</v>
      </c>
      <c r="M2639" s="23">
        <f>YEAR(Таблица1[[#This Row],[Дата отчета]])</f>
        <v>2025</v>
      </c>
    </row>
    <row r="2640" spans="1:14" x14ac:dyDescent="0.25">
      <c r="A2640" t="s">
        <v>12</v>
      </c>
      <c r="B2640" t="s">
        <v>804</v>
      </c>
      <c r="C2640" t="s">
        <v>2292</v>
      </c>
      <c r="D2640" t="s">
        <v>2293</v>
      </c>
      <c r="E2640" t="s">
        <v>2461</v>
      </c>
      <c r="F2640" s="20">
        <v>81000</v>
      </c>
      <c r="I2640" s="11">
        <f t="shared" si="94"/>
        <v>45736</v>
      </c>
      <c r="J2640" s="12">
        <f t="shared" si="95"/>
        <v>12</v>
      </c>
      <c r="K2640" t="str">
        <f t="shared" si="96"/>
        <v>0-30</v>
      </c>
      <c r="L2640" s="11">
        <v>45748</v>
      </c>
      <c r="M2640" s="23">
        <f>YEAR(Таблица1[[#This Row],[Дата отчета]])</f>
        <v>2025</v>
      </c>
    </row>
    <row r="2641" spans="1:13" x14ac:dyDescent="0.25">
      <c r="A2641" t="s">
        <v>12</v>
      </c>
      <c r="B2641" t="s">
        <v>804</v>
      </c>
      <c r="C2641" t="s">
        <v>2755</v>
      </c>
      <c r="D2641" t="s">
        <v>2756</v>
      </c>
      <c r="E2641" t="s">
        <v>2757</v>
      </c>
      <c r="F2641" s="20">
        <v>950000</v>
      </c>
      <c r="I2641" s="11">
        <f t="shared" si="94"/>
        <v>45730</v>
      </c>
      <c r="J2641" s="12">
        <f t="shared" si="95"/>
        <v>18</v>
      </c>
      <c r="K2641" t="str">
        <f t="shared" si="96"/>
        <v>0-30</v>
      </c>
      <c r="L2641" s="11">
        <v>45748</v>
      </c>
      <c r="M2641" s="23">
        <f>YEAR(Таблица1[[#This Row],[Дата отчета]])</f>
        <v>2025</v>
      </c>
    </row>
    <row r="2642" spans="1:13" x14ac:dyDescent="0.25">
      <c r="A2642" t="s">
        <v>12</v>
      </c>
      <c r="B2642" t="s">
        <v>804</v>
      </c>
      <c r="C2642" t="s">
        <v>2758</v>
      </c>
      <c r="D2642" t="s">
        <v>2759</v>
      </c>
      <c r="E2642" t="s">
        <v>2757</v>
      </c>
      <c r="F2642" s="20">
        <v>950000</v>
      </c>
      <c r="I2642" s="11">
        <f t="shared" si="94"/>
        <v>45730</v>
      </c>
      <c r="J2642" s="12">
        <f t="shared" si="95"/>
        <v>18</v>
      </c>
      <c r="K2642" t="str">
        <f t="shared" si="96"/>
        <v>0-30</v>
      </c>
      <c r="L2642" s="11">
        <v>45748</v>
      </c>
      <c r="M2642" s="23">
        <f>YEAR(Таблица1[[#This Row],[Дата отчета]])</f>
        <v>2025</v>
      </c>
    </row>
    <row r="2643" spans="1:13" x14ac:dyDescent="0.25">
      <c r="A2643" t="s">
        <v>12</v>
      </c>
      <c r="B2643" t="s">
        <v>804</v>
      </c>
      <c r="C2643" t="s">
        <v>2760</v>
      </c>
      <c r="D2643" t="s">
        <v>2761</v>
      </c>
      <c r="E2643" t="s">
        <v>2454</v>
      </c>
      <c r="F2643" s="20">
        <v>950000</v>
      </c>
      <c r="I2643" s="11">
        <f t="shared" si="94"/>
        <v>45733</v>
      </c>
      <c r="J2643" s="12">
        <f t="shared" si="95"/>
        <v>15</v>
      </c>
      <c r="K2643" t="str">
        <f t="shared" si="96"/>
        <v>0-30</v>
      </c>
      <c r="L2643" s="11">
        <v>45748</v>
      </c>
      <c r="M2643" s="23">
        <f>YEAR(Таблица1[[#This Row],[Дата отчета]])</f>
        <v>2025</v>
      </c>
    </row>
    <row r="2644" spans="1:13" x14ac:dyDescent="0.25">
      <c r="A2644" t="s">
        <v>12</v>
      </c>
      <c r="B2644" t="s">
        <v>804</v>
      </c>
      <c r="C2644" t="s">
        <v>2762</v>
      </c>
      <c r="D2644" t="s">
        <v>2763</v>
      </c>
      <c r="E2644" t="s">
        <v>2454</v>
      </c>
      <c r="F2644" s="20">
        <v>950000</v>
      </c>
      <c r="I2644" s="11">
        <f t="shared" si="94"/>
        <v>45733</v>
      </c>
      <c r="J2644" s="12">
        <f t="shared" si="95"/>
        <v>15</v>
      </c>
      <c r="K2644" t="str">
        <f t="shared" si="96"/>
        <v>0-30</v>
      </c>
      <c r="L2644" s="11">
        <v>45748</v>
      </c>
      <c r="M2644" s="23">
        <f>YEAR(Таблица1[[#This Row],[Дата отчета]])</f>
        <v>2025</v>
      </c>
    </row>
    <row r="2645" spans="1:13" x14ac:dyDescent="0.25">
      <c r="A2645" t="s">
        <v>12</v>
      </c>
      <c r="B2645" t="s">
        <v>804</v>
      </c>
      <c r="C2645" t="s">
        <v>2764</v>
      </c>
      <c r="D2645" t="s">
        <v>2765</v>
      </c>
      <c r="E2645" t="s">
        <v>1787</v>
      </c>
      <c r="F2645" s="20">
        <v>950000</v>
      </c>
      <c r="I2645" s="11">
        <f t="shared" si="94"/>
        <v>45742</v>
      </c>
      <c r="J2645" s="12">
        <f t="shared" si="95"/>
        <v>6</v>
      </c>
      <c r="K2645" t="str">
        <f t="shared" si="96"/>
        <v>0-30</v>
      </c>
      <c r="L2645" s="11">
        <v>45748</v>
      </c>
      <c r="M2645" s="23">
        <f>YEAR(Таблица1[[#This Row],[Дата отчета]])</f>
        <v>2025</v>
      </c>
    </row>
    <row r="2646" spans="1:13" x14ac:dyDescent="0.25">
      <c r="A2646" t="s">
        <v>12</v>
      </c>
      <c r="B2646" t="s">
        <v>804</v>
      </c>
      <c r="C2646" t="s">
        <v>2766</v>
      </c>
      <c r="D2646" t="s">
        <v>2767</v>
      </c>
      <c r="E2646" t="s">
        <v>987</v>
      </c>
      <c r="F2646" s="20">
        <v>1100000</v>
      </c>
      <c r="I2646" s="11">
        <f t="shared" ref="I2646:I2709" si="97">E2646*1</f>
        <v>45747</v>
      </c>
      <c r="J2646" s="12">
        <f t="shared" ref="J2646:J2709" si="98">L2646-I2646</f>
        <v>1</v>
      </c>
      <c r="K2646" t="str">
        <f t="shared" si="96"/>
        <v>0-30</v>
      </c>
      <c r="L2646" s="11">
        <v>45748</v>
      </c>
      <c r="M2646" s="23">
        <f>YEAR(Таблица1[[#This Row],[Дата отчета]])</f>
        <v>2025</v>
      </c>
    </row>
    <row r="2647" spans="1:13" x14ac:dyDescent="0.25">
      <c r="A2647" t="s">
        <v>12</v>
      </c>
      <c r="B2647" t="s">
        <v>804</v>
      </c>
      <c r="C2647" t="s">
        <v>2768</v>
      </c>
      <c r="D2647" t="s">
        <v>2769</v>
      </c>
      <c r="E2647" t="s">
        <v>2660</v>
      </c>
      <c r="F2647" s="20">
        <v>69000</v>
      </c>
      <c r="I2647" s="11">
        <f t="shared" si="97"/>
        <v>45701</v>
      </c>
      <c r="J2647" s="12">
        <f t="shared" si="98"/>
        <v>47</v>
      </c>
      <c r="K2647" t="str">
        <f t="shared" si="96"/>
        <v>31-90</v>
      </c>
      <c r="L2647" s="11">
        <v>45748</v>
      </c>
      <c r="M2647" s="23">
        <f>YEAR(Таблица1[[#This Row],[Дата отчета]])</f>
        <v>2025</v>
      </c>
    </row>
    <row r="2648" spans="1:13" x14ac:dyDescent="0.25">
      <c r="A2648" t="s">
        <v>12</v>
      </c>
      <c r="B2648" t="s">
        <v>804</v>
      </c>
      <c r="C2648" t="s">
        <v>2770</v>
      </c>
      <c r="D2648" t="s">
        <v>2771</v>
      </c>
      <c r="E2648" t="s">
        <v>2772</v>
      </c>
      <c r="F2648" s="20">
        <v>1100000</v>
      </c>
      <c r="I2648" s="11">
        <f t="shared" si="97"/>
        <v>45709</v>
      </c>
      <c r="J2648" s="12">
        <f t="shared" si="98"/>
        <v>39</v>
      </c>
      <c r="K2648" t="str">
        <f t="shared" si="96"/>
        <v>31-90</v>
      </c>
      <c r="L2648" s="11">
        <v>45748</v>
      </c>
      <c r="M2648" s="23">
        <f>YEAR(Таблица1[[#This Row],[Дата отчета]])</f>
        <v>2025</v>
      </c>
    </row>
    <row r="2649" spans="1:13" x14ac:dyDescent="0.25">
      <c r="A2649" t="s">
        <v>12</v>
      </c>
      <c r="B2649" t="s">
        <v>804</v>
      </c>
      <c r="C2649" t="s">
        <v>2773</v>
      </c>
      <c r="D2649" t="s">
        <v>2774</v>
      </c>
      <c r="E2649" t="s">
        <v>2481</v>
      </c>
      <c r="F2649" s="20">
        <v>1100000</v>
      </c>
      <c r="I2649" s="11">
        <f t="shared" si="97"/>
        <v>45714</v>
      </c>
      <c r="J2649" s="12">
        <f t="shared" si="98"/>
        <v>34</v>
      </c>
      <c r="K2649" t="str">
        <f t="shared" si="96"/>
        <v>31-90</v>
      </c>
      <c r="L2649" s="11">
        <v>45748</v>
      </c>
      <c r="M2649" s="23">
        <f>YEAR(Таблица1[[#This Row],[Дата отчета]])</f>
        <v>2025</v>
      </c>
    </row>
    <row r="2650" spans="1:13" x14ac:dyDescent="0.25">
      <c r="A2650" t="s">
        <v>12</v>
      </c>
      <c r="B2650" t="s">
        <v>804</v>
      </c>
      <c r="C2650" t="s">
        <v>2775</v>
      </c>
      <c r="D2650" t="s">
        <v>2776</v>
      </c>
      <c r="E2650" t="s">
        <v>2481</v>
      </c>
      <c r="F2650" s="20">
        <v>1100000</v>
      </c>
      <c r="I2650" s="11">
        <f t="shared" si="97"/>
        <v>45714</v>
      </c>
      <c r="J2650" s="12">
        <f t="shared" si="98"/>
        <v>34</v>
      </c>
      <c r="K2650" t="str">
        <f t="shared" si="96"/>
        <v>31-90</v>
      </c>
      <c r="L2650" s="11">
        <v>45748</v>
      </c>
      <c r="M2650" s="23">
        <f>YEAR(Таблица1[[#This Row],[Дата отчета]])</f>
        <v>2025</v>
      </c>
    </row>
    <row r="2651" spans="1:13" x14ac:dyDescent="0.25">
      <c r="A2651" t="s">
        <v>12</v>
      </c>
      <c r="B2651" t="s">
        <v>804</v>
      </c>
      <c r="C2651" t="s">
        <v>2298</v>
      </c>
      <c r="D2651" t="s">
        <v>2299</v>
      </c>
      <c r="E2651" t="s">
        <v>2461</v>
      </c>
      <c r="F2651" s="20">
        <v>373800</v>
      </c>
      <c r="I2651" s="11">
        <f t="shared" si="97"/>
        <v>45736</v>
      </c>
      <c r="J2651" s="12">
        <f t="shared" si="98"/>
        <v>12</v>
      </c>
      <c r="K2651" t="str">
        <f t="shared" si="96"/>
        <v>0-30</v>
      </c>
      <c r="L2651" s="11">
        <v>45748</v>
      </c>
      <c r="M2651" s="23">
        <f>YEAR(Таблица1[[#This Row],[Дата отчета]])</f>
        <v>2025</v>
      </c>
    </row>
    <row r="2652" spans="1:13" x14ac:dyDescent="0.25">
      <c r="A2652" t="s">
        <v>12</v>
      </c>
      <c r="B2652" t="s">
        <v>2300</v>
      </c>
      <c r="C2652" t="s">
        <v>269</v>
      </c>
      <c r="D2652" t="s">
        <v>2301</v>
      </c>
      <c r="E2652" t="s">
        <v>987</v>
      </c>
      <c r="F2652" s="20">
        <v>1372.5</v>
      </c>
      <c r="I2652" s="11">
        <f t="shared" si="97"/>
        <v>45747</v>
      </c>
      <c r="J2652" s="12">
        <f t="shared" si="98"/>
        <v>1</v>
      </c>
      <c r="K2652" t="str">
        <f t="shared" si="96"/>
        <v>0-30</v>
      </c>
      <c r="L2652" s="11">
        <v>45748</v>
      </c>
      <c r="M2652" s="23">
        <f>YEAR(Таблица1[[#This Row],[Дата отчета]])</f>
        <v>2025</v>
      </c>
    </row>
    <row r="2653" spans="1:13" x14ac:dyDescent="0.25">
      <c r="A2653" t="s">
        <v>12</v>
      </c>
      <c r="B2653" t="s">
        <v>2302</v>
      </c>
      <c r="C2653" t="s">
        <v>2303</v>
      </c>
      <c r="D2653" t="s">
        <v>2304</v>
      </c>
      <c r="E2653" t="s">
        <v>2462</v>
      </c>
      <c r="F2653" s="20">
        <v>350000</v>
      </c>
      <c r="I2653" s="11">
        <f t="shared" si="97"/>
        <v>45734</v>
      </c>
      <c r="J2653" s="12">
        <f t="shared" si="98"/>
        <v>14</v>
      </c>
      <c r="K2653" t="str">
        <f t="shared" si="96"/>
        <v>0-30</v>
      </c>
      <c r="L2653" s="11">
        <v>45748</v>
      </c>
      <c r="M2653" s="23">
        <f>YEAR(Таблица1[[#This Row],[Дата отчета]])</f>
        <v>2025</v>
      </c>
    </row>
    <row r="2654" spans="1:13" x14ac:dyDescent="0.25">
      <c r="A2654" t="s">
        <v>12</v>
      </c>
      <c r="B2654" t="s">
        <v>1685</v>
      </c>
      <c r="C2654" t="s">
        <v>1686</v>
      </c>
      <c r="D2654" t="s">
        <v>1687</v>
      </c>
      <c r="E2654" t="s">
        <v>1809</v>
      </c>
      <c r="F2654" s="20">
        <v>33700</v>
      </c>
      <c r="I2654" s="11">
        <f t="shared" si="97"/>
        <v>45644</v>
      </c>
      <c r="J2654" s="12">
        <f t="shared" si="98"/>
        <v>104</v>
      </c>
      <c r="K2654" t="str">
        <f t="shared" si="96"/>
        <v>91-120</v>
      </c>
      <c r="L2654" s="11">
        <v>45748</v>
      </c>
      <c r="M2654" s="23">
        <f>YEAR(Таблица1[[#This Row],[Дата отчета]])</f>
        <v>2025</v>
      </c>
    </row>
    <row r="2655" spans="1:13" x14ac:dyDescent="0.25">
      <c r="A2655" t="s">
        <v>12</v>
      </c>
      <c r="B2655" t="s">
        <v>2777</v>
      </c>
      <c r="C2655" t="s">
        <v>2778</v>
      </c>
      <c r="D2655" t="s">
        <v>2779</v>
      </c>
      <c r="E2655" t="s">
        <v>1812</v>
      </c>
      <c r="F2655" s="20">
        <v>3578</v>
      </c>
      <c r="I2655" s="11">
        <f t="shared" si="97"/>
        <v>45744</v>
      </c>
      <c r="J2655" s="12">
        <f t="shared" si="98"/>
        <v>4</v>
      </c>
      <c r="K2655" t="str">
        <f t="shared" si="96"/>
        <v>0-30</v>
      </c>
      <c r="L2655" s="11">
        <v>45748</v>
      </c>
      <c r="M2655" s="23">
        <f>YEAR(Таблица1[[#This Row],[Дата отчета]])</f>
        <v>2025</v>
      </c>
    </row>
    <row r="2656" spans="1:13" x14ac:dyDescent="0.25">
      <c r="A2656" t="s">
        <v>12</v>
      </c>
      <c r="B2656" t="s">
        <v>2780</v>
      </c>
      <c r="C2656" t="s">
        <v>2781</v>
      </c>
      <c r="D2656" t="s">
        <v>2782</v>
      </c>
      <c r="E2656" t="s">
        <v>1812</v>
      </c>
      <c r="F2656" s="20">
        <v>136500</v>
      </c>
      <c r="I2656" s="11">
        <f t="shared" si="97"/>
        <v>45744</v>
      </c>
      <c r="J2656" s="12">
        <f t="shared" si="98"/>
        <v>4</v>
      </c>
      <c r="K2656" t="str">
        <f t="shared" si="96"/>
        <v>0-30</v>
      </c>
      <c r="L2656" s="11">
        <v>45748</v>
      </c>
      <c r="M2656" s="23">
        <f>YEAR(Таблица1[[#This Row],[Дата отчета]])</f>
        <v>2025</v>
      </c>
    </row>
    <row r="2657" spans="1:14" x14ac:dyDescent="0.25">
      <c r="A2657" t="s">
        <v>12</v>
      </c>
      <c r="B2657" t="s">
        <v>2313</v>
      </c>
      <c r="C2657" t="s">
        <v>2314</v>
      </c>
      <c r="D2657" t="s">
        <v>2315</v>
      </c>
      <c r="E2657" t="s">
        <v>2463</v>
      </c>
      <c r="F2657" s="20">
        <v>87700</v>
      </c>
      <c r="I2657" s="11">
        <f t="shared" si="97"/>
        <v>45468</v>
      </c>
      <c r="J2657" s="12">
        <f t="shared" si="98"/>
        <v>280</v>
      </c>
      <c r="K2657" t="str">
        <f t="shared" si="96"/>
        <v>271-360</v>
      </c>
      <c r="L2657" s="11">
        <v>45748</v>
      </c>
      <c r="M2657" s="23">
        <f>YEAR(Таблица1[[#This Row],[Дата отчета]])</f>
        <v>2025</v>
      </c>
    </row>
    <row r="2658" spans="1:14" x14ac:dyDescent="0.25">
      <c r="A2658" t="s">
        <v>12</v>
      </c>
      <c r="B2658" t="s">
        <v>2313</v>
      </c>
      <c r="C2658" t="s">
        <v>2316</v>
      </c>
      <c r="D2658" t="s">
        <v>2317</v>
      </c>
      <c r="E2658" t="s">
        <v>2464</v>
      </c>
      <c r="F2658" s="20">
        <v>17267</v>
      </c>
      <c r="I2658" s="11">
        <f t="shared" si="97"/>
        <v>45397</v>
      </c>
      <c r="J2658" s="12">
        <f t="shared" si="98"/>
        <v>351</v>
      </c>
      <c r="K2658" t="str">
        <f t="shared" si="96"/>
        <v>271-360</v>
      </c>
      <c r="L2658" s="11">
        <v>45748</v>
      </c>
      <c r="M2658" s="23">
        <f>YEAR(Таблица1[[#This Row],[Дата отчета]])</f>
        <v>2025</v>
      </c>
    </row>
    <row r="2659" spans="1:14" x14ac:dyDescent="0.25">
      <c r="A2659" t="s">
        <v>12</v>
      </c>
      <c r="B2659" t="s">
        <v>2318</v>
      </c>
      <c r="C2659" t="s">
        <v>2319</v>
      </c>
      <c r="D2659" t="s">
        <v>2320</v>
      </c>
      <c r="E2659" t="s">
        <v>2465</v>
      </c>
      <c r="F2659" s="20">
        <v>66810</v>
      </c>
      <c r="I2659" s="11">
        <f t="shared" si="97"/>
        <v>45555</v>
      </c>
      <c r="J2659" s="12">
        <f t="shared" si="98"/>
        <v>193</v>
      </c>
      <c r="K2659" t="str">
        <f t="shared" si="96"/>
        <v>181-270</v>
      </c>
      <c r="L2659" s="11">
        <v>45748</v>
      </c>
      <c r="M2659" s="23">
        <f>YEAR(Таблица1[[#This Row],[Дата отчета]])</f>
        <v>2025</v>
      </c>
    </row>
    <row r="2660" spans="1:14" x14ac:dyDescent="0.25">
      <c r="A2660" t="s">
        <v>12</v>
      </c>
      <c r="B2660" t="s">
        <v>2318</v>
      </c>
      <c r="C2660" t="s">
        <v>2783</v>
      </c>
      <c r="D2660" t="s">
        <v>2784</v>
      </c>
      <c r="E2660" t="s">
        <v>2677</v>
      </c>
      <c r="F2660" s="20">
        <v>1122</v>
      </c>
      <c r="I2660" s="11">
        <f t="shared" si="97"/>
        <v>45722</v>
      </c>
      <c r="J2660" s="12">
        <f t="shared" si="98"/>
        <v>26</v>
      </c>
      <c r="K2660" t="str">
        <f t="shared" si="96"/>
        <v>0-30</v>
      </c>
      <c r="L2660" s="11">
        <v>45748</v>
      </c>
      <c r="M2660" s="23">
        <f>YEAR(Таблица1[[#This Row],[Дата отчета]])</f>
        <v>2025</v>
      </c>
    </row>
    <row r="2661" spans="1:14" x14ac:dyDescent="0.25">
      <c r="A2661" t="s">
        <v>12</v>
      </c>
      <c r="B2661" t="s">
        <v>844</v>
      </c>
      <c r="C2661" t="s">
        <v>845</v>
      </c>
      <c r="D2661" t="s">
        <v>846</v>
      </c>
      <c r="E2661" t="s">
        <v>847</v>
      </c>
      <c r="F2661" s="20">
        <v>11834</v>
      </c>
      <c r="I2661" s="11">
        <f t="shared" si="97"/>
        <v>45200</v>
      </c>
      <c r="J2661" s="12">
        <f t="shared" si="98"/>
        <v>548</v>
      </c>
      <c r="K2661" t="str">
        <f t="shared" si="96"/>
        <v>&gt;360</v>
      </c>
      <c r="L2661" s="11">
        <v>45748</v>
      </c>
      <c r="M2661" s="23">
        <f>YEAR(Таблица1[[#This Row],[Дата отчета]])</f>
        <v>2025</v>
      </c>
      <c r="N2661" s="2" t="s">
        <v>807</v>
      </c>
    </row>
    <row r="2662" spans="1:14" x14ac:dyDescent="0.25">
      <c r="A2662" t="s">
        <v>12</v>
      </c>
      <c r="B2662" t="s">
        <v>2785</v>
      </c>
      <c r="C2662" t="s">
        <v>2786</v>
      </c>
      <c r="D2662" t="s">
        <v>2787</v>
      </c>
      <c r="E2662" t="s">
        <v>2448</v>
      </c>
      <c r="F2662" s="20">
        <v>157445.62</v>
      </c>
      <c r="I2662" s="11">
        <f t="shared" si="97"/>
        <v>45653</v>
      </c>
      <c r="J2662" s="12">
        <f t="shared" si="98"/>
        <v>95</v>
      </c>
      <c r="K2662" t="str">
        <f t="shared" si="96"/>
        <v>91-120</v>
      </c>
      <c r="L2662" s="11">
        <v>45748</v>
      </c>
      <c r="M2662" s="23">
        <f>YEAR(Таблица1[[#This Row],[Дата отчета]])</f>
        <v>2025</v>
      </c>
    </row>
    <row r="2663" spans="1:14" x14ac:dyDescent="0.25">
      <c r="A2663" t="s">
        <v>12</v>
      </c>
      <c r="B2663" t="s">
        <v>2788</v>
      </c>
      <c r="C2663" t="s">
        <v>2789</v>
      </c>
      <c r="D2663" t="s">
        <v>2790</v>
      </c>
      <c r="E2663" t="s">
        <v>968</v>
      </c>
      <c r="F2663" s="20">
        <v>25000</v>
      </c>
      <c r="I2663" s="11">
        <f t="shared" si="97"/>
        <v>45729</v>
      </c>
      <c r="J2663" s="12">
        <f t="shared" si="98"/>
        <v>19</v>
      </c>
      <c r="K2663" t="str">
        <f t="shared" si="96"/>
        <v>0-30</v>
      </c>
      <c r="L2663" s="11">
        <v>45748</v>
      </c>
      <c r="M2663" s="23">
        <f>YEAR(Таблица1[[#This Row],[Дата отчета]])</f>
        <v>2025</v>
      </c>
    </row>
    <row r="2664" spans="1:14" x14ac:dyDescent="0.25">
      <c r="A2664" t="s">
        <v>12</v>
      </c>
      <c r="B2664" t="s">
        <v>851</v>
      </c>
      <c r="C2664" t="s">
        <v>2321</v>
      </c>
      <c r="D2664" t="s">
        <v>2322</v>
      </c>
      <c r="E2664" t="s">
        <v>2454</v>
      </c>
      <c r="F2664" s="20">
        <v>225000</v>
      </c>
      <c r="I2664" s="11">
        <f t="shared" si="97"/>
        <v>45733</v>
      </c>
      <c r="J2664" s="12">
        <f t="shared" si="98"/>
        <v>15</v>
      </c>
      <c r="K2664" t="str">
        <f t="shared" si="96"/>
        <v>0-30</v>
      </c>
      <c r="L2664" s="11">
        <v>45748</v>
      </c>
      <c r="M2664" s="23">
        <f>YEAR(Таблица1[[#This Row],[Дата отчета]])</f>
        <v>2025</v>
      </c>
    </row>
    <row r="2665" spans="1:14" x14ac:dyDescent="0.25">
      <c r="A2665" t="s">
        <v>12</v>
      </c>
      <c r="B2665" t="s">
        <v>854</v>
      </c>
      <c r="C2665" t="s">
        <v>857</v>
      </c>
      <c r="D2665" t="s">
        <v>858</v>
      </c>
      <c r="E2665" t="s">
        <v>859</v>
      </c>
      <c r="F2665" s="20">
        <v>9250</v>
      </c>
      <c r="I2665" s="11">
        <f t="shared" si="97"/>
        <v>45110</v>
      </c>
      <c r="J2665" s="12">
        <f t="shared" si="98"/>
        <v>638</v>
      </c>
      <c r="K2665" t="str">
        <f t="shared" si="96"/>
        <v>&gt;360</v>
      </c>
      <c r="L2665" s="11">
        <v>45748</v>
      </c>
      <c r="M2665" s="23">
        <f>YEAR(Таблица1[[#This Row],[Дата отчета]])</f>
        <v>2025</v>
      </c>
      <c r="N2665" s="2" t="s">
        <v>807</v>
      </c>
    </row>
    <row r="2666" spans="1:14" x14ac:dyDescent="0.25">
      <c r="A2666" t="s">
        <v>12</v>
      </c>
      <c r="B2666" t="s">
        <v>854</v>
      </c>
      <c r="C2666" t="s">
        <v>860</v>
      </c>
      <c r="D2666" t="s">
        <v>861</v>
      </c>
      <c r="E2666" t="s">
        <v>862</v>
      </c>
      <c r="F2666" s="20">
        <v>4996</v>
      </c>
      <c r="I2666" s="11">
        <f t="shared" si="97"/>
        <v>45187</v>
      </c>
      <c r="J2666" s="12">
        <f t="shared" si="98"/>
        <v>561</v>
      </c>
      <c r="K2666" t="str">
        <f t="shared" si="96"/>
        <v>&gt;360</v>
      </c>
      <c r="L2666" s="11">
        <v>45748</v>
      </c>
      <c r="M2666" s="23">
        <f>YEAR(Таблица1[[#This Row],[Дата отчета]])</f>
        <v>2025</v>
      </c>
      <c r="N2666" s="2" t="s">
        <v>807</v>
      </c>
    </row>
    <row r="2667" spans="1:14" x14ac:dyDescent="0.25">
      <c r="A2667" t="s">
        <v>12</v>
      </c>
      <c r="B2667" t="s">
        <v>854</v>
      </c>
      <c r="C2667" t="s">
        <v>863</v>
      </c>
      <c r="D2667" t="s">
        <v>864</v>
      </c>
      <c r="E2667" t="s">
        <v>865</v>
      </c>
      <c r="F2667" s="20">
        <v>3100</v>
      </c>
      <c r="I2667" s="11">
        <f t="shared" si="97"/>
        <v>45456</v>
      </c>
      <c r="J2667" s="12">
        <f t="shared" si="98"/>
        <v>292</v>
      </c>
      <c r="K2667" t="str">
        <f t="shared" si="96"/>
        <v>271-360</v>
      </c>
      <c r="L2667" s="11">
        <v>45748</v>
      </c>
      <c r="M2667" s="23">
        <f>YEAR(Таблица1[[#This Row],[Дата отчета]])</f>
        <v>2025</v>
      </c>
      <c r="N2667" s="2" t="s">
        <v>807</v>
      </c>
    </row>
    <row r="2668" spans="1:14" x14ac:dyDescent="0.25">
      <c r="A2668" t="s">
        <v>12</v>
      </c>
      <c r="B2668" t="s">
        <v>854</v>
      </c>
      <c r="C2668" t="s">
        <v>866</v>
      </c>
      <c r="D2668" t="s">
        <v>867</v>
      </c>
      <c r="E2668" t="s">
        <v>868</v>
      </c>
      <c r="F2668" s="20">
        <v>2640</v>
      </c>
      <c r="I2668" s="11">
        <f t="shared" si="97"/>
        <v>45252</v>
      </c>
      <c r="J2668" s="12">
        <f t="shared" si="98"/>
        <v>496</v>
      </c>
      <c r="K2668" t="str">
        <f t="shared" si="96"/>
        <v>&gt;360</v>
      </c>
      <c r="L2668" s="11">
        <v>45748</v>
      </c>
      <c r="M2668" s="23">
        <f>YEAR(Таблица1[[#This Row],[Дата отчета]])</f>
        <v>2025</v>
      </c>
      <c r="N2668" s="2" t="s">
        <v>807</v>
      </c>
    </row>
    <row r="2669" spans="1:14" x14ac:dyDescent="0.25">
      <c r="A2669" t="s">
        <v>12</v>
      </c>
      <c r="B2669" t="s">
        <v>854</v>
      </c>
      <c r="C2669" t="s">
        <v>2791</v>
      </c>
      <c r="D2669" t="s">
        <v>2792</v>
      </c>
      <c r="E2669" t="s">
        <v>2793</v>
      </c>
      <c r="F2669" s="20">
        <v>3000</v>
      </c>
      <c r="I2669" s="11">
        <f t="shared" si="97"/>
        <v>45615</v>
      </c>
      <c r="J2669" s="12">
        <f t="shared" si="98"/>
        <v>133</v>
      </c>
      <c r="K2669" t="str">
        <f t="shared" si="96"/>
        <v>121-180</v>
      </c>
      <c r="L2669" s="11">
        <v>45748</v>
      </c>
      <c r="M2669" s="23">
        <f>YEAR(Таблица1[[#This Row],[Дата отчета]])</f>
        <v>2025</v>
      </c>
    </row>
    <row r="2670" spans="1:14" x14ac:dyDescent="0.25">
      <c r="A2670" t="s">
        <v>12</v>
      </c>
      <c r="B2670" t="s">
        <v>854</v>
      </c>
      <c r="C2670" t="s">
        <v>2794</v>
      </c>
      <c r="D2670" t="s">
        <v>2795</v>
      </c>
      <c r="E2670" t="s">
        <v>2796</v>
      </c>
      <c r="F2670" s="20">
        <v>5000</v>
      </c>
      <c r="I2670" s="11">
        <f t="shared" si="97"/>
        <v>45702</v>
      </c>
      <c r="J2670" s="12">
        <f t="shared" si="98"/>
        <v>46</v>
      </c>
      <c r="K2670" t="str">
        <f t="shared" si="96"/>
        <v>31-90</v>
      </c>
      <c r="L2670" s="11">
        <v>45748</v>
      </c>
      <c r="M2670" s="23">
        <f>YEAR(Таблица1[[#This Row],[Дата отчета]])</f>
        <v>2025</v>
      </c>
    </row>
    <row r="2671" spans="1:14" x14ac:dyDescent="0.25">
      <c r="A2671" t="s">
        <v>12</v>
      </c>
      <c r="B2671" t="s">
        <v>854</v>
      </c>
      <c r="C2671" t="s">
        <v>2797</v>
      </c>
      <c r="D2671" t="s">
        <v>2798</v>
      </c>
      <c r="E2671" t="s">
        <v>1787</v>
      </c>
      <c r="F2671" s="20">
        <v>27110</v>
      </c>
      <c r="I2671" s="11">
        <f t="shared" si="97"/>
        <v>45742</v>
      </c>
      <c r="J2671" s="12">
        <f t="shared" si="98"/>
        <v>6</v>
      </c>
      <c r="K2671" t="str">
        <f t="shared" si="96"/>
        <v>0-30</v>
      </c>
      <c r="L2671" s="11">
        <v>45748</v>
      </c>
      <c r="M2671" s="23">
        <f>YEAR(Таблица1[[#This Row],[Дата отчета]])</f>
        <v>2025</v>
      </c>
    </row>
    <row r="2672" spans="1:14" x14ac:dyDescent="0.25">
      <c r="A2672" t="s">
        <v>12</v>
      </c>
      <c r="B2672" t="s">
        <v>854</v>
      </c>
      <c r="C2672" t="s">
        <v>2799</v>
      </c>
      <c r="D2672" t="s">
        <v>2800</v>
      </c>
      <c r="E2672" t="s">
        <v>994</v>
      </c>
      <c r="F2672" s="20">
        <v>20690</v>
      </c>
      <c r="I2672" s="11">
        <f t="shared" si="97"/>
        <v>45741</v>
      </c>
      <c r="J2672" s="12">
        <f t="shared" si="98"/>
        <v>7</v>
      </c>
      <c r="K2672" t="str">
        <f t="shared" si="96"/>
        <v>0-30</v>
      </c>
      <c r="L2672" s="11">
        <v>45748</v>
      </c>
      <c r="M2672" s="23">
        <f>YEAR(Таблица1[[#This Row],[Дата отчета]])</f>
        <v>2025</v>
      </c>
    </row>
    <row r="2673" spans="1:14" x14ac:dyDescent="0.25">
      <c r="A2673" t="s">
        <v>12</v>
      </c>
      <c r="B2673" t="s">
        <v>854</v>
      </c>
      <c r="C2673" t="s">
        <v>2801</v>
      </c>
      <c r="D2673" t="s">
        <v>2802</v>
      </c>
      <c r="E2673" t="s">
        <v>987</v>
      </c>
      <c r="F2673" s="20">
        <v>41263</v>
      </c>
      <c r="I2673" s="11">
        <f t="shared" si="97"/>
        <v>45747</v>
      </c>
      <c r="J2673" s="12">
        <f t="shared" si="98"/>
        <v>1</v>
      </c>
      <c r="K2673" t="str">
        <f t="shared" si="96"/>
        <v>0-30</v>
      </c>
      <c r="L2673" s="11">
        <v>45748</v>
      </c>
      <c r="M2673" s="23">
        <f>YEAR(Таблица1[[#This Row],[Дата отчета]])</f>
        <v>2025</v>
      </c>
    </row>
    <row r="2674" spans="1:14" x14ac:dyDescent="0.25">
      <c r="A2674" t="s">
        <v>12</v>
      </c>
      <c r="B2674" t="s">
        <v>894</v>
      </c>
      <c r="C2674" t="s">
        <v>895</v>
      </c>
      <c r="D2674" t="s">
        <v>896</v>
      </c>
      <c r="E2674" t="s">
        <v>897</v>
      </c>
      <c r="F2674" s="20">
        <v>2400</v>
      </c>
      <c r="I2674" s="11">
        <f t="shared" si="97"/>
        <v>45022</v>
      </c>
      <c r="J2674" s="12">
        <f t="shared" si="98"/>
        <v>726</v>
      </c>
      <c r="K2674" t="str">
        <f t="shared" si="96"/>
        <v>&gt;360</v>
      </c>
      <c r="L2674" s="11">
        <v>45748</v>
      </c>
      <c r="M2674" s="23">
        <f>YEAR(Таблица1[[#This Row],[Дата отчета]])</f>
        <v>2025</v>
      </c>
      <c r="N2674" s="2" t="s">
        <v>807</v>
      </c>
    </row>
    <row r="2675" spans="1:14" x14ac:dyDescent="0.25">
      <c r="A2675" t="s">
        <v>12</v>
      </c>
      <c r="B2675" t="s">
        <v>894</v>
      </c>
      <c r="C2675" t="s">
        <v>898</v>
      </c>
      <c r="D2675" t="s">
        <v>899</v>
      </c>
      <c r="E2675" t="s">
        <v>900</v>
      </c>
      <c r="F2675" s="20">
        <v>22029</v>
      </c>
      <c r="I2675" s="11">
        <f t="shared" si="97"/>
        <v>45203</v>
      </c>
      <c r="J2675" s="12">
        <f t="shared" si="98"/>
        <v>545</v>
      </c>
      <c r="K2675" t="str">
        <f t="shared" si="96"/>
        <v>&gt;360</v>
      </c>
      <c r="L2675" s="11">
        <v>45748</v>
      </c>
      <c r="M2675" s="23">
        <f>YEAR(Таблица1[[#This Row],[Дата отчета]])</f>
        <v>2025</v>
      </c>
      <c r="N2675" s="2" t="s">
        <v>807</v>
      </c>
    </row>
    <row r="2676" spans="1:14" x14ac:dyDescent="0.25">
      <c r="A2676" t="s">
        <v>12</v>
      </c>
      <c r="B2676" t="s">
        <v>901</v>
      </c>
      <c r="C2676" t="s">
        <v>775</v>
      </c>
      <c r="D2676" t="s">
        <v>902</v>
      </c>
      <c r="E2676" t="s">
        <v>903</v>
      </c>
      <c r="F2676" s="20">
        <v>270</v>
      </c>
      <c r="I2676" s="11">
        <f t="shared" si="97"/>
        <v>43679</v>
      </c>
      <c r="J2676" s="12">
        <f t="shared" si="98"/>
        <v>2069</v>
      </c>
      <c r="K2676" t="str">
        <f t="shared" si="96"/>
        <v>&gt;360</v>
      </c>
      <c r="L2676" s="11">
        <v>45748</v>
      </c>
      <c r="M2676" s="23">
        <f>YEAR(Таблица1[[#This Row],[Дата отчета]])</f>
        <v>2025</v>
      </c>
      <c r="N2676" s="2" t="s">
        <v>807</v>
      </c>
    </row>
    <row r="2677" spans="1:14" x14ac:dyDescent="0.25">
      <c r="A2677" t="s">
        <v>12</v>
      </c>
      <c r="B2677" t="s">
        <v>904</v>
      </c>
      <c r="C2677" t="s">
        <v>2803</v>
      </c>
      <c r="D2677" t="s">
        <v>2804</v>
      </c>
      <c r="E2677" t="s">
        <v>994</v>
      </c>
      <c r="F2677" s="20">
        <v>69300</v>
      </c>
      <c r="I2677" s="11">
        <f t="shared" si="97"/>
        <v>45741</v>
      </c>
      <c r="J2677" s="12">
        <f t="shared" si="98"/>
        <v>7</v>
      </c>
      <c r="K2677" t="str">
        <f t="shared" si="96"/>
        <v>0-30</v>
      </c>
      <c r="L2677" s="11">
        <v>45748</v>
      </c>
      <c r="M2677" s="23">
        <f>YEAR(Таблица1[[#This Row],[Дата отчета]])</f>
        <v>2025</v>
      </c>
    </row>
    <row r="2678" spans="1:14" x14ac:dyDescent="0.25">
      <c r="A2678" t="s">
        <v>12</v>
      </c>
      <c r="B2678" t="s">
        <v>904</v>
      </c>
      <c r="C2678" t="s">
        <v>2805</v>
      </c>
      <c r="D2678" t="s">
        <v>2806</v>
      </c>
      <c r="E2678" t="s">
        <v>968</v>
      </c>
      <c r="F2678" s="20">
        <v>1397880</v>
      </c>
      <c r="I2678" s="11">
        <f t="shared" si="97"/>
        <v>45729</v>
      </c>
      <c r="J2678" s="12">
        <f t="shared" si="98"/>
        <v>19</v>
      </c>
      <c r="K2678" t="str">
        <f t="shared" si="96"/>
        <v>0-30</v>
      </c>
      <c r="L2678" s="11">
        <v>45748</v>
      </c>
      <c r="M2678" s="23">
        <f>YEAR(Таблица1[[#This Row],[Дата отчета]])</f>
        <v>2025</v>
      </c>
    </row>
    <row r="2679" spans="1:14" x14ac:dyDescent="0.25">
      <c r="A2679" t="s">
        <v>12</v>
      </c>
      <c r="B2679" t="s">
        <v>1705</v>
      </c>
      <c r="C2679" t="s">
        <v>2807</v>
      </c>
      <c r="D2679" t="s">
        <v>2808</v>
      </c>
      <c r="E2679" t="s">
        <v>2809</v>
      </c>
      <c r="F2679" s="20">
        <v>1000</v>
      </c>
      <c r="I2679" s="11">
        <f t="shared" si="97"/>
        <v>45560</v>
      </c>
      <c r="J2679" s="12">
        <f t="shared" si="98"/>
        <v>188</v>
      </c>
      <c r="K2679" t="str">
        <f t="shared" si="96"/>
        <v>181-270</v>
      </c>
      <c r="L2679" s="11">
        <v>45748</v>
      </c>
      <c r="M2679" s="23">
        <f>YEAR(Таблица1[[#This Row],[Дата отчета]])</f>
        <v>2025</v>
      </c>
    </row>
    <row r="2680" spans="1:14" x14ac:dyDescent="0.25">
      <c r="A2680" t="s">
        <v>12</v>
      </c>
      <c r="B2680" t="s">
        <v>1705</v>
      </c>
      <c r="C2680" t="s">
        <v>775</v>
      </c>
      <c r="D2680" t="s">
        <v>2343</v>
      </c>
      <c r="E2680" t="s">
        <v>289</v>
      </c>
      <c r="F2680" s="20">
        <v>4100</v>
      </c>
      <c r="I2680" s="11">
        <f t="shared" si="97"/>
        <v>45716</v>
      </c>
      <c r="J2680" s="12">
        <f t="shared" si="98"/>
        <v>32</v>
      </c>
      <c r="K2680" t="str">
        <f t="shared" si="96"/>
        <v>31-90</v>
      </c>
      <c r="L2680" s="11">
        <v>45748</v>
      </c>
      <c r="M2680" s="23">
        <f>YEAR(Таблица1[[#This Row],[Дата отчета]])</f>
        <v>2025</v>
      </c>
    </row>
    <row r="2681" spans="1:14" x14ac:dyDescent="0.25">
      <c r="A2681" t="s">
        <v>12</v>
      </c>
      <c r="B2681" t="s">
        <v>2810</v>
      </c>
      <c r="C2681" t="s">
        <v>2811</v>
      </c>
      <c r="D2681" t="s">
        <v>2812</v>
      </c>
      <c r="E2681" t="s">
        <v>2514</v>
      </c>
      <c r="F2681" s="20">
        <v>11445356.4</v>
      </c>
      <c r="I2681" s="11">
        <f t="shared" si="97"/>
        <v>45666</v>
      </c>
      <c r="J2681" s="12">
        <f t="shared" si="98"/>
        <v>82</v>
      </c>
      <c r="K2681" t="str">
        <f t="shared" si="96"/>
        <v>31-90</v>
      </c>
      <c r="L2681" s="11">
        <v>45748</v>
      </c>
      <c r="M2681" s="23">
        <f>YEAR(Таблица1[[#This Row],[Дата отчета]])</f>
        <v>2025</v>
      </c>
    </row>
    <row r="2682" spans="1:14" x14ac:dyDescent="0.25">
      <c r="A2682" t="s">
        <v>12</v>
      </c>
      <c r="B2682" t="s">
        <v>2810</v>
      </c>
      <c r="C2682" t="s">
        <v>2811</v>
      </c>
      <c r="D2682" t="s">
        <v>2813</v>
      </c>
      <c r="E2682" t="s">
        <v>2814</v>
      </c>
      <c r="F2682" s="20">
        <v>3815118.8</v>
      </c>
      <c r="I2682" s="11">
        <f t="shared" si="97"/>
        <v>45715</v>
      </c>
      <c r="J2682" s="12">
        <f t="shared" si="98"/>
        <v>33</v>
      </c>
      <c r="K2682" t="str">
        <f t="shared" si="96"/>
        <v>31-90</v>
      </c>
      <c r="L2682" s="11">
        <v>45748</v>
      </c>
      <c r="M2682" s="23">
        <f>YEAR(Таблица1[[#This Row],[Дата отчета]])</f>
        <v>2025</v>
      </c>
    </row>
    <row r="2683" spans="1:14" x14ac:dyDescent="0.25">
      <c r="A2683" t="s">
        <v>12</v>
      </c>
      <c r="B2683" t="s">
        <v>912</v>
      </c>
      <c r="C2683" t="s">
        <v>2815</v>
      </c>
      <c r="D2683" t="s">
        <v>2816</v>
      </c>
      <c r="E2683" t="s">
        <v>1023</v>
      </c>
      <c r="F2683" s="20">
        <v>406200</v>
      </c>
      <c r="I2683" s="11">
        <f t="shared" si="97"/>
        <v>45728</v>
      </c>
      <c r="J2683" s="12">
        <f t="shared" si="98"/>
        <v>20</v>
      </c>
      <c r="K2683" t="str">
        <f t="shared" si="96"/>
        <v>0-30</v>
      </c>
      <c r="L2683" s="11">
        <v>45748</v>
      </c>
      <c r="M2683" s="23">
        <f>YEAR(Таблица1[[#This Row],[Дата отчета]])</f>
        <v>2025</v>
      </c>
    </row>
    <row r="2684" spans="1:14" x14ac:dyDescent="0.25">
      <c r="A2684" t="s">
        <v>12</v>
      </c>
      <c r="B2684" t="s">
        <v>915</v>
      </c>
      <c r="C2684" t="s">
        <v>918</v>
      </c>
      <c r="D2684" t="s">
        <v>919</v>
      </c>
      <c r="E2684" t="s">
        <v>920</v>
      </c>
      <c r="F2684" s="20">
        <v>37500</v>
      </c>
      <c r="I2684" s="11">
        <f t="shared" si="97"/>
        <v>45392</v>
      </c>
      <c r="J2684" s="12">
        <f t="shared" si="98"/>
        <v>356</v>
      </c>
      <c r="K2684" t="str">
        <f t="shared" si="96"/>
        <v>271-360</v>
      </c>
      <c r="L2684" s="11">
        <v>45748</v>
      </c>
      <c r="M2684" s="23">
        <f>YEAR(Таблица1[[#This Row],[Дата отчета]])</f>
        <v>2025</v>
      </c>
      <c r="N2684" s="2" t="s">
        <v>4538</v>
      </c>
    </row>
    <row r="2685" spans="1:14" x14ac:dyDescent="0.25">
      <c r="A2685" t="s">
        <v>12</v>
      </c>
      <c r="B2685" t="s">
        <v>915</v>
      </c>
      <c r="C2685" t="s">
        <v>2347</v>
      </c>
      <c r="D2685" t="s">
        <v>2348</v>
      </c>
      <c r="E2685" t="s">
        <v>2432</v>
      </c>
      <c r="F2685" s="20">
        <v>2881256.7</v>
      </c>
      <c r="I2685" s="11">
        <f t="shared" si="97"/>
        <v>45693</v>
      </c>
      <c r="J2685" s="12">
        <f t="shared" si="98"/>
        <v>55</v>
      </c>
      <c r="K2685" t="str">
        <f t="shared" si="96"/>
        <v>31-90</v>
      </c>
      <c r="L2685" s="11">
        <v>45748</v>
      </c>
      <c r="M2685" s="23">
        <f>YEAR(Таблица1[[#This Row],[Дата отчета]])</f>
        <v>2025</v>
      </c>
    </row>
    <row r="2686" spans="1:14" x14ac:dyDescent="0.25">
      <c r="A2686" t="s">
        <v>12</v>
      </c>
      <c r="B2686" t="s">
        <v>1711</v>
      </c>
      <c r="C2686" t="s">
        <v>1712</v>
      </c>
      <c r="D2686" t="s">
        <v>1713</v>
      </c>
      <c r="E2686" t="s">
        <v>1812</v>
      </c>
      <c r="F2686" s="20">
        <v>7010</v>
      </c>
      <c r="I2686" s="11">
        <f t="shared" si="97"/>
        <v>45744</v>
      </c>
      <c r="J2686" s="12">
        <f t="shared" si="98"/>
        <v>4</v>
      </c>
      <c r="K2686" t="str">
        <f t="shared" si="96"/>
        <v>0-30</v>
      </c>
      <c r="L2686" s="11">
        <v>45748</v>
      </c>
      <c r="M2686" s="23">
        <f>YEAR(Таблица1[[#This Row],[Дата отчета]])</f>
        <v>2025</v>
      </c>
    </row>
    <row r="2687" spans="1:14" x14ac:dyDescent="0.25">
      <c r="A2687" t="s">
        <v>12</v>
      </c>
      <c r="B2687" t="s">
        <v>2817</v>
      </c>
      <c r="C2687" t="s">
        <v>2818</v>
      </c>
      <c r="D2687" t="s">
        <v>2819</v>
      </c>
      <c r="E2687" t="s">
        <v>1812</v>
      </c>
      <c r="F2687" s="20">
        <v>40800</v>
      </c>
      <c r="I2687" s="11">
        <f t="shared" si="97"/>
        <v>45744</v>
      </c>
      <c r="J2687" s="12">
        <f t="shared" si="98"/>
        <v>4</v>
      </c>
      <c r="K2687" t="str">
        <f t="shared" ref="K2687:K2750" si="99">IF(J2687&lt;=30,"0-30",IF(J2687&lt;=90,"31-90",IF(J2687&lt;=120,"91-120",IF(J2687&lt;=180,"121-180",IF(J2687&lt;=270,"181-270",IF(J2687&lt;=360,"271-360","&gt;360"))))))</f>
        <v>0-30</v>
      </c>
      <c r="L2687" s="11">
        <v>45748</v>
      </c>
      <c r="M2687" s="23">
        <f>YEAR(Таблица1[[#This Row],[Дата отчета]])</f>
        <v>2025</v>
      </c>
    </row>
    <row r="2688" spans="1:14" x14ac:dyDescent="0.25">
      <c r="A2688" t="s">
        <v>12</v>
      </c>
      <c r="B2688" t="s">
        <v>931</v>
      </c>
      <c r="C2688" t="s">
        <v>2820</v>
      </c>
      <c r="D2688" t="s">
        <v>2821</v>
      </c>
      <c r="E2688" t="s">
        <v>2772</v>
      </c>
      <c r="F2688" s="20">
        <v>432000</v>
      </c>
      <c r="I2688" s="11">
        <f t="shared" si="97"/>
        <v>45709</v>
      </c>
      <c r="J2688" s="12">
        <f t="shared" si="98"/>
        <v>39</v>
      </c>
      <c r="K2688" t="str">
        <f t="shared" si="99"/>
        <v>31-90</v>
      </c>
      <c r="L2688" s="11">
        <v>45748</v>
      </c>
      <c r="M2688" s="23">
        <f>YEAR(Таблица1[[#This Row],[Дата отчета]])</f>
        <v>2025</v>
      </c>
    </row>
    <row r="2689" spans="1:16" x14ac:dyDescent="0.25">
      <c r="A2689" t="s">
        <v>12</v>
      </c>
      <c r="B2689" t="s">
        <v>2349</v>
      </c>
      <c r="C2689" t="s">
        <v>2822</v>
      </c>
      <c r="D2689" t="s">
        <v>2823</v>
      </c>
      <c r="E2689" t="s">
        <v>2824</v>
      </c>
      <c r="F2689" s="20">
        <v>15835.2</v>
      </c>
      <c r="I2689" s="11">
        <f t="shared" si="97"/>
        <v>45547</v>
      </c>
      <c r="J2689" s="12">
        <f t="shared" si="98"/>
        <v>201</v>
      </c>
      <c r="K2689" t="str">
        <f t="shared" si="99"/>
        <v>181-270</v>
      </c>
      <c r="L2689" s="11">
        <v>45748</v>
      </c>
      <c r="M2689" s="23">
        <f>YEAR(Таблица1[[#This Row],[Дата отчета]])</f>
        <v>2025</v>
      </c>
    </row>
    <row r="2690" spans="1:16" x14ac:dyDescent="0.25">
      <c r="A2690" t="s">
        <v>12</v>
      </c>
      <c r="B2690" t="s">
        <v>2349</v>
      </c>
      <c r="C2690" t="s">
        <v>2825</v>
      </c>
      <c r="D2690" t="s">
        <v>2826</v>
      </c>
      <c r="E2690" t="s">
        <v>987</v>
      </c>
      <c r="F2690" s="20">
        <v>13975.2</v>
      </c>
      <c r="I2690" s="11">
        <f t="shared" si="97"/>
        <v>45747</v>
      </c>
      <c r="J2690" s="12">
        <f t="shared" si="98"/>
        <v>1</v>
      </c>
      <c r="K2690" t="str">
        <f t="shared" si="99"/>
        <v>0-30</v>
      </c>
      <c r="L2690" s="11">
        <v>45748</v>
      </c>
      <c r="M2690" s="23">
        <f>YEAR(Таблица1[[#This Row],[Дата отчета]])</f>
        <v>2025</v>
      </c>
    </row>
    <row r="2691" spans="1:16" x14ac:dyDescent="0.25">
      <c r="A2691" t="s">
        <v>12</v>
      </c>
      <c r="B2691" t="s">
        <v>2827</v>
      </c>
      <c r="C2691" t="s">
        <v>2828</v>
      </c>
      <c r="D2691" t="s">
        <v>2829</v>
      </c>
      <c r="E2691" t="s">
        <v>1023</v>
      </c>
      <c r="F2691" s="20">
        <v>11110</v>
      </c>
      <c r="I2691" s="11">
        <f t="shared" si="97"/>
        <v>45728</v>
      </c>
      <c r="J2691" s="12">
        <f t="shared" si="98"/>
        <v>20</v>
      </c>
      <c r="K2691" t="str">
        <f t="shared" si="99"/>
        <v>0-30</v>
      </c>
      <c r="L2691" s="11">
        <v>45748</v>
      </c>
      <c r="M2691" s="23">
        <f>YEAR(Таблица1[[#This Row],[Дата отчета]])</f>
        <v>2025</v>
      </c>
    </row>
    <row r="2692" spans="1:16" x14ac:dyDescent="0.25">
      <c r="A2692" t="s">
        <v>12</v>
      </c>
      <c r="B2692" t="s">
        <v>2830</v>
      </c>
      <c r="C2692" t="s">
        <v>2831</v>
      </c>
      <c r="D2692" t="s">
        <v>2832</v>
      </c>
      <c r="E2692" t="s">
        <v>1787</v>
      </c>
      <c r="F2692" s="20">
        <v>649350</v>
      </c>
      <c r="I2692" s="11">
        <f t="shared" si="97"/>
        <v>45742</v>
      </c>
      <c r="J2692" s="12">
        <f t="shared" si="98"/>
        <v>6</v>
      </c>
      <c r="K2692" t="str">
        <f t="shared" si="99"/>
        <v>0-30</v>
      </c>
      <c r="L2692" s="11">
        <v>45748</v>
      </c>
      <c r="M2692" s="23">
        <f>YEAR(Таблица1[[#This Row],[Дата отчета]])</f>
        <v>2025</v>
      </c>
    </row>
    <row r="2693" spans="1:16" x14ac:dyDescent="0.25">
      <c r="A2693" t="s">
        <v>12</v>
      </c>
      <c r="B2693" t="s">
        <v>965</v>
      </c>
      <c r="C2693" t="s">
        <v>966</v>
      </c>
      <c r="D2693" t="s">
        <v>2833</v>
      </c>
      <c r="E2693" t="s">
        <v>2834</v>
      </c>
      <c r="F2693" s="20">
        <v>135901.20000000001</v>
      </c>
      <c r="I2693" s="11">
        <f t="shared" si="97"/>
        <v>45516</v>
      </c>
      <c r="J2693" s="12">
        <f t="shared" si="98"/>
        <v>232</v>
      </c>
      <c r="K2693" t="str">
        <f t="shared" si="99"/>
        <v>181-270</v>
      </c>
      <c r="L2693" s="11">
        <v>45748</v>
      </c>
      <c r="M2693" s="23">
        <f>YEAR(Таблица1[[#This Row],[Дата отчета]])</f>
        <v>2025</v>
      </c>
      <c r="N2693" s="7"/>
    </row>
    <row r="2694" spans="1:16" x14ac:dyDescent="0.25">
      <c r="A2694" t="s">
        <v>12</v>
      </c>
      <c r="B2694" t="s">
        <v>965</v>
      </c>
      <c r="C2694" t="s">
        <v>966</v>
      </c>
      <c r="D2694" t="s">
        <v>967</v>
      </c>
      <c r="E2694" t="s">
        <v>968</v>
      </c>
      <c r="F2694" s="20">
        <v>564000</v>
      </c>
      <c r="I2694" s="11">
        <f t="shared" si="97"/>
        <v>45729</v>
      </c>
      <c r="J2694" s="12">
        <f t="shared" si="98"/>
        <v>19</v>
      </c>
      <c r="K2694" t="str">
        <f t="shared" si="99"/>
        <v>0-30</v>
      </c>
      <c r="L2694" s="11">
        <v>45748</v>
      </c>
      <c r="M2694" s="23">
        <f>YEAR(Таблица1[[#This Row],[Дата отчета]])</f>
        <v>2025</v>
      </c>
      <c r="N2694" s="7"/>
    </row>
    <row r="2695" spans="1:16" x14ac:dyDescent="0.25">
      <c r="A2695" t="s">
        <v>12</v>
      </c>
      <c r="B2695" t="s">
        <v>965</v>
      </c>
      <c r="C2695" t="s">
        <v>2835</v>
      </c>
      <c r="D2695" t="s">
        <v>2836</v>
      </c>
      <c r="E2695" t="s">
        <v>968</v>
      </c>
      <c r="F2695" s="20">
        <v>8690</v>
      </c>
      <c r="I2695" s="11">
        <f t="shared" si="97"/>
        <v>45729</v>
      </c>
      <c r="J2695" s="12">
        <f t="shared" si="98"/>
        <v>19</v>
      </c>
      <c r="K2695" t="str">
        <f t="shared" si="99"/>
        <v>0-30</v>
      </c>
      <c r="L2695" s="11">
        <v>45748</v>
      </c>
      <c r="M2695" s="23">
        <f>YEAR(Таблица1[[#This Row],[Дата отчета]])</f>
        <v>2025</v>
      </c>
    </row>
    <row r="2696" spans="1:16" x14ac:dyDescent="0.25">
      <c r="A2696" t="s">
        <v>12</v>
      </c>
      <c r="B2696" t="s">
        <v>965</v>
      </c>
      <c r="C2696" t="s">
        <v>2835</v>
      </c>
      <c r="D2696" t="s">
        <v>2837</v>
      </c>
      <c r="E2696" t="s">
        <v>968</v>
      </c>
      <c r="F2696" s="20">
        <v>629042</v>
      </c>
      <c r="I2696" s="11">
        <f t="shared" si="97"/>
        <v>45729</v>
      </c>
      <c r="J2696" s="12">
        <f t="shared" si="98"/>
        <v>19</v>
      </c>
      <c r="K2696" t="str">
        <f t="shared" si="99"/>
        <v>0-30</v>
      </c>
      <c r="L2696" s="11">
        <v>45748</v>
      </c>
      <c r="M2696" s="23">
        <f>YEAR(Таблица1[[#This Row],[Дата отчета]])</f>
        <v>2025</v>
      </c>
    </row>
    <row r="2697" spans="1:16" x14ac:dyDescent="0.25">
      <c r="A2697" t="s">
        <v>12</v>
      </c>
      <c r="B2697" t="s">
        <v>2838</v>
      </c>
      <c r="C2697" t="s">
        <v>2839</v>
      </c>
      <c r="D2697" t="s">
        <v>2840</v>
      </c>
      <c r="E2697" t="s">
        <v>1812</v>
      </c>
      <c r="F2697" s="20">
        <v>26850</v>
      </c>
      <c r="I2697" s="11">
        <f t="shared" si="97"/>
        <v>45744</v>
      </c>
      <c r="J2697" s="12">
        <f t="shared" si="98"/>
        <v>4</v>
      </c>
      <c r="K2697" t="str">
        <f t="shared" si="99"/>
        <v>0-30</v>
      </c>
      <c r="L2697" s="11">
        <v>45748</v>
      </c>
      <c r="M2697" s="23">
        <f>YEAR(Таблица1[[#This Row],[Дата отчета]])</f>
        <v>2025</v>
      </c>
    </row>
    <row r="2698" spans="1:16" x14ac:dyDescent="0.25">
      <c r="A2698" t="s">
        <v>12</v>
      </c>
      <c r="B2698" t="s">
        <v>2382</v>
      </c>
      <c r="C2698" t="s">
        <v>269</v>
      </c>
      <c r="D2698" t="s">
        <v>2383</v>
      </c>
      <c r="E2698" t="s">
        <v>1765</v>
      </c>
      <c r="F2698" s="20">
        <v>1600</v>
      </c>
      <c r="I2698" s="11">
        <f t="shared" si="97"/>
        <v>45735</v>
      </c>
      <c r="J2698" s="12">
        <f t="shared" si="98"/>
        <v>13</v>
      </c>
      <c r="K2698" t="str">
        <f t="shared" si="99"/>
        <v>0-30</v>
      </c>
      <c r="L2698" s="11">
        <v>45748</v>
      </c>
      <c r="M2698" s="23">
        <f>YEAR(Таблица1[[#This Row],[Дата отчета]])</f>
        <v>2025</v>
      </c>
    </row>
    <row r="2699" spans="1:16" x14ac:dyDescent="0.25">
      <c r="A2699" t="s">
        <v>12</v>
      </c>
      <c r="B2699" t="s">
        <v>984</v>
      </c>
      <c r="C2699" t="s">
        <v>985</v>
      </c>
      <c r="D2699" t="s">
        <v>986</v>
      </c>
      <c r="E2699" t="s">
        <v>987</v>
      </c>
      <c r="F2699" s="20">
        <v>32000</v>
      </c>
      <c r="I2699" s="11">
        <f t="shared" si="97"/>
        <v>45747</v>
      </c>
      <c r="J2699" s="12">
        <f t="shared" si="98"/>
        <v>1</v>
      </c>
      <c r="K2699" t="str">
        <f t="shared" si="99"/>
        <v>0-30</v>
      </c>
      <c r="L2699" s="11">
        <v>45748</v>
      </c>
      <c r="M2699" s="23">
        <f>YEAR(Таблица1[[#This Row],[Дата отчета]])</f>
        <v>2025</v>
      </c>
      <c r="N2699" s="2" t="s">
        <v>807</v>
      </c>
    </row>
    <row r="2700" spans="1:16" x14ac:dyDescent="0.25">
      <c r="A2700" t="s">
        <v>12</v>
      </c>
      <c r="B2700" t="s">
        <v>991</v>
      </c>
      <c r="C2700" t="s">
        <v>992</v>
      </c>
      <c r="D2700" t="s">
        <v>993</v>
      </c>
      <c r="E2700" t="s">
        <v>994</v>
      </c>
      <c r="F2700" s="20">
        <v>61534</v>
      </c>
      <c r="I2700" s="11">
        <f t="shared" si="97"/>
        <v>45741</v>
      </c>
      <c r="J2700" s="12">
        <f t="shared" si="98"/>
        <v>7</v>
      </c>
      <c r="K2700" t="str">
        <f t="shared" si="99"/>
        <v>0-30</v>
      </c>
      <c r="L2700" s="11">
        <v>45748</v>
      </c>
      <c r="M2700" s="23">
        <f>YEAR(Таблица1[[#This Row],[Дата отчета]])</f>
        <v>2025</v>
      </c>
      <c r="N2700" s="7"/>
    </row>
    <row r="2701" spans="1:16" x14ac:dyDescent="0.25">
      <c r="A2701" t="s">
        <v>12</v>
      </c>
      <c r="B2701" t="s">
        <v>995</v>
      </c>
      <c r="C2701" t="s">
        <v>996</v>
      </c>
      <c r="D2701" t="s">
        <v>997</v>
      </c>
      <c r="E2701" t="s">
        <v>998</v>
      </c>
      <c r="F2701" s="20">
        <v>401.24</v>
      </c>
      <c r="I2701" s="11">
        <f t="shared" si="97"/>
        <v>45534</v>
      </c>
      <c r="J2701" s="12">
        <f t="shared" si="98"/>
        <v>214</v>
      </c>
      <c r="K2701" t="str">
        <f t="shared" si="99"/>
        <v>181-270</v>
      </c>
      <c r="L2701" s="11">
        <v>45748</v>
      </c>
      <c r="M2701" s="23">
        <f>YEAR(Таблица1[[#This Row],[Дата отчета]])</f>
        <v>2025</v>
      </c>
      <c r="N2701" s="7" t="s">
        <v>4536</v>
      </c>
      <c r="P2701" s="2" t="s">
        <v>4552</v>
      </c>
    </row>
    <row r="2702" spans="1:16" x14ac:dyDescent="0.25">
      <c r="A2702" t="s">
        <v>12</v>
      </c>
      <c r="B2702" t="s">
        <v>995</v>
      </c>
      <c r="C2702" t="s">
        <v>999</v>
      </c>
      <c r="D2702" t="s">
        <v>1000</v>
      </c>
      <c r="E2702" t="s">
        <v>1001</v>
      </c>
      <c r="F2702" s="20">
        <v>4012.33</v>
      </c>
      <c r="I2702" s="11">
        <f t="shared" si="97"/>
        <v>45573</v>
      </c>
      <c r="J2702" s="12">
        <f t="shared" si="98"/>
        <v>175</v>
      </c>
      <c r="K2702" t="str">
        <f t="shared" si="99"/>
        <v>121-180</v>
      </c>
      <c r="L2702" s="11">
        <v>45748</v>
      </c>
      <c r="M2702" s="23">
        <f>YEAR(Таблица1[[#This Row],[Дата отчета]])</f>
        <v>2025</v>
      </c>
      <c r="N2702" s="7" t="s">
        <v>4536</v>
      </c>
      <c r="P2702" s="2" t="s">
        <v>4552</v>
      </c>
    </row>
    <row r="2703" spans="1:16" x14ac:dyDescent="0.25">
      <c r="A2703" t="s">
        <v>12</v>
      </c>
      <c r="B2703" t="s">
        <v>995</v>
      </c>
      <c r="C2703" t="s">
        <v>2841</v>
      </c>
      <c r="D2703" t="s">
        <v>2842</v>
      </c>
      <c r="E2703" t="s">
        <v>1795</v>
      </c>
      <c r="F2703" s="20">
        <v>401.23</v>
      </c>
      <c r="I2703" s="11">
        <f t="shared" si="97"/>
        <v>45391</v>
      </c>
      <c r="J2703" s="12">
        <f t="shared" si="98"/>
        <v>357</v>
      </c>
      <c r="K2703" t="str">
        <f t="shared" si="99"/>
        <v>271-360</v>
      </c>
      <c r="L2703" s="11">
        <v>45748</v>
      </c>
      <c r="M2703" s="23">
        <f>YEAR(Таблица1[[#This Row],[Дата отчета]])</f>
        <v>2025</v>
      </c>
      <c r="P2703" s="2"/>
    </row>
    <row r="2704" spans="1:16" x14ac:dyDescent="0.25">
      <c r="A2704" t="s">
        <v>12</v>
      </c>
      <c r="B2704" t="s">
        <v>995</v>
      </c>
      <c r="C2704" t="s">
        <v>2841</v>
      </c>
      <c r="D2704" t="s">
        <v>2843</v>
      </c>
      <c r="E2704" t="s">
        <v>1001</v>
      </c>
      <c r="F2704" s="20">
        <v>936.21</v>
      </c>
      <c r="I2704" s="11">
        <f t="shared" si="97"/>
        <v>45573</v>
      </c>
      <c r="J2704" s="12">
        <f t="shared" si="98"/>
        <v>175</v>
      </c>
      <c r="K2704" t="str">
        <f t="shared" si="99"/>
        <v>121-180</v>
      </c>
      <c r="L2704" s="11">
        <v>45748</v>
      </c>
      <c r="M2704" s="23">
        <f>YEAR(Таблица1[[#This Row],[Дата отчета]])</f>
        <v>2025</v>
      </c>
      <c r="P2704" s="2"/>
    </row>
    <row r="2705" spans="1:16" x14ac:dyDescent="0.25">
      <c r="A2705" t="s">
        <v>12</v>
      </c>
      <c r="B2705" t="s">
        <v>1736</v>
      </c>
      <c r="C2705" t="s">
        <v>1737</v>
      </c>
      <c r="D2705" t="s">
        <v>1738</v>
      </c>
      <c r="E2705" t="s">
        <v>1816</v>
      </c>
      <c r="F2705" s="20">
        <v>2974.3</v>
      </c>
      <c r="I2705" s="11">
        <f t="shared" si="97"/>
        <v>44594</v>
      </c>
      <c r="J2705" s="12">
        <f t="shared" si="98"/>
        <v>1154</v>
      </c>
      <c r="K2705" t="str">
        <f t="shared" si="99"/>
        <v>&gt;360</v>
      </c>
      <c r="L2705" s="11">
        <v>45748</v>
      </c>
      <c r="M2705" s="23">
        <f>YEAR(Таблица1[[#This Row],[Дата отчета]])</f>
        <v>2025</v>
      </c>
      <c r="N2705" t="s">
        <v>4538</v>
      </c>
    </row>
    <row r="2706" spans="1:16" x14ac:dyDescent="0.25">
      <c r="A2706" t="s">
        <v>12</v>
      </c>
      <c r="B2706" t="s">
        <v>1005</v>
      </c>
      <c r="C2706" t="s">
        <v>1219</v>
      </c>
      <c r="D2706" t="s">
        <v>1220</v>
      </c>
      <c r="E2706" t="s">
        <v>994</v>
      </c>
      <c r="F2706" s="20">
        <v>389673</v>
      </c>
      <c r="I2706" s="11">
        <f t="shared" si="97"/>
        <v>45741</v>
      </c>
      <c r="J2706" s="12">
        <f t="shared" si="98"/>
        <v>7</v>
      </c>
      <c r="K2706" t="str">
        <f t="shared" si="99"/>
        <v>0-30</v>
      </c>
      <c r="L2706" s="11">
        <v>45748</v>
      </c>
      <c r="M2706" s="23">
        <f>YEAR(Таблица1[[#This Row],[Дата отчета]])</f>
        <v>2025</v>
      </c>
    </row>
    <row r="2707" spans="1:16" x14ac:dyDescent="0.25">
      <c r="A2707" t="s">
        <v>12</v>
      </c>
      <c r="B2707" t="s">
        <v>1008</v>
      </c>
      <c r="C2707" t="s">
        <v>775</v>
      </c>
      <c r="D2707" t="s">
        <v>1009</v>
      </c>
      <c r="E2707" t="s">
        <v>1010</v>
      </c>
      <c r="F2707" s="20">
        <v>0.1</v>
      </c>
      <c r="I2707" s="11">
        <f t="shared" si="97"/>
        <v>45519</v>
      </c>
      <c r="J2707" s="12">
        <f t="shared" si="98"/>
        <v>229</v>
      </c>
      <c r="K2707" t="str">
        <f t="shared" si="99"/>
        <v>181-270</v>
      </c>
      <c r="L2707" s="11">
        <v>45748</v>
      </c>
      <c r="M2707" s="23">
        <f>YEAR(Таблица1[[#This Row],[Дата отчета]])</f>
        <v>2025</v>
      </c>
    </row>
    <row r="2708" spans="1:16" x14ac:dyDescent="0.25">
      <c r="A2708" t="s">
        <v>12</v>
      </c>
      <c r="B2708" t="s">
        <v>1011</v>
      </c>
      <c r="C2708" t="s">
        <v>1012</v>
      </c>
      <c r="D2708" t="s">
        <v>1013</v>
      </c>
      <c r="E2708" t="s">
        <v>1014</v>
      </c>
      <c r="F2708" s="20">
        <v>0.01</v>
      </c>
      <c r="I2708" s="11">
        <f t="shared" si="97"/>
        <v>45224</v>
      </c>
      <c r="J2708" s="12">
        <f t="shared" si="98"/>
        <v>524</v>
      </c>
      <c r="K2708" t="str">
        <f t="shared" si="99"/>
        <v>&gt;360</v>
      </c>
      <c r="L2708" s="11">
        <v>45748</v>
      </c>
      <c r="M2708" s="23">
        <f>YEAR(Таблица1[[#This Row],[Дата отчета]])</f>
        <v>2025</v>
      </c>
    </row>
    <row r="2709" spans="1:16" x14ac:dyDescent="0.25">
      <c r="A2709" t="s">
        <v>12</v>
      </c>
      <c r="B2709" t="s">
        <v>1017</v>
      </c>
      <c r="C2709" t="s">
        <v>1237</v>
      </c>
      <c r="D2709" t="s">
        <v>1254</v>
      </c>
      <c r="E2709" t="s">
        <v>1259</v>
      </c>
      <c r="F2709" s="20">
        <v>112500</v>
      </c>
      <c r="I2709" s="11">
        <f t="shared" si="97"/>
        <v>45727</v>
      </c>
      <c r="J2709" s="12">
        <f t="shared" si="98"/>
        <v>21</v>
      </c>
      <c r="K2709" t="str">
        <f t="shared" si="99"/>
        <v>0-30</v>
      </c>
      <c r="L2709" s="11">
        <v>45748</v>
      </c>
      <c r="M2709" s="23">
        <f>YEAR(Таблица1[[#This Row],[Дата отчета]])</f>
        <v>2025</v>
      </c>
    </row>
    <row r="2710" spans="1:16" x14ac:dyDescent="0.25">
      <c r="A2710" t="s">
        <v>12</v>
      </c>
      <c r="B2710" t="s">
        <v>1020</v>
      </c>
      <c r="C2710" t="s">
        <v>1021</v>
      </c>
      <c r="D2710" t="s">
        <v>1022</v>
      </c>
      <c r="E2710" t="s">
        <v>1023</v>
      </c>
      <c r="F2710" s="20">
        <v>47400</v>
      </c>
      <c r="I2710" s="11">
        <f t="shared" ref="I2710:I2741" si="100">E2710*1</f>
        <v>45728</v>
      </c>
      <c r="J2710" s="12">
        <f t="shared" ref="J2710:J2741" si="101">L2710-I2710</f>
        <v>20</v>
      </c>
      <c r="K2710" t="str">
        <f t="shared" si="99"/>
        <v>0-30</v>
      </c>
      <c r="L2710" s="11">
        <v>45748</v>
      </c>
      <c r="M2710" s="23">
        <f>YEAR(Таблица1[[#This Row],[Дата отчета]])</f>
        <v>2025</v>
      </c>
      <c r="N2710" s="2"/>
      <c r="P2710" s="2"/>
    </row>
    <row r="2711" spans="1:16" x14ac:dyDescent="0.25">
      <c r="A2711" t="s">
        <v>12</v>
      </c>
      <c r="B2711" t="s">
        <v>1749</v>
      </c>
      <c r="C2711" t="s">
        <v>1750</v>
      </c>
      <c r="D2711" t="s">
        <v>1751</v>
      </c>
      <c r="E2711" t="s">
        <v>968</v>
      </c>
      <c r="F2711" s="20">
        <v>1237942.8</v>
      </c>
      <c r="I2711" s="11">
        <f t="shared" si="100"/>
        <v>45729</v>
      </c>
      <c r="J2711" s="12">
        <f t="shared" si="101"/>
        <v>19</v>
      </c>
      <c r="K2711" t="str">
        <f t="shared" si="99"/>
        <v>0-30</v>
      </c>
      <c r="L2711" s="11">
        <v>45748</v>
      </c>
      <c r="M2711" s="23">
        <f>YEAR(Таблица1[[#This Row],[Дата отчета]])</f>
        <v>2025</v>
      </c>
    </row>
    <row r="2712" spans="1:16" x14ac:dyDescent="0.25">
      <c r="A2712" t="s">
        <v>12</v>
      </c>
      <c r="B2712" t="s">
        <v>1028</v>
      </c>
      <c r="C2712" t="s">
        <v>2389</v>
      </c>
      <c r="D2712" t="s">
        <v>2390</v>
      </c>
      <c r="E2712" t="s">
        <v>2454</v>
      </c>
      <c r="F2712" s="20">
        <v>150000</v>
      </c>
      <c r="I2712" s="11">
        <f t="shared" si="100"/>
        <v>45733</v>
      </c>
      <c r="J2712" s="12">
        <f t="shared" si="101"/>
        <v>15</v>
      </c>
      <c r="K2712" t="str">
        <f t="shared" si="99"/>
        <v>0-30</v>
      </c>
      <c r="L2712" s="11">
        <v>45748</v>
      </c>
      <c r="M2712" s="23">
        <f>YEAR(Таблица1[[#This Row],[Дата отчета]])</f>
        <v>2025</v>
      </c>
    </row>
    <row r="2713" spans="1:16" x14ac:dyDescent="0.25">
      <c r="A2713" t="s">
        <v>12</v>
      </c>
      <c r="B2713" t="s">
        <v>1028</v>
      </c>
      <c r="C2713" t="s">
        <v>2391</v>
      </c>
      <c r="D2713" t="s">
        <v>2392</v>
      </c>
      <c r="E2713" t="s">
        <v>2462</v>
      </c>
      <c r="F2713" s="20">
        <v>84000</v>
      </c>
      <c r="I2713" s="11">
        <f t="shared" si="100"/>
        <v>45734</v>
      </c>
      <c r="J2713" s="12">
        <f t="shared" si="101"/>
        <v>14</v>
      </c>
      <c r="K2713" t="str">
        <f t="shared" si="99"/>
        <v>0-30</v>
      </c>
      <c r="L2713" s="11">
        <v>45748</v>
      </c>
      <c r="M2713" s="23">
        <f>YEAR(Таблица1[[#This Row],[Дата отчета]])</f>
        <v>2025</v>
      </c>
    </row>
    <row r="2714" spans="1:16" x14ac:dyDescent="0.25">
      <c r="A2714" t="s">
        <v>12</v>
      </c>
      <c r="B2714" t="s">
        <v>2417</v>
      </c>
      <c r="C2714" t="s">
        <v>2418</v>
      </c>
      <c r="D2714" t="s">
        <v>2419</v>
      </c>
      <c r="E2714" t="s">
        <v>2467</v>
      </c>
      <c r="F2714" s="20">
        <v>554500</v>
      </c>
      <c r="I2714" s="11">
        <f t="shared" si="100"/>
        <v>45642</v>
      </c>
      <c r="J2714" s="12">
        <f t="shared" si="101"/>
        <v>106</v>
      </c>
      <c r="K2714" t="str">
        <f t="shared" si="99"/>
        <v>91-120</v>
      </c>
      <c r="L2714" s="11">
        <v>45748</v>
      </c>
      <c r="M2714" s="23">
        <f>YEAR(Таблица1[[#This Row],[Дата отчета]])</f>
        <v>2025</v>
      </c>
    </row>
    <row r="2715" spans="1:16" x14ac:dyDescent="0.25">
      <c r="A2715" t="s">
        <v>12</v>
      </c>
      <c r="B2715" t="s">
        <v>2844</v>
      </c>
      <c r="C2715" t="s">
        <v>2845</v>
      </c>
      <c r="D2715" t="s">
        <v>2846</v>
      </c>
      <c r="E2715" t="s">
        <v>2732</v>
      </c>
      <c r="F2715" s="20">
        <v>2155</v>
      </c>
      <c r="I2715" s="11">
        <f t="shared" si="100"/>
        <v>45694</v>
      </c>
      <c r="J2715" s="12">
        <f t="shared" si="101"/>
        <v>54</v>
      </c>
      <c r="K2715" t="str">
        <f t="shared" si="99"/>
        <v>31-90</v>
      </c>
      <c r="L2715" s="11">
        <v>45748</v>
      </c>
      <c r="M2715" s="23">
        <f>YEAR(Таблица1[[#This Row],[Дата отчета]])</f>
        <v>2025</v>
      </c>
    </row>
    <row r="2716" spans="1:16" x14ac:dyDescent="0.25">
      <c r="A2716" t="s">
        <v>12</v>
      </c>
      <c r="B2716" t="s">
        <v>1057</v>
      </c>
      <c r="C2716" t="s">
        <v>2847</v>
      </c>
      <c r="D2716" t="s">
        <v>2848</v>
      </c>
      <c r="E2716" t="s">
        <v>2454</v>
      </c>
      <c r="F2716" s="20">
        <v>4121834.12</v>
      </c>
      <c r="I2716" s="11">
        <f t="shared" si="100"/>
        <v>45733</v>
      </c>
      <c r="J2716" s="12">
        <f t="shared" si="101"/>
        <v>15</v>
      </c>
      <c r="K2716" t="str">
        <f t="shared" si="99"/>
        <v>0-30</v>
      </c>
      <c r="L2716" s="11">
        <v>45748</v>
      </c>
      <c r="M2716" s="23">
        <f>YEAR(Таблица1[[#This Row],[Дата отчета]])</f>
        <v>2025</v>
      </c>
    </row>
    <row r="2717" spans="1:16" x14ac:dyDescent="0.25">
      <c r="A2717" t="s">
        <v>12</v>
      </c>
      <c r="B2717" t="s">
        <v>2849</v>
      </c>
      <c r="C2717" t="s">
        <v>2850</v>
      </c>
      <c r="D2717" t="s">
        <v>2851</v>
      </c>
      <c r="E2717" t="s">
        <v>2852</v>
      </c>
      <c r="F2717" s="20">
        <v>474600</v>
      </c>
      <c r="I2717" s="11">
        <f t="shared" si="100"/>
        <v>45513</v>
      </c>
      <c r="J2717" s="12">
        <f t="shared" si="101"/>
        <v>235</v>
      </c>
      <c r="K2717" t="str">
        <f t="shared" si="99"/>
        <v>181-270</v>
      </c>
      <c r="L2717" s="11">
        <v>45748</v>
      </c>
      <c r="M2717" s="23">
        <f>YEAR(Таблица1[[#This Row],[Дата отчета]])</f>
        <v>2025</v>
      </c>
    </row>
    <row r="2718" spans="1:16" x14ac:dyDescent="0.25">
      <c r="A2718" t="s">
        <v>12</v>
      </c>
      <c r="B2718" t="s">
        <v>2853</v>
      </c>
      <c r="C2718" t="s">
        <v>2854</v>
      </c>
      <c r="D2718" t="s">
        <v>2855</v>
      </c>
      <c r="E2718" t="s">
        <v>2683</v>
      </c>
      <c r="F2718" s="20">
        <v>525545</v>
      </c>
      <c r="I2718" s="11">
        <f t="shared" si="100"/>
        <v>45726</v>
      </c>
      <c r="J2718" s="12">
        <f t="shared" si="101"/>
        <v>22</v>
      </c>
      <c r="K2718" t="str">
        <f t="shared" si="99"/>
        <v>0-30</v>
      </c>
      <c r="L2718" s="11">
        <v>45748</v>
      </c>
      <c r="M2718" s="23">
        <f>YEAR(Таблица1[[#This Row],[Дата отчета]])</f>
        <v>2025</v>
      </c>
    </row>
    <row r="2719" spans="1:16" x14ac:dyDescent="0.25">
      <c r="A2719" t="s">
        <v>12</v>
      </c>
      <c r="B2719" t="s">
        <v>2856</v>
      </c>
      <c r="C2719" t="s">
        <v>2857</v>
      </c>
      <c r="D2719" t="s">
        <v>2858</v>
      </c>
      <c r="E2719" t="s">
        <v>1259</v>
      </c>
      <c r="F2719" s="20">
        <v>7500</v>
      </c>
      <c r="I2719" s="11">
        <f t="shared" si="100"/>
        <v>45727</v>
      </c>
      <c r="J2719" s="12">
        <f t="shared" si="101"/>
        <v>21</v>
      </c>
      <c r="K2719" t="str">
        <f t="shared" si="99"/>
        <v>0-30</v>
      </c>
      <c r="L2719" s="11">
        <v>45748</v>
      </c>
      <c r="M2719" s="23">
        <f>YEAR(Таблица1[[#This Row],[Дата отчета]])</f>
        <v>2025</v>
      </c>
    </row>
    <row r="2720" spans="1:16" x14ac:dyDescent="0.25">
      <c r="A2720" t="s">
        <v>12</v>
      </c>
      <c r="B2720" t="s">
        <v>1068</v>
      </c>
      <c r="C2720" t="s">
        <v>1069</v>
      </c>
      <c r="D2720" t="s">
        <v>1070</v>
      </c>
      <c r="E2720" t="s">
        <v>1071</v>
      </c>
      <c r="F2720" s="20">
        <v>4</v>
      </c>
      <c r="I2720" s="11">
        <f t="shared" si="100"/>
        <v>44860</v>
      </c>
      <c r="J2720" s="12">
        <f t="shared" si="101"/>
        <v>888</v>
      </c>
      <c r="K2720" t="str">
        <f t="shared" si="99"/>
        <v>&gt;360</v>
      </c>
      <c r="L2720" s="11">
        <v>45748</v>
      </c>
      <c r="M2720" s="23">
        <f>YEAR(Таблица1[[#This Row],[Дата отчета]])</f>
        <v>2025</v>
      </c>
    </row>
    <row r="2721" spans="1:15" x14ac:dyDescent="0.25">
      <c r="A2721" t="s">
        <v>12</v>
      </c>
      <c r="B2721" t="s">
        <v>2859</v>
      </c>
      <c r="C2721" t="s">
        <v>269</v>
      </c>
      <c r="D2721" t="s">
        <v>2860</v>
      </c>
      <c r="E2721" t="s">
        <v>2861</v>
      </c>
      <c r="F2721" s="20">
        <v>30000</v>
      </c>
      <c r="I2721" s="11">
        <f t="shared" si="100"/>
        <v>45595</v>
      </c>
      <c r="J2721" s="12">
        <f t="shared" si="101"/>
        <v>153</v>
      </c>
      <c r="K2721" t="str">
        <f t="shared" si="99"/>
        <v>121-180</v>
      </c>
      <c r="L2721" s="11">
        <v>45748</v>
      </c>
      <c r="M2721" s="23">
        <f>YEAR(Таблица1[[#This Row],[Дата отчета]])</f>
        <v>2025</v>
      </c>
    </row>
    <row r="2722" spans="1:15" x14ac:dyDescent="0.25">
      <c r="A2722" t="s">
        <v>12</v>
      </c>
      <c r="B2722" t="s">
        <v>2859</v>
      </c>
      <c r="C2722" t="s">
        <v>269</v>
      </c>
      <c r="D2722" t="s">
        <v>2862</v>
      </c>
      <c r="E2722" t="s">
        <v>2861</v>
      </c>
      <c r="F2722" s="20">
        <v>60000</v>
      </c>
      <c r="I2722" s="11">
        <f t="shared" si="100"/>
        <v>45595</v>
      </c>
      <c r="J2722" s="12">
        <f t="shared" si="101"/>
        <v>153</v>
      </c>
      <c r="K2722" t="str">
        <f t="shared" si="99"/>
        <v>121-180</v>
      </c>
      <c r="L2722" s="11">
        <v>45748</v>
      </c>
      <c r="M2722" s="23">
        <f>YEAR(Таблица1[[#This Row],[Дата отчета]])</f>
        <v>2025</v>
      </c>
    </row>
    <row r="2723" spans="1:15" x14ac:dyDescent="0.25">
      <c r="A2723" t="s">
        <v>12</v>
      </c>
      <c r="B2723" t="s">
        <v>2423</v>
      </c>
      <c r="C2723" t="s">
        <v>2863</v>
      </c>
      <c r="D2723" t="s">
        <v>2864</v>
      </c>
      <c r="E2723" t="s">
        <v>2865</v>
      </c>
      <c r="F2723" s="20">
        <v>36878.879999999997</v>
      </c>
      <c r="I2723" s="11">
        <f t="shared" si="100"/>
        <v>45453</v>
      </c>
      <c r="J2723" s="12">
        <f t="shared" si="101"/>
        <v>295</v>
      </c>
      <c r="K2723" t="str">
        <f t="shared" si="99"/>
        <v>271-360</v>
      </c>
      <c r="L2723" s="11">
        <v>45748</v>
      </c>
      <c r="M2723" s="23">
        <f>YEAR(Таблица1[[#This Row],[Дата отчета]])</f>
        <v>2025</v>
      </c>
    </row>
    <row r="2724" spans="1:15" x14ac:dyDescent="0.25">
      <c r="A2724" t="s">
        <v>1082</v>
      </c>
      <c r="B2724" t="s">
        <v>1087</v>
      </c>
      <c r="C2724" t="s">
        <v>1090</v>
      </c>
      <c r="D2724" t="s">
        <v>1091</v>
      </c>
      <c r="E2724" t="s">
        <v>1092</v>
      </c>
      <c r="F2724" s="20">
        <v>35421.75</v>
      </c>
      <c r="I2724" s="11">
        <f t="shared" si="100"/>
        <v>45554</v>
      </c>
      <c r="J2724" s="12">
        <f t="shared" si="101"/>
        <v>194</v>
      </c>
      <c r="K2724" t="str">
        <f t="shared" si="99"/>
        <v>181-270</v>
      </c>
      <c r="L2724" s="11">
        <v>45748</v>
      </c>
      <c r="M2724" s="23">
        <f>YEAR(Таблица1[[#This Row],[Дата отчета]])</f>
        <v>2025</v>
      </c>
      <c r="N2724" s="7" t="s">
        <v>4535</v>
      </c>
      <c r="O2724" s="24"/>
    </row>
    <row r="2725" spans="1:15" x14ac:dyDescent="0.25">
      <c r="A2725" t="s">
        <v>1082</v>
      </c>
      <c r="B2725" t="s">
        <v>1151</v>
      </c>
      <c r="C2725" t="s">
        <v>2866</v>
      </c>
      <c r="D2725" t="s">
        <v>2867</v>
      </c>
      <c r="E2725" t="s">
        <v>2868</v>
      </c>
      <c r="F2725" s="20">
        <v>19328716.539999999</v>
      </c>
      <c r="I2725" s="11">
        <f t="shared" si="100"/>
        <v>45652</v>
      </c>
      <c r="J2725" s="12">
        <f t="shared" si="101"/>
        <v>96</v>
      </c>
      <c r="K2725" t="str">
        <f t="shared" si="99"/>
        <v>91-120</v>
      </c>
      <c r="L2725" s="11">
        <v>45748</v>
      </c>
      <c r="M2725" s="23">
        <f>YEAR(Таблица1[[#This Row],[Дата отчета]])</f>
        <v>2025</v>
      </c>
    </row>
    <row r="2726" spans="1:15" x14ac:dyDescent="0.25">
      <c r="A2726" t="s">
        <v>1082</v>
      </c>
      <c r="B2726" t="s">
        <v>271</v>
      </c>
      <c r="C2726" t="s">
        <v>2869</v>
      </c>
      <c r="D2726" t="s">
        <v>2870</v>
      </c>
      <c r="E2726" t="s">
        <v>2871</v>
      </c>
      <c r="F2726" s="20">
        <v>57199192.799999997</v>
      </c>
      <c r="I2726" s="11">
        <f t="shared" si="100"/>
        <v>45680</v>
      </c>
      <c r="J2726" s="12">
        <f t="shared" si="101"/>
        <v>68</v>
      </c>
      <c r="K2726" t="str">
        <f t="shared" si="99"/>
        <v>31-90</v>
      </c>
      <c r="L2726" s="11">
        <v>45748</v>
      </c>
      <c r="M2726" s="23">
        <f>YEAR(Таблица1[[#This Row],[Дата отчета]])</f>
        <v>2025</v>
      </c>
    </row>
    <row r="2727" spans="1:15" x14ac:dyDescent="0.25">
      <c r="A2727" t="s">
        <v>1082</v>
      </c>
      <c r="B2727" t="s">
        <v>271</v>
      </c>
      <c r="C2727" t="s">
        <v>2869</v>
      </c>
      <c r="D2727" t="s">
        <v>2872</v>
      </c>
      <c r="E2727" t="s">
        <v>1765</v>
      </c>
      <c r="F2727" s="20">
        <v>81501800</v>
      </c>
      <c r="I2727" s="11">
        <f t="shared" si="100"/>
        <v>45735</v>
      </c>
      <c r="J2727" s="12">
        <f t="shared" si="101"/>
        <v>13</v>
      </c>
      <c r="K2727" t="str">
        <f t="shared" si="99"/>
        <v>0-30</v>
      </c>
      <c r="L2727" s="11">
        <v>45748</v>
      </c>
      <c r="M2727" s="23">
        <f>YEAR(Таблица1[[#This Row],[Дата отчета]])</f>
        <v>2025</v>
      </c>
    </row>
    <row r="2728" spans="1:15" x14ac:dyDescent="0.25">
      <c r="A2728" t="s">
        <v>1082</v>
      </c>
      <c r="B2728" t="s">
        <v>271</v>
      </c>
      <c r="C2728" t="s">
        <v>1095</v>
      </c>
      <c r="D2728" t="s">
        <v>2873</v>
      </c>
      <c r="E2728" t="s">
        <v>1812</v>
      </c>
      <c r="F2728" s="20">
        <v>308085.82</v>
      </c>
      <c r="I2728" s="11">
        <f t="shared" si="100"/>
        <v>45744</v>
      </c>
      <c r="J2728" s="12">
        <f t="shared" si="101"/>
        <v>4</v>
      </c>
      <c r="K2728" t="str">
        <f t="shared" si="99"/>
        <v>0-30</v>
      </c>
      <c r="L2728" s="11">
        <v>45748</v>
      </c>
      <c r="M2728" s="23">
        <f>YEAR(Таблица1[[#This Row],[Дата отчета]])</f>
        <v>2025</v>
      </c>
    </row>
    <row r="2729" spans="1:15" x14ac:dyDescent="0.25">
      <c r="A2729" t="s">
        <v>1082</v>
      </c>
      <c r="B2729" t="s">
        <v>271</v>
      </c>
      <c r="C2729" t="s">
        <v>2874</v>
      </c>
      <c r="D2729" t="s">
        <v>2875</v>
      </c>
      <c r="E2729" t="s">
        <v>2461</v>
      </c>
      <c r="F2729" s="20">
        <v>27502.02</v>
      </c>
      <c r="I2729" s="11">
        <f t="shared" si="100"/>
        <v>45736</v>
      </c>
      <c r="J2729" s="12">
        <f t="shared" si="101"/>
        <v>12</v>
      </c>
      <c r="K2729" t="str">
        <f t="shared" si="99"/>
        <v>0-30</v>
      </c>
      <c r="L2729" s="11">
        <v>45748</v>
      </c>
      <c r="M2729" s="23">
        <f>YEAR(Таблица1[[#This Row],[Дата отчета]])</f>
        <v>2025</v>
      </c>
    </row>
    <row r="2730" spans="1:15" x14ac:dyDescent="0.25">
      <c r="A2730" t="s">
        <v>1082</v>
      </c>
      <c r="B2730" t="s">
        <v>271</v>
      </c>
      <c r="C2730" t="s">
        <v>2876</v>
      </c>
      <c r="D2730" t="s">
        <v>2877</v>
      </c>
      <c r="E2730" t="s">
        <v>2461</v>
      </c>
      <c r="F2730" s="20">
        <v>103917.32</v>
      </c>
      <c r="I2730" s="11">
        <f t="shared" si="100"/>
        <v>45736</v>
      </c>
      <c r="J2730" s="12">
        <f t="shared" si="101"/>
        <v>12</v>
      </c>
      <c r="K2730" t="str">
        <f t="shared" si="99"/>
        <v>0-30</v>
      </c>
      <c r="L2730" s="11">
        <v>45748</v>
      </c>
      <c r="M2730" s="23">
        <f>YEAR(Таблица1[[#This Row],[Дата отчета]])</f>
        <v>2025</v>
      </c>
    </row>
    <row r="2731" spans="1:15" x14ac:dyDescent="0.25">
      <c r="A2731" t="s">
        <v>1082</v>
      </c>
      <c r="B2731" t="s">
        <v>2426</v>
      </c>
      <c r="C2731" t="s">
        <v>2427</v>
      </c>
      <c r="D2731" t="s">
        <v>2428</v>
      </c>
      <c r="E2731" t="s">
        <v>2468</v>
      </c>
      <c r="F2731" s="20">
        <v>94506324</v>
      </c>
      <c r="I2731" s="11">
        <f t="shared" si="100"/>
        <v>45679</v>
      </c>
      <c r="J2731" s="12">
        <f t="shared" si="101"/>
        <v>69</v>
      </c>
      <c r="K2731" t="str">
        <f t="shared" si="99"/>
        <v>31-90</v>
      </c>
      <c r="L2731" s="11">
        <v>45748</v>
      </c>
      <c r="M2731" s="23">
        <f>YEAR(Таблица1[[#This Row],[Дата отчета]])</f>
        <v>2025</v>
      </c>
    </row>
    <row r="2732" spans="1:15" x14ac:dyDescent="0.25">
      <c r="A2732" t="s">
        <v>1082</v>
      </c>
      <c r="B2732" t="s">
        <v>561</v>
      </c>
      <c r="C2732" t="s">
        <v>2878</v>
      </c>
      <c r="D2732" t="s">
        <v>2879</v>
      </c>
      <c r="E2732" t="s">
        <v>2448</v>
      </c>
      <c r="F2732" s="20">
        <v>63306766.560000002</v>
      </c>
      <c r="I2732" s="11">
        <f t="shared" si="100"/>
        <v>45653</v>
      </c>
      <c r="J2732" s="12">
        <f t="shared" si="101"/>
        <v>95</v>
      </c>
      <c r="K2732" t="str">
        <f t="shared" si="99"/>
        <v>91-120</v>
      </c>
      <c r="L2732" s="11">
        <v>45748</v>
      </c>
      <c r="M2732" s="23">
        <f>YEAR(Таблица1[[#This Row],[Дата отчета]])</f>
        <v>2025</v>
      </c>
    </row>
    <row r="2733" spans="1:15" x14ac:dyDescent="0.25">
      <c r="A2733" t="s">
        <v>1082</v>
      </c>
      <c r="B2733" t="s">
        <v>561</v>
      </c>
      <c r="C2733" t="s">
        <v>2878</v>
      </c>
      <c r="D2733" t="s">
        <v>2880</v>
      </c>
      <c r="E2733" t="s">
        <v>1812</v>
      </c>
      <c r="F2733" s="20">
        <v>72685919.510000005</v>
      </c>
      <c r="I2733" s="11">
        <f t="shared" si="100"/>
        <v>45744</v>
      </c>
      <c r="J2733" s="12">
        <f t="shared" si="101"/>
        <v>4</v>
      </c>
      <c r="K2733" t="str">
        <f t="shared" si="99"/>
        <v>0-30</v>
      </c>
      <c r="L2733" s="11">
        <v>45748</v>
      </c>
      <c r="M2733" s="23">
        <f>YEAR(Таблица1[[#This Row],[Дата отчета]])</f>
        <v>2025</v>
      </c>
    </row>
    <row r="2734" spans="1:15" x14ac:dyDescent="0.25">
      <c r="A2734" t="s">
        <v>1082</v>
      </c>
      <c r="B2734" t="s">
        <v>561</v>
      </c>
      <c r="C2734" t="s">
        <v>1111</v>
      </c>
      <c r="D2734" t="s">
        <v>1112</v>
      </c>
      <c r="E2734" t="s">
        <v>1113</v>
      </c>
      <c r="F2734" s="20">
        <v>31324093.68</v>
      </c>
      <c r="I2734" s="11">
        <f t="shared" si="100"/>
        <v>45737</v>
      </c>
      <c r="J2734" s="12">
        <f t="shared" si="101"/>
        <v>11</v>
      </c>
      <c r="K2734" t="str">
        <f t="shared" si="99"/>
        <v>0-30</v>
      </c>
      <c r="L2734" s="11">
        <v>45748</v>
      </c>
      <c r="M2734" s="23">
        <f>YEAR(Таблица1[[#This Row],[Дата отчета]])</f>
        <v>2025</v>
      </c>
    </row>
    <row r="2735" spans="1:15" x14ac:dyDescent="0.25">
      <c r="A2735" t="s">
        <v>1082</v>
      </c>
      <c r="B2735" t="s">
        <v>561</v>
      </c>
      <c r="C2735" t="s">
        <v>1760</v>
      </c>
      <c r="D2735" t="s">
        <v>1761</v>
      </c>
      <c r="E2735" t="s">
        <v>1818</v>
      </c>
      <c r="F2735" s="20">
        <v>15618063.76</v>
      </c>
      <c r="I2735" s="11">
        <f t="shared" si="100"/>
        <v>45628</v>
      </c>
      <c r="J2735" s="12">
        <f t="shared" si="101"/>
        <v>120</v>
      </c>
      <c r="K2735" t="str">
        <f t="shared" si="99"/>
        <v>91-120</v>
      </c>
      <c r="L2735" s="11">
        <v>45748</v>
      </c>
      <c r="M2735" s="23">
        <f>YEAR(Таблица1[[#This Row],[Дата отчета]])</f>
        <v>2025</v>
      </c>
    </row>
    <row r="2736" spans="1:15" x14ac:dyDescent="0.25">
      <c r="A2736" t="s">
        <v>1082</v>
      </c>
      <c r="B2736" t="s">
        <v>766</v>
      </c>
      <c r="C2736" t="s">
        <v>1762</v>
      </c>
      <c r="D2736" t="s">
        <v>1763</v>
      </c>
      <c r="E2736" t="s">
        <v>1819</v>
      </c>
      <c r="F2736" s="20">
        <v>348705</v>
      </c>
      <c r="I2736" s="11">
        <f t="shared" si="100"/>
        <v>45504</v>
      </c>
      <c r="J2736" s="12">
        <f t="shared" si="101"/>
        <v>244</v>
      </c>
      <c r="K2736" t="str">
        <f t="shared" si="99"/>
        <v>181-270</v>
      </c>
      <c r="L2736" s="11">
        <v>45748</v>
      </c>
      <c r="M2736" s="23">
        <f>YEAR(Таблица1[[#This Row],[Дата отчета]])</f>
        <v>2025</v>
      </c>
    </row>
    <row r="2737" spans="1:13" x14ac:dyDescent="0.25">
      <c r="A2737" t="s">
        <v>1082</v>
      </c>
      <c r="B2737" t="s">
        <v>835</v>
      </c>
      <c r="C2737" t="s">
        <v>2881</v>
      </c>
      <c r="D2737" t="s">
        <v>2882</v>
      </c>
      <c r="E2737" t="s">
        <v>2883</v>
      </c>
      <c r="F2737" s="20">
        <v>7328862.3200000003</v>
      </c>
      <c r="I2737" s="11">
        <f t="shared" si="100"/>
        <v>45708</v>
      </c>
      <c r="J2737" s="12">
        <f t="shared" si="101"/>
        <v>40</v>
      </c>
      <c r="K2737" t="str">
        <f t="shared" si="99"/>
        <v>31-90</v>
      </c>
      <c r="L2737" s="11">
        <v>45748</v>
      </c>
      <c r="M2737" s="23">
        <f>YEAR(Таблица1[[#This Row],[Дата отчета]])</f>
        <v>2025</v>
      </c>
    </row>
    <row r="2738" spans="1:13" x14ac:dyDescent="0.25">
      <c r="A2738" t="s">
        <v>1082</v>
      </c>
      <c r="B2738" t="s">
        <v>1136</v>
      </c>
      <c r="C2738" t="s">
        <v>2884</v>
      </c>
      <c r="D2738" t="s">
        <v>2885</v>
      </c>
      <c r="E2738" t="s">
        <v>2883</v>
      </c>
      <c r="F2738" s="20">
        <v>2399023</v>
      </c>
      <c r="I2738" s="11">
        <f t="shared" si="100"/>
        <v>45708</v>
      </c>
      <c r="J2738" s="12">
        <f t="shared" si="101"/>
        <v>40</v>
      </c>
      <c r="K2738" t="str">
        <f t="shared" si="99"/>
        <v>31-90</v>
      </c>
      <c r="L2738" s="11">
        <v>45748</v>
      </c>
      <c r="M2738" s="23">
        <f>YEAR(Таблица1[[#This Row],[Дата отчета]])</f>
        <v>2025</v>
      </c>
    </row>
    <row r="2739" spans="1:13" x14ac:dyDescent="0.25">
      <c r="A2739" t="s">
        <v>1082</v>
      </c>
      <c r="B2739" t="s">
        <v>1136</v>
      </c>
      <c r="C2739" t="s">
        <v>2884</v>
      </c>
      <c r="D2739" t="s">
        <v>2886</v>
      </c>
      <c r="E2739" t="s">
        <v>1023</v>
      </c>
      <c r="F2739" s="20">
        <v>20669578.710000001</v>
      </c>
      <c r="I2739" s="11">
        <f t="shared" si="100"/>
        <v>45728</v>
      </c>
      <c r="J2739" s="12">
        <f t="shared" si="101"/>
        <v>20</v>
      </c>
      <c r="K2739" t="str">
        <f t="shared" si="99"/>
        <v>0-30</v>
      </c>
      <c r="L2739" s="11">
        <v>45748</v>
      </c>
      <c r="M2739" s="23">
        <f>YEAR(Таблица1[[#This Row],[Дата отчета]])</f>
        <v>2025</v>
      </c>
    </row>
    <row r="2740" spans="1:13" x14ac:dyDescent="0.25">
      <c r="A2740" t="s">
        <v>1082</v>
      </c>
      <c r="B2740" t="s">
        <v>1136</v>
      </c>
      <c r="C2740" t="s">
        <v>2887</v>
      </c>
      <c r="D2740" t="s">
        <v>2888</v>
      </c>
      <c r="E2740" t="s">
        <v>91</v>
      </c>
      <c r="F2740" s="20">
        <v>2376355.77</v>
      </c>
      <c r="I2740" s="11">
        <f t="shared" si="100"/>
        <v>45723</v>
      </c>
      <c r="J2740" s="12">
        <f t="shared" si="101"/>
        <v>25</v>
      </c>
      <c r="K2740" t="str">
        <f t="shared" si="99"/>
        <v>0-30</v>
      </c>
      <c r="L2740" s="11">
        <v>45748</v>
      </c>
      <c r="M2740" s="23">
        <f>YEAR(Таблица1[[#This Row],[Дата отчета]])</f>
        <v>2025</v>
      </c>
    </row>
    <row r="2741" spans="1:13" x14ac:dyDescent="0.25">
      <c r="A2741" t="s">
        <v>1082</v>
      </c>
      <c r="B2741" t="s">
        <v>1136</v>
      </c>
      <c r="C2741" t="s">
        <v>2887</v>
      </c>
      <c r="D2741" t="s">
        <v>2889</v>
      </c>
      <c r="E2741" t="s">
        <v>1812</v>
      </c>
      <c r="F2741" s="20">
        <v>20017211.32</v>
      </c>
      <c r="I2741" s="11">
        <f t="shared" si="100"/>
        <v>45744</v>
      </c>
      <c r="J2741" s="12">
        <f t="shared" si="101"/>
        <v>4</v>
      </c>
      <c r="K2741" t="str">
        <f t="shared" si="99"/>
        <v>0-30</v>
      </c>
      <c r="L2741" s="11">
        <v>45748</v>
      </c>
      <c r="M2741" s="23">
        <f>YEAR(Таблица1[[#This Row],[Дата отчета]])</f>
        <v>2025</v>
      </c>
    </row>
    <row r="2742" spans="1:13" x14ac:dyDescent="0.25">
      <c r="A2742" t="s">
        <v>12</v>
      </c>
      <c r="B2742" t="s">
        <v>18</v>
      </c>
      <c r="C2742" t="s">
        <v>2469</v>
      </c>
      <c r="D2742" t="s">
        <v>2470</v>
      </c>
      <c r="E2742" t="s">
        <v>2471</v>
      </c>
      <c r="F2742" s="20">
        <v>2200</v>
      </c>
      <c r="I2742" s="11">
        <f t="shared" ref="I2742" si="102">E2742*1</f>
        <v>45093</v>
      </c>
      <c r="J2742" s="12">
        <f t="shared" ref="J2742" si="103">L2742-I2742</f>
        <v>565</v>
      </c>
      <c r="K2742" t="str">
        <f t="shared" si="99"/>
        <v>&gt;360</v>
      </c>
      <c r="L2742" s="11">
        <v>45658</v>
      </c>
      <c r="M2742" s="23">
        <f>YEAR(Таблица1[[#This Row],[Дата отчета]])</f>
        <v>2025</v>
      </c>
    </row>
    <row r="2743" spans="1:13" x14ac:dyDescent="0.25">
      <c r="A2743" t="s">
        <v>12</v>
      </c>
      <c r="B2743" t="s">
        <v>23</v>
      </c>
      <c r="C2743" t="s">
        <v>2472</v>
      </c>
      <c r="D2743" t="s">
        <v>2473</v>
      </c>
      <c r="E2743" t="s">
        <v>2474</v>
      </c>
      <c r="F2743" s="20">
        <v>14770</v>
      </c>
      <c r="I2743" s="11">
        <f t="shared" ref="I2743:I2806" si="104">E2743*1</f>
        <v>45643</v>
      </c>
      <c r="J2743" s="12">
        <f t="shared" ref="J2743:J2806" si="105">L2743-I2743</f>
        <v>15</v>
      </c>
      <c r="K2743" t="str">
        <f t="shared" si="99"/>
        <v>0-30</v>
      </c>
      <c r="L2743" s="11">
        <v>45658</v>
      </c>
      <c r="M2743" s="23">
        <f>YEAR(Таблица1[[#This Row],[Дата отчета]])</f>
        <v>2025</v>
      </c>
    </row>
    <row r="2744" spans="1:13" x14ac:dyDescent="0.25">
      <c r="A2744" t="s">
        <v>12</v>
      </c>
      <c r="B2744" t="s">
        <v>13</v>
      </c>
      <c r="C2744" t="s">
        <v>14</v>
      </c>
      <c r="D2744" t="s">
        <v>15</v>
      </c>
      <c r="E2744" t="s">
        <v>16</v>
      </c>
      <c r="F2744" s="20">
        <v>0.01</v>
      </c>
      <c r="I2744" s="11">
        <f t="shared" si="104"/>
        <v>45051</v>
      </c>
      <c r="J2744" s="12">
        <f t="shared" si="105"/>
        <v>607</v>
      </c>
      <c r="K2744" t="str">
        <f t="shared" si="99"/>
        <v>&gt;360</v>
      </c>
      <c r="L2744" s="11">
        <v>45658</v>
      </c>
      <c r="M2744" s="23">
        <f>YEAR(Таблица1[[#This Row],[Дата отчета]])</f>
        <v>2025</v>
      </c>
    </row>
    <row r="2745" spans="1:13" x14ac:dyDescent="0.25">
      <c r="A2745" t="s">
        <v>12</v>
      </c>
      <c r="B2745" t="s">
        <v>84</v>
      </c>
      <c r="C2745" t="s">
        <v>2489</v>
      </c>
      <c r="D2745" t="s">
        <v>2490</v>
      </c>
      <c r="E2745" t="s">
        <v>2467</v>
      </c>
      <c r="F2745" s="20">
        <v>115365756</v>
      </c>
      <c r="I2745" s="11">
        <f t="shared" si="104"/>
        <v>45642</v>
      </c>
      <c r="J2745" s="12">
        <f t="shared" si="105"/>
        <v>16</v>
      </c>
      <c r="K2745" t="str">
        <f t="shared" si="99"/>
        <v>0-30</v>
      </c>
      <c r="L2745" s="11">
        <v>45658</v>
      </c>
      <c r="M2745" s="23">
        <f>YEAR(Таблица1[[#This Row],[Дата отчета]])</f>
        <v>2025</v>
      </c>
    </row>
    <row r="2746" spans="1:13" x14ac:dyDescent="0.25">
      <c r="A2746" t="s">
        <v>12</v>
      </c>
      <c r="B2746" t="s">
        <v>1888</v>
      </c>
      <c r="C2746" t="s">
        <v>1889</v>
      </c>
      <c r="D2746" t="s">
        <v>1890</v>
      </c>
      <c r="E2746" t="s">
        <v>2438</v>
      </c>
      <c r="F2746" s="20">
        <v>12470</v>
      </c>
      <c r="I2746" s="11">
        <f t="shared" si="104"/>
        <v>45365</v>
      </c>
      <c r="J2746" s="12">
        <f t="shared" si="105"/>
        <v>293</v>
      </c>
      <c r="K2746" t="str">
        <f t="shared" si="99"/>
        <v>271-360</v>
      </c>
      <c r="L2746" s="11">
        <v>45658</v>
      </c>
      <c r="M2746" s="23">
        <f>YEAR(Таблица1[[#This Row],[Дата отчета]])</f>
        <v>2025</v>
      </c>
    </row>
    <row r="2747" spans="1:13" x14ac:dyDescent="0.25">
      <c r="A2747" t="s">
        <v>12</v>
      </c>
      <c r="B2747" t="s">
        <v>120</v>
      </c>
      <c r="C2747" t="s">
        <v>2890</v>
      </c>
      <c r="D2747" t="s">
        <v>2891</v>
      </c>
      <c r="E2747" t="s">
        <v>2892</v>
      </c>
      <c r="F2747" s="20">
        <v>660800</v>
      </c>
      <c r="I2747" s="11">
        <f t="shared" si="104"/>
        <v>45387</v>
      </c>
      <c r="J2747" s="12">
        <f t="shared" si="105"/>
        <v>271</v>
      </c>
      <c r="K2747" t="str">
        <f t="shared" si="99"/>
        <v>271-360</v>
      </c>
      <c r="L2747" s="11">
        <v>45658</v>
      </c>
      <c r="M2747" s="23">
        <f>YEAR(Таблица1[[#This Row],[Дата отчета]])</f>
        <v>2025</v>
      </c>
    </row>
    <row r="2748" spans="1:13" x14ac:dyDescent="0.25">
      <c r="A2748" t="s">
        <v>12</v>
      </c>
      <c r="B2748" t="s">
        <v>124</v>
      </c>
      <c r="C2748" t="s">
        <v>125</v>
      </c>
      <c r="D2748" t="s">
        <v>1299</v>
      </c>
      <c r="E2748" t="s">
        <v>1768</v>
      </c>
      <c r="F2748" s="20">
        <v>66000</v>
      </c>
      <c r="I2748" s="11">
        <f t="shared" si="104"/>
        <v>45639</v>
      </c>
      <c r="J2748" s="12">
        <f t="shared" si="105"/>
        <v>19</v>
      </c>
      <c r="K2748" t="str">
        <f t="shared" si="99"/>
        <v>0-30</v>
      </c>
      <c r="L2748" s="11">
        <v>45658</v>
      </c>
      <c r="M2748" s="23">
        <f>YEAR(Таблица1[[#This Row],[Дата отчета]])</f>
        <v>2025</v>
      </c>
    </row>
    <row r="2749" spans="1:13" x14ac:dyDescent="0.25">
      <c r="A2749" t="s">
        <v>12</v>
      </c>
      <c r="B2749" t="s">
        <v>1891</v>
      </c>
      <c r="C2749" t="s">
        <v>1892</v>
      </c>
      <c r="D2749" t="s">
        <v>1893</v>
      </c>
      <c r="E2749" t="s">
        <v>2439</v>
      </c>
      <c r="F2749" s="20">
        <v>6879</v>
      </c>
      <c r="I2749" s="11">
        <f t="shared" si="104"/>
        <v>45016</v>
      </c>
      <c r="J2749" s="12">
        <f t="shared" si="105"/>
        <v>642</v>
      </c>
      <c r="K2749" t="str">
        <f t="shared" si="99"/>
        <v>&gt;360</v>
      </c>
      <c r="L2749" s="11">
        <v>45658</v>
      </c>
      <c r="M2749" s="23">
        <f>YEAR(Таблица1[[#This Row],[Дата отчета]])</f>
        <v>2025</v>
      </c>
    </row>
    <row r="2750" spans="1:13" x14ac:dyDescent="0.25">
      <c r="A2750" t="s">
        <v>12</v>
      </c>
      <c r="B2750" t="s">
        <v>150</v>
      </c>
      <c r="C2750" t="s">
        <v>154</v>
      </c>
      <c r="D2750" t="s">
        <v>2893</v>
      </c>
      <c r="E2750" t="s">
        <v>2894</v>
      </c>
      <c r="F2750" s="20">
        <v>279503.83</v>
      </c>
      <c r="I2750" s="11">
        <f t="shared" si="104"/>
        <v>45649</v>
      </c>
      <c r="J2750" s="12">
        <f t="shared" si="105"/>
        <v>9</v>
      </c>
      <c r="K2750" t="str">
        <f t="shared" si="99"/>
        <v>0-30</v>
      </c>
      <c r="L2750" s="11">
        <v>45658</v>
      </c>
      <c r="M2750" s="23">
        <f>YEAR(Таблица1[[#This Row],[Дата отчета]])</f>
        <v>2025</v>
      </c>
    </row>
    <row r="2751" spans="1:13" x14ac:dyDescent="0.25">
      <c r="A2751" t="s">
        <v>12</v>
      </c>
      <c r="B2751" t="s">
        <v>2895</v>
      </c>
      <c r="C2751" t="s">
        <v>2896</v>
      </c>
      <c r="D2751" t="s">
        <v>2897</v>
      </c>
      <c r="E2751" t="s">
        <v>2898</v>
      </c>
      <c r="F2751" s="20">
        <v>3748500</v>
      </c>
      <c r="I2751" s="11">
        <f t="shared" si="104"/>
        <v>45608</v>
      </c>
      <c r="J2751" s="12">
        <f t="shared" si="105"/>
        <v>50</v>
      </c>
      <c r="K2751" t="str">
        <f t="shared" ref="K2751:K2814" si="106">IF(J2751&lt;=30,"0-30",IF(J2751&lt;=90,"31-90",IF(J2751&lt;=120,"91-120",IF(J2751&lt;=180,"121-180",IF(J2751&lt;=270,"181-270",IF(J2751&lt;=360,"271-360","&gt;360"))))))</f>
        <v>31-90</v>
      </c>
      <c r="L2751" s="11">
        <v>45658</v>
      </c>
      <c r="M2751" s="23">
        <f>YEAR(Таблица1[[#This Row],[Дата отчета]])</f>
        <v>2025</v>
      </c>
    </row>
    <row r="2752" spans="1:13" x14ac:dyDescent="0.25">
      <c r="A2752" t="s">
        <v>12</v>
      </c>
      <c r="B2752" t="s">
        <v>2895</v>
      </c>
      <c r="C2752" t="s">
        <v>2899</v>
      </c>
      <c r="D2752" t="s">
        <v>2900</v>
      </c>
      <c r="E2752" t="s">
        <v>2898</v>
      </c>
      <c r="F2752" s="20">
        <v>136500</v>
      </c>
      <c r="I2752" s="11">
        <f t="shared" si="104"/>
        <v>45608</v>
      </c>
      <c r="J2752" s="12">
        <f t="shared" si="105"/>
        <v>50</v>
      </c>
      <c r="K2752" t="str">
        <f t="shared" si="106"/>
        <v>31-90</v>
      </c>
      <c r="L2752" s="11">
        <v>45658</v>
      </c>
      <c r="M2752" s="23">
        <f>YEAR(Таблица1[[#This Row],[Дата отчета]])</f>
        <v>2025</v>
      </c>
    </row>
    <row r="2753" spans="1:14" x14ac:dyDescent="0.25">
      <c r="A2753" t="s">
        <v>12</v>
      </c>
      <c r="B2753" t="s">
        <v>172</v>
      </c>
      <c r="C2753" t="s">
        <v>173</v>
      </c>
      <c r="D2753" t="s">
        <v>174</v>
      </c>
      <c r="E2753" t="s">
        <v>175</v>
      </c>
      <c r="F2753" s="20">
        <v>12630</v>
      </c>
      <c r="I2753" s="11">
        <f t="shared" si="104"/>
        <v>45399</v>
      </c>
      <c r="J2753" s="12">
        <f t="shared" si="105"/>
        <v>259</v>
      </c>
      <c r="K2753" t="str">
        <f t="shared" si="106"/>
        <v>181-270</v>
      </c>
      <c r="L2753" s="11">
        <v>45658</v>
      </c>
      <c r="M2753" s="23">
        <f>YEAR(Таблица1[[#This Row],[Дата отчета]])</f>
        <v>2025</v>
      </c>
      <c r="N2753" s="7" t="s">
        <v>4547</v>
      </c>
    </row>
    <row r="2754" spans="1:14" x14ac:dyDescent="0.25">
      <c r="A2754" t="s">
        <v>12</v>
      </c>
      <c r="B2754" t="s">
        <v>2507</v>
      </c>
      <c r="C2754" t="s">
        <v>2508</v>
      </c>
      <c r="D2754" t="s">
        <v>2509</v>
      </c>
      <c r="E2754" t="s">
        <v>2510</v>
      </c>
      <c r="F2754" s="20">
        <v>54800</v>
      </c>
      <c r="I2754" s="11">
        <f t="shared" si="104"/>
        <v>45572</v>
      </c>
      <c r="J2754" s="12">
        <f t="shared" si="105"/>
        <v>86</v>
      </c>
      <c r="K2754" t="str">
        <f t="shared" si="106"/>
        <v>31-90</v>
      </c>
      <c r="L2754" s="11">
        <v>45658</v>
      </c>
      <c r="M2754" s="23">
        <f>YEAR(Таблица1[[#This Row],[Дата отчета]])</f>
        <v>2025</v>
      </c>
    </row>
    <row r="2755" spans="1:14" x14ac:dyDescent="0.25">
      <c r="A2755" t="s">
        <v>12</v>
      </c>
      <c r="B2755" t="s">
        <v>2901</v>
      </c>
      <c r="C2755" t="s">
        <v>2902</v>
      </c>
      <c r="D2755" t="s">
        <v>2903</v>
      </c>
      <c r="E2755" t="s">
        <v>1818</v>
      </c>
      <c r="F2755" s="20">
        <v>40000</v>
      </c>
      <c r="I2755" s="11">
        <f t="shared" si="104"/>
        <v>45628</v>
      </c>
      <c r="J2755" s="12">
        <f t="shared" si="105"/>
        <v>30</v>
      </c>
      <c r="K2755" t="str">
        <f t="shared" si="106"/>
        <v>0-30</v>
      </c>
      <c r="L2755" s="11">
        <v>45658</v>
      </c>
      <c r="M2755" s="23">
        <f>YEAR(Таблица1[[#This Row],[Дата отчета]])</f>
        <v>2025</v>
      </c>
    </row>
    <row r="2756" spans="1:14" x14ac:dyDescent="0.25">
      <c r="A2756" t="s">
        <v>12</v>
      </c>
      <c r="B2756" t="s">
        <v>180</v>
      </c>
      <c r="C2756" t="s">
        <v>2904</v>
      </c>
      <c r="D2756" t="s">
        <v>2905</v>
      </c>
      <c r="E2756" t="s">
        <v>2448</v>
      </c>
      <c r="F2756" s="20">
        <v>78634</v>
      </c>
      <c r="I2756" s="11">
        <f t="shared" si="104"/>
        <v>45653</v>
      </c>
      <c r="J2756" s="12">
        <f t="shared" si="105"/>
        <v>5</v>
      </c>
      <c r="K2756" t="str">
        <f t="shared" si="106"/>
        <v>0-30</v>
      </c>
      <c r="L2756" s="11">
        <v>45658</v>
      </c>
      <c r="M2756" s="23">
        <f>YEAR(Таблица1[[#This Row],[Дата отчета]])</f>
        <v>2025</v>
      </c>
    </row>
    <row r="2757" spans="1:14" x14ac:dyDescent="0.25">
      <c r="A2757" t="s">
        <v>12</v>
      </c>
      <c r="B2757" t="s">
        <v>180</v>
      </c>
      <c r="C2757" t="s">
        <v>2906</v>
      </c>
      <c r="D2757" t="s">
        <v>2907</v>
      </c>
      <c r="E2757" t="s">
        <v>2908</v>
      </c>
      <c r="F2757" s="20">
        <v>47502</v>
      </c>
      <c r="I2757" s="11">
        <f t="shared" si="104"/>
        <v>45654</v>
      </c>
      <c r="J2757" s="12">
        <f t="shared" si="105"/>
        <v>4</v>
      </c>
      <c r="K2757" t="str">
        <f t="shared" si="106"/>
        <v>0-30</v>
      </c>
      <c r="L2757" s="11">
        <v>45658</v>
      </c>
      <c r="M2757" s="23">
        <f>YEAR(Таблица1[[#This Row],[Дата отчета]])</f>
        <v>2025</v>
      </c>
    </row>
    <row r="2758" spans="1:14" x14ac:dyDescent="0.25">
      <c r="A2758" t="s">
        <v>12</v>
      </c>
      <c r="B2758" t="s">
        <v>186</v>
      </c>
      <c r="C2758" t="s">
        <v>187</v>
      </c>
      <c r="D2758" t="s">
        <v>188</v>
      </c>
      <c r="E2758" t="s">
        <v>189</v>
      </c>
      <c r="F2758" s="20">
        <v>6600</v>
      </c>
      <c r="I2758" s="11">
        <f t="shared" si="104"/>
        <v>45471</v>
      </c>
      <c r="J2758" s="12">
        <f t="shared" si="105"/>
        <v>187</v>
      </c>
      <c r="K2758" t="str">
        <f t="shared" si="106"/>
        <v>181-270</v>
      </c>
      <c r="L2758" s="11">
        <v>45658</v>
      </c>
      <c r="M2758" s="23">
        <f>YEAR(Таблица1[[#This Row],[Дата отчета]])</f>
        <v>2025</v>
      </c>
    </row>
    <row r="2759" spans="1:14" x14ac:dyDescent="0.25">
      <c r="A2759" t="s">
        <v>12</v>
      </c>
      <c r="B2759" t="s">
        <v>186</v>
      </c>
      <c r="C2759" t="s">
        <v>190</v>
      </c>
      <c r="D2759" t="s">
        <v>191</v>
      </c>
      <c r="E2759" t="s">
        <v>192</v>
      </c>
      <c r="F2759" s="20">
        <v>6600</v>
      </c>
      <c r="I2759" s="11">
        <f t="shared" si="104"/>
        <v>45467</v>
      </c>
      <c r="J2759" s="12">
        <f t="shared" si="105"/>
        <v>191</v>
      </c>
      <c r="K2759" t="str">
        <f t="shared" si="106"/>
        <v>181-270</v>
      </c>
      <c r="L2759" s="11">
        <v>45658</v>
      </c>
      <c r="M2759" s="23">
        <f>YEAR(Таблица1[[#This Row],[Дата отчета]])</f>
        <v>2025</v>
      </c>
    </row>
    <row r="2760" spans="1:14" x14ac:dyDescent="0.25">
      <c r="A2760" t="s">
        <v>12</v>
      </c>
      <c r="B2760" t="s">
        <v>186</v>
      </c>
      <c r="C2760" t="s">
        <v>1947</v>
      </c>
      <c r="D2760" t="s">
        <v>1948</v>
      </c>
      <c r="E2760" t="s">
        <v>2447</v>
      </c>
      <c r="F2760" s="20">
        <v>6600</v>
      </c>
      <c r="I2760" s="11">
        <f t="shared" si="104"/>
        <v>45548</v>
      </c>
      <c r="J2760" s="12">
        <f t="shared" si="105"/>
        <v>110</v>
      </c>
      <c r="K2760" t="str">
        <f t="shared" si="106"/>
        <v>91-120</v>
      </c>
      <c r="L2760" s="11">
        <v>45658</v>
      </c>
      <c r="M2760" s="23">
        <f>YEAR(Таблица1[[#This Row],[Дата отчета]])</f>
        <v>2025</v>
      </c>
    </row>
    <row r="2761" spans="1:14" x14ac:dyDescent="0.25">
      <c r="A2761" t="s">
        <v>12</v>
      </c>
      <c r="B2761" t="s">
        <v>186</v>
      </c>
      <c r="C2761" t="s">
        <v>1327</v>
      </c>
      <c r="D2761" t="s">
        <v>2909</v>
      </c>
      <c r="E2761" t="s">
        <v>2456</v>
      </c>
      <c r="F2761" s="20">
        <v>6600</v>
      </c>
      <c r="I2761" s="11">
        <f t="shared" si="104"/>
        <v>45597</v>
      </c>
      <c r="J2761" s="12">
        <f t="shared" si="105"/>
        <v>61</v>
      </c>
      <c r="K2761" t="str">
        <f t="shared" si="106"/>
        <v>31-90</v>
      </c>
      <c r="L2761" s="11">
        <v>45658</v>
      </c>
      <c r="M2761" s="23">
        <f>YEAR(Таблица1[[#This Row],[Дата отчета]])</f>
        <v>2025</v>
      </c>
    </row>
    <row r="2762" spans="1:14" x14ac:dyDescent="0.25">
      <c r="A2762" t="s">
        <v>12</v>
      </c>
      <c r="B2762" t="s">
        <v>186</v>
      </c>
      <c r="C2762" t="s">
        <v>196</v>
      </c>
      <c r="D2762" t="s">
        <v>197</v>
      </c>
      <c r="E2762" t="s">
        <v>198</v>
      </c>
      <c r="F2762" s="20">
        <v>6600</v>
      </c>
      <c r="I2762" s="11">
        <f t="shared" si="104"/>
        <v>45439</v>
      </c>
      <c r="J2762" s="12">
        <f t="shared" si="105"/>
        <v>219</v>
      </c>
      <c r="K2762" t="str">
        <f t="shared" si="106"/>
        <v>181-270</v>
      </c>
      <c r="L2762" s="11">
        <v>45658</v>
      </c>
      <c r="M2762" s="23">
        <f>YEAR(Таблица1[[#This Row],[Дата отчета]])</f>
        <v>2025</v>
      </c>
    </row>
    <row r="2763" spans="1:14" x14ac:dyDescent="0.25">
      <c r="A2763" t="s">
        <v>12</v>
      </c>
      <c r="B2763" t="s">
        <v>186</v>
      </c>
      <c r="C2763" t="s">
        <v>202</v>
      </c>
      <c r="D2763" t="s">
        <v>203</v>
      </c>
      <c r="E2763" t="s">
        <v>204</v>
      </c>
      <c r="F2763" s="20">
        <v>25000</v>
      </c>
      <c r="I2763" s="11">
        <f t="shared" si="104"/>
        <v>45481</v>
      </c>
      <c r="J2763" s="12">
        <f t="shared" si="105"/>
        <v>177</v>
      </c>
      <c r="K2763" t="str">
        <f t="shared" si="106"/>
        <v>121-180</v>
      </c>
      <c r="L2763" s="11">
        <v>45658</v>
      </c>
      <c r="M2763" s="23">
        <f>YEAR(Таблица1[[#This Row],[Дата отчета]])</f>
        <v>2025</v>
      </c>
    </row>
    <row r="2764" spans="1:14" x14ac:dyDescent="0.25">
      <c r="A2764" t="s">
        <v>12</v>
      </c>
      <c r="B2764" t="s">
        <v>1350</v>
      </c>
      <c r="C2764" t="s">
        <v>1351</v>
      </c>
      <c r="D2764" t="s">
        <v>1352</v>
      </c>
      <c r="E2764" t="s">
        <v>1775</v>
      </c>
      <c r="F2764" s="20">
        <v>360000</v>
      </c>
      <c r="I2764" s="11">
        <f t="shared" si="104"/>
        <v>45629</v>
      </c>
      <c r="J2764" s="12">
        <f t="shared" si="105"/>
        <v>29</v>
      </c>
      <c r="K2764" t="str">
        <f t="shared" si="106"/>
        <v>0-30</v>
      </c>
      <c r="L2764" s="11">
        <v>45658</v>
      </c>
      <c r="M2764" s="23">
        <f>YEAR(Таблица1[[#This Row],[Дата отчета]])</f>
        <v>2025</v>
      </c>
    </row>
    <row r="2765" spans="1:14" x14ac:dyDescent="0.25">
      <c r="A2765" t="s">
        <v>12</v>
      </c>
      <c r="B2765" t="s">
        <v>1221</v>
      </c>
      <c r="C2765" t="s">
        <v>1225</v>
      </c>
      <c r="D2765" t="s">
        <v>2517</v>
      </c>
      <c r="E2765" t="s">
        <v>1768</v>
      </c>
      <c r="F2765" s="20">
        <v>160000</v>
      </c>
      <c r="I2765" s="11">
        <f t="shared" si="104"/>
        <v>45639</v>
      </c>
      <c r="J2765" s="12">
        <f t="shared" si="105"/>
        <v>19</v>
      </c>
      <c r="K2765" t="str">
        <f t="shared" si="106"/>
        <v>0-30</v>
      </c>
      <c r="L2765" s="11">
        <v>45658</v>
      </c>
      <c r="M2765" s="23">
        <f>YEAR(Таблица1[[#This Row],[Дата отчета]])</f>
        <v>2025</v>
      </c>
    </row>
    <row r="2766" spans="1:14" x14ac:dyDescent="0.25">
      <c r="A2766" t="s">
        <v>12</v>
      </c>
      <c r="B2766" t="s">
        <v>248</v>
      </c>
      <c r="C2766" t="s">
        <v>1969</v>
      </c>
      <c r="D2766" t="s">
        <v>1970</v>
      </c>
      <c r="E2766" t="s">
        <v>2448</v>
      </c>
      <c r="F2766" s="20">
        <v>8565820</v>
      </c>
      <c r="I2766" s="11">
        <f t="shared" si="104"/>
        <v>45653</v>
      </c>
      <c r="J2766" s="12">
        <f t="shared" si="105"/>
        <v>5</v>
      </c>
      <c r="K2766" t="str">
        <f t="shared" si="106"/>
        <v>0-30</v>
      </c>
      <c r="L2766" s="11">
        <v>45658</v>
      </c>
      <c r="M2766" s="23">
        <f>YEAR(Таблица1[[#This Row],[Дата отчета]])</f>
        <v>2025</v>
      </c>
    </row>
    <row r="2767" spans="1:14" x14ac:dyDescent="0.25">
      <c r="A2767" t="s">
        <v>12</v>
      </c>
      <c r="B2767" t="s">
        <v>248</v>
      </c>
      <c r="C2767" t="s">
        <v>1973</v>
      </c>
      <c r="D2767" t="s">
        <v>1974</v>
      </c>
      <c r="E2767" t="s">
        <v>2450</v>
      </c>
      <c r="F2767" s="20">
        <v>2323.89</v>
      </c>
      <c r="I2767" s="11">
        <f t="shared" si="104"/>
        <v>45427</v>
      </c>
      <c r="J2767" s="12">
        <f t="shared" si="105"/>
        <v>231</v>
      </c>
      <c r="K2767" t="str">
        <f t="shared" si="106"/>
        <v>181-270</v>
      </c>
      <c r="L2767" s="11">
        <v>45658</v>
      </c>
      <c r="M2767" s="23">
        <f>YEAR(Таблица1[[#This Row],[Дата отчета]])</f>
        <v>2025</v>
      </c>
    </row>
    <row r="2768" spans="1:14" x14ac:dyDescent="0.25">
      <c r="A2768" t="s">
        <v>12</v>
      </c>
      <c r="B2768" t="s">
        <v>1364</v>
      </c>
      <c r="C2768" t="s">
        <v>775</v>
      </c>
      <c r="D2768" t="s">
        <v>1365</v>
      </c>
      <c r="E2768" t="s">
        <v>1778</v>
      </c>
      <c r="F2768" s="20">
        <v>5433.05</v>
      </c>
      <c r="I2768" s="11">
        <f t="shared" si="104"/>
        <v>44403</v>
      </c>
      <c r="J2768" s="12">
        <f t="shared" si="105"/>
        <v>1255</v>
      </c>
      <c r="K2768" t="str">
        <f t="shared" si="106"/>
        <v>&gt;360</v>
      </c>
      <c r="L2768" s="11">
        <v>45658</v>
      </c>
      <c r="M2768" s="23">
        <f>YEAR(Таблица1[[#This Row],[Дата отчета]])</f>
        <v>2025</v>
      </c>
    </row>
    <row r="2769" spans="1:14" x14ac:dyDescent="0.25">
      <c r="A2769" t="s">
        <v>12</v>
      </c>
      <c r="B2769" t="s">
        <v>271</v>
      </c>
      <c r="C2769" t="s">
        <v>282</v>
      </c>
      <c r="D2769" t="s">
        <v>283</v>
      </c>
      <c r="E2769" t="s">
        <v>284</v>
      </c>
      <c r="F2769" s="20">
        <v>600</v>
      </c>
      <c r="I2769" s="11">
        <f t="shared" si="104"/>
        <v>45398</v>
      </c>
      <c r="J2769" s="12">
        <f t="shared" si="105"/>
        <v>260</v>
      </c>
      <c r="K2769" t="str">
        <f t="shared" si="106"/>
        <v>181-270</v>
      </c>
      <c r="L2769" s="11">
        <v>45658</v>
      </c>
      <c r="M2769" s="23">
        <f>YEAR(Таблица1[[#This Row],[Дата отчета]])</f>
        <v>2025</v>
      </c>
    </row>
    <row r="2770" spans="1:14" x14ac:dyDescent="0.25">
      <c r="A2770" t="s">
        <v>12</v>
      </c>
      <c r="B2770" t="s">
        <v>293</v>
      </c>
      <c r="C2770" t="s">
        <v>2910</v>
      </c>
      <c r="D2770" t="s">
        <v>2911</v>
      </c>
      <c r="E2770" t="s">
        <v>2912</v>
      </c>
      <c r="F2770" s="20">
        <v>146636</v>
      </c>
      <c r="I2770" s="11">
        <f t="shared" si="104"/>
        <v>45650</v>
      </c>
      <c r="J2770" s="12">
        <f t="shared" si="105"/>
        <v>8</v>
      </c>
      <c r="K2770" t="str">
        <f t="shared" si="106"/>
        <v>0-30</v>
      </c>
      <c r="L2770" s="11">
        <v>45658</v>
      </c>
      <c r="M2770" s="23">
        <f>YEAR(Таблица1[[#This Row],[Дата отчета]])</f>
        <v>2025</v>
      </c>
    </row>
    <row r="2771" spans="1:14" x14ac:dyDescent="0.25">
      <c r="A2771" t="s">
        <v>12</v>
      </c>
      <c r="B2771" t="s">
        <v>297</v>
      </c>
      <c r="C2771" t="s">
        <v>2913</v>
      </c>
      <c r="D2771" t="s">
        <v>2914</v>
      </c>
      <c r="E2771" t="s">
        <v>2915</v>
      </c>
      <c r="F2771" s="20">
        <v>2665</v>
      </c>
      <c r="I2771" s="11">
        <f t="shared" si="104"/>
        <v>45583</v>
      </c>
      <c r="J2771" s="12">
        <f t="shared" si="105"/>
        <v>75</v>
      </c>
      <c r="K2771" t="str">
        <f t="shared" si="106"/>
        <v>31-90</v>
      </c>
      <c r="L2771" s="11">
        <v>45658</v>
      </c>
      <c r="M2771" s="23">
        <f>YEAR(Таблица1[[#This Row],[Дата отчета]])</f>
        <v>2025</v>
      </c>
    </row>
    <row r="2772" spans="1:14" x14ac:dyDescent="0.25">
      <c r="A2772" t="s">
        <v>12</v>
      </c>
      <c r="B2772" t="s">
        <v>297</v>
      </c>
      <c r="C2772" t="s">
        <v>298</v>
      </c>
      <c r="D2772" t="s">
        <v>299</v>
      </c>
      <c r="E2772" t="s">
        <v>300</v>
      </c>
      <c r="F2772" s="20">
        <v>3959</v>
      </c>
      <c r="I2772" s="11">
        <f t="shared" si="104"/>
        <v>45449</v>
      </c>
      <c r="J2772" s="12">
        <f t="shared" si="105"/>
        <v>209</v>
      </c>
      <c r="K2772" t="str">
        <f t="shared" si="106"/>
        <v>181-270</v>
      </c>
      <c r="L2772" s="11">
        <v>45658</v>
      </c>
      <c r="M2772" s="23">
        <f>YEAR(Таблица1[[#This Row],[Дата отчета]])</f>
        <v>2025</v>
      </c>
      <c r="N2772" s="7" t="s">
        <v>4547</v>
      </c>
    </row>
    <row r="2773" spans="1:14" x14ac:dyDescent="0.25">
      <c r="A2773" t="s">
        <v>12</v>
      </c>
      <c r="B2773" t="s">
        <v>2916</v>
      </c>
      <c r="C2773" t="s">
        <v>2917</v>
      </c>
      <c r="D2773" t="s">
        <v>2918</v>
      </c>
      <c r="E2773" t="s">
        <v>2919</v>
      </c>
      <c r="F2773" s="20">
        <v>2999</v>
      </c>
      <c r="I2773" s="11">
        <f t="shared" si="104"/>
        <v>45426</v>
      </c>
      <c r="J2773" s="12">
        <f t="shared" si="105"/>
        <v>232</v>
      </c>
      <c r="K2773" t="str">
        <f t="shared" si="106"/>
        <v>181-270</v>
      </c>
      <c r="L2773" s="11">
        <v>45658</v>
      </c>
      <c r="M2773" s="23">
        <f>YEAR(Таблица1[[#This Row],[Дата отчета]])</f>
        <v>2025</v>
      </c>
    </row>
    <row r="2774" spans="1:14" x14ac:dyDescent="0.25">
      <c r="A2774" t="s">
        <v>12</v>
      </c>
      <c r="B2774" t="s">
        <v>389</v>
      </c>
      <c r="C2774" t="s">
        <v>2557</v>
      </c>
      <c r="D2774" t="s">
        <v>2558</v>
      </c>
      <c r="E2774" t="s">
        <v>2559</v>
      </c>
      <c r="F2774" s="20">
        <v>38732</v>
      </c>
      <c r="I2774" s="11">
        <f t="shared" si="104"/>
        <v>45632</v>
      </c>
      <c r="J2774" s="12">
        <f t="shared" si="105"/>
        <v>26</v>
      </c>
      <c r="K2774" t="str">
        <f t="shared" si="106"/>
        <v>0-30</v>
      </c>
      <c r="L2774" s="11">
        <v>45658</v>
      </c>
      <c r="M2774" s="23">
        <f>YEAR(Таблица1[[#This Row],[Дата отчета]])</f>
        <v>2025</v>
      </c>
    </row>
    <row r="2775" spans="1:14" x14ac:dyDescent="0.25">
      <c r="A2775" t="s">
        <v>12</v>
      </c>
      <c r="B2775" t="s">
        <v>389</v>
      </c>
      <c r="C2775" t="s">
        <v>2560</v>
      </c>
      <c r="D2775" t="s">
        <v>2561</v>
      </c>
      <c r="E2775" t="s">
        <v>2467</v>
      </c>
      <c r="F2775" s="20">
        <v>92047</v>
      </c>
      <c r="I2775" s="11">
        <f t="shared" si="104"/>
        <v>45642</v>
      </c>
      <c r="J2775" s="12">
        <f t="shared" si="105"/>
        <v>16</v>
      </c>
      <c r="K2775" t="str">
        <f t="shared" si="106"/>
        <v>0-30</v>
      </c>
      <c r="L2775" s="11">
        <v>45658</v>
      </c>
      <c r="M2775" s="23">
        <f>YEAR(Таблица1[[#This Row],[Дата отчета]])</f>
        <v>2025</v>
      </c>
    </row>
    <row r="2776" spans="1:14" x14ac:dyDescent="0.25">
      <c r="A2776" t="s">
        <v>12</v>
      </c>
      <c r="B2776" t="s">
        <v>389</v>
      </c>
      <c r="C2776" t="s">
        <v>2565</v>
      </c>
      <c r="D2776" t="s">
        <v>2566</v>
      </c>
      <c r="E2776" t="s">
        <v>2448</v>
      </c>
      <c r="F2776" s="20">
        <v>4563</v>
      </c>
      <c r="I2776" s="11">
        <f t="shared" si="104"/>
        <v>45653</v>
      </c>
      <c r="J2776" s="12">
        <f t="shared" si="105"/>
        <v>5</v>
      </c>
      <c r="K2776" t="str">
        <f t="shared" si="106"/>
        <v>0-30</v>
      </c>
      <c r="L2776" s="11">
        <v>45658</v>
      </c>
      <c r="M2776" s="23">
        <f>YEAR(Таблица1[[#This Row],[Дата отчета]])</f>
        <v>2025</v>
      </c>
    </row>
    <row r="2777" spans="1:14" x14ac:dyDescent="0.25">
      <c r="A2777" t="s">
        <v>12</v>
      </c>
      <c r="B2777" t="s">
        <v>389</v>
      </c>
      <c r="C2777" t="s">
        <v>2569</v>
      </c>
      <c r="D2777" t="s">
        <v>2570</v>
      </c>
      <c r="E2777" t="s">
        <v>2559</v>
      </c>
      <c r="F2777" s="20">
        <v>5740</v>
      </c>
      <c r="I2777" s="11">
        <f t="shared" si="104"/>
        <v>45632</v>
      </c>
      <c r="J2777" s="12">
        <f t="shared" si="105"/>
        <v>26</v>
      </c>
      <c r="K2777" t="str">
        <f t="shared" si="106"/>
        <v>0-30</v>
      </c>
      <c r="L2777" s="11">
        <v>45658</v>
      </c>
      <c r="M2777" s="23">
        <f>YEAR(Таблица1[[#This Row],[Дата отчета]])</f>
        <v>2025</v>
      </c>
    </row>
    <row r="2778" spans="1:14" x14ac:dyDescent="0.25">
      <c r="A2778" t="s">
        <v>12</v>
      </c>
      <c r="B2778" t="s">
        <v>389</v>
      </c>
      <c r="C2778" t="s">
        <v>2571</v>
      </c>
      <c r="D2778" t="s">
        <v>2572</v>
      </c>
      <c r="E2778" t="s">
        <v>2467</v>
      </c>
      <c r="F2778" s="20">
        <v>2600</v>
      </c>
      <c r="I2778" s="11">
        <f t="shared" si="104"/>
        <v>45642</v>
      </c>
      <c r="J2778" s="12">
        <f t="shared" si="105"/>
        <v>16</v>
      </c>
      <c r="K2778" t="str">
        <f t="shared" si="106"/>
        <v>0-30</v>
      </c>
      <c r="L2778" s="11">
        <v>45658</v>
      </c>
      <c r="M2778" s="23">
        <f>YEAR(Таблица1[[#This Row],[Дата отчета]])</f>
        <v>2025</v>
      </c>
    </row>
    <row r="2779" spans="1:14" x14ac:dyDescent="0.25">
      <c r="A2779" t="s">
        <v>12</v>
      </c>
      <c r="B2779" t="s">
        <v>1428</v>
      </c>
      <c r="C2779" t="s">
        <v>1429</v>
      </c>
      <c r="D2779" t="s">
        <v>1430</v>
      </c>
      <c r="E2779" t="s">
        <v>1782</v>
      </c>
      <c r="F2779" s="20">
        <v>1000</v>
      </c>
      <c r="I2779" s="11">
        <f t="shared" si="104"/>
        <v>45450</v>
      </c>
      <c r="J2779" s="12">
        <f t="shared" si="105"/>
        <v>208</v>
      </c>
      <c r="K2779" t="str">
        <f t="shared" si="106"/>
        <v>181-270</v>
      </c>
      <c r="L2779" s="11">
        <v>45658</v>
      </c>
      <c r="M2779" s="23">
        <f>YEAR(Таблица1[[#This Row],[Дата отчета]])</f>
        <v>2025</v>
      </c>
    </row>
    <row r="2780" spans="1:14" x14ac:dyDescent="0.25">
      <c r="A2780" t="s">
        <v>12</v>
      </c>
      <c r="B2780" t="s">
        <v>1434</v>
      </c>
      <c r="C2780" t="s">
        <v>1435</v>
      </c>
      <c r="D2780" t="s">
        <v>1436</v>
      </c>
      <c r="E2780" t="s">
        <v>1784</v>
      </c>
      <c r="F2780" s="20">
        <v>4583.33</v>
      </c>
      <c r="I2780" s="11">
        <f t="shared" si="104"/>
        <v>44600</v>
      </c>
      <c r="J2780" s="12">
        <f t="shared" si="105"/>
        <v>1058</v>
      </c>
      <c r="K2780" t="str">
        <f t="shared" si="106"/>
        <v>&gt;360</v>
      </c>
      <c r="L2780" s="11">
        <v>45658</v>
      </c>
      <c r="M2780" s="23">
        <f>YEAR(Таблица1[[#This Row],[Дата отчета]])</f>
        <v>2025</v>
      </c>
      <c r="N2780" s="2" t="s">
        <v>807</v>
      </c>
    </row>
    <row r="2781" spans="1:14" x14ac:dyDescent="0.25">
      <c r="A2781" t="s">
        <v>12</v>
      </c>
      <c r="B2781" t="s">
        <v>402</v>
      </c>
      <c r="C2781" t="s">
        <v>403</v>
      </c>
      <c r="D2781" t="s">
        <v>404</v>
      </c>
      <c r="E2781" t="s">
        <v>405</v>
      </c>
      <c r="F2781" s="20">
        <v>6881.46</v>
      </c>
      <c r="I2781" s="11">
        <f t="shared" si="104"/>
        <v>44773</v>
      </c>
      <c r="J2781" s="12">
        <f t="shared" si="105"/>
        <v>885</v>
      </c>
      <c r="K2781" t="str">
        <f t="shared" si="106"/>
        <v>&gt;360</v>
      </c>
      <c r="L2781" s="11">
        <v>45658</v>
      </c>
      <c r="M2781" s="23">
        <f>YEAR(Таблица1[[#This Row],[Дата отчета]])</f>
        <v>2025</v>
      </c>
      <c r="N2781" s="7" t="s">
        <v>4538</v>
      </c>
    </row>
    <row r="2782" spans="1:14" x14ac:dyDescent="0.25">
      <c r="A2782" t="s">
        <v>12</v>
      </c>
      <c r="B2782" t="s">
        <v>1469</v>
      </c>
      <c r="C2782" t="s">
        <v>1470</v>
      </c>
      <c r="D2782" t="s">
        <v>1471</v>
      </c>
      <c r="E2782" t="s">
        <v>1785</v>
      </c>
      <c r="F2782" s="20">
        <v>2220000</v>
      </c>
      <c r="I2782" s="11">
        <f t="shared" si="104"/>
        <v>45448</v>
      </c>
      <c r="J2782" s="12">
        <f t="shared" si="105"/>
        <v>210</v>
      </c>
      <c r="K2782" t="str">
        <f t="shared" si="106"/>
        <v>181-270</v>
      </c>
      <c r="L2782" s="11">
        <v>45658</v>
      </c>
      <c r="M2782" s="23">
        <f>YEAR(Таблица1[[#This Row],[Дата отчета]])</f>
        <v>2025</v>
      </c>
      <c r="N2782" s="7" t="s">
        <v>4536</v>
      </c>
    </row>
    <row r="2783" spans="1:14" x14ac:dyDescent="0.25">
      <c r="A2783" t="s">
        <v>12</v>
      </c>
      <c r="B2783" t="s">
        <v>1469</v>
      </c>
      <c r="C2783" t="s">
        <v>1472</v>
      </c>
      <c r="D2783" t="s">
        <v>1473</v>
      </c>
      <c r="E2783" t="s">
        <v>1258</v>
      </c>
      <c r="F2783" s="20">
        <v>352732.55</v>
      </c>
      <c r="I2783" s="11">
        <f t="shared" si="104"/>
        <v>45288</v>
      </c>
      <c r="J2783" s="12">
        <f t="shared" si="105"/>
        <v>370</v>
      </c>
      <c r="K2783" t="str">
        <f t="shared" si="106"/>
        <v>&gt;360</v>
      </c>
      <c r="L2783" s="11">
        <v>45658</v>
      </c>
      <c r="M2783" s="23">
        <f>YEAR(Таблица1[[#This Row],[Дата отчета]])</f>
        <v>2025</v>
      </c>
      <c r="N2783" s="7" t="s">
        <v>4536</v>
      </c>
    </row>
    <row r="2784" spans="1:14" x14ac:dyDescent="0.25">
      <c r="A2784" t="s">
        <v>12</v>
      </c>
      <c r="B2784" t="s">
        <v>441</v>
      </c>
      <c r="C2784" t="s">
        <v>2920</v>
      </c>
      <c r="D2784" t="s">
        <v>2921</v>
      </c>
      <c r="E2784" t="s">
        <v>2922</v>
      </c>
      <c r="F2784" s="20">
        <v>4990</v>
      </c>
      <c r="I2784" s="11">
        <f t="shared" si="104"/>
        <v>45551</v>
      </c>
      <c r="J2784" s="12">
        <f t="shared" si="105"/>
        <v>107</v>
      </c>
      <c r="K2784" t="str">
        <f t="shared" si="106"/>
        <v>91-120</v>
      </c>
      <c r="L2784" s="11">
        <v>45658</v>
      </c>
      <c r="M2784" s="23">
        <f>YEAR(Таблица1[[#This Row],[Дата отчета]])</f>
        <v>2025</v>
      </c>
    </row>
    <row r="2785" spans="1:14" x14ac:dyDescent="0.25">
      <c r="A2785" t="s">
        <v>12</v>
      </c>
      <c r="B2785" t="s">
        <v>452</v>
      </c>
      <c r="C2785" t="s">
        <v>453</v>
      </c>
      <c r="D2785" t="s">
        <v>2923</v>
      </c>
      <c r="E2785" t="s">
        <v>2448</v>
      </c>
      <c r="F2785" s="20">
        <v>57500</v>
      </c>
      <c r="I2785" s="11">
        <f t="shared" si="104"/>
        <v>45653</v>
      </c>
      <c r="J2785" s="12">
        <f t="shared" si="105"/>
        <v>5</v>
      </c>
      <c r="K2785" t="str">
        <f t="shared" si="106"/>
        <v>0-30</v>
      </c>
      <c r="L2785" s="11">
        <v>45658</v>
      </c>
      <c r="M2785" s="23">
        <f>YEAR(Таблица1[[#This Row],[Дата отчета]])</f>
        <v>2025</v>
      </c>
    </row>
    <row r="2786" spans="1:14" x14ac:dyDescent="0.25">
      <c r="A2786" t="s">
        <v>12</v>
      </c>
      <c r="B2786" t="s">
        <v>456</v>
      </c>
      <c r="C2786" t="s">
        <v>457</v>
      </c>
      <c r="D2786" t="s">
        <v>458</v>
      </c>
      <c r="E2786" t="s">
        <v>459</v>
      </c>
      <c r="F2786" s="20">
        <v>5500</v>
      </c>
      <c r="I2786" s="11">
        <f t="shared" si="104"/>
        <v>45195</v>
      </c>
      <c r="J2786" s="12">
        <f t="shared" si="105"/>
        <v>463</v>
      </c>
      <c r="K2786" t="str">
        <f t="shared" si="106"/>
        <v>&gt;360</v>
      </c>
      <c r="L2786" s="11">
        <v>45658</v>
      </c>
      <c r="M2786" s="23">
        <f>YEAR(Таблица1[[#This Row],[Дата отчета]])</f>
        <v>2025</v>
      </c>
    </row>
    <row r="2787" spans="1:14" x14ac:dyDescent="0.25">
      <c r="A2787" t="s">
        <v>12</v>
      </c>
      <c r="B2787" t="s">
        <v>467</v>
      </c>
      <c r="C2787" t="s">
        <v>468</v>
      </c>
      <c r="D2787" t="s">
        <v>469</v>
      </c>
      <c r="E2787" t="s">
        <v>470</v>
      </c>
      <c r="F2787" s="20">
        <v>2000</v>
      </c>
      <c r="I2787" s="11">
        <f t="shared" si="104"/>
        <v>44551</v>
      </c>
      <c r="J2787" s="12">
        <f t="shared" si="105"/>
        <v>1107</v>
      </c>
      <c r="K2787" t="str">
        <f t="shared" si="106"/>
        <v>&gt;360</v>
      </c>
      <c r="L2787" s="11">
        <v>45658</v>
      </c>
      <c r="M2787" s="23">
        <f>YEAR(Таблица1[[#This Row],[Дата отчета]])</f>
        <v>2025</v>
      </c>
    </row>
    <row r="2788" spans="1:14" x14ac:dyDescent="0.25">
      <c r="A2788" t="s">
        <v>12</v>
      </c>
      <c r="B2788" t="s">
        <v>474</v>
      </c>
      <c r="C2788" t="s">
        <v>475</v>
      </c>
      <c r="D2788" t="s">
        <v>476</v>
      </c>
      <c r="E2788" t="s">
        <v>477</v>
      </c>
      <c r="F2788" s="20">
        <v>8850</v>
      </c>
      <c r="I2788" s="11">
        <f t="shared" si="104"/>
        <v>45401</v>
      </c>
      <c r="J2788" s="12">
        <f t="shared" si="105"/>
        <v>257</v>
      </c>
      <c r="K2788" t="str">
        <f t="shared" si="106"/>
        <v>181-270</v>
      </c>
      <c r="L2788" s="11">
        <v>45658</v>
      </c>
      <c r="M2788" s="23">
        <f>YEAR(Таблица1[[#This Row],[Дата отчета]])</f>
        <v>2025</v>
      </c>
    </row>
    <row r="2789" spans="1:14" x14ac:dyDescent="0.25">
      <c r="A2789" t="s">
        <v>12</v>
      </c>
      <c r="B2789" t="s">
        <v>2593</v>
      </c>
      <c r="C2789" t="s">
        <v>2924</v>
      </c>
      <c r="D2789" t="s">
        <v>2925</v>
      </c>
      <c r="E2789" t="s">
        <v>2596</v>
      </c>
      <c r="F2789" s="20">
        <v>65568</v>
      </c>
      <c r="I2789" s="11">
        <f t="shared" si="104"/>
        <v>45637</v>
      </c>
      <c r="J2789" s="12">
        <f t="shared" si="105"/>
        <v>21</v>
      </c>
      <c r="K2789" t="str">
        <f t="shared" si="106"/>
        <v>0-30</v>
      </c>
      <c r="L2789" s="11">
        <v>45658</v>
      </c>
      <c r="M2789" s="23">
        <f>YEAR(Таблица1[[#This Row],[Дата отчета]])</f>
        <v>2025</v>
      </c>
    </row>
    <row r="2790" spans="1:14" x14ac:dyDescent="0.25">
      <c r="A2790" t="s">
        <v>12</v>
      </c>
      <c r="B2790" t="s">
        <v>2593</v>
      </c>
      <c r="C2790" t="s">
        <v>2594</v>
      </c>
      <c r="D2790" t="s">
        <v>2595</v>
      </c>
      <c r="E2790" t="s">
        <v>2596</v>
      </c>
      <c r="F2790" s="20">
        <v>234630</v>
      </c>
      <c r="I2790" s="11">
        <f t="shared" si="104"/>
        <v>45637</v>
      </c>
      <c r="J2790" s="12">
        <f t="shared" si="105"/>
        <v>21</v>
      </c>
      <c r="K2790" t="str">
        <f t="shared" si="106"/>
        <v>0-30</v>
      </c>
      <c r="L2790" s="11">
        <v>45658</v>
      </c>
      <c r="M2790" s="23">
        <f>YEAR(Таблица1[[#This Row],[Дата отчета]])</f>
        <v>2025</v>
      </c>
    </row>
    <row r="2791" spans="1:14" x14ac:dyDescent="0.25">
      <c r="A2791" t="s">
        <v>12</v>
      </c>
      <c r="B2791" t="s">
        <v>2593</v>
      </c>
      <c r="C2791" t="s">
        <v>2926</v>
      </c>
      <c r="D2791" t="s">
        <v>2927</v>
      </c>
      <c r="E2791" t="s">
        <v>1768</v>
      </c>
      <c r="F2791" s="20">
        <v>193767</v>
      </c>
      <c r="I2791" s="11">
        <f t="shared" si="104"/>
        <v>45639</v>
      </c>
      <c r="J2791" s="12">
        <f t="shared" si="105"/>
        <v>19</v>
      </c>
      <c r="K2791" t="str">
        <f t="shared" si="106"/>
        <v>0-30</v>
      </c>
      <c r="L2791" s="11">
        <v>45658</v>
      </c>
      <c r="M2791" s="23">
        <f>YEAR(Таблица1[[#This Row],[Дата отчета]])</f>
        <v>2025</v>
      </c>
    </row>
    <row r="2792" spans="1:14" x14ac:dyDescent="0.25">
      <c r="A2792" t="s">
        <v>12</v>
      </c>
      <c r="B2792" t="s">
        <v>2593</v>
      </c>
      <c r="C2792" t="s">
        <v>2928</v>
      </c>
      <c r="D2792" t="s">
        <v>2929</v>
      </c>
      <c r="E2792" t="s">
        <v>1768</v>
      </c>
      <c r="F2792" s="20">
        <v>81700</v>
      </c>
      <c r="I2792" s="11">
        <f t="shared" si="104"/>
        <v>45639</v>
      </c>
      <c r="J2792" s="12">
        <f t="shared" si="105"/>
        <v>19</v>
      </c>
      <c r="K2792" t="str">
        <f t="shared" si="106"/>
        <v>0-30</v>
      </c>
      <c r="L2792" s="11">
        <v>45658</v>
      </c>
      <c r="M2792" s="23">
        <f>YEAR(Таблица1[[#This Row],[Дата отчета]])</f>
        <v>2025</v>
      </c>
    </row>
    <row r="2793" spans="1:14" x14ac:dyDescent="0.25">
      <c r="A2793" t="s">
        <v>12</v>
      </c>
      <c r="B2793" t="s">
        <v>2593</v>
      </c>
      <c r="C2793" t="s">
        <v>2930</v>
      </c>
      <c r="D2793" t="s">
        <v>2929</v>
      </c>
      <c r="E2793" t="s">
        <v>1768</v>
      </c>
      <c r="F2793" s="20">
        <v>146052</v>
      </c>
      <c r="I2793" s="11">
        <f t="shared" si="104"/>
        <v>45639</v>
      </c>
      <c r="J2793" s="12">
        <f t="shared" si="105"/>
        <v>19</v>
      </c>
      <c r="K2793" t="str">
        <f t="shared" si="106"/>
        <v>0-30</v>
      </c>
      <c r="L2793" s="11">
        <v>45658</v>
      </c>
      <c r="M2793" s="23">
        <f>YEAR(Таблица1[[#This Row],[Дата отчета]])</f>
        <v>2025</v>
      </c>
    </row>
    <row r="2794" spans="1:14" x14ac:dyDescent="0.25">
      <c r="A2794" t="s">
        <v>12</v>
      </c>
      <c r="B2794" t="s">
        <v>2593</v>
      </c>
      <c r="C2794" t="s">
        <v>2930</v>
      </c>
      <c r="D2794" t="s">
        <v>2931</v>
      </c>
      <c r="E2794" t="s">
        <v>2467</v>
      </c>
      <c r="F2794" s="20">
        <v>6118</v>
      </c>
      <c r="I2794" s="11">
        <f t="shared" si="104"/>
        <v>45642</v>
      </c>
      <c r="J2794" s="12">
        <f t="shared" si="105"/>
        <v>16</v>
      </c>
      <c r="K2794" t="str">
        <f t="shared" si="106"/>
        <v>0-30</v>
      </c>
      <c r="L2794" s="11">
        <v>45658</v>
      </c>
      <c r="M2794" s="23">
        <f>YEAR(Таблица1[[#This Row],[Дата отчета]])</f>
        <v>2025</v>
      </c>
    </row>
    <row r="2795" spans="1:14" x14ac:dyDescent="0.25">
      <c r="A2795" t="s">
        <v>12</v>
      </c>
      <c r="B2795" t="s">
        <v>478</v>
      </c>
      <c r="C2795" t="s">
        <v>2932</v>
      </c>
      <c r="D2795" t="s">
        <v>2933</v>
      </c>
      <c r="E2795" t="s">
        <v>2934</v>
      </c>
      <c r="F2795" s="20">
        <v>700000</v>
      </c>
      <c r="I2795" s="11">
        <f t="shared" si="104"/>
        <v>45625</v>
      </c>
      <c r="J2795" s="12">
        <f t="shared" si="105"/>
        <v>33</v>
      </c>
      <c r="K2795" t="str">
        <f t="shared" si="106"/>
        <v>31-90</v>
      </c>
      <c r="L2795" s="11">
        <v>45658</v>
      </c>
      <c r="M2795" s="23">
        <f>YEAR(Таблица1[[#This Row],[Дата отчета]])</f>
        <v>2025</v>
      </c>
    </row>
    <row r="2796" spans="1:14" x14ac:dyDescent="0.25">
      <c r="A2796" t="s">
        <v>12</v>
      </c>
      <c r="B2796" t="s">
        <v>478</v>
      </c>
      <c r="C2796" t="s">
        <v>2935</v>
      </c>
      <c r="D2796" t="s">
        <v>2936</v>
      </c>
      <c r="E2796" t="s">
        <v>1818</v>
      </c>
      <c r="F2796" s="20">
        <v>1713230</v>
      </c>
      <c r="I2796" s="11">
        <f t="shared" si="104"/>
        <v>45628</v>
      </c>
      <c r="J2796" s="12">
        <f t="shared" si="105"/>
        <v>30</v>
      </c>
      <c r="K2796" t="str">
        <f t="shared" si="106"/>
        <v>0-30</v>
      </c>
      <c r="L2796" s="11">
        <v>45658</v>
      </c>
      <c r="M2796" s="23">
        <f>YEAR(Таблица1[[#This Row],[Дата отчета]])</f>
        <v>2025</v>
      </c>
    </row>
    <row r="2797" spans="1:14" x14ac:dyDescent="0.25">
      <c r="A2797" t="s">
        <v>12</v>
      </c>
      <c r="B2797" t="s">
        <v>487</v>
      </c>
      <c r="C2797" t="s">
        <v>488</v>
      </c>
      <c r="D2797" t="s">
        <v>489</v>
      </c>
      <c r="E2797" t="s">
        <v>490</v>
      </c>
      <c r="F2797" s="20">
        <v>2390812</v>
      </c>
      <c r="I2797" s="11">
        <f t="shared" si="104"/>
        <v>45631</v>
      </c>
      <c r="J2797" s="12">
        <f t="shared" si="105"/>
        <v>27</v>
      </c>
      <c r="K2797" t="str">
        <f t="shared" si="106"/>
        <v>0-30</v>
      </c>
      <c r="L2797" s="11">
        <v>45658</v>
      </c>
      <c r="M2797" s="23">
        <f>YEAR(Таблица1[[#This Row],[Дата отчета]])</f>
        <v>2025</v>
      </c>
    </row>
    <row r="2798" spans="1:14" x14ac:dyDescent="0.25">
      <c r="A2798" t="s">
        <v>12</v>
      </c>
      <c r="B2798" t="s">
        <v>502</v>
      </c>
      <c r="C2798" t="s">
        <v>503</v>
      </c>
      <c r="D2798" t="s">
        <v>504</v>
      </c>
      <c r="E2798" t="s">
        <v>505</v>
      </c>
      <c r="F2798" s="20">
        <v>11644.08</v>
      </c>
      <c r="I2798" s="11">
        <f t="shared" si="104"/>
        <v>45587</v>
      </c>
      <c r="J2798" s="12">
        <f t="shared" si="105"/>
        <v>71</v>
      </c>
      <c r="K2798" t="str">
        <f t="shared" si="106"/>
        <v>31-90</v>
      </c>
      <c r="L2798" s="11">
        <v>45658</v>
      </c>
      <c r="M2798" s="23">
        <f>YEAR(Таблица1[[#This Row],[Дата отчета]])</f>
        <v>2025</v>
      </c>
    </row>
    <row r="2799" spans="1:14" x14ac:dyDescent="0.25">
      <c r="A2799" t="s">
        <v>12</v>
      </c>
      <c r="B2799" t="s">
        <v>502</v>
      </c>
      <c r="C2799" t="s">
        <v>506</v>
      </c>
      <c r="D2799" t="s">
        <v>507</v>
      </c>
      <c r="E2799" t="s">
        <v>508</v>
      </c>
      <c r="F2799" s="20">
        <v>6990</v>
      </c>
      <c r="I2799" s="11">
        <f t="shared" si="104"/>
        <v>45593</v>
      </c>
      <c r="J2799" s="12">
        <f t="shared" si="105"/>
        <v>65</v>
      </c>
      <c r="K2799" t="str">
        <f t="shared" si="106"/>
        <v>31-90</v>
      </c>
      <c r="L2799" s="11">
        <v>45658</v>
      </c>
      <c r="M2799" s="23">
        <f>YEAR(Таблица1[[#This Row],[Дата отчета]])</f>
        <v>2025</v>
      </c>
      <c r="N2799" s="7" t="s">
        <v>4538</v>
      </c>
    </row>
    <row r="2800" spans="1:14" x14ac:dyDescent="0.25">
      <c r="A2800" t="s">
        <v>12</v>
      </c>
      <c r="B2800" t="s">
        <v>526</v>
      </c>
      <c r="C2800" t="s">
        <v>269</v>
      </c>
      <c r="D2800" t="s">
        <v>2937</v>
      </c>
      <c r="E2800" t="s">
        <v>2938</v>
      </c>
      <c r="F2800" s="20">
        <v>1998571.25</v>
      </c>
      <c r="I2800" s="11">
        <f t="shared" si="104"/>
        <v>45621</v>
      </c>
      <c r="J2800" s="12">
        <f t="shared" si="105"/>
        <v>37</v>
      </c>
      <c r="K2800" t="str">
        <f t="shared" si="106"/>
        <v>31-90</v>
      </c>
      <c r="L2800" s="11">
        <v>45658</v>
      </c>
      <c r="M2800" s="23">
        <f>YEAR(Таблица1[[#This Row],[Дата отчета]])</f>
        <v>2025</v>
      </c>
    </row>
    <row r="2801" spans="1:13" x14ac:dyDescent="0.25">
      <c r="A2801" t="s">
        <v>12</v>
      </c>
      <c r="B2801" t="s">
        <v>539</v>
      </c>
      <c r="C2801" t="s">
        <v>2939</v>
      </c>
      <c r="D2801" t="s">
        <v>2940</v>
      </c>
      <c r="E2801" t="s">
        <v>2934</v>
      </c>
      <c r="F2801" s="20">
        <v>12240</v>
      </c>
      <c r="I2801" s="11">
        <f t="shared" si="104"/>
        <v>45625</v>
      </c>
      <c r="J2801" s="12">
        <f t="shared" si="105"/>
        <v>33</v>
      </c>
      <c r="K2801" t="str">
        <f t="shared" si="106"/>
        <v>31-90</v>
      </c>
      <c r="L2801" s="11">
        <v>45658</v>
      </c>
      <c r="M2801" s="23">
        <f>YEAR(Таблица1[[#This Row],[Дата отчета]])</f>
        <v>2025</v>
      </c>
    </row>
    <row r="2802" spans="1:13" x14ac:dyDescent="0.25">
      <c r="A2802" t="s">
        <v>12</v>
      </c>
      <c r="B2802" t="s">
        <v>557</v>
      </c>
      <c r="C2802" t="s">
        <v>2184</v>
      </c>
      <c r="D2802" t="s">
        <v>2185</v>
      </c>
      <c r="E2802" t="s">
        <v>2450</v>
      </c>
      <c r="F2802" s="20">
        <v>25140.27</v>
      </c>
      <c r="I2802" s="11">
        <f t="shared" si="104"/>
        <v>45427</v>
      </c>
      <c r="J2802" s="12">
        <f t="shared" si="105"/>
        <v>231</v>
      </c>
      <c r="K2802" t="str">
        <f t="shared" si="106"/>
        <v>181-270</v>
      </c>
      <c r="L2802" s="11">
        <v>45658</v>
      </c>
      <c r="M2802" s="23">
        <f>YEAR(Таблица1[[#This Row],[Дата отчета]])</f>
        <v>2025</v>
      </c>
    </row>
    <row r="2803" spans="1:13" x14ac:dyDescent="0.25">
      <c r="A2803" t="s">
        <v>12</v>
      </c>
      <c r="B2803" t="s">
        <v>561</v>
      </c>
      <c r="C2803" t="s">
        <v>1527</v>
      </c>
      <c r="D2803" t="s">
        <v>1528</v>
      </c>
      <c r="E2803" t="s">
        <v>1794</v>
      </c>
      <c r="F2803" s="20">
        <v>1715565.24</v>
      </c>
      <c r="I2803" s="11">
        <f t="shared" si="104"/>
        <v>45069</v>
      </c>
      <c r="J2803" s="12">
        <f t="shared" si="105"/>
        <v>589</v>
      </c>
      <c r="K2803" t="str">
        <f t="shared" si="106"/>
        <v>&gt;360</v>
      </c>
      <c r="L2803" s="11">
        <v>45658</v>
      </c>
      <c r="M2803" s="23">
        <f>YEAR(Таблица1[[#This Row],[Дата отчета]])</f>
        <v>2025</v>
      </c>
    </row>
    <row r="2804" spans="1:13" x14ac:dyDescent="0.25">
      <c r="A2804" t="s">
        <v>12</v>
      </c>
      <c r="B2804" t="s">
        <v>561</v>
      </c>
      <c r="C2804" t="s">
        <v>1529</v>
      </c>
      <c r="D2804" t="s">
        <v>1530</v>
      </c>
      <c r="E2804" t="s">
        <v>1795</v>
      </c>
      <c r="F2804" s="20">
        <v>5092824.9400000004</v>
      </c>
      <c r="I2804" s="11">
        <f t="shared" si="104"/>
        <v>45391</v>
      </c>
      <c r="J2804" s="12">
        <f t="shared" si="105"/>
        <v>267</v>
      </c>
      <c r="K2804" t="str">
        <f t="shared" si="106"/>
        <v>181-270</v>
      </c>
      <c r="L2804" s="11">
        <v>45658</v>
      </c>
      <c r="M2804" s="23">
        <f>YEAR(Таблица1[[#This Row],[Дата отчета]])</f>
        <v>2025</v>
      </c>
    </row>
    <row r="2805" spans="1:13" x14ac:dyDescent="0.25">
      <c r="A2805" t="s">
        <v>12</v>
      </c>
      <c r="B2805" t="s">
        <v>561</v>
      </c>
      <c r="C2805" t="s">
        <v>1533</v>
      </c>
      <c r="D2805" t="s">
        <v>1534</v>
      </c>
      <c r="E2805" t="s">
        <v>175</v>
      </c>
      <c r="F2805" s="20">
        <v>0.02</v>
      </c>
      <c r="I2805" s="11">
        <f t="shared" si="104"/>
        <v>45399</v>
      </c>
      <c r="J2805" s="12">
        <f t="shared" si="105"/>
        <v>259</v>
      </c>
      <c r="K2805" t="str">
        <f t="shared" si="106"/>
        <v>181-270</v>
      </c>
      <c r="L2805" s="11">
        <v>45658</v>
      </c>
      <c r="M2805" s="23">
        <f>YEAR(Таблица1[[#This Row],[Дата отчета]])</f>
        <v>2025</v>
      </c>
    </row>
    <row r="2806" spans="1:13" x14ac:dyDescent="0.25">
      <c r="A2806" t="s">
        <v>12</v>
      </c>
      <c r="B2806" t="s">
        <v>561</v>
      </c>
      <c r="C2806" t="s">
        <v>1541</v>
      </c>
      <c r="D2806" t="s">
        <v>1542</v>
      </c>
      <c r="E2806" t="s">
        <v>192</v>
      </c>
      <c r="F2806" s="20">
        <v>6277.48</v>
      </c>
      <c r="I2806" s="11">
        <f t="shared" si="104"/>
        <v>45467</v>
      </c>
      <c r="J2806" s="12">
        <f t="shared" si="105"/>
        <v>191</v>
      </c>
      <c r="K2806" t="str">
        <f t="shared" si="106"/>
        <v>181-270</v>
      </c>
      <c r="L2806" s="11">
        <v>45658</v>
      </c>
      <c r="M2806" s="23">
        <f>YEAR(Таблица1[[#This Row],[Дата отчета]])</f>
        <v>2025</v>
      </c>
    </row>
    <row r="2807" spans="1:13" x14ac:dyDescent="0.25">
      <c r="A2807" t="s">
        <v>12</v>
      </c>
      <c r="B2807" t="s">
        <v>561</v>
      </c>
      <c r="C2807" t="s">
        <v>1543</v>
      </c>
      <c r="D2807" t="s">
        <v>1544</v>
      </c>
      <c r="E2807" t="s">
        <v>1798</v>
      </c>
      <c r="F2807" s="20">
        <v>2474.62</v>
      </c>
      <c r="I2807" s="11">
        <f t="shared" ref="I2807:I2870" si="107">E2807*1</f>
        <v>45470</v>
      </c>
      <c r="J2807" s="12">
        <f t="shared" ref="J2807:J2870" si="108">L2807-I2807</f>
        <v>188</v>
      </c>
      <c r="K2807" t="str">
        <f t="shared" si="106"/>
        <v>181-270</v>
      </c>
      <c r="L2807" s="11">
        <v>45658</v>
      </c>
      <c r="M2807" s="23">
        <f>YEAR(Таблица1[[#This Row],[Дата отчета]])</f>
        <v>2025</v>
      </c>
    </row>
    <row r="2808" spans="1:13" x14ac:dyDescent="0.25">
      <c r="A2808" t="s">
        <v>12</v>
      </c>
      <c r="B2808" t="s">
        <v>561</v>
      </c>
      <c r="C2808" t="s">
        <v>2941</v>
      </c>
      <c r="D2808" t="s">
        <v>566</v>
      </c>
      <c r="E2808" t="s">
        <v>204</v>
      </c>
      <c r="F2808" s="20">
        <v>995281.85</v>
      </c>
      <c r="I2808" s="11">
        <f t="shared" si="107"/>
        <v>45481</v>
      </c>
      <c r="J2808" s="12">
        <f t="shared" si="108"/>
        <v>177</v>
      </c>
      <c r="K2808" t="str">
        <f t="shared" si="106"/>
        <v>121-180</v>
      </c>
      <c r="L2808" s="11">
        <v>45658</v>
      </c>
      <c r="M2808" s="23">
        <f>YEAR(Таблица1[[#This Row],[Дата отчета]])</f>
        <v>2025</v>
      </c>
    </row>
    <row r="2809" spans="1:13" x14ac:dyDescent="0.25">
      <c r="A2809" t="s">
        <v>12</v>
      </c>
      <c r="B2809" t="s">
        <v>561</v>
      </c>
      <c r="C2809" t="s">
        <v>1548</v>
      </c>
      <c r="D2809" t="s">
        <v>1549</v>
      </c>
      <c r="E2809" t="s">
        <v>1799</v>
      </c>
      <c r="F2809" s="20">
        <v>2.4</v>
      </c>
      <c r="I2809" s="11">
        <f t="shared" si="107"/>
        <v>45478</v>
      </c>
      <c r="J2809" s="12">
        <f t="shared" si="108"/>
        <v>180</v>
      </c>
      <c r="K2809" t="str">
        <f t="shared" si="106"/>
        <v>121-180</v>
      </c>
      <c r="L2809" s="11">
        <v>45658</v>
      </c>
      <c r="M2809" s="23">
        <f>YEAR(Таблица1[[#This Row],[Дата отчета]])</f>
        <v>2025</v>
      </c>
    </row>
    <row r="2810" spans="1:13" x14ac:dyDescent="0.25">
      <c r="A2810" t="s">
        <v>12</v>
      </c>
      <c r="B2810" t="s">
        <v>561</v>
      </c>
      <c r="C2810" t="s">
        <v>2942</v>
      </c>
      <c r="D2810" t="s">
        <v>565</v>
      </c>
      <c r="E2810" t="s">
        <v>204</v>
      </c>
      <c r="F2810" s="20">
        <v>31.2</v>
      </c>
      <c r="I2810" s="11">
        <f t="shared" si="107"/>
        <v>45481</v>
      </c>
      <c r="J2810" s="12">
        <f t="shared" si="108"/>
        <v>177</v>
      </c>
      <c r="K2810" t="str">
        <f t="shared" si="106"/>
        <v>121-180</v>
      </c>
      <c r="L2810" s="11">
        <v>45658</v>
      </c>
      <c r="M2810" s="23">
        <f>YEAR(Таблица1[[#This Row],[Дата отчета]])</f>
        <v>2025</v>
      </c>
    </row>
    <row r="2811" spans="1:13" x14ac:dyDescent="0.25">
      <c r="A2811" t="s">
        <v>12</v>
      </c>
      <c r="B2811" t="s">
        <v>561</v>
      </c>
      <c r="C2811" t="s">
        <v>2943</v>
      </c>
      <c r="D2811" t="s">
        <v>567</v>
      </c>
      <c r="E2811" t="s">
        <v>568</v>
      </c>
      <c r="F2811" s="20">
        <v>395493.5</v>
      </c>
      <c r="I2811" s="11">
        <f t="shared" si="107"/>
        <v>45527</v>
      </c>
      <c r="J2811" s="12">
        <f t="shared" si="108"/>
        <v>131</v>
      </c>
      <c r="K2811" t="str">
        <f t="shared" si="106"/>
        <v>121-180</v>
      </c>
      <c r="L2811" s="11">
        <v>45658</v>
      </c>
      <c r="M2811" s="23">
        <f>YEAR(Таблица1[[#This Row],[Дата отчета]])</f>
        <v>2025</v>
      </c>
    </row>
    <row r="2812" spans="1:13" x14ac:dyDescent="0.25">
      <c r="A2812" t="s">
        <v>12</v>
      </c>
      <c r="B2812" t="s">
        <v>561</v>
      </c>
      <c r="C2812" t="s">
        <v>2944</v>
      </c>
      <c r="D2812" t="s">
        <v>2634</v>
      </c>
      <c r="E2812" t="s">
        <v>2635</v>
      </c>
      <c r="F2812" s="20">
        <v>36345.29</v>
      </c>
      <c r="I2812" s="11">
        <f t="shared" si="107"/>
        <v>45505</v>
      </c>
      <c r="J2812" s="12">
        <f t="shared" si="108"/>
        <v>153</v>
      </c>
      <c r="K2812" t="str">
        <f t="shared" si="106"/>
        <v>121-180</v>
      </c>
      <c r="L2812" s="11">
        <v>45658</v>
      </c>
      <c r="M2812" s="23">
        <f>YEAR(Таблица1[[#This Row],[Дата отчета]])</f>
        <v>2025</v>
      </c>
    </row>
    <row r="2813" spans="1:13" x14ac:dyDescent="0.25">
      <c r="A2813" t="s">
        <v>12</v>
      </c>
      <c r="B2813" t="s">
        <v>561</v>
      </c>
      <c r="C2813" t="s">
        <v>2945</v>
      </c>
      <c r="D2813" t="s">
        <v>2637</v>
      </c>
      <c r="E2813" t="s">
        <v>1800</v>
      </c>
      <c r="F2813" s="20">
        <v>35878.480000000003</v>
      </c>
      <c r="I2813" s="11">
        <f t="shared" si="107"/>
        <v>45512</v>
      </c>
      <c r="J2813" s="12">
        <f t="shared" si="108"/>
        <v>146</v>
      </c>
      <c r="K2813" t="str">
        <f t="shared" si="106"/>
        <v>121-180</v>
      </c>
      <c r="L2813" s="11">
        <v>45658</v>
      </c>
      <c r="M2813" s="23">
        <f>YEAR(Таблица1[[#This Row],[Дата отчета]])</f>
        <v>2025</v>
      </c>
    </row>
    <row r="2814" spans="1:13" x14ac:dyDescent="0.25">
      <c r="A2814" t="s">
        <v>12</v>
      </c>
      <c r="B2814" t="s">
        <v>561</v>
      </c>
      <c r="C2814" t="s">
        <v>1562</v>
      </c>
      <c r="D2814" t="s">
        <v>1563</v>
      </c>
      <c r="E2814" t="s">
        <v>1800</v>
      </c>
      <c r="F2814" s="20">
        <v>13920</v>
      </c>
      <c r="I2814" s="11">
        <f t="shared" si="107"/>
        <v>45512</v>
      </c>
      <c r="J2814" s="12">
        <f t="shared" si="108"/>
        <v>146</v>
      </c>
      <c r="K2814" t="str">
        <f t="shared" si="106"/>
        <v>121-180</v>
      </c>
      <c r="L2814" s="11">
        <v>45658</v>
      </c>
      <c r="M2814" s="23">
        <f>YEAR(Таблица1[[#This Row],[Дата отчета]])</f>
        <v>2025</v>
      </c>
    </row>
    <row r="2815" spans="1:13" x14ac:dyDescent="0.25">
      <c r="A2815" t="s">
        <v>12</v>
      </c>
      <c r="B2815" t="s">
        <v>561</v>
      </c>
      <c r="C2815" t="s">
        <v>1566</v>
      </c>
      <c r="D2815" t="s">
        <v>1567</v>
      </c>
      <c r="E2815" t="s">
        <v>1801</v>
      </c>
      <c r="F2815" s="20">
        <v>355885.99</v>
      </c>
      <c r="I2815" s="11">
        <f t="shared" si="107"/>
        <v>45524</v>
      </c>
      <c r="J2815" s="12">
        <f t="shared" si="108"/>
        <v>134</v>
      </c>
      <c r="K2815" t="str">
        <f t="shared" ref="K2815:K2878" si="109">IF(J2815&lt;=30,"0-30",IF(J2815&lt;=90,"31-90",IF(J2815&lt;=120,"91-120",IF(J2815&lt;=180,"121-180",IF(J2815&lt;=270,"181-270",IF(J2815&lt;=360,"271-360","&gt;360"))))))</f>
        <v>121-180</v>
      </c>
      <c r="L2815" s="11">
        <v>45658</v>
      </c>
      <c r="M2815" s="23">
        <f>YEAR(Таблица1[[#This Row],[Дата отчета]])</f>
        <v>2025</v>
      </c>
    </row>
    <row r="2816" spans="1:13" x14ac:dyDescent="0.25">
      <c r="A2816" t="s">
        <v>12</v>
      </c>
      <c r="B2816" t="s">
        <v>561</v>
      </c>
      <c r="C2816" t="s">
        <v>1568</v>
      </c>
      <c r="D2816" t="s">
        <v>1569</v>
      </c>
      <c r="E2816" t="s">
        <v>1802</v>
      </c>
      <c r="F2816" s="20">
        <v>21441.599999999999</v>
      </c>
      <c r="I2816" s="11">
        <f t="shared" si="107"/>
        <v>45531</v>
      </c>
      <c r="J2816" s="12">
        <f t="shared" si="108"/>
        <v>127</v>
      </c>
      <c r="K2816" t="str">
        <f t="shared" si="109"/>
        <v>121-180</v>
      </c>
      <c r="L2816" s="11">
        <v>45658</v>
      </c>
      <c r="M2816" s="23">
        <f>YEAR(Таблица1[[#This Row],[Дата отчета]])</f>
        <v>2025</v>
      </c>
    </row>
    <row r="2817" spans="1:13" x14ac:dyDescent="0.25">
      <c r="A2817" t="s">
        <v>12</v>
      </c>
      <c r="B2817" t="s">
        <v>561</v>
      </c>
      <c r="C2817" t="s">
        <v>1570</v>
      </c>
      <c r="D2817" t="s">
        <v>1571</v>
      </c>
      <c r="E2817" t="s">
        <v>734</v>
      </c>
      <c r="F2817" s="20">
        <v>121190.09</v>
      </c>
      <c r="I2817" s="11">
        <f t="shared" si="107"/>
        <v>45541</v>
      </c>
      <c r="J2817" s="12">
        <f t="shared" si="108"/>
        <v>117</v>
      </c>
      <c r="K2817" t="str">
        <f t="shared" si="109"/>
        <v>91-120</v>
      </c>
      <c r="L2817" s="11">
        <v>45658</v>
      </c>
      <c r="M2817" s="23">
        <f>YEAR(Таблица1[[#This Row],[Дата отчета]])</f>
        <v>2025</v>
      </c>
    </row>
    <row r="2818" spans="1:13" x14ac:dyDescent="0.25">
      <c r="A2818" t="s">
        <v>12</v>
      </c>
      <c r="B2818" t="s">
        <v>561</v>
      </c>
      <c r="C2818" t="s">
        <v>2638</v>
      </c>
      <c r="D2818" t="s">
        <v>2639</v>
      </c>
      <c r="E2818" t="s">
        <v>2640</v>
      </c>
      <c r="F2818" s="20">
        <v>50950.98</v>
      </c>
      <c r="I2818" s="11">
        <f t="shared" si="107"/>
        <v>45574</v>
      </c>
      <c r="J2818" s="12">
        <f t="shared" si="108"/>
        <v>84</v>
      </c>
      <c r="K2818" t="str">
        <f t="shared" si="109"/>
        <v>31-90</v>
      </c>
      <c r="L2818" s="11">
        <v>45658</v>
      </c>
      <c r="M2818" s="23">
        <f>YEAR(Таблица1[[#This Row],[Дата отчета]])</f>
        <v>2025</v>
      </c>
    </row>
    <row r="2819" spans="1:13" x14ac:dyDescent="0.25">
      <c r="A2819" t="s">
        <v>12</v>
      </c>
      <c r="B2819" t="s">
        <v>2641</v>
      </c>
      <c r="C2819" t="s">
        <v>970</v>
      </c>
      <c r="D2819" t="s">
        <v>2946</v>
      </c>
      <c r="E2819" t="s">
        <v>2448</v>
      </c>
      <c r="F2819" s="20">
        <v>9500</v>
      </c>
      <c r="I2819" s="11">
        <f t="shared" si="107"/>
        <v>45653</v>
      </c>
      <c r="J2819" s="12">
        <f t="shared" si="108"/>
        <v>5</v>
      </c>
      <c r="K2819" t="str">
        <f t="shared" si="109"/>
        <v>0-30</v>
      </c>
      <c r="L2819" s="11">
        <v>45658</v>
      </c>
      <c r="M2819" s="23">
        <f>YEAR(Таблица1[[#This Row],[Дата отчета]])</f>
        <v>2025</v>
      </c>
    </row>
    <row r="2820" spans="1:13" x14ac:dyDescent="0.25">
      <c r="A2820" t="s">
        <v>12</v>
      </c>
      <c r="B2820" t="s">
        <v>2947</v>
      </c>
      <c r="C2820" t="s">
        <v>2948</v>
      </c>
      <c r="D2820" t="s">
        <v>2949</v>
      </c>
      <c r="E2820" t="s">
        <v>2922</v>
      </c>
      <c r="F2820" s="20">
        <v>250800</v>
      </c>
      <c r="I2820" s="11">
        <f t="shared" si="107"/>
        <v>45551</v>
      </c>
      <c r="J2820" s="12">
        <f t="shared" si="108"/>
        <v>107</v>
      </c>
      <c r="K2820" t="str">
        <f t="shared" si="109"/>
        <v>91-120</v>
      </c>
      <c r="L2820" s="11">
        <v>45658</v>
      </c>
      <c r="M2820" s="23">
        <f>YEAR(Таблица1[[#This Row],[Дата отчета]])</f>
        <v>2025</v>
      </c>
    </row>
    <row r="2821" spans="1:13" x14ac:dyDescent="0.25">
      <c r="A2821" t="s">
        <v>12</v>
      </c>
      <c r="B2821" t="s">
        <v>2644</v>
      </c>
      <c r="C2821" t="s">
        <v>2645</v>
      </c>
      <c r="D2821" t="s">
        <v>2646</v>
      </c>
      <c r="E2821" t="s">
        <v>2647</v>
      </c>
      <c r="F2821" s="20">
        <v>10350</v>
      </c>
      <c r="I2821" s="11">
        <f t="shared" si="107"/>
        <v>45609</v>
      </c>
      <c r="J2821" s="12">
        <f t="shared" si="108"/>
        <v>49</v>
      </c>
      <c r="K2821" t="str">
        <f t="shared" si="109"/>
        <v>31-90</v>
      </c>
      <c r="L2821" s="11">
        <v>45658</v>
      </c>
      <c r="M2821" s="23">
        <f>YEAR(Таблица1[[#This Row],[Дата отчета]])</f>
        <v>2025</v>
      </c>
    </row>
    <row r="2822" spans="1:13" x14ac:dyDescent="0.25">
      <c r="A2822" t="s">
        <v>12</v>
      </c>
      <c r="B2822" t="s">
        <v>2197</v>
      </c>
      <c r="C2822" t="s">
        <v>2198</v>
      </c>
      <c r="D2822" t="s">
        <v>2199</v>
      </c>
      <c r="E2822" t="s">
        <v>490</v>
      </c>
      <c r="F2822" s="20">
        <v>325000</v>
      </c>
      <c r="I2822" s="11">
        <f t="shared" si="107"/>
        <v>45631</v>
      </c>
      <c r="J2822" s="12">
        <f t="shared" si="108"/>
        <v>27</v>
      </c>
      <c r="K2822" t="str">
        <f t="shared" si="109"/>
        <v>0-30</v>
      </c>
      <c r="L2822" s="11">
        <v>45658</v>
      </c>
      <c r="M2822" s="23">
        <f>YEAR(Таблица1[[#This Row],[Дата отчета]])</f>
        <v>2025</v>
      </c>
    </row>
    <row r="2823" spans="1:13" x14ac:dyDescent="0.25">
      <c r="A2823" t="s">
        <v>12</v>
      </c>
      <c r="B2823" t="s">
        <v>2197</v>
      </c>
      <c r="C2823" t="s">
        <v>2200</v>
      </c>
      <c r="D2823" t="s">
        <v>2201</v>
      </c>
      <c r="E2823" t="s">
        <v>284</v>
      </c>
      <c r="F2823" s="20">
        <v>1207500</v>
      </c>
      <c r="I2823" s="11">
        <f t="shared" si="107"/>
        <v>45398</v>
      </c>
      <c r="J2823" s="12">
        <f t="shared" si="108"/>
        <v>260</v>
      </c>
      <c r="K2823" t="str">
        <f t="shared" si="109"/>
        <v>181-270</v>
      </c>
      <c r="L2823" s="11">
        <v>45658</v>
      </c>
      <c r="M2823" s="23">
        <f>YEAR(Таблица1[[#This Row],[Дата отчета]])</f>
        <v>2025</v>
      </c>
    </row>
    <row r="2824" spans="1:13" x14ac:dyDescent="0.25">
      <c r="A2824" t="s">
        <v>12</v>
      </c>
      <c r="B2824" t="s">
        <v>2197</v>
      </c>
      <c r="C2824" t="s">
        <v>2200</v>
      </c>
      <c r="D2824" t="s">
        <v>2202</v>
      </c>
      <c r="E2824" t="s">
        <v>2456</v>
      </c>
      <c r="F2824" s="20">
        <v>1207500</v>
      </c>
      <c r="I2824" s="11">
        <f t="shared" si="107"/>
        <v>45597</v>
      </c>
      <c r="J2824" s="12">
        <f t="shared" si="108"/>
        <v>61</v>
      </c>
      <c r="K2824" t="str">
        <f t="shared" si="109"/>
        <v>31-90</v>
      </c>
      <c r="L2824" s="11">
        <v>45658</v>
      </c>
      <c r="M2824" s="23">
        <f>YEAR(Таблица1[[#This Row],[Дата отчета]])</f>
        <v>2025</v>
      </c>
    </row>
    <row r="2825" spans="1:13" x14ac:dyDescent="0.25">
      <c r="A2825" t="s">
        <v>12</v>
      </c>
      <c r="B2825" t="s">
        <v>589</v>
      </c>
      <c r="C2825" t="s">
        <v>590</v>
      </c>
      <c r="D2825" t="s">
        <v>2950</v>
      </c>
      <c r="E2825" t="s">
        <v>490</v>
      </c>
      <c r="F2825" s="20">
        <v>1652.02</v>
      </c>
      <c r="I2825" s="11">
        <f t="shared" si="107"/>
        <v>45631</v>
      </c>
      <c r="J2825" s="12">
        <f t="shared" si="108"/>
        <v>27</v>
      </c>
      <c r="K2825" t="str">
        <f t="shared" si="109"/>
        <v>0-30</v>
      </c>
      <c r="L2825" s="11">
        <v>45658</v>
      </c>
      <c r="M2825" s="23">
        <f>YEAR(Таблица1[[#This Row],[Дата отчета]])</f>
        <v>2025</v>
      </c>
    </row>
    <row r="2826" spans="1:13" x14ac:dyDescent="0.25">
      <c r="A2826" t="s">
        <v>12</v>
      </c>
      <c r="B2826" t="s">
        <v>589</v>
      </c>
      <c r="C2826" t="s">
        <v>594</v>
      </c>
      <c r="D2826" t="s">
        <v>2951</v>
      </c>
      <c r="E2826" t="s">
        <v>490</v>
      </c>
      <c r="F2826" s="20">
        <v>2563.39</v>
      </c>
      <c r="I2826" s="11">
        <f t="shared" si="107"/>
        <v>45631</v>
      </c>
      <c r="J2826" s="12">
        <f t="shared" si="108"/>
        <v>27</v>
      </c>
      <c r="K2826" t="str">
        <f t="shared" si="109"/>
        <v>0-30</v>
      </c>
      <c r="L2826" s="11">
        <v>45658</v>
      </c>
      <c r="M2826" s="23">
        <f>YEAR(Таблица1[[#This Row],[Дата отчета]])</f>
        <v>2025</v>
      </c>
    </row>
    <row r="2827" spans="1:13" x14ac:dyDescent="0.25">
      <c r="A2827" t="s">
        <v>12</v>
      </c>
      <c r="B2827" t="s">
        <v>589</v>
      </c>
      <c r="C2827" t="s">
        <v>596</v>
      </c>
      <c r="D2827" t="s">
        <v>2952</v>
      </c>
      <c r="E2827" t="s">
        <v>2953</v>
      </c>
      <c r="F2827" s="20">
        <v>2045.35</v>
      </c>
      <c r="I2827" s="11">
        <f t="shared" si="107"/>
        <v>45545</v>
      </c>
      <c r="J2827" s="12">
        <f t="shared" si="108"/>
        <v>113</v>
      </c>
      <c r="K2827" t="str">
        <f t="shared" si="109"/>
        <v>91-120</v>
      </c>
      <c r="L2827" s="11">
        <v>45658</v>
      </c>
      <c r="M2827" s="23">
        <f>YEAR(Таблица1[[#This Row],[Дата отчета]])</f>
        <v>2025</v>
      </c>
    </row>
    <row r="2828" spans="1:13" x14ac:dyDescent="0.25">
      <c r="A2828" t="s">
        <v>12</v>
      </c>
      <c r="B2828" t="s">
        <v>589</v>
      </c>
      <c r="C2828" t="s">
        <v>596</v>
      </c>
      <c r="D2828" t="s">
        <v>2649</v>
      </c>
      <c r="E2828" t="s">
        <v>490</v>
      </c>
      <c r="F2828" s="20">
        <v>10000</v>
      </c>
      <c r="I2828" s="11">
        <f t="shared" si="107"/>
        <v>45631</v>
      </c>
      <c r="J2828" s="12">
        <f t="shared" si="108"/>
        <v>27</v>
      </c>
      <c r="K2828" t="str">
        <f t="shared" si="109"/>
        <v>0-30</v>
      </c>
      <c r="L2828" s="11">
        <v>45658</v>
      </c>
      <c r="M2828" s="23">
        <f>YEAR(Таблица1[[#This Row],[Дата отчета]])</f>
        <v>2025</v>
      </c>
    </row>
    <row r="2829" spans="1:13" x14ac:dyDescent="0.25">
      <c r="A2829" t="s">
        <v>12</v>
      </c>
      <c r="B2829" t="s">
        <v>589</v>
      </c>
      <c r="C2829" t="s">
        <v>598</v>
      </c>
      <c r="D2829" t="s">
        <v>599</v>
      </c>
      <c r="E2829" t="s">
        <v>600</v>
      </c>
      <c r="F2829" s="20">
        <v>45.91</v>
      </c>
      <c r="I2829" s="11">
        <f t="shared" si="107"/>
        <v>43560</v>
      </c>
      <c r="J2829" s="12">
        <f t="shared" si="108"/>
        <v>2098</v>
      </c>
      <c r="K2829" t="str">
        <f t="shared" si="109"/>
        <v>&gt;360</v>
      </c>
      <c r="L2829" s="11">
        <v>45658</v>
      </c>
      <c r="M2829" s="23">
        <f>YEAR(Таблица1[[#This Row],[Дата отчета]])</f>
        <v>2025</v>
      </c>
    </row>
    <row r="2830" spans="1:13" x14ac:dyDescent="0.25">
      <c r="A2830" t="s">
        <v>12</v>
      </c>
      <c r="B2830" t="s">
        <v>589</v>
      </c>
      <c r="C2830" t="s">
        <v>601</v>
      </c>
      <c r="D2830" t="s">
        <v>2954</v>
      </c>
      <c r="E2830" t="s">
        <v>2953</v>
      </c>
      <c r="F2830" s="20">
        <v>770.81</v>
      </c>
      <c r="I2830" s="11">
        <f t="shared" si="107"/>
        <v>45545</v>
      </c>
      <c r="J2830" s="12">
        <f t="shared" si="108"/>
        <v>113</v>
      </c>
      <c r="K2830" t="str">
        <f t="shared" si="109"/>
        <v>91-120</v>
      </c>
      <c r="L2830" s="11">
        <v>45658</v>
      </c>
      <c r="M2830" s="23">
        <f>YEAR(Таблица1[[#This Row],[Дата отчета]])</f>
        <v>2025</v>
      </c>
    </row>
    <row r="2831" spans="1:13" x14ac:dyDescent="0.25">
      <c r="A2831" t="s">
        <v>12</v>
      </c>
      <c r="B2831" t="s">
        <v>589</v>
      </c>
      <c r="C2831" t="s">
        <v>601</v>
      </c>
      <c r="D2831" t="s">
        <v>2955</v>
      </c>
      <c r="E2831" t="s">
        <v>490</v>
      </c>
      <c r="F2831" s="20">
        <v>2000</v>
      </c>
      <c r="I2831" s="11">
        <f t="shared" si="107"/>
        <v>45631</v>
      </c>
      <c r="J2831" s="12">
        <f t="shared" si="108"/>
        <v>27</v>
      </c>
      <c r="K2831" t="str">
        <f t="shared" si="109"/>
        <v>0-30</v>
      </c>
      <c r="L2831" s="11">
        <v>45658</v>
      </c>
      <c r="M2831" s="23">
        <f>YEAR(Таблица1[[#This Row],[Дата отчета]])</f>
        <v>2025</v>
      </c>
    </row>
    <row r="2832" spans="1:13" x14ac:dyDescent="0.25">
      <c r="A2832" t="s">
        <v>12</v>
      </c>
      <c r="B2832" t="s">
        <v>589</v>
      </c>
      <c r="C2832" t="s">
        <v>604</v>
      </c>
      <c r="D2832" t="s">
        <v>1609</v>
      </c>
      <c r="E2832" t="s">
        <v>1804</v>
      </c>
      <c r="F2832" s="20">
        <v>400.13</v>
      </c>
      <c r="I2832" s="11">
        <f t="shared" si="107"/>
        <v>45477</v>
      </c>
      <c r="J2832" s="12">
        <f t="shared" si="108"/>
        <v>181</v>
      </c>
      <c r="K2832" t="str">
        <f t="shared" si="109"/>
        <v>181-270</v>
      </c>
      <c r="L2832" s="11">
        <v>45658</v>
      </c>
      <c r="M2832" s="23">
        <f>YEAR(Таблица1[[#This Row],[Дата отчета]])</f>
        <v>2025</v>
      </c>
    </row>
    <row r="2833" spans="1:13" x14ac:dyDescent="0.25">
      <c r="A2833" t="s">
        <v>12</v>
      </c>
      <c r="B2833" t="s">
        <v>589</v>
      </c>
      <c r="C2833" t="s">
        <v>607</v>
      </c>
      <c r="D2833" t="s">
        <v>608</v>
      </c>
      <c r="E2833" t="s">
        <v>609</v>
      </c>
      <c r="F2833" s="20">
        <v>771.25</v>
      </c>
      <c r="I2833" s="11">
        <f t="shared" si="107"/>
        <v>45233</v>
      </c>
      <c r="J2833" s="12">
        <f t="shared" si="108"/>
        <v>425</v>
      </c>
      <c r="K2833" t="str">
        <f t="shared" si="109"/>
        <v>&gt;360</v>
      </c>
      <c r="L2833" s="11">
        <v>45658</v>
      </c>
      <c r="M2833" s="23">
        <f>YEAR(Таблица1[[#This Row],[Дата отчета]])</f>
        <v>2025</v>
      </c>
    </row>
    <row r="2834" spans="1:13" x14ac:dyDescent="0.25">
      <c r="A2834" t="s">
        <v>12</v>
      </c>
      <c r="B2834" t="s">
        <v>589</v>
      </c>
      <c r="C2834" t="s">
        <v>607</v>
      </c>
      <c r="D2834" t="s">
        <v>610</v>
      </c>
      <c r="E2834" t="s">
        <v>611</v>
      </c>
      <c r="F2834" s="20">
        <v>500</v>
      </c>
      <c r="I2834" s="11">
        <f t="shared" si="107"/>
        <v>45335</v>
      </c>
      <c r="J2834" s="12">
        <f t="shared" si="108"/>
        <v>323</v>
      </c>
      <c r="K2834" t="str">
        <f t="shared" si="109"/>
        <v>271-360</v>
      </c>
      <c r="L2834" s="11">
        <v>45658</v>
      </c>
      <c r="M2834" s="23">
        <f>YEAR(Таблица1[[#This Row],[Дата отчета]])</f>
        <v>2025</v>
      </c>
    </row>
    <row r="2835" spans="1:13" x14ac:dyDescent="0.25">
      <c r="A2835" t="s">
        <v>12</v>
      </c>
      <c r="B2835" t="s">
        <v>589</v>
      </c>
      <c r="C2835" t="s">
        <v>612</v>
      </c>
      <c r="D2835" t="s">
        <v>2956</v>
      </c>
      <c r="E2835" t="s">
        <v>2953</v>
      </c>
      <c r="F2835" s="20">
        <v>609.07000000000005</v>
      </c>
      <c r="I2835" s="11">
        <f t="shared" si="107"/>
        <v>45545</v>
      </c>
      <c r="J2835" s="12">
        <f t="shared" si="108"/>
        <v>113</v>
      </c>
      <c r="K2835" t="str">
        <f t="shared" si="109"/>
        <v>91-120</v>
      </c>
      <c r="L2835" s="11">
        <v>45658</v>
      </c>
      <c r="M2835" s="23">
        <f>YEAR(Таблица1[[#This Row],[Дата отчета]])</f>
        <v>2025</v>
      </c>
    </row>
    <row r="2836" spans="1:13" x14ac:dyDescent="0.25">
      <c r="A2836" t="s">
        <v>12</v>
      </c>
      <c r="B2836" t="s">
        <v>589</v>
      </c>
      <c r="C2836" t="s">
        <v>612</v>
      </c>
      <c r="D2836" t="s">
        <v>2652</v>
      </c>
      <c r="E2836" t="s">
        <v>490</v>
      </c>
      <c r="F2836" s="20">
        <v>3000</v>
      </c>
      <c r="I2836" s="11">
        <f t="shared" si="107"/>
        <v>45631</v>
      </c>
      <c r="J2836" s="12">
        <f t="shared" si="108"/>
        <v>27</v>
      </c>
      <c r="K2836" t="str">
        <f t="shared" si="109"/>
        <v>0-30</v>
      </c>
      <c r="L2836" s="11">
        <v>45658</v>
      </c>
      <c r="M2836" s="23">
        <f>YEAR(Таблица1[[#This Row],[Дата отчета]])</f>
        <v>2025</v>
      </c>
    </row>
    <row r="2837" spans="1:13" x14ac:dyDescent="0.25">
      <c r="A2837" t="s">
        <v>12</v>
      </c>
      <c r="B2837" t="s">
        <v>589</v>
      </c>
      <c r="C2837" t="s">
        <v>615</v>
      </c>
      <c r="D2837" t="s">
        <v>616</v>
      </c>
      <c r="E2837" t="s">
        <v>617</v>
      </c>
      <c r="F2837" s="20">
        <v>127.6</v>
      </c>
      <c r="I2837" s="11">
        <f t="shared" si="107"/>
        <v>42468</v>
      </c>
      <c r="J2837" s="12">
        <f t="shared" si="108"/>
        <v>3190</v>
      </c>
      <c r="K2837" t="str">
        <f t="shared" si="109"/>
        <v>&gt;360</v>
      </c>
      <c r="L2837" s="11">
        <v>45658</v>
      </c>
      <c r="M2837" s="23">
        <f>YEAR(Таблица1[[#This Row],[Дата отчета]])</f>
        <v>2025</v>
      </c>
    </row>
    <row r="2838" spans="1:13" x14ac:dyDescent="0.25">
      <c r="A2838" t="s">
        <v>12</v>
      </c>
      <c r="B2838" t="s">
        <v>589</v>
      </c>
      <c r="C2838" t="s">
        <v>615</v>
      </c>
      <c r="D2838" t="s">
        <v>618</v>
      </c>
      <c r="E2838" t="s">
        <v>619</v>
      </c>
      <c r="F2838" s="20">
        <v>430</v>
      </c>
      <c r="I2838" s="11">
        <f t="shared" si="107"/>
        <v>42501</v>
      </c>
      <c r="J2838" s="12">
        <f t="shared" si="108"/>
        <v>3157</v>
      </c>
      <c r="K2838" t="str">
        <f t="shared" si="109"/>
        <v>&gt;360</v>
      </c>
      <c r="L2838" s="11">
        <v>45658</v>
      </c>
      <c r="M2838" s="23">
        <f>YEAR(Таблица1[[#This Row],[Дата отчета]])</f>
        <v>2025</v>
      </c>
    </row>
    <row r="2839" spans="1:13" x14ac:dyDescent="0.25">
      <c r="A2839" t="s">
        <v>12</v>
      </c>
      <c r="B2839" t="s">
        <v>589</v>
      </c>
      <c r="C2839" t="s">
        <v>615</v>
      </c>
      <c r="D2839" t="s">
        <v>620</v>
      </c>
      <c r="E2839" t="s">
        <v>621</v>
      </c>
      <c r="F2839" s="20">
        <v>0.01</v>
      </c>
      <c r="I2839" s="11">
        <f t="shared" si="107"/>
        <v>43817</v>
      </c>
      <c r="J2839" s="12">
        <f t="shared" si="108"/>
        <v>1841</v>
      </c>
      <c r="K2839" t="str">
        <f t="shared" si="109"/>
        <v>&gt;360</v>
      </c>
      <c r="L2839" s="11">
        <v>45658</v>
      </c>
      <c r="M2839" s="23">
        <f>YEAR(Таблица1[[#This Row],[Дата отчета]])</f>
        <v>2025</v>
      </c>
    </row>
    <row r="2840" spans="1:13" x14ac:dyDescent="0.25">
      <c r="A2840" t="s">
        <v>12</v>
      </c>
      <c r="B2840" t="s">
        <v>589</v>
      </c>
      <c r="C2840" t="s">
        <v>622</v>
      </c>
      <c r="F2840" s="20">
        <v>68.27</v>
      </c>
      <c r="I2840" s="11">
        <f t="shared" si="107"/>
        <v>0</v>
      </c>
      <c r="J2840" s="12">
        <f t="shared" si="108"/>
        <v>45658</v>
      </c>
      <c r="K2840" t="str">
        <f t="shared" si="109"/>
        <v>&gt;360</v>
      </c>
      <c r="L2840" s="11">
        <v>45658</v>
      </c>
      <c r="M2840" s="23">
        <f>YEAR(Таблица1[[#This Row],[Дата отчета]])</f>
        <v>2025</v>
      </c>
    </row>
    <row r="2841" spans="1:13" x14ac:dyDescent="0.25">
      <c r="A2841" t="s">
        <v>12</v>
      </c>
      <c r="B2841" t="s">
        <v>589</v>
      </c>
      <c r="C2841" t="s">
        <v>623</v>
      </c>
      <c r="D2841" t="s">
        <v>624</v>
      </c>
      <c r="E2841" t="s">
        <v>625</v>
      </c>
      <c r="F2841" s="20">
        <v>799.94</v>
      </c>
      <c r="I2841" s="11">
        <f t="shared" si="107"/>
        <v>42429</v>
      </c>
      <c r="J2841" s="12">
        <f t="shared" si="108"/>
        <v>3229</v>
      </c>
      <c r="K2841" t="str">
        <f t="shared" si="109"/>
        <v>&gt;360</v>
      </c>
      <c r="L2841" s="11">
        <v>45658</v>
      </c>
      <c r="M2841" s="23">
        <f>YEAR(Таблица1[[#This Row],[Дата отчета]])</f>
        <v>2025</v>
      </c>
    </row>
    <row r="2842" spans="1:13" x14ac:dyDescent="0.25">
      <c r="A2842" t="s">
        <v>12</v>
      </c>
      <c r="B2842" t="s">
        <v>589</v>
      </c>
      <c r="C2842" t="s">
        <v>626</v>
      </c>
      <c r="D2842" t="s">
        <v>2957</v>
      </c>
      <c r="E2842" t="s">
        <v>2958</v>
      </c>
      <c r="F2842" s="20">
        <v>2882.76</v>
      </c>
      <c r="I2842" s="11">
        <f t="shared" si="107"/>
        <v>45568</v>
      </c>
      <c r="J2842" s="12">
        <f t="shared" si="108"/>
        <v>90</v>
      </c>
      <c r="K2842" t="str">
        <f t="shared" si="109"/>
        <v>31-90</v>
      </c>
      <c r="L2842" s="11">
        <v>45658</v>
      </c>
      <c r="M2842" s="23">
        <f>YEAR(Таблица1[[#This Row],[Дата отчета]])</f>
        <v>2025</v>
      </c>
    </row>
    <row r="2843" spans="1:13" x14ac:dyDescent="0.25">
      <c r="A2843" t="s">
        <v>12</v>
      </c>
      <c r="B2843" t="s">
        <v>589</v>
      </c>
      <c r="C2843" t="s">
        <v>626</v>
      </c>
      <c r="D2843" t="s">
        <v>2654</v>
      </c>
      <c r="E2843" t="s">
        <v>490</v>
      </c>
      <c r="F2843" s="20">
        <v>10000</v>
      </c>
      <c r="I2843" s="11">
        <f t="shared" si="107"/>
        <v>45631</v>
      </c>
      <c r="J2843" s="12">
        <f t="shared" si="108"/>
        <v>27</v>
      </c>
      <c r="K2843" t="str">
        <f t="shared" si="109"/>
        <v>0-30</v>
      </c>
      <c r="L2843" s="11">
        <v>45658</v>
      </c>
      <c r="M2843" s="23">
        <f>YEAR(Таблица1[[#This Row],[Дата отчета]])</f>
        <v>2025</v>
      </c>
    </row>
    <row r="2844" spans="1:13" x14ac:dyDescent="0.25">
      <c r="A2844" t="s">
        <v>12</v>
      </c>
      <c r="B2844" t="s">
        <v>645</v>
      </c>
      <c r="C2844" t="s">
        <v>2959</v>
      </c>
      <c r="D2844" t="s">
        <v>2960</v>
      </c>
      <c r="E2844" t="s">
        <v>2898</v>
      </c>
      <c r="F2844" s="20">
        <v>1249500</v>
      </c>
      <c r="I2844" s="11">
        <f t="shared" si="107"/>
        <v>45608</v>
      </c>
      <c r="J2844" s="12">
        <f t="shared" si="108"/>
        <v>50</v>
      </c>
      <c r="K2844" t="str">
        <f t="shared" si="109"/>
        <v>31-90</v>
      </c>
      <c r="L2844" s="11">
        <v>45658</v>
      </c>
      <c r="M2844" s="23">
        <f>YEAR(Таблица1[[#This Row],[Дата отчета]])</f>
        <v>2025</v>
      </c>
    </row>
    <row r="2845" spans="1:13" x14ac:dyDescent="0.25">
      <c r="A2845" t="s">
        <v>12</v>
      </c>
      <c r="B2845" t="s">
        <v>645</v>
      </c>
      <c r="C2845" t="s">
        <v>2961</v>
      </c>
      <c r="D2845" t="s">
        <v>2962</v>
      </c>
      <c r="E2845" t="s">
        <v>1818</v>
      </c>
      <c r="F2845" s="20">
        <v>131220</v>
      </c>
      <c r="I2845" s="11">
        <f t="shared" si="107"/>
        <v>45628</v>
      </c>
      <c r="J2845" s="12">
        <f t="shared" si="108"/>
        <v>30</v>
      </c>
      <c r="K2845" t="str">
        <f t="shared" si="109"/>
        <v>0-30</v>
      </c>
      <c r="L2845" s="11">
        <v>45658</v>
      </c>
      <c r="M2845" s="23">
        <f>YEAR(Таблица1[[#This Row],[Дата отчета]])</f>
        <v>2025</v>
      </c>
    </row>
    <row r="2846" spans="1:13" x14ac:dyDescent="0.25">
      <c r="A2846" t="s">
        <v>12</v>
      </c>
      <c r="B2846" t="s">
        <v>680</v>
      </c>
      <c r="C2846" t="s">
        <v>2963</v>
      </c>
      <c r="D2846" t="s">
        <v>2964</v>
      </c>
      <c r="E2846" t="s">
        <v>2965</v>
      </c>
      <c r="F2846" s="20">
        <v>47044.9</v>
      </c>
      <c r="I2846" s="11">
        <f t="shared" si="107"/>
        <v>45377</v>
      </c>
      <c r="J2846" s="12">
        <f t="shared" si="108"/>
        <v>281</v>
      </c>
      <c r="K2846" t="str">
        <f t="shared" si="109"/>
        <v>271-360</v>
      </c>
      <c r="L2846" s="11">
        <v>45658</v>
      </c>
      <c r="M2846" s="23">
        <f>YEAR(Таблица1[[#This Row],[Дата отчета]])</f>
        <v>2025</v>
      </c>
    </row>
    <row r="2847" spans="1:13" x14ac:dyDescent="0.25">
      <c r="A2847" t="s">
        <v>12</v>
      </c>
      <c r="B2847" t="s">
        <v>684</v>
      </c>
      <c r="C2847" t="s">
        <v>685</v>
      </c>
      <c r="D2847" t="s">
        <v>2966</v>
      </c>
      <c r="E2847" t="s">
        <v>2967</v>
      </c>
      <c r="F2847" s="20">
        <v>589719.81999999995</v>
      </c>
      <c r="I2847" s="11">
        <f t="shared" si="107"/>
        <v>45561</v>
      </c>
      <c r="J2847" s="12">
        <f t="shared" si="108"/>
        <v>97</v>
      </c>
      <c r="K2847" t="str">
        <f t="shared" si="109"/>
        <v>91-120</v>
      </c>
      <c r="L2847" s="11">
        <v>45658</v>
      </c>
      <c r="M2847" s="23">
        <f>YEAR(Таблица1[[#This Row],[Дата отчета]])</f>
        <v>2025</v>
      </c>
    </row>
    <row r="2848" spans="1:13" x14ac:dyDescent="0.25">
      <c r="A2848" t="s">
        <v>12</v>
      </c>
      <c r="B2848" t="s">
        <v>684</v>
      </c>
      <c r="C2848" t="s">
        <v>685</v>
      </c>
      <c r="D2848" t="s">
        <v>2968</v>
      </c>
      <c r="E2848" t="s">
        <v>748</v>
      </c>
      <c r="F2848" s="20">
        <v>921877.31</v>
      </c>
      <c r="I2848" s="11">
        <f t="shared" si="107"/>
        <v>45580</v>
      </c>
      <c r="J2848" s="12">
        <f t="shared" si="108"/>
        <v>78</v>
      </c>
      <c r="K2848" t="str">
        <f t="shared" si="109"/>
        <v>31-90</v>
      </c>
      <c r="L2848" s="11">
        <v>45658</v>
      </c>
      <c r="M2848" s="23">
        <f>YEAR(Таблица1[[#This Row],[Дата отчета]])</f>
        <v>2025</v>
      </c>
    </row>
    <row r="2849" spans="1:14" x14ac:dyDescent="0.25">
      <c r="A2849" t="s">
        <v>12</v>
      </c>
      <c r="B2849" t="s">
        <v>684</v>
      </c>
      <c r="C2849" t="s">
        <v>697</v>
      </c>
      <c r="D2849" t="s">
        <v>698</v>
      </c>
      <c r="E2849" t="s">
        <v>699</v>
      </c>
      <c r="F2849" s="20">
        <v>172161</v>
      </c>
      <c r="I2849" s="11">
        <f t="shared" si="107"/>
        <v>45218</v>
      </c>
      <c r="J2849" s="12">
        <f t="shared" si="108"/>
        <v>440</v>
      </c>
      <c r="K2849" t="str">
        <f t="shared" si="109"/>
        <v>&gt;360</v>
      </c>
      <c r="L2849" s="11">
        <v>45658</v>
      </c>
      <c r="M2849" s="23">
        <f>YEAR(Таблица1[[#This Row],[Дата отчета]])</f>
        <v>2025</v>
      </c>
      <c r="N2849" s="2" t="s">
        <v>4535</v>
      </c>
    </row>
    <row r="2850" spans="1:14" x14ac:dyDescent="0.25">
      <c r="A2850" t="s">
        <v>12</v>
      </c>
      <c r="B2850" t="s">
        <v>684</v>
      </c>
      <c r="C2850" t="s">
        <v>2969</v>
      </c>
      <c r="D2850" t="s">
        <v>2970</v>
      </c>
      <c r="E2850" t="s">
        <v>2971</v>
      </c>
      <c r="F2850" s="20">
        <v>266580</v>
      </c>
      <c r="I2850" s="11">
        <f t="shared" si="107"/>
        <v>45617</v>
      </c>
      <c r="J2850" s="12">
        <f t="shared" si="108"/>
        <v>41</v>
      </c>
      <c r="K2850" t="str">
        <f t="shared" si="109"/>
        <v>31-90</v>
      </c>
      <c r="L2850" s="11">
        <v>45658</v>
      </c>
      <c r="M2850" s="23">
        <f>YEAR(Таблица1[[#This Row],[Дата отчета]])</f>
        <v>2025</v>
      </c>
    </row>
    <row r="2851" spans="1:14" x14ac:dyDescent="0.25">
      <c r="A2851" t="s">
        <v>12</v>
      </c>
      <c r="B2851" t="s">
        <v>712</v>
      </c>
      <c r="C2851" t="s">
        <v>2972</v>
      </c>
      <c r="D2851" t="s">
        <v>2973</v>
      </c>
      <c r="E2851" t="s">
        <v>1768</v>
      </c>
      <c r="F2851" s="20">
        <v>217500</v>
      </c>
      <c r="I2851" s="11">
        <f t="shared" si="107"/>
        <v>45639</v>
      </c>
      <c r="J2851" s="12">
        <f t="shared" si="108"/>
        <v>19</v>
      </c>
      <c r="K2851" t="str">
        <f t="shared" si="109"/>
        <v>0-30</v>
      </c>
      <c r="L2851" s="11">
        <v>45658</v>
      </c>
      <c r="M2851" s="23">
        <f>YEAR(Таблица1[[#This Row],[Дата отчета]])</f>
        <v>2025</v>
      </c>
    </row>
    <row r="2852" spans="1:14" x14ac:dyDescent="0.25">
      <c r="A2852" t="s">
        <v>12</v>
      </c>
      <c r="B2852" t="s">
        <v>712</v>
      </c>
      <c r="C2852" t="s">
        <v>2665</v>
      </c>
      <c r="D2852" t="s">
        <v>2974</v>
      </c>
      <c r="E2852" t="s">
        <v>1809</v>
      </c>
      <c r="F2852" s="20">
        <v>1115000</v>
      </c>
      <c r="I2852" s="11">
        <f t="shared" si="107"/>
        <v>45644</v>
      </c>
      <c r="J2852" s="12">
        <f t="shared" si="108"/>
        <v>14</v>
      </c>
      <c r="K2852" t="str">
        <f t="shared" si="109"/>
        <v>0-30</v>
      </c>
      <c r="L2852" s="11">
        <v>45658</v>
      </c>
      <c r="M2852" s="23">
        <f>YEAR(Таблица1[[#This Row],[Дата отчета]])</f>
        <v>2025</v>
      </c>
    </row>
    <row r="2853" spans="1:14" x14ac:dyDescent="0.25">
      <c r="A2853" t="s">
        <v>12</v>
      </c>
      <c r="B2853" t="s">
        <v>715</v>
      </c>
      <c r="C2853" t="s">
        <v>2667</v>
      </c>
      <c r="D2853" t="s">
        <v>2668</v>
      </c>
      <c r="E2853" t="s">
        <v>2448</v>
      </c>
      <c r="F2853" s="20">
        <v>280060000</v>
      </c>
      <c r="I2853" s="11">
        <f t="shared" si="107"/>
        <v>45653</v>
      </c>
      <c r="J2853" s="12">
        <f t="shared" si="108"/>
        <v>5</v>
      </c>
      <c r="K2853" t="str">
        <f t="shared" si="109"/>
        <v>0-30</v>
      </c>
      <c r="L2853" s="11">
        <v>45658</v>
      </c>
      <c r="M2853" s="23">
        <f>YEAR(Таблица1[[#This Row],[Дата отчета]])</f>
        <v>2025</v>
      </c>
    </row>
    <row r="2854" spans="1:14" x14ac:dyDescent="0.25">
      <c r="A2854" t="s">
        <v>12</v>
      </c>
      <c r="B2854" t="s">
        <v>726</v>
      </c>
      <c r="C2854" t="s">
        <v>732</v>
      </c>
      <c r="D2854" t="s">
        <v>733</v>
      </c>
      <c r="E2854" t="s">
        <v>734</v>
      </c>
      <c r="F2854" s="20">
        <v>2163.48</v>
      </c>
      <c r="I2854" s="11">
        <f t="shared" si="107"/>
        <v>45541</v>
      </c>
      <c r="J2854" s="12">
        <f t="shared" si="108"/>
        <v>117</v>
      </c>
      <c r="K2854" t="str">
        <f t="shared" si="109"/>
        <v>91-120</v>
      </c>
      <c r="L2854" s="11">
        <v>45658</v>
      </c>
      <c r="M2854" s="23">
        <f>YEAR(Таблица1[[#This Row],[Дата отчета]])</f>
        <v>2025</v>
      </c>
      <c r="N2854" s="2" t="s">
        <v>807</v>
      </c>
    </row>
    <row r="2855" spans="1:14" x14ac:dyDescent="0.25">
      <c r="A2855" t="s">
        <v>12</v>
      </c>
      <c r="B2855" t="s">
        <v>745</v>
      </c>
      <c r="C2855" t="s">
        <v>269</v>
      </c>
      <c r="D2855" t="s">
        <v>2975</v>
      </c>
      <c r="E2855" t="s">
        <v>2976</v>
      </c>
      <c r="F2855" s="20">
        <v>619.96</v>
      </c>
      <c r="I2855" s="11">
        <f t="shared" si="107"/>
        <v>45139</v>
      </c>
      <c r="J2855" s="12">
        <f t="shared" si="108"/>
        <v>519</v>
      </c>
      <c r="K2855" t="str">
        <f t="shared" si="109"/>
        <v>&gt;360</v>
      </c>
      <c r="L2855" s="11">
        <v>45658</v>
      </c>
      <c r="M2855" s="23">
        <f>YEAR(Таблица1[[#This Row],[Дата отчета]])</f>
        <v>2025</v>
      </c>
    </row>
    <row r="2856" spans="1:14" x14ac:dyDescent="0.25">
      <c r="A2856" t="s">
        <v>12</v>
      </c>
      <c r="B2856" t="s">
        <v>745</v>
      </c>
      <c r="C2856" t="s">
        <v>269</v>
      </c>
      <c r="D2856" t="s">
        <v>2724</v>
      </c>
      <c r="E2856" t="s">
        <v>2725</v>
      </c>
      <c r="F2856" s="20">
        <v>1358</v>
      </c>
      <c r="I2856" s="11">
        <f t="shared" si="107"/>
        <v>45520</v>
      </c>
      <c r="J2856" s="12">
        <f t="shared" si="108"/>
        <v>138</v>
      </c>
      <c r="K2856" t="str">
        <f t="shared" si="109"/>
        <v>121-180</v>
      </c>
      <c r="L2856" s="11">
        <v>45658</v>
      </c>
      <c r="M2856" s="23">
        <f>YEAR(Таблица1[[#This Row],[Дата отчета]])</f>
        <v>2025</v>
      </c>
    </row>
    <row r="2857" spans="1:14" x14ac:dyDescent="0.25">
      <c r="A2857" t="s">
        <v>12</v>
      </c>
      <c r="B2857" t="s">
        <v>745</v>
      </c>
      <c r="C2857" t="s">
        <v>746</v>
      </c>
      <c r="D2857" t="s">
        <v>747</v>
      </c>
      <c r="E2857" t="s">
        <v>748</v>
      </c>
      <c r="F2857" s="20">
        <v>4953</v>
      </c>
      <c r="I2857" s="11">
        <f t="shared" si="107"/>
        <v>45580</v>
      </c>
      <c r="J2857" s="12">
        <f t="shared" si="108"/>
        <v>78</v>
      </c>
      <c r="K2857" t="str">
        <f t="shared" si="109"/>
        <v>31-90</v>
      </c>
      <c r="L2857" s="11">
        <v>45658</v>
      </c>
      <c r="M2857" s="23">
        <f>YEAR(Таблица1[[#This Row],[Дата отчета]])</f>
        <v>2025</v>
      </c>
    </row>
    <row r="2858" spans="1:14" x14ac:dyDescent="0.25">
      <c r="A2858" t="s">
        <v>12</v>
      </c>
      <c r="B2858" t="s">
        <v>2726</v>
      </c>
      <c r="C2858" t="s">
        <v>2727</v>
      </c>
      <c r="D2858" t="s">
        <v>2728</v>
      </c>
      <c r="E2858" t="s">
        <v>2729</v>
      </c>
      <c r="F2858" s="20">
        <v>60000</v>
      </c>
      <c r="I2858" s="11">
        <f t="shared" si="107"/>
        <v>45489</v>
      </c>
      <c r="J2858" s="12">
        <f t="shared" si="108"/>
        <v>169</v>
      </c>
      <c r="K2858" t="str">
        <f t="shared" si="109"/>
        <v>121-180</v>
      </c>
      <c r="L2858" s="11">
        <v>45658</v>
      </c>
      <c r="M2858" s="23">
        <f>YEAR(Таблица1[[#This Row],[Дата отчета]])</f>
        <v>2025</v>
      </c>
    </row>
    <row r="2859" spans="1:14" x14ac:dyDescent="0.25">
      <c r="A2859" t="s">
        <v>12</v>
      </c>
      <c r="B2859" t="s">
        <v>2977</v>
      </c>
      <c r="C2859" t="s">
        <v>2978</v>
      </c>
      <c r="D2859" t="s">
        <v>2979</v>
      </c>
      <c r="E2859" t="s">
        <v>1818</v>
      </c>
      <c r="F2859" s="20">
        <v>187109</v>
      </c>
      <c r="I2859" s="11">
        <f t="shared" si="107"/>
        <v>45628</v>
      </c>
      <c r="J2859" s="12">
        <f t="shared" si="108"/>
        <v>30</v>
      </c>
      <c r="K2859" t="str">
        <f t="shared" si="109"/>
        <v>0-30</v>
      </c>
      <c r="L2859" s="11">
        <v>45658</v>
      </c>
      <c r="M2859" s="23">
        <f>YEAR(Таблица1[[#This Row],[Дата отчета]])</f>
        <v>2025</v>
      </c>
    </row>
    <row r="2860" spans="1:14" x14ac:dyDescent="0.25">
      <c r="A2860" t="s">
        <v>12</v>
      </c>
      <c r="B2860" t="s">
        <v>2977</v>
      </c>
      <c r="C2860" t="s">
        <v>2978</v>
      </c>
      <c r="D2860" t="s">
        <v>2980</v>
      </c>
      <c r="E2860" t="s">
        <v>1775</v>
      </c>
      <c r="F2860" s="20">
        <v>12400</v>
      </c>
      <c r="I2860" s="11">
        <f t="shared" si="107"/>
        <v>45629</v>
      </c>
      <c r="J2860" s="12">
        <f t="shared" si="108"/>
        <v>29</v>
      </c>
      <c r="K2860" t="str">
        <f t="shared" si="109"/>
        <v>0-30</v>
      </c>
      <c r="L2860" s="11">
        <v>45658</v>
      </c>
      <c r="M2860" s="23">
        <f>YEAR(Таблица1[[#This Row],[Дата отчета]])</f>
        <v>2025</v>
      </c>
    </row>
    <row r="2861" spans="1:14" x14ac:dyDescent="0.25">
      <c r="A2861" t="s">
        <v>12</v>
      </c>
      <c r="B2861" t="s">
        <v>752</v>
      </c>
      <c r="C2861" t="s">
        <v>2745</v>
      </c>
      <c r="D2861" t="s">
        <v>2746</v>
      </c>
      <c r="E2861" t="s">
        <v>2747</v>
      </c>
      <c r="F2861" s="20">
        <v>140000</v>
      </c>
      <c r="I2861" s="11">
        <f t="shared" si="107"/>
        <v>45601</v>
      </c>
      <c r="J2861" s="12">
        <f t="shared" si="108"/>
        <v>57</v>
      </c>
      <c r="K2861" t="str">
        <f t="shared" si="109"/>
        <v>31-90</v>
      </c>
      <c r="L2861" s="11">
        <v>45658</v>
      </c>
      <c r="M2861" s="23">
        <f>YEAR(Таблица1[[#This Row],[Дата отчета]])</f>
        <v>2025</v>
      </c>
    </row>
    <row r="2862" spans="1:14" x14ac:dyDescent="0.25">
      <c r="A2862" t="s">
        <v>12</v>
      </c>
      <c r="B2862" t="s">
        <v>2981</v>
      </c>
      <c r="C2862" t="s">
        <v>2982</v>
      </c>
      <c r="D2862" t="s">
        <v>2983</v>
      </c>
      <c r="E2862" t="s">
        <v>2971</v>
      </c>
      <c r="F2862" s="20">
        <v>650500</v>
      </c>
      <c r="I2862" s="11">
        <f t="shared" si="107"/>
        <v>45617</v>
      </c>
      <c r="J2862" s="12">
        <f t="shared" si="108"/>
        <v>41</v>
      </c>
      <c r="K2862" t="str">
        <f t="shared" si="109"/>
        <v>31-90</v>
      </c>
      <c r="L2862" s="11">
        <v>45658</v>
      </c>
      <c r="M2862" s="23">
        <f>YEAR(Таблица1[[#This Row],[Дата отчета]])</f>
        <v>2025</v>
      </c>
    </row>
    <row r="2863" spans="1:14" x14ac:dyDescent="0.25">
      <c r="A2863" t="s">
        <v>12</v>
      </c>
      <c r="B2863" t="s">
        <v>777</v>
      </c>
      <c r="C2863" t="s">
        <v>778</v>
      </c>
      <c r="D2863" t="s">
        <v>779</v>
      </c>
      <c r="E2863" t="s">
        <v>780</v>
      </c>
      <c r="F2863" s="20">
        <v>196.02</v>
      </c>
      <c r="I2863" s="11">
        <f t="shared" si="107"/>
        <v>44868</v>
      </c>
      <c r="J2863" s="12">
        <f t="shared" si="108"/>
        <v>790</v>
      </c>
      <c r="K2863" t="str">
        <f t="shared" si="109"/>
        <v>&gt;360</v>
      </c>
      <c r="L2863" s="11">
        <v>45658</v>
      </c>
      <c r="M2863" s="23">
        <f>YEAR(Таблица1[[#This Row],[Дата отчета]])</f>
        <v>2025</v>
      </c>
      <c r="N2863" s="2" t="s">
        <v>807</v>
      </c>
    </row>
    <row r="2864" spans="1:14" x14ac:dyDescent="0.25">
      <c r="A2864" t="s">
        <v>12</v>
      </c>
      <c r="B2864" t="s">
        <v>793</v>
      </c>
      <c r="C2864" t="s">
        <v>794</v>
      </c>
      <c r="D2864" t="s">
        <v>795</v>
      </c>
      <c r="E2864" t="s">
        <v>796</v>
      </c>
      <c r="F2864" s="20">
        <v>650</v>
      </c>
      <c r="I2864" s="11">
        <f t="shared" si="107"/>
        <v>44889</v>
      </c>
      <c r="J2864" s="12">
        <f t="shared" si="108"/>
        <v>769</v>
      </c>
      <c r="K2864" t="str">
        <f t="shared" si="109"/>
        <v>&gt;360</v>
      </c>
      <c r="L2864" s="11">
        <v>45658</v>
      </c>
      <c r="M2864" s="23">
        <f>YEAR(Таблица1[[#This Row],[Дата отчета]])</f>
        <v>2025</v>
      </c>
      <c r="N2864" s="2" t="s">
        <v>807</v>
      </c>
    </row>
    <row r="2865" spans="1:14" x14ac:dyDescent="0.25">
      <c r="A2865" t="s">
        <v>12</v>
      </c>
      <c r="B2865" t="s">
        <v>1224</v>
      </c>
      <c r="C2865" t="s">
        <v>1234</v>
      </c>
      <c r="D2865" t="s">
        <v>1251</v>
      </c>
      <c r="E2865" t="s">
        <v>1258</v>
      </c>
      <c r="F2865" s="20">
        <v>12</v>
      </c>
      <c r="I2865" s="11">
        <f t="shared" si="107"/>
        <v>45288</v>
      </c>
      <c r="J2865" s="12">
        <f t="shared" si="108"/>
        <v>370</v>
      </c>
      <c r="K2865" t="str">
        <f t="shared" si="109"/>
        <v>&gt;360</v>
      </c>
      <c r="L2865" s="11">
        <v>45658</v>
      </c>
      <c r="M2865" s="23">
        <f>YEAR(Таблица1[[#This Row],[Дата отчета]])</f>
        <v>2025</v>
      </c>
    </row>
    <row r="2866" spans="1:14" x14ac:dyDescent="0.25">
      <c r="A2866" t="s">
        <v>12</v>
      </c>
      <c r="B2866" t="s">
        <v>797</v>
      </c>
      <c r="C2866" t="s">
        <v>2282</v>
      </c>
      <c r="D2866" t="s">
        <v>2283</v>
      </c>
      <c r="E2866" t="s">
        <v>284</v>
      </c>
      <c r="F2866" s="20">
        <v>0.3</v>
      </c>
      <c r="I2866" s="11">
        <f t="shared" si="107"/>
        <v>45398</v>
      </c>
      <c r="J2866" s="12">
        <f t="shared" si="108"/>
        <v>260</v>
      </c>
      <c r="K2866" t="str">
        <f t="shared" si="109"/>
        <v>181-270</v>
      </c>
      <c r="L2866" s="11">
        <v>45658</v>
      </c>
      <c r="M2866" s="23">
        <f>YEAR(Таблица1[[#This Row],[Дата отчета]])</f>
        <v>2025</v>
      </c>
    </row>
    <row r="2867" spans="1:14" x14ac:dyDescent="0.25">
      <c r="A2867" t="s">
        <v>12</v>
      </c>
      <c r="B2867" t="s">
        <v>797</v>
      </c>
      <c r="C2867" t="s">
        <v>2284</v>
      </c>
      <c r="D2867" t="s">
        <v>2285</v>
      </c>
      <c r="E2867" t="s">
        <v>2460</v>
      </c>
      <c r="F2867" s="20">
        <v>0.1</v>
      </c>
      <c r="I2867" s="11">
        <f t="shared" si="107"/>
        <v>45582</v>
      </c>
      <c r="J2867" s="12">
        <f t="shared" si="108"/>
        <v>76</v>
      </c>
      <c r="K2867" t="str">
        <f t="shared" si="109"/>
        <v>31-90</v>
      </c>
      <c r="L2867" s="11">
        <v>45658</v>
      </c>
      <c r="M2867" s="23">
        <f>YEAR(Таблица1[[#This Row],[Дата отчета]])</f>
        <v>2025</v>
      </c>
    </row>
    <row r="2868" spans="1:14" x14ac:dyDescent="0.25">
      <c r="A2868" t="s">
        <v>12</v>
      </c>
      <c r="B2868" t="s">
        <v>797</v>
      </c>
      <c r="C2868" t="s">
        <v>2286</v>
      </c>
      <c r="D2868" t="s">
        <v>2984</v>
      </c>
      <c r="E2868" t="s">
        <v>1818</v>
      </c>
      <c r="F2868" s="20">
        <v>543315.99</v>
      </c>
      <c r="I2868" s="11">
        <f t="shared" si="107"/>
        <v>45628</v>
      </c>
      <c r="J2868" s="12">
        <f t="shared" si="108"/>
        <v>30</v>
      </c>
      <c r="K2868" t="str">
        <f t="shared" si="109"/>
        <v>0-30</v>
      </c>
      <c r="L2868" s="11">
        <v>45658</v>
      </c>
      <c r="M2868" s="23">
        <f>YEAR(Таблица1[[#This Row],[Дата отчета]])</f>
        <v>2025</v>
      </c>
    </row>
    <row r="2869" spans="1:14" x14ac:dyDescent="0.25">
      <c r="A2869" t="s">
        <v>12</v>
      </c>
      <c r="B2869" t="s">
        <v>797</v>
      </c>
      <c r="C2869" t="s">
        <v>2985</v>
      </c>
      <c r="D2869" t="s">
        <v>2986</v>
      </c>
      <c r="E2869" t="s">
        <v>2559</v>
      </c>
      <c r="F2869" s="20">
        <v>271793.25</v>
      </c>
      <c r="I2869" s="11">
        <f t="shared" si="107"/>
        <v>45632</v>
      </c>
      <c r="J2869" s="12">
        <f t="shared" si="108"/>
        <v>26</v>
      </c>
      <c r="K2869" t="str">
        <f t="shared" si="109"/>
        <v>0-30</v>
      </c>
      <c r="L2869" s="11">
        <v>45658</v>
      </c>
      <c r="M2869" s="23">
        <f>YEAR(Таблица1[[#This Row],[Дата отчета]])</f>
        <v>2025</v>
      </c>
    </row>
    <row r="2870" spans="1:14" x14ac:dyDescent="0.25">
      <c r="A2870" t="s">
        <v>12</v>
      </c>
      <c r="B2870" t="s">
        <v>1685</v>
      </c>
      <c r="C2870" t="s">
        <v>1686</v>
      </c>
      <c r="D2870" t="s">
        <v>1687</v>
      </c>
      <c r="E2870" t="s">
        <v>1809</v>
      </c>
      <c r="F2870" s="20">
        <v>33700</v>
      </c>
      <c r="I2870" s="11">
        <f t="shared" si="107"/>
        <v>45644</v>
      </c>
      <c r="J2870" s="12">
        <f t="shared" si="108"/>
        <v>14</v>
      </c>
      <c r="K2870" t="str">
        <f t="shared" si="109"/>
        <v>0-30</v>
      </c>
      <c r="L2870" s="11">
        <v>45658</v>
      </c>
      <c r="M2870" s="23">
        <f>YEAR(Таблица1[[#This Row],[Дата отчета]])</f>
        <v>2025</v>
      </c>
    </row>
    <row r="2871" spans="1:14" x14ac:dyDescent="0.25">
      <c r="A2871" t="s">
        <v>12</v>
      </c>
      <c r="B2871" t="s">
        <v>2313</v>
      </c>
      <c r="C2871" t="s">
        <v>2314</v>
      </c>
      <c r="D2871" t="s">
        <v>2315</v>
      </c>
      <c r="E2871" t="s">
        <v>2463</v>
      </c>
      <c r="F2871" s="20">
        <v>87700</v>
      </c>
      <c r="I2871" s="11">
        <f t="shared" ref="I2871:I2917" si="110">E2871*1</f>
        <v>45468</v>
      </c>
      <c r="J2871" s="12">
        <f t="shared" ref="J2871:J2917" si="111">L2871-I2871</f>
        <v>190</v>
      </c>
      <c r="K2871" t="str">
        <f t="shared" si="109"/>
        <v>181-270</v>
      </c>
      <c r="L2871" s="11">
        <v>45658</v>
      </c>
      <c r="M2871" s="23">
        <f>YEAR(Таблица1[[#This Row],[Дата отчета]])</f>
        <v>2025</v>
      </c>
    </row>
    <row r="2872" spans="1:14" x14ac:dyDescent="0.25">
      <c r="A2872" t="s">
        <v>12</v>
      </c>
      <c r="B2872" t="s">
        <v>2313</v>
      </c>
      <c r="C2872" t="s">
        <v>2316</v>
      </c>
      <c r="D2872" t="s">
        <v>2317</v>
      </c>
      <c r="E2872" t="s">
        <v>2464</v>
      </c>
      <c r="F2872" s="20">
        <v>17267</v>
      </c>
      <c r="I2872" s="11">
        <f t="shared" si="110"/>
        <v>45397</v>
      </c>
      <c r="J2872" s="12">
        <f t="shared" si="111"/>
        <v>261</v>
      </c>
      <c r="K2872" t="str">
        <f t="shared" si="109"/>
        <v>181-270</v>
      </c>
      <c r="L2872" s="11">
        <v>45658</v>
      </c>
      <c r="M2872" s="23">
        <f>YEAR(Таблица1[[#This Row],[Дата отчета]])</f>
        <v>2025</v>
      </c>
    </row>
    <row r="2873" spans="1:14" x14ac:dyDescent="0.25">
      <c r="A2873" t="s">
        <v>12</v>
      </c>
      <c r="B2873" t="s">
        <v>2318</v>
      </c>
      <c r="C2873" t="s">
        <v>2319</v>
      </c>
      <c r="D2873" t="s">
        <v>2320</v>
      </c>
      <c r="E2873" t="s">
        <v>2465</v>
      </c>
      <c r="F2873" s="20">
        <v>66810</v>
      </c>
      <c r="I2873" s="11">
        <f t="shared" si="110"/>
        <v>45555</v>
      </c>
      <c r="J2873" s="12">
        <f t="shared" si="111"/>
        <v>103</v>
      </c>
      <c r="K2873" t="str">
        <f t="shared" si="109"/>
        <v>91-120</v>
      </c>
      <c r="L2873" s="11">
        <v>45658</v>
      </c>
      <c r="M2873" s="23">
        <f>YEAR(Таблица1[[#This Row],[Дата отчета]])</f>
        <v>2025</v>
      </c>
    </row>
    <row r="2874" spans="1:14" x14ac:dyDescent="0.25">
      <c r="A2874" t="s">
        <v>12</v>
      </c>
      <c r="B2874" t="s">
        <v>844</v>
      </c>
      <c r="C2874" t="s">
        <v>845</v>
      </c>
      <c r="D2874" t="s">
        <v>846</v>
      </c>
      <c r="E2874" t="s">
        <v>847</v>
      </c>
      <c r="F2874" s="20">
        <v>11834</v>
      </c>
      <c r="I2874" s="11">
        <f t="shared" si="110"/>
        <v>45200</v>
      </c>
      <c r="J2874" s="12">
        <f t="shared" si="111"/>
        <v>458</v>
      </c>
      <c r="K2874" t="str">
        <f t="shared" si="109"/>
        <v>&gt;360</v>
      </c>
      <c r="L2874" s="11">
        <v>45658</v>
      </c>
      <c r="M2874" s="23">
        <f>YEAR(Таблица1[[#This Row],[Дата отчета]])</f>
        <v>2025</v>
      </c>
      <c r="N2874" s="2" t="s">
        <v>807</v>
      </c>
    </row>
    <row r="2875" spans="1:14" x14ac:dyDescent="0.25">
      <c r="A2875" t="s">
        <v>12</v>
      </c>
      <c r="B2875" t="s">
        <v>2785</v>
      </c>
      <c r="C2875" t="s">
        <v>2786</v>
      </c>
      <c r="D2875" t="s">
        <v>2787</v>
      </c>
      <c r="E2875" t="s">
        <v>2448</v>
      </c>
      <c r="F2875" s="20">
        <v>157445.62</v>
      </c>
      <c r="I2875" s="11">
        <f t="shared" si="110"/>
        <v>45653</v>
      </c>
      <c r="J2875" s="12">
        <f t="shared" si="111"/>
        <v>5</v>
      </c>
      <c r="K2875" t="str">
        <f t="shared" si="109"/>
        <v>0-30</v>
      </c>
      <c r="L2875" s="11">
        <v>45658</v>
      </c>
      <c r="M2875" s="23">
        <f>YEAR(Таблица1[[#This Row],[Дата отчета]])</f>
        <v>2025</v>
      </c>
    </row>
    <row r="2876" spans="1:14" x14ac:dyDescent="0.25">
      <c r="A2876" t="s">
        <v>12</v>
      </c>
      <c r="B2876" t="s">
        <v>2987</v>
      </c>
      <c r="C2876" t="s">
        <v>2988</v>
      </c>
      <c r="D2876" t="s">
        <v>2989</v>
      </c>
      <c r="E2876" t="s">
        <v>2456</v>
      </c>
      <c r="F2876" s="20">
        <v>59500</v>
      </c>
      <c r="I2876" s="11">
        <f t="shared" si="110"/>
        <v>45597</v>
      </c>
      <c r="J2876" s="12">
        <f t="shared" si="111"/>
        <v>61</v>
      </c>
      <c r="K2876" t="str">
        <f t="shared" si="109"/>
        <v>31-90</v>
      </c>
      <c r="L2876" s="11">
        <v>45658</v>
      </c>
      <c r="M2876" s="23">
        <f>YEAR(Таблица1[[#This Row],[Дата отчета]])</f>
        <v>2025</v>
      </c>
    </row>
    <row r="2877" spans="1:14" x14ac:dyDescent="0.25">
      <c r="A2877" t="s">
        <v>12</v>
      </c>
      <c r="B2877" t="s">
        <v>854</v>
      </c>
      <c r="C2877" t="s">
        <v>857</v>
      </c>
      <c r="D2877" t="s">
        <v>858</v>
      </c>
      <c r="E2877" t="s">
        <v>859</v>
      </c>
      <c r="F2877" s="20">
        <v>9250</v>
      </c>
      <c r="I2877" s="11">
        <f t="shared" si="110"/>
        <v>45110</v>
      </c>
      <c r="J2877" s="12">
        <f t="shared" si="111"/>
        <v>548</v>
      </c>
      <c r="K2877" t="str">
        <f t="shared" si="109"/>
        <v>&gt;360</v>
      </c>
      <c r="L2877" s="11">
        <v>45658</v>
      </c>
      <c r="M2877" s="23">
        <f>YEAR(Таблица1[[#This Row],[Дата отчета]])</f>
        <v>2025</v>
      </c>
      <c r="N2877" s="2" t="s">
        <v>807</v>
      </c>
    </row>
    <row r="2878" spans="1:14" x14ac:dyDescent="0.25">
      <c r="A2878" t="s">
        <v>12</v>
      </c>
      <c r="B2878" t="s">
        <v>854</v>
      </c>
      <c r="C2878" t="s">
        <v>860</v>
      </c>
      <c r="D2878" t="s">
        <v>861</v>
      </c>
      <c r="E2878" t="s">
        <v>862</v>
      </c>
      <c r="F2878" s="20">
        <v>4996</v>
      </c>
      <c r="I2878" s="11">
        <f t="shared" si="110"/>
        <v>45187</v>
      </c>
      <c r="J2878" s="12">
        <f t="shared" si="111"/>
        <v>471</v>
      </c>
      <c r="K2878" t="str">
        <f t="shared" si="109"/>
        <v>&gt;360</v>
      </c>
      <c r="L2878" s="11">
        <v>45658</v>
      </c>
      <c r="M2878" s="23">
        <f>YEAR(Таблица1[[#This Row],[Дата отчета]])</f>
        <v>2025</v>
      </c>
      <c r="N2878" s="2" t="s">
        <v>807</v>
      </c>
    </row>
    <row r="2879" spans="1:14" x14ac:dyDescent="0.25">
      <c r="A2879" t="s">
        <v>12</v>
      </c>
      <c r="B2879" t="s">
        <v>854</v>
      </c>
      <c r="C2879" t="s">
        <v>863</v>
      </c>
      <c r="D2879" t="s">
        <v>864</v>
      </c>
      <c r="E2879" t="s">
        <v>865</v>
      </c>
      <c r="F2879" s="20">
        <v>3100</v>
      </c>
      <c r="I2879" s="11">
        <f t="shared" si="110"/>
        <v>45456</v>
      </c>
      <c r="J2879" s="12">
        <f t="shared" si="111"/>
        <v>202</v>
      </c>
      <c r="K2879" t="str">
        <f t="shared" ref="K2879:K2942" si="112">IF(J2879&lt;=30,"0-30",IF(J2879&lt;=90,"31-90",IF(J2879&lt;=120,"91-120",IF(J2879&lt;=180,"121-180",IF(J2879&lt;=270,"181-270",IF(J2879&lt;=360,"271-360","&gt;360"))))))</f>
        <v>181-270</v>
      </c>
      <c r="L2879" s="11">
        <v>45658</v>
      </c>
      <c r="M2879" s="23">
        <f>YEAR(Таблица1[[#This Row],[Дата отчета]])</f>
        <v>2025</v>
      </c>
      <c r="N2879" s="2" t="s">
        <v>807</v>
      </c>
    </row>
    <row r="2880" spans="1:14" x14ac:dyDescent="0.25">
      <c r="A2880" t="s">
        <v>12</v>
      </c>
      <c r="B2880" t="s">
        <v>854</v>
      </c>
      <c r="C2880" t="s">
        <v>866</v>
      </c>
      <c r="D2880" t="s">
        <v>867</v>
      </c>
      <c r="E2880" t="s">
        <v>868</v>
      </c>
      <c r="F2880" s="20">
        <v>2640</v>
      </c>
      <c r="I2880" s="11">
        <f t="shared" si="110"/>
        <v>45252</v>
      </c>
      <c r="J2880" s="12">
        <f t="shared" si="111"/>
        <v>406</v>
      </c>
      <c r="K2880" t="str">
        <f t="shared" si="112"/>
        <v>&gt;360</v>
      </c>
      <c r="L2880" s="11">
        <v>45658</v>
      </c>
      <c r="M2880" s="23">
        <f>YEAR(Таблица1[[#This Row],[Дата отчета]])</f>
        <v>2025</v>
      </c>
      <c r="N2880" s="2" t="s">
        <v>807</v>
      </c>
    </row>
    <row r="2881" spans="1:16" x14ac:dyDescent="0.25">
      <c r="A2881" t="s">
        <v>12</v>
      </c>
      <c r="B2881" t="s">
        <v>854</v>
      </c>
      <c r="C2881" t="s">
        <v>2990</v>
      </c>
      <c r="D2881" t="s">
        <v>2991</v>
      </c>
      <c r="E2881" t="s">
        <v>2992</v>
      </c>
      <c r="F2881" s="20">
        <v>13831</v>
      </c>
      <c r="I2881" s="11">
        <f t="shared" si="110"/>
        <v>45623</v>
      </c>
      <c r="J2881" s="12">
        <f t="shared" si="111"/>
        <v>35</v>
      </c>
      <c r="K2881" t="str">
        <f t="shared" si="112"/>
        <v>31-90</v>
      </c>
      <c r="L2881" s="11">
        <v>45658</v>
      </c>
      <c r="M2881" s="23">
        <f>YEAR(Таблица1[[#This Row],[Дата отчета]])</f>
        <v>2025</v>
      </c>
    </row>
    <row r="2882" spans="1:16" x14ac:dyDescent="0.25">
      <c r="A2882" t="s">
        <v>12</v>
      </c>
      <c r="B2882" t="s">
        <v>854</v>
      </c>
      <c r="C2882" t="s">
        <v>2791</v>
      </c>
      <c r="D2882" t="s">
        <v>2792</v>
      </c>
      <c r="E2882" t="s">
        <v>2793</v>
      </c>
      <c r="F2882" s="20">
        <v>3000</v>
      </c>
      <c r="I2882" s="11">
        <f t="shared" si="110"/>
        <v>45615</v>
      </c>
      <c r="J2882" s="12">
        <f t="shared" si="111"/>
        <v>43</v>
      </c>
      <c r="K2882" t="str">
        <f t="shared" si="112"/>
        <v>31-90</v>
      </c>
      <c r="L2882" s="11">
        <v>45658</v>
      </c>
      <c r="M2882" s="23">
        <f>YEAR(Таблица1[[#This Row],[Дата отчета]])</f>
        <v>2025</v>
      </c>
    </row>
    <row r="2883" spans="1:16" x14ac:dyDescent="0.25">
      <c r="A2883" t="s">
        <v>12</v>
      </c>
      <c r="B2883" t="s">
        <v>854</v>
      </c>
      <c r="C2883" t="s">
        <v>2993</v>
      </c>
      <c r="D2883" t="s">
        <v>2994</v>
      </c>
      <c r="E2883" t="s">
        <v>2995</v>
      </c>
      <c r="F2883" s="20">
        <v>3000</v>
      </c>
      <c r="I2883" s="11">
        <f t="shared" si="110"/>
        <v>45630</v>
      </c>
      <c r="J2883" s="12">
        <f t="shared" si="111"/>
        <v>28</v>
      </c>
      <c r="K2883" t="str">
        <f t="shared" si="112"/>
        <v>0-30</v>
      </c>
      <c r="L2883" s="11">
        <v>45658</v>
      </c>
      <c r="M2883" s="23">
        <f>YEAR(Таблица1[[#This Row],[Дата отчета]])</f>
        <v>2025</v>
      </c>
    </row>
    <row r="2884" spans="1:16" x14ac:dyDescent="0.25">
      <c r="A2884" t="s">
        <v>12</v>
      </c>
      <c r="B2884" t="s">
        <v>894</v>
      </c>
      <c r="C2884" t="s">
        <v>895</v>
      </c>
      <c r="D2884" t="s">
        <v>896</v>
      </c>
      <c r="E2884" t="s">
        <v>897</v>
      </c>
      <c r="F2884" s="20">
        <v>2400</v>
      </c>
      <c r="I2884" s="11">
        <f t="shared" si="110"/>
        <v>45022</v>
      </c>
      <c r="J2884" s="12">
        <f t="shared" si="111"/>
        <v>636</v>
      </c>
      <c r="K2884" t="str">
        <f t="shared" si="112"/>
        <v>&gt;360</v>
      </c>
      <c r="L2884" s="11">
        <v>45658</v>
      </c>
      <c r="M2884" s="23">
        <f>YEAR(Таблица1[[#This Row],[Дата отчета]])</f>
        <v>2025</v>
      </c>
      <c r="N2884" s="2" t="s">
        <v>807</v>
      </c>
    </row>
    <row r="2885" spans="1:16" x14ac:dyDescent="0.25">
      <c r="A2885" t="s">
        <v>12</v>
      </c>
      <c r="B2885" t="s">
        <v>894</v>
      </c>
      <c r="C2885" t="s">
        <v>898</v>
      </c>
      <c r="D2885" t="s">
        <v>899</v>
      </c>
      <c r="E2885" t="s">
        <v>900</v>
      </c>
      <c r="F2885" s="20">
        <v>22029</v>
      </c>
      <c r="I2885" s="11">
        <f t="shared" si="110"/>
        <v>45203</v>
      </c>
      <c r="J2885" s="12">
        <f t="shared" si="111"/>
        <v>455</v>
      </c>
      <c r="K2885" t="str">
        <f t="shared" si="112"/>
        <v>&gt;360</v>
      </c>
      <c r="L2885" s="11">
        <v>45658</v>
      </c>
      <c r="M2885" s="23">
        <f>YEAR(Таблица1[[#This Row],[Дата отчета]])</f>
        <v>2025</v>
      </c>
      <c r="N2885" s="2" t="s">
        <v>807</v>
      </c>
    </row>
    <row r="2886" spans="1:16" x14ac:dyDescent="0.25">
      <c r="A2886" t="s">
        <v>12</v>
      </c>
      <c r="B2886" t="s">
        <v>901</v>
      </c>
      <c r="C2886" t="s">
        <v>775</v>
      </c>
      <c r="D2886" t="s">
        <v>902</v>
      </c>
      <c r="E2886" t="s">
        <v>903</v>
      </c>
      <c r="F2886" s="20">
        <v>270</v>
      </c>
      <c r="I2886" s="11">
        <f t="shared" si="110"/>
        <v>43679</v>
      </c>
      <c r="J2886" s="12">
        <f t="shared" si="111"/>
        <v>1979</v>
      </c>
      <c r="K2886" t="str">
        <f t="shared" si="112"/>
        <v>&gt;360</v>
      </c>
      <c r="L2886" s="11">
        <v>45658</v>
      </c>
      <c r="M2886" s="23">
        <f>YEAR(Таблица1[[#This Row],[Дата отчета]])</f>
        <v>2025</v>
      </c>
      <c r="N2886" s="2" t="s">
        <v>807</v>
      </c>
    </row>
    <row r="2887" spans="1:16" x14ac:dyDescent="0.25">
      <c r="A2887" t="s">
        <v>12</v>
      </c>
      <c r="B2887" t="s">
        <v>1705</v>
      </c>
      <c r="C2887" t="s">
        <v>2807</v>
      </c>
      <c r="D2887" t="s">
        <v>2808</v>
      </c>
      <c r="E2887" t="s">
        <v>2809</v>
      </c>
      <c r="F2887" s="20">
        <v>1000</v>
      </c>
      <c r="I2887" s="11">
        <f t="shared" si="110"/>
        <v>45560</v>
      </c>
      <c r="J2887" s="12">
        <f t="shared" si="111"/>
        <v>98</v>
      </c>
      <c r="K2887" t="str">
        <f t="shared" si="112"/>
        <v>91-120</v>
      </c>
      <c r="L2887" s="11">
        <v>45658</v>
      </c>
      <c r="M2887" s="23">
        <f>YEAR(Таблица1[[#This Row],[Дата отчета]])</f>
        <v>2025</v>
      </c>
    </row>
    <row r="2888" spans="1:16" x14ac:dyDescent="0.25">
      <c r="A2888" t="s">
        <v>12</v>
      </c>
      <c r="B2888" t="s">
        <v>915</v>
      </c>
      <c r="C2888" t="s">
        <v>918</v>
      </c>
      <c r="D2888" t="s">
        <v>919</v>
      </c>
      <c r="E2888" t="s">
        <v>920</v>
      </c>
      <c r="F2888" s="20">
        <v>37500</v>
      </c>
      <c r="I2888" s="11">
        <f t="shared" si="110"/>
        <v>45392</v>
      </c>
      <c r="J2888" s="12">
        <f t="shared" si="111"/>
        <v>266</v>
      </c>
      <c r="K2888" t="str">
        <f t="shared" si="112"/>
        <v>181-270</v>
      </c>
      <c r="L2888" s="11">
        <v>45658</v>
      </c>
      <c r="M2888" s="23">
        <f>YEAR(Таблица1[[#This Row],[Дата отчета]])</f>
        <v>2025</v>
      </c>
      <c r="N2888" s="2" t="s">
        <v>4538</v>
      </c>
    </row>
    <row r="2889" spans="1:16" x14ac:dyDescent="0.25">
      <c r="A2889" t="s">
        <v>12</v>
      </c>
      <c r="B2889" t="s">
        <v>2996</v>
      </c>
      <c r="C2889" t="s">
        <v>2997</v>
      </c>
      <c r="D2889" t="s">
        <v>2998</v>
      </c>
      <c r="E2889" t="s">
        <v>2934</v>
      </c>
      <c r="F2889" s="20">
        <v>13152.66</v>
      </c>
      <c r="I2889" s="11">
        <f t="shared" si="110"/>
        <v>45625</v>
      </c>
      <c r="J2889" s="12">
        <f t="shared" si="111"/>
        <v>33</v>
      </c>
      <c r="K2889" t="str">
        <f t="shared" si="112"/>
        <v>31-90</v>
      </c>
      <c r="L2889" s="11">
        <v>45658</v>
      </c>
      <c r="M2889" s="23">
        <f>YEAR(Таблица1[[#This Row],[Дата отчета]])</f>
        <v>2025</v>
      </c>
    </row>
    <row r="2890" spans="1:16" x14ac:dyDescent="0.25">
      <c r="A2890" t="s">
        <v>12</v>
      </c>
      <c r="B2890" t="s">
        <v>2349</v>
      </c>
      <c r="C2890" t="s">
        <v>2822</v>
      </c>
      <c r="D2890" t="s">
        <v>2823</v>
      </c>
      <c r="E2890" t="s">
        <v>2824</v>
      </c>
      <c r="F2890" s="20">
        <v>87494.399999999994</v>
      </c>
      <c r="I2890" s="11">
        <f t="shared" si="110"/>
        <v>45547</v>
      </c>
      <c r="J2890" s="12">
        <f t="shared" si="111"/>
        <v>111</v>
      </c>
      <c r="K2890" t="str">
        <f t="shared" si="112"/>
        <v>91-120</v>
      </c>
      <c r="L2890" s="11">
        <v>45658</v>
      </c>
      <c r="M2890" s="23">
        <f>YEAR(Таблица1[[#This Row],[Дата отчета]])</f>
        <v>2025</v>
      </c>
    </row>
    <row r="2891" spans="1:16" x14ac:dyDescent="0.25">
      <c r="A2891" t="s">
        <v>12</v>
      </c>
      <c r="B2891" t="s">
        <v>2999</v>
      </c>
      <c r="C2891" t="s">
        <v>3000</v>
      </c>
      <c r="D2891" t="s">
        <v>3001</v>
      </c>
      <c r="E2891" t="s">
        <v>2460</v>
      </c>
      <c r="F2891" s="20">
        <v>25372</v>
      </c>
      <c r="I2891" s="11">
        <f t="shared" si="110"/>
        <v>45582</v>
      </c>
      <c r="J2891" s="12">
        <f t="shared" si="111"/>
        <v>76</v>
      </c>
      <c r="K2891" t="str">
        <f t="shared" si="112"/>
        <v>31-90</v>
      </c>
      <c r="L2891" s="11">
        <v>45658</v>
      </c>
      <c r="M2891" s="23">
        <f>YEAR(Таблица1[[#This Row],[Дата отчета]])</f>
        <v>2025</v>
      </c>
    </row>
    <row r="2892" spans="1:16" x14ac:dyDescent="0.25">
      <c r="A2892" t="s">
        <v>12</v>
      </c>
      <c r="B2892" t="s">
        <v>965</v>
      </c>
      <c r="C2892" t="s">
        <v>966</v>
      </c>
      <c r="D2892" t="s">
        <v>2833</v>
      </c>
      <c r="E2892" t="s">
        <v>2834</v>
      </c>
      <c r="F2892" s="20">
        <v>135901.20000000001</v>
      </c>
      <c r="I2892" s="11">
        <f t="shared" si="110"/>
        <v>45516</v>
      </c>
      <c r="J2892" s="12">
        <f t="shared" si="111"/>
        <v>142</v>
      </c>
      <c r="K2892" t="str">
        <f t="shared" si="112"/>
        <v>121-180</v>
      </c>
      <c r="L2892" s="11">
        <v>45658</v>
      </c>
      <c r="M2892" s="23">
        <f>YEAR(Таблица1[[#This Row],[Дата отчета]])</f>
        <v>2025</v>
      </c>
      <c r="N2892" s="7"/>
    </row>
    <row r="2893" spans="1:16" x14ac:dyDescent="0.25">
      <c r="A2893" t="s">
        <v>12</v>
      </c>
      <c r="B2893" t="s">
        <v>995</v>
      </c>
      <c r="C2893" t="s">
        <v>996</v>
      </c>
      <c r="D2893" t="s">
        <v>997</v>
      </c>
      <c r="E2893" t="s">
        <v>998</v>
      </c>
      <c r="F2893" s="20">
        <v>401.24</v>
      </c>
      <c r="I2893" s="11">
        <f t="shared" si="110"/>
        <v>45534</v>
      </c>
      <c r="J2893" s="12">
        <f t="shared" si="111"/>
        <v>124</v>
      </c>
      <c r="K2893" t="str">
        <f t="shared" si="112"/>
        <v>121-180</v>
      </c>
      <c r="L2893" s="11">
        <v>45658</v>
      </c>
      <c r="M2893" s="23">
        <f>YEAR(Таблица1[[#This Row],[Дата отчета]])</f>
        <v>2025</v>
      </c>
      <c r="N2893" s="7" t="s">
        <v>4536</v>
      </c>
      <c r="P2893" s="2" t="s">
        <v>4552</v>
      </c>
    </row>
    <row r="2894" spans="1:16" x14ac:dyDescent="0.25">
      <c r="A2894" t="s">
        <v>12</v>
      </c>
      <c r="B2894" t="s">
        <v>995</v>
      </c>
      <c r="C2894" t="s">
        <v>999</v>
      </c>
      <c r="D2894" t="s">
        <v>1000</v>
      </c>
      <c r="E2894" t="s">
        <v>1001</v>
      </c>
      <c r="F2894" s="20">
        <v>4012.33</v>
      </c>
      <c r="I2894" s="11">
        <f t="shared" si="110"/>
        <v>45573</v>
      </c>
      <c r="J2894" s="12">
        <f t="shared" si="111"/>
        <v>85</v>
      </c>
      <c r="K2894" t="str">
        <f t="shared" si="112"/>
        <v>31-90</v>
      </c>
      <c r="L2894" s="11">
        <v>45658</v>
      </c>
      <c r="M2894" s="23">
        <f>YEAR(Таблица1[[#This Row],[Дата отчета]])</f>
        <v>2025</v>
      </c>
      <c r="N2894" s="7" t="s">
        <v>4536</v>
      </c>
      <c r="P2894" s="2" t="s">
        <v>4552</v>
      </c>
    </row>
    <row r="2895" spans="1:16" x14ac:dyDescent="0.25">
      <c r="A2895" t="s">
        <v>12</v>
      </c>
      <c r="B2895" t="s">
        <v>995</v>
      </c>
      <c r="C2895" t="s">
        <v>2841</v>
      </c>
      <c r="D2895" t="s">
        <v>2842</v>
      </c>
      <c r="E2895" t="s">
        <v>1795</v>
      </c>
      <c r="F2895" s="20">
        <v>401.23</v>
      </c>
      <c r="I2895" s="11">
        <f t="shared" si="110"/>
        <v>45391</v>
      </c>
      <c r="J2895" s="12">
        <f t="shared" si="111"/>
        <v>267</v>
      </c>
      <c r="K2895" t="str">
        <f t="shared" si="112"/>
        <v>181-270</v>
      </c>
      <c r="L2895" s="11">
        <v>45658</v>
      </c>
      <c r="M2895" s="23">
        <f>YEAR(Таблица1[[#This Row],[Дата отчета]])</f>
        <v>2025</v>
      </c>
      <c r="P2895" s="2"/>
    </row>
    <row r="2896" spans="1:16" x14ac:dyDescent="0.25">
      <c r="A2896" t="s">
        <v>12</v>
      </c>
      <c r="B2896" t="s">
        <v>995</v>
      </c>
      <c r="C2896" t="s">
        <v>2841</v>
      </c>
      <c r="D2896" t="s">
        <v>2843</v>
      </c>
      <c r="E2896" t="s">
        <v>1001</v>
      </c>
      <c r="F2896" s="20">
        <v>936.21</v>
      </c>
      <c r="I2896" s="11">
        <f t="shared" si="110"/>
        <v>45573</v>
      </c>
      <c r="J2896" s="12">
        <f t="shared" si="111"/>
        <v>85</v>
      </c>
      <c r="K2896" t="str">
        <f t="shared" si="112"/>
        <v>31-90</v>
      </c>
      <c r="L2896" s="11">
        <v>45658</v>
      </c>
      <c r="M2896" s="23">
        <f>YEAR(Таблица1[[#This Row],[Дата отчета]])</f>
        <v>2025</v>
      </c>
      <c r="P2896" s="2"/>
    </row>
    <row r="2897" spans="1:15" x14ac:dyDescent="0.25">
      <c r="A2897" t="s">
        <v>12</v>
      </c>
      <c r="B2897" t="s">
        <v>1736</v>
      </c>
      <c r="C2897" t="s">
        <v>1737</v>
      </c>
      <c r="D2897" t="s">
        <v>1738</v>
      </c>
      <c r="E2897" t="s">
        <v>1816</v>
      </c>
      <c r="F2897" s="20">
        <v>2974.3</v>
      </c>
      <c r="I2897" s="11">
        <f t="shared" si="110"/>
        <v>44594</v>
      </c>
      <c r="J2897" s="12">
        <f t="shared" si="111"/>
        <v>1064</v>
      </c>
      <c r="K2897" t="str">
        <f t="shared" si="112"/>
        <v>&gt;360</v>
      </c>
      <c r="L2897" s="11">
        <v>45658</v>
      </c>
      <c r="M2897" s="23">
        <f>YEAR(Таблица1[[#This Row],[Дата отчета]])</f>
        <v>2025</v>
      </c>
      <c r="N2897" t="s">
        <v>4538</v>
      </c>
    </row>
    <row r="2898" spans="1:15" x14ac:dyDescent="0.25">
      <c r="A2898" t="s">
        <v>12</v>
      </c>
      <c r="B2898" t="s">
        <v>1005</v>
      </c>
      <c r="C2898" t="s">
        <v>3002</v>
      </c>
      <c r="D2898" t="s">
        <v>3003</v>
      </c>
      <c r="E2898" t="s">
        <v>3004</v>
      </c>
      <c r="F2898" s="20">
        <v>260474</v>
      </c>
      <c r="I2898" s="11">
        <f t="shared" si="110"/>
        <v>45624</v>
      </c>
      <c r="J2898" s="12">
        <f t="shared" si="111"/>
        <v>34</v>
      </c>
      <c r="K2898" t="str">
        <f t="shared" si="112"/>
        <v>31-90</v>
      </c>
      <c r="L2898" s="11">
        <v>45658</v>
      </c>
      <c r="M2898" s="23">
        <f>YEAR(Таблица1[[#This Row],[Дата отчета]])</f>
        <v>2025</v>
      </c>
    </row>
    <row r="2899" spans="1:15" x14ac:dyDescent="0.25">
      <c r="A2899" t="s">
        <v>12</v>
      </c>
      <c r="B2899" t="s">
        <v>1008</v>
      </c>
      <c r="C2899" t="s">
        <v>775</v>
      </c>
      <c r="D2899" t="s">
        <v>1009</v>
      </c>
      <c r="E2899" t="s">
        <v>1010</v>
      </c>
      <c r="F2899" s="20">
        <v>0.1</v>
      </c>
      <c r="I2899" s="11">
        <f t="shared" si="110"/>
        <v>45519</v>
      </c>
      <c r="J2899" s="12">
        <f t="shared" si="111"/>
        <v>139</v>
      </c>
      <c r="K2899" t="str">
        <f t="shared" si="112"/>
        <v>121-180</v>
      </c>
      <c r="L2899" s="11">
        <v>45658</v>
      </c>
      <c r="M2899" s="23">
        <f>YEAR(Таблица1[[#This Row],[Дата отчета]])</f>
        <v>2025</v>
      </c>
    </row>
    <row r="2900" spans="1:15" x14ac:dyDescent="0.25">
      <c r="A2900" t="s">
        <v>12</v>
      </c>
      <c r="B2900" t="s">
        <v>1011</v>
      </c>
      <c r="C2900" t="s">
        <v>1012</v>
      </c>
      <c r="D2900" t="s">
        <v>1013</v>
      </c>
      <c r="E2900" t="s">
        <v>1014</v>
      </c>
      <c r="F2900" s="20">
        <v>0.01</v>
      </c>
      <c r="I2900" s="11">
        <f t="shared" si="110"/>
        <v>45224</v>
      </c>
      <c r="J2900" s="12">
        <f t="shared" si="111"/>
        <v>434</v>
      </c>
      <c r="K2900" t="str">
        <f t="shared" si="112"/>
        <v>&gt;360</v>
      </c>
      <c r="L2900" s="11">
        <v>45658</v>
      </c>
      <c r="M2900" s="23">
        <f>YEAR(Таблица1[[#This Row],[Дата отчета]])</f>
        <v>2025</v>
      </c>
    </row>
    <row r="2901" spans="1:15" x14ac:dyDescent="0.25">
      <c r="A2901" t="s">
        <v>12</v>
      </c>
      <c r="B2901" t="s">
        <v>1028</v>
      </c>
      <c r="C2901" t="s">
        <v>3005</v>
      </c>
      <c r="D2901" t="s">
        <v>3006</v>
      </c>
      <c r="E2901" t="s">
        <v>1001</v>
      </c>
      <c r="F2901" s="20">
        <v>69000</v>
      </c>
      <c r="I2901" s="11">
        <f t="shared" si="110"/>
        <v>45573</v>
      </c>
      <c r="J2901" s="12">
        <f t="shared" si="111"/>
        <v>85</v>
      </c>
      <c r="K2901" t="str">
        <f t="shared" si="112"/>
        <v>31-90</v>
      </c>
      <c r="L2901" s="11">
        <v>45658</v>
      </c>
      <c r="M2901" s="23">
        <f>YEAR(Таблица1[[#This Row],[Дата отчета]])</f>
        <v>2025</v>
      </c>
    </row>
    <row r="2902" spans="1:15" x14ac:dyDescent="0.25">
      <c r="A2902" t="s">
        <v>12</v>
      </c>
      <c r="B2902" t="s">
        <v>1028</v>
      </c>
      <c r="C2902" t="s">
        <v>3005</v>
      </c>
      <c r="D2902" t="s">
        <v>3007</v>
      </c>
      <c r="E2902" t="s">
        <v>490</v>
      </c>
      <c r="F2902" s="20">
        <v>161000</v>
      </c>
      <c r="I2902" s="11">
        <f t="shared" si="110"/>
        <v>45631</v>
      </c>
      <c r="J2902" s="12">
        <f t="shared" si="111"/>
        <v>27</v>
      </c>
      <c r="K2902" t="str">
        <f t="shared" si="112"/>
        <v>0-30</v>
      </c>
      <c r="L2902" s="11">
        <v>45658</v>
      </c>
      <c r="M2902" s="23">
        <f>YEAR(Таблица1[[#This Row],[Дата отчета]])</f>
        <v>2025</v>
      </c>
    </row>
    <row r="2903" spans="1:15" x14ac:dyDescent="0.25">
      <c r="A2903" t="s">
        <v>12</v>
      </c>
      <c r="B2903" t="s">
        <v>2417</v>
      </c>
      <c r="C2903" t="s">
        <v>2418</v>
      </c>
      <c r="D2903" t="s">
        <v>2419</v>
      </c>
      <c r="E2903" t="s">
        <v>2467</v>
      </c>
      <c r="F2903" s="20">
        <v>554500</v>
      </c>
      <c r="I2903" s="11">
        <f t="shared" si="110"/>
        <v>45642</v>
      </c>
      <c r="J2903" s="12">
        <f t="shared" si="111"/>
        <v>16</v>
      </c>
      <c r="K2903" t="str">
        <f t="shared" si="112"/>
        <v>0-30</v>
      </c>
      <c r="L2903" s="11">
        <v>45658</v>
      </c>
      <c r="M2903" s="23">
        <f>YEAR(Таблица1[[#This Row],[Дата отчета]])</f>
        <v>2025</v>
      </c>
    </row>
    <row r="2904" spans="1:15" x14ac:dyDescent="0.25">
      <c r="A2904" t="s">
        <v>12</v>
      </c>
      <c r="B2904" t="s">
        <v>2849</v>
      </c>
      <c r="C2904" t="s">
        <v>2850</v>
      </c>
      <c r="D2904" t="s">
        <v>2851</v>
      </c>
      <c r="E2904" t="s">
        <v>2852</v>
      </c>
      <c r="F2904" s="20">
        <v>474600</v>
      </c>
      <c r="I2904" s="11">
        <f t="shared" si="110"/>
        <v>45513</v>
      </c>
      <c r="J2904" s="12">
        <f t="shared" si="111"/>
        <v>145</v>
      </c>
      <c r="K2904" t="str">
        <f t="shared" si="112"/>
        <v>121-180</v>
      </c>
      <c r="L2904" s="11">
        <v>45658</v>
      </c>
      <c r="M2904" s="23">
        <f>YEAR(Таблица1[[#This Row],[Дата отчета]])</f>
        <v>2025</v>
      </c>
    </row>
    <row r="2905" spans="1:15" x14ac:dyDescent="0.25">
      <c r="A2905" t="s">
        <v>12</v>
      </c>
      <c r="B2905" t="s">
        <v>1068</v>
      </c>
      <c r="C2905" t="s">
        <v>1069</v>
      </c>
      <c r="D2905" t="s">
        <v>1070</v>
      </c>
      <c r="E2905" t="s">
        <v>1071</v>
      </c>
      <c r="F2905" s="20">
        <v>4</v>
      </c>
      <c r="I2905" s="11">
        <f t="shared" si="110"/>
        <v>44860</v>
      </c>
      <c r="J2905" s="12">
        <f t="shared" si="111"/>
        <v>798</v>
      </c>
      <c r="K2905" t="str">
        <f t="shared" si="112"/>
        <v>&gt;360</v>
      </c>
      <c r="L2905" s="11">
        <v>45658</v>
      </c>
      <c r="M2905" s="23">
        <f>YEAR(Таблица1[[#This Row],[Дата отчета]])</f>
        <v>2025</v>
      </c>
    </row>
    <row r="2906" spans="1:15" x14ac:dyDescent="0.25">
      <c r="A2906" t="s">
        <v>12</v>
      </c>
      <c r="B2906" t="s">
        <v>2859</v>
      </c>
      <c r="C2906" t="s">
        <v>269</v>
      </c>
      <c r="D2906" t="s">
        <v>2860</v>
      </c>
      <c r="E2906" t="s">
        <v>2861</v>
      </c>
      <c r="F2906" s="20">
        <v>30000</v>
      </c>
      <c r="I2906" s="11">
        <f t="shared" si="110"/>
        <v>45595</v>
      </c>
      <c r="J2906" s="12">
        <f t="shared" si="111"/>
        <v>63</v>
      </c>
      <c r="K2906" t="str">
        <f t="shared" si="112"/>
        <v>31-90</v>
      </c>
      <c r="L2906" s="11">
        <v>45658</v>
      </c>
      <c r="M2906" s="23">
        <f>YEAR(Таблица1[[#This Row],[Дата отчета]])</f>
        <v>2025</v>
      </c>
    </row>
    <row r="2907" spans="1:15" x14ac:dyDescent="0.25">
      <c r="A2907" t="s">
        <v>12</v>
      </c>
      <c r="B2907" t="s">
        <v>2859</v>
      </c>
      <c r="C2907" t="s">
        <v>269</v>
      </c>
      <c r="D2907" t="s">
        <v>2862</v>
      </c>
      <c r="E2907" t="s">
        <v>2861</v>
      </c>
      <c r="F2907" s="20">
        <v>60000</v>
      </c>
      <c r="I2907" s="11">
        <f t="shared" si="110"/>
        <v>45595</v>
      </c>
      <c r="J2907" s="12">
        <f t="shared" si="111"/>
        <v>63</v>
      </c>
      <c r="K2907" t="str">
        <f t="shared" si="112"/>
        <v>31-90</v>
      </c>
      <c r="L2907" s="11">
        <v>45658</v>
      </c>
      <c r="M2907" s="23">
        <f>YEAR(Таблица1[[#This Row],[Дата отчета]])</f>
        <v>2025</v>
      </c>
    </row>
    <row r="2908" spans="1:15" x14ac:dyDescent="0.25">
      <c r="A2908" t="s">
        <v>12</v>
      </c>
      <c r="B2908" t="s">
        <v>2423</v>
      </c>
      <c r="C2908" t="s">
        <v>2863</v>
      </c>
      <c r="D2908" t="s">
        <v>2864</v>
      </c>
      <c r="E2908" t="s">
        <v>2865</v>
      </c>
      <c r="F2908" s="20">
        <v>88229.88</v>
      </c>
      <c r="I2908" s="11">
        <f t="shared" si="110"/>
        <v>45453</v>
      </c>
      <c r="J2908" s="12">
        <f t="shared" si="111"/>
        <v>205</v>
      </c>
      <c r="K2908" t="str">
        <f t="shared" si="112"/>
        <v>181-270</v>
      </c>
      <c r="L2908" s="11">
        <v>45658</v>
      </c>
      <c r="M2908" s="23">
        <f>YEAR(Таблица1[[#This Row],[Дата отчета]])</f>
        <v>2025</v>
      </c>
    </row>
    <row r="2909" spans="1:15" x14ac:dyDescent="0.25">
      <c r="A2909" t="s">
        <v>12</v>
      </c>
      <c r="B2909" t="s">
        <v>3008</v>
      </c>
      <c r="C2909" t="s">
        <v>3009</v>
      </c>
      <c r="D2909" t="s">
        <v>3010</v>
      </c>
      <c r="E2909" t="s">
        <v>2894</v>
      </c>
      <c r="F2909" s="20">
        <v>6111504</v>
      </c>
      <c r="I2909" s="11">
        <f t="shared" si="110"/>
        <v>45649</v>
      </c>
      <c r="J2909" s="12">
        <f t="shared" si="111"/>
        <v>9</v>
      </c>
      <c r="K2909" t="str">
        <f t="shared" si="112"/>
        <v>0-30</v>
      </c>
      <c r="L2909" s="11">
        <v>45658</v>
      </c>
      <c r="M2909" s="23">
        <f>YEAR(Таблица1[[#This Row],[Дата отчета]])</f>
        <v>2025</v>
      </c>
    </row>
    <row r="2910" spans="1:15" x14ac:dyDescent="0.25">
      <c r="A2910" t="s">
        <v>12</v>
      </c>
      <c r="B2910" t="s">
        <v>3008</v>
      </c>
      <c r="C2910" t="s">
        <v>3011</v>
      </c>
      <c r="D2910" t="s">
        <v>3012</v>
      </c>
      <c r="E2910" t="s">
        <v>2894</v>
      </c>
      <c r="F2910" s="20">
        <v>760214.88</v>
      </c>
      <c r="I2910" s="11">
        <f t="shared" si="110"/>
        <v>45649</v>
      </c>
      <c r="J2910" s="12">
        <f t="shared" si="111"/>
        <v>9</v>
      </c>
      <c r="K2910" t="str">
        <f t="shared" si="112"/>
        <v>0-30</v>
      </c>
      <c r="L2910" s="11">
        <v>45658</v>
      </c>
      <c r="M2910" s="23">
        <f>YEAR(Таблица1[[#This Row],[Дата отчета]])</f>
        <v>2025</v>
      </c>
    </row>
    <row r="2911" spans="1:15" x14ac:dyDescent="0.25">
      <c r="A2911" t="s">
        <v>1082</v>
      </c>
      <c r="B2911" t="s">
        <v>1087</v>
      </c>
      <c r="C2911" t="s">
        <v>1090</v>
      </c>
      <c r="D2911" t="s">
        <v>1091</v>
      </c>
      <c r="E2911" t="s">
        <v>1092</v>
      </c>
      <c r="F2911" s="20">
        <v>35421.75</v>
      </c>
      <c r="I2911" s="11">
        <f t="shared" si="110"/>
        <v>45554</v>
      </c>
      <c r="J2911" s="12">
        <f t="shared" si="111"/>
        <v>104</v>
      </c>
      <c r="K2911" t="str">
        <f t="shared" si="112"/>
        <v>91-120</v>
      </c>
      <c r="L2911" s="11">
        <v>45658</v>
      </c>
      <c r="M2911" s="23">
        <f>YEAR(Таблица1[[#This Row],[Дата отчета]])</f>
        <v>2025</v>
      </c>
      <c r="N2911" s="7" t="s">
        <v>4535</v>
      </c>
      <c r="O2911" s="24"/>
    </row>
    <row r="2912" spans="1:15" x14ac:dyDescent="0.25">
      <c r="A2912" t="s">
        <v>1082</v>
      </c>
      <c r="B2912" t="s">
        <v>1151</v>
      </c>
      <c r="C2912" t="s">
        <v>2866</v>
      </c>
      <c r="D2912" t="s">
        <v>2867</v>
      </c>
      <c r="E2912" t="s">
        <v>2868</v>
      </c>
      <c r="F2912" s="20">
        <v>19328716.539999999</v>
      </c>
      <c r="I2912" s="11">
        <f t="shared" si="110"/>
        <v>45652</v>
      </c>
      <c r="J2912" s="12">
        <f t="shared" si="111"/>
        <v>6</v>
      </c>
      <c r="K2912" t="str">
        <f t="shared" si="112"/>
        <v>0-30</v>
      </c>
      <c r="L2912" s="11">
        <v>45658</v>
      </c>
      <c r="M2912" s="23">
        <f>YEAR(Таблица1[[#This Row],[Дата отчета]])</f>
        <v>2025</v>
      </c>
    </row>
    <row r="2913" spans="1:13" x14ac:dyDescent="0.25">
      <c r="A2913" t="s">
        <v>1082</v>
      </c>
      <c r="B2913" t="s">
        <v>271</v>
      </c>
      <c r="C2913" t="s">
        <v>3013</v>
      </c>
      <c r="D2913" t="s">
        <v>3014</v>
      </c>
      <c r="E2913" t="s">
        <v>2852</v>
      </c>
      <c r="F2913" s="20">
        <v>79619.820000000007</v>
      </c>
      <c r="I2913" s="11">
        <f t="shared" si="110"/>
        <v>45513</v>
      </c>
      <c r="J2913" s="12">
        <f t="shared" si="111"/>
        <v>145</v>
      </c>
      <c r="K2913" t="str">
        <f t="shared" si="112"/>
        <v>121-180</v>
      </c>
      <c r="L2913" s="11">
        <v>45658</v>
      </c>
      <c r="M2913" s="23">
        <f>YEAR(Таблица1[[#This Row],[Дата отчета]])</f>
        <v>2025</v>
      </c>
    </row>
    <row r="2914" spans="1:13" x14ac:dyDescent="0.25">
      <c r="A2914" t="s">
        <v>1082</v>
      </c>
      <c r="B2914" t="s">
        <v>271</v>
      </c>
      <c r="C2914" t="s">
        <v>3015</v>
      </c>
      <c r="D2914" t="s">
        <v>3016</v>
      </c>
      <c r="E2914" t="s">
        <v>2958</v>
      </c>
      <c r="F2914" s="20">
        <v>198398.12</v>
      </c>
      <c r="I2914" s="11">
        <f t="shared" si="110"/>
        <v>45568</v>
      </c>
      <c r="J2914" s="12">
        <f t="shared" si="111"/>
        <v>90</v>
      </c>
      <c r="K2914" t="str">
        <f t="shared" si="112"/>
        <v>31-90</v>
      </c>
      <c r="L2914" s="11">
        <v>45658</v>
      </c>
      <c r="M2914" s="23">
        <f>YEAR(Таблица1[[#This Row],[Дата отчета]])</f>
        <v>2025</v>
      </c>
    </row>
    <row r="2915" spans="1:13" x14ac:dyDescent="0.25">
      <c r="A2915" t="s">
        <v>1082</v>
      </c>
      <c r="B2915" t="s">
        <v>561</v>
      </c>
      <c r="C2915" t="s">
        <v>2878</v>
      </c>
      <c r="D2915" t="s">
        <v>2879</v>
      </c>
      <c r="E2915" t="s">
        <v>2448</v>
      </c>
      <c r="F2915" s="20">
        <v>141799771.41999999</v>
      </c>
      <c r="I2915" s="11">
        <f t="shared" si="110"/>
        <v>45653</v>
      </c>
      <c r="J2915" s="12">
        <f t="shared" si="111"/>
        <v>5</v>
      </c>
      <c r="K2915" t="str">
        <f t="shared" si="112"/>
        <v>0-30</v>
      </c>
      <c r="L2915" s="11">
        <v>45658</v>
      </c>
      <c r="M2915" s="23">
        <f>YEAR(Таблица1[[#This Row],[Дата отчета]])</f>
        <v>2025</v>
      </c>
    </row>
    <row r="2916" spans="1:13" x14ac:dyDescent="0.25">
      <c r="A2916" t="s">
        <v>1082</v>
      </c>
      <c r="B2916" t="s">
        <v>561</v>
      </c>
      <c r="C2916" t="s">
        <v>1760</v>
      </c>
      <c r="D2916" t="s">
        <v>1761</v>
      </c>
      <c r="E2916" t="s">
        <v>1818</v>
      </c>
      <c r="F2916" s="20">
        <v>15618063.76</v>
      </c>
      <c r="I2916" s="11">
        <f t="shared" si="110"/>
        <v>45628</v>
      </c>
      <c r="J2916" s="12">
        <f t="shared" si="111"/>
        <v>30</v>
      </c>
      <c r="K2916" t="str">
        <f t="shared" si="112"/>
        <v>0-30</v>
      </c>
      <c r="L2916" s="11">
        <v>45658</v>
      </c>
      <c r="M2916" s="23">
        <f>YEAR(Таблица1[[#This Row],[Дата отчета]])</f>
        <v>2025</v>
      </c>
    </row>
    <row r="2917" spans="1:13" x14ac:dyDescent="0.25">
      <c r="A2917" t="s">
        <v>1082</v>
      </c>
      <c r="B2917" t="s">
        <v>766</v>
      </c>
      <c r="C2917" t="s">
        <v>1762</v>
      </c>
      <c r="D2917" t="s">
        <v>1763</v>
      </c>
      <c r="E2917" t="s">
        <v>1819</v>
      </c>
      <c r="F2917" s="20">
        <v>348705</v>
      </c>
      <c r="I2917" s="11">
        <f t="shared" si="110"/>
        <v>45504</v>
      </c>
      <c r="J2917" s="12">
        <f t="shared" si="111"/>
        <v>154</v>
      </c>
      <c r="K2917" t="str">
        <f t="shared" si="112"/>
        <v>121-180</v>
      </c>
      <c r="L2917" s="11">
        <v>45658</v>
      </c>
      <c r="M2917" s="23">
        <f>YEAR(Таблица1[[#This Row],[Дата отчета]])</f>
        <v>2025</v>
      </c>
    </row>
    <row r="2918" spans="1:13" x14ac:dyDescent="0.25">
      <c r="A2918" t="s">
        <v>12</v>
      </c>
      <c r="B2918" t="s">
        <v>3017</v>
      </c>
      <c r="C2918" t="s">
        <v>3018</v>
      </c>
      <c r="D2918" t="s">
        <v>3019</v>
      </c>
      <c r="E2918" t="s">
        <v>3020</v>
      </c>
      <c r="F2918" s="20">
        <v>28610</v>
      </c>
      <c r="I2918" s="11">
        <f t="shared" ref="I2918" si="113">E2918*1</f>
        <v>45532</v>
      </c>
      <c r="J2918" s="12">
        <f t="shared" ref="J2918" si="114">L2918-I2918</f>
        <v>34</v>
      </c>
      <c r="K2918" t="str">
        <f t="shared" si="112"/>
        <v>31-90</v>
      </c>
      <c r="L2918" s="11">
        <v>45566</v>
      </c>
      <c r="M2918" s="23">
        <f>YEAR(Таблица1[[#This Row],[Дата отчета]])</f>
        <v>2024</v>
      </c>
    </row>
    <row r="2919" spans="1:13" x14ac:dyDescent="0.25">
      <c r="A2919" t="s">
        <v>12</v>
      </c>
      <c r="B2919" t="s">
        <v>3017</v>
      </c>
      <c r="C2919" t="s">
        <v>3021</v>
      </c>
      <c r="D2919" t="s">
        <v>3022</v>
      </c>
      <c r="E2919" t="s">
        <v>3023</v>
      </c>
      <c r="F2919" s="20">
        <v>292080</v>
      </c>
      <c r="I2919" s="11">
        <f t="shared" ref="I2919:I2982" si="115">E2919*1</f>
        <v>45558</v>
      </c>
      <c r="J2919" s="12">
        <f t="shared" ref="J2919:J2982" si="116">L2919-I2919</f>
        <v>8</v>
      </c>
      <c r="K2919" t="str">
        <f t="shared" si="112"/>
        <v>0-30</v>
      </c>
      <c r="L2919" s="11">
        <v>45566</v>
      </c>
      <c r="M2919" s="23">
        <f>YEAR(Таблица1[[#This Row],[Дата отчета]])</f>
        <v>2024</v>
      </c>
    </row>
    <row r="2920" spans="1:13" x14ac:dyDescent="0.25">
      <c r="A2920" t="s">
        <v>12</v>
      </c>
      <c r="B2920" t="s">
        <v>18</v>
      </c>
      <c r="C2920" t="s">
        <v>2469</v>
      </c>
      <c r="D2920" t="s">
        <v>2470</v>
      </c>
      <c r="E2920" t="s">
        <v>2471</v>
      </c>
      <c r="F2920" s="20">
        <v>2600</v>
      </c>
      <c r="I2920" s="11">
        <f t="shared" si="115"/>
        <v>45093</v>
      </c>
      <c r="J2920" s="12">
        <f t="shared" si="116"/>
        <v>473</v>
      </c>
      <c r="K2920" t="str">
        <f t="shared" si="112"/>
        <v>&gt;360</v>
      </c>
      <c r="L2920" s="11">
        <v>45566</v>
      </c>
      <c r="M2920" s="23">
        <f>YEAR(Таблица1[[#This Row],[Дата отчета]])</f>
        <v>2024</v>
      </c>
    </row>
    <row r="2921" spans="1:13" x14ac:dyDescent="0.25">
      <c r="A2921" t="s">
        <v>12</v>
      </c>
      <c r="B2921" t="s">
        <v>13</v>
      </c>
      <c r="C2921" t="s">
        <v>14</v>
      </c>
      <c r="D2921" t="s">
        <v>15</v>
      </c>
      <c r="E2921" t="s">
        <v>16</v>
      </c>
      <c r="F2921" s="20">
        <v>0.01</v>
      </c>
      <c r="I2921" s="11">
        <f t="shared" si="115"/>
        <v>45051</v>
      </c>
      <c r="J2921" s="12">
        <f t="shared" si="116"/>
        <v>515</v>
      </c>
      <c r="K2921" t="str">
        <f t="shared" si="112"/>
        <v>&gt;360</v>
      </c>
      <c r="L2921" s="11">
        <v>45566</v>
      </c>
      <c r="M2921" s="23">
        <f>YEAR(Таблица1[[#This Row],[Дата отчета]])</f>
        <v>2024</v>
      </c>
    </row>
    <row r="2922" spans="1:13" x14ac:dyDescent="0.25">
      <c r="A2922" t="s">
        <v>12</v>
      </c>
      <c r="B2922" t="s">
        <v>93</v>
      </c>
      <c r="C2922" t="s">
        <v>3024</v>
      </c>
      <c r="D2922" t="s">
        <v>3025</v>
      </c>
      <c r="E2922" t="s">
        <v>3026</v>
      </c>
      <c r="F2922" s="20">
        <v>1017.07</v>
      </c>
      <c r="I2922" s="11">
        <f t="shared" si="115"/>
        <v>45356</v>
      </c>
      <c r="J2922" s="12">
        <f t="shared" si="116"/>
        <v>210</v>
      </c>
      <c r="K2922" t="str">
        <f t="shared" si="112"/>
        <v>181-270</v>
      </c>
      <c r="L2922" s="11">
        <v>45566</v>
      </c>
      <c r="M2922" s="23">
        <f>YEAR(Таблица1[[#This Row],[Дата отчета]])</f>
        <v>2024</v>
      </c>
    </row>
    <row r="2923" spans="1:13" x14ac:dyDescent="0.25">
      <c r="A2923" t="s">
        <v>12</v>
      </c>
      <c r="B2923" t="s">
        <v>93</v>
      </c>
      <c r="C2923" t="s">
        <v>3027</v>
      </c>
      <c r="D2923" t="s">
        <v>3028</v>
      </c>
      <c r="E2923" t="s">
        <v>3029</v>
      </c>
      <c r="F2923" s="20">
        <v>2011.81</v>
      </c>
      <c r="I2923" s="11">
        <f t="shared" si="115"/>
        <v>45414</v>
      </c>
      <c r="J2923" s="12">
        <f t="shared" si="116"/>
        <v>152</v>
      </c>
      <c r="K2923" t="str">
        <f t="shared" si="112"/>
        <v>121-180</v>
      </c>
      <c r="L2923" s="11">
        <v>45566</v>
      </c>
      <c r="M2923" s="23">
        <f>YEAR(Таблица1[[#This Row],[Дата отчета]])</f>
        <v>2024</v>
      </c>
    </row>
    <row r="2924" spans="1:13" x14ac:dyDescent="0.25">
      <c r="A2924" t="s">
        <v>12</v>
      </c>
      <c r="B2924" t="s">
        <v>3030</v>
      </c>
      <c r="C2924" t="s">
        <v>3031</v>
      </c>
      <c r="D2924" t="s">
        <v>3032</v>
      </c>
      <c r="E2924" t="s">
        <v>998</v>
      </c>
      <c r="F2924" s="20">
        <v>9000</v>
      </c>
      <c r="I2924" s="11">
        <f t="shared" si="115"/>
        <v>45534</v>
      </c>
      <c r="J2924" s="12">
        <f t="shared" si="116"/>
        <v>32</v>
      </c>
      <c r="K2924" t="str">
        <f t="shared" si="112"/>
        <v>31-90</v>
      </c>
      <c r="L2924" s="11">
        <v>45566</v>
      </c>
      <c r="M2924" s="23">
        <f>YEAR(Таблица1[[#This Row],[Дата отчета]])</f>
        <v>2024</v>
      </c>
    </row>
    <row r="2925" spans="1:13" x14ac:dyDescent="0.25">
      <c r="A2925" t="s">
        <v>12</v>
      </c>
      <c r="B2925" t="s">
        <v>3030</v>
      </c>
      <c r="C2925" t="s">
        <v>3033</v>
      </c>
      <c r="D2925" t="s">
        <v>3034</v>
      </c>
      <c r="E2925" t="s">
        <v>3035</v>
      </c>
      <c r="F2925" s="20">
        <v>39600</v>
      </c>
      <c r="I2925" s="11">
        <f t="shared" si="115"/>
        <v>45565</v>
      </c>
      <c r="J2925" s="12">
        <f t="shared" si="116"/>
        <v>1</v>
      </c>
      <c r="K2925" t="str">
        <f t="shared" si="112"/>
        <v>0-30</v>
      </c>
      <c r="L2925" s="11">
        <v>45566</v>
      </c>
      <c r="M2925" s="23">
        <f>YEAR(Таблица1[[#This Row],[Дата отчета]])</f>
        <v>2024</v>
      </c>
    </row>
    <row r="2926" spans="1:13" x14ac:dyDescent="0.25">
      <c r="A2926" t="s">
        <v>12</v>
      </c>
      <c r="B2926" t="s">
        <v>1888</v>
      </c>
      <c r="C2926" t="s">
        <v>1889</v>
      </c>
      <c r="D2926" t="s">
        <v>1890</v>
      </c>
      <c r="E2926" t="s">
        <v>2438</v>
      </c>
      <c r="F2926" s="20">
        <v>12470</v>
      </c>
      <c r="I2926" s="11">
        <f t="shared" si="115"/>
        <v>45365</v>
      </c>
      <c r="J2926" s="12">
        <f t="shared" si="116"/>
        <v>201</v>
      </c>
      <c r="K2926" t="str">
        <f t="shared" si="112"/>
        <v>181-270</v>
      </c>
      <c r="L2926" s="11">
        <v>45566</v>
      </c>
      <c r="M2926" s="23">
        <f>YEAR(Таблица1[[#This Row],[Дата отчета]])</f>
        <v>2024</v>
      </c>
    </row>
    <row r="2927" spans="1:13" x14ac:dyDescent="0.25">
      <c r="A2927" t="s">
        <v>12</v>
      </c>
      <c r="B2927" t="s">
        <v>120</v>
      </c>
      <c r="C2927" t="s">
        <v>2890</v>
      </c>
      <c r="D2927" t="s">
        <v>2891</v>
      </c>
      <c r="E2927" t="s">
        <v>2892</v>
      </c>
      <c r="F2927" s="20">
        <v>660800</v>
      </c>
      <c r="I2927" s="11">
        <f t="shared" si="115"/>
        <v>45387</v>
      </c>
      <c r="J2927" s="12">
        <f t="shared" si="116"/>
        <v>179</v>
      </c>
      <c r="K2927" t="str">
        <f t="shared" si="112"/>
        <v>121-180</v>
      </c>
      <c r="L2927" s="11">
        <v>45566</v>
      </c>
      <c r="M2927" s="23">
        <f>YEAR(Таблица1[[#This Row],[Дата отчета]])</f>
        <v>2024</v>
      </c>
    </row>
    <row r="2928" spans="1:13" x14ac:dyDescent="0.25">
      <c r="A2928" t="s">
        <v>12</v>
      </c>
      <c r="B2928" t="s">
        <v>124</v>
      </c>
      <c r="C2928" t="s">
        <v>125</v>
      </c>
      <c r="D2928" t="s">
        <v>3036</v>
      </c>
      <c r="E2928" t="s">
        <v>3037</v>
      </c>
      <c r="F2928" s="20">
        <v>16500</v>
      </c>
      <c r="I2928" s="11">
        <f t="shared" si="115"/>
        <v>45282</v>
      </c>
      <c r="J2928" s="12">
        <f t="shared" si="116"/>
        <v>284</v>
      </c>
      <c r="K2928" t="str">
        <f t="shared" si="112"/>
        <v>271-360</v>
      </c>
      <c r="L2928" s="11">
        <v>45566</v>
      </c>
      <c r="M2928" s="23">
        <f>YEAR(Таблица1[[#This Row],[Дата отчета]])</f>
        <v>2024</v>
      </c>
    </row>
    <row r="2929" spans="1:14" x14ac:dyDescent="0.25">
      <c r="A2929" t="s">
        <v>12</v>
      </c>
      <c r="B2929" t="s">
        <v>1891</v>
      </c>
      <c r="C2929" t="s">
        <v>1892</v>
      </c>
      <c r="D2929" t="s">
        <v>1893</v>
      </c>
      <c r="E2929" t="s">
        <v>2439</v>
      </c>
      <c r="F2929" s="20">
        <v>6879</v>
      </c>
      <c r="I2929" s="11">
        <f t="shared" si="115"/>
        <v>45016</v>
      </c>
      <c r="J2929" s="12">
        <f t="shared" si="116"/>
        <v>550</v>
      </c>
      <c r="K2929" t="str">
        <f t="shared" si="112"/>
        <v>&gt;360</v>
      </c>
      <c r="L2929" s="11">
        <v>45566</v>
      </c>
      <c r="M2929" s="23">
        <f>YEAR(Таблица1[[#This Row],[Дата отчета]])</f>
        <v>2024</v>
      </c>
    </row>
    <row r="2930" spans="1:14" x14ac:dyDescent="0.25">
      <c r="A2930" t="s">
        <v>12</v>
      </c>
      <c r="B2930" t="s">
        <v>3038</v>
      </c>
      <c r="C2930" t="s">
        <v>3039</v>
      </c>
      <c r="D2930" t="s">
        <v>3040</v>
      </c>
      <c r="E2930" t="s">
        <v>2447</v>
      </c>
      <c r="F2930" s="20">
        <v>77400</v>
      </c>
      <c r="I2930" s="11">
        <f t="shared" si="115"/>
        <v>45548</v>
      </c>
      <c r="J2930" s="12">
        <f t="shared" si="116"/>
        <v>18</v>
      </c>
      <c r="K2930" t="str">
        <f t="shared" si="112"/>
        <v>0-30</v>
      </c>
      <c r="L2930" s="11">
        <v>45566</v>
      </c>
      <c r="M2930" s="23">
        <f>YEAR(Таблица1[[#This Row],[Дата отчета]])</f>
        <v>2024</v>
      </c>
    </row>
    <row r="2931" spans="1:14" x14ac:dyDescent="0.25">
      <c r="A2931" t="s">
        <v>12</v>
      </c>
      <c r="B2931" t="s">
        <v>3041</v>
      </c>
      <c r="C2931" t="s">
        <v>3042</v>
      </c>
      <c r="D2931" t="s">
        <v>3043</v>
      </c>
      <c r="E2931" t="s">
        <v>2834</v>
      </c>
      <c r="F2931" s="20">
        <v>257910</v>
      </c>
      <c r="I2931" s="11">
        <f t="shared" si="115"/>
        <v>45516</v>
      </c>
      <c r="J2931" s="12">
        <f t="shared" si="116"/>
        <v>50</v>
      </c>
      <c r="K2931" t="str">
        <f t="shared" si="112"/>
        <v>31-90</v>
      </c>
      <c r="L2931" s="11">
        <v>45566</v>
      </c>
      <c r="M2931" s="23">
        <f>YEAR(Таблица1[[#This Row],[Дата отчета]])</f>
        <v>2024</v>
      </c>
    </row>
    <row r="2932" spans="1:14" x14ac:dyDescent="0.25">
      <c r="A2932" t="s">
        <v>12</v>
      </c>
      <c r="B2932" t="s">
        <v>147</v>
      </c>
      <c r="C2932" t="s">
        <v>3044</v>
      </c>
      <c r="D2932" t="s">
        <v>3045</v>
      </c>
      <c r="E2932" t="s">
        <v>3046</v>
      </c>
      <c r="F2932" s="20">
        <v>191594</v>
      </c>
      <c r="I2932" s="11">
        <f t="shared" si="115"/>
        <v>45442</v>
      </c>
      <c r="J2932" s="12">
        <f t="shared" si="116"/>
        <v>124</v>
      </c>
      <c r="K2932" t="str">
        <f t="shared" si="112"/>
        <v>121-180</v>
      </c>
      <c r="L2932" s="11">
        <v>45566</v>
      </c>
      <c r="M2932" s="23">
        <f>YEAR(Таблица1[[#This Row],[Дата отчета]])</f>
        <v>2024</v>
      </c>
    </row>
    <row r="2933" spans="1:14" x14ac:dyDescent="0.25">
      <c r="A2933" t="s">
        <v>12</v>
      </c>
      <c r="B2933" t="s">
        <v>150</v>
      </c>
      <c r="C2933" t="s">
        <v>3047</v>
      </c>
      <c r="D2933" t="s">
        <v>3048</v>
      </c>
      <c r="E2933" t="s">
        <v>3049</v>
      </c>
      <c r="F2933" s="20">
        <v>230826.41</v>
      </c>
      <c r="I2933" s="11">
        <f t="shared" si="115"/>
        <v>45348</v>
      </c>
      <c r="J2933" s="12">
        <f t="shared" si="116"/>
        <v>218</v>
      </c>
      <c r="K2933" t="str">
        <f t="shared" si="112"/>
        <v>181-270</v>
      </c>
      <c r="L2933" s="11">
        <v>45566</v>
      </c>
      <c r="M2933" s="23">
        <f>YEAR(Таблица1[[#This Row],[Дата отчета]])</f>
        <v>2024</v>
      </c>
    </row>
    <row r="2934" spans="1:14" x14ac:dyDescent="0.25">
      <c r="A2934" t="s">
        <v>12</v>
      </c>
      <c r="B2934" t="s">
        <v>150</v>
      </c>
      <c r="C2934" t="s">
        <v>3050</v>
      </c>
      <c r="D2934" t="s">
        <v>3051</v>
      </c>
      <c r="E2934" t="s">
        <v>2809</v>
      </c>
      <c r="F2934" s="20">
        <v>46833.2</v>
      </c>
      <c r="I2934" s="11">
        <f t="shared" si="115"/>
        <v>45560</v>
      </c>
      <c r="J2934" s="12">
        <f t="shared" si="116"/>
        <v>6</v>
      </c>
      <c r="K2934" t="str">
        <f t="shared" si="112"/>
        <v>0-30</v>
      </c>
      <c r="L2934" s="11">
        <v>45566</v>
      </c>
      <c r="M2934" s="23">
        <f>YEAR(Таблица1[[#This Row],[Дата отчета]])</f>
        <v>2024</v>
      </c>
    </row>
    <row r="2935" spans="1:14" x14ac:dyDescent="0.25">
      <c r="A2935" t="s">
        <v>12</v>
      </c>
      <c r="B2935" t="s">
        <v>150</v>
      </c>
      <c r="C2935" t="s">
        <v>3052</v>
      </c>
      <c r="D2935" t="s">
        <v>3053</v>
      </c>
      <c r="E2935" t="s">
        <v>2809</v>
      </c>
      <c r="F2935" s="20">
        <v>19656.84</v>
      </c>
      <c r="I2935" s="11">
        <f t="shared" si="115"/>
        <v>45560</v>
      </c>
      <c r="J2935" s="12">
        <f t="shared" si="116"/>
        <v>6</v>
      </c>
      <c r="K2935" t="str">
        <f t="shared" si="112"/>
        <v>0-30</v>
      </c>
      <c r="L2935" s="11">
        <v>45566</v>
      </c>
      <c r="M2935" s="23">
        <f>YEAR(Таблица1[[#This Row],[Дата отчета]])</f>
        <v>2024</v>
      </c>
    </row>
    <row r="2936" spans="1:14" x14ac:dyDescent="0.25">
      <c r="A2936" t="s">
        <v>12</v>
      </c>
      <c r="B2936" t="s">
        <v>172</v>
      </c>
      <c r="C2936" t="s">
        <v>173</v>
      </c>
      <c r="D2936" t="s">
        <v>174</v>
      </c>
      <c r="E2936" t="s">
        <v>175</v>
      </c>
      <c r="F2936" s="20">
        <v>12630</v>
      </c>
      <c r="I2936" s="11">
        <f t="shared" si="115"/>
        <v>45399</v>
      </c>
      <c r="J2936" s="12">
        <f t="shared" si="116"/>
        <v>167</v>
      </c>
      <c r="K2936" t="str">
        <f t="shared" si="112"/>
        <v>121-180</v>
      </c>
      <c r="L2936" s="11">
        <v>45566</v>
      </c>
      <c r="M2936" s="23">
        <f>YEAR(Таблица1[[#This Row],[Дата отчета]])</f>
        <v>2024</v>
      </c>
      <c r="N2936" s="7" t="s">
        <v>4547</v>
      </c>
    </row>
    <row r="2937" spans="1:14" x14ac:dyDescent="0.25">
      <c r="A2937" t="s">
        <v>12</v>
      </c>
      <c r="B2937" t="s">
        <v>1313</v>
      </c>
      <c r="C2937" t="s">
        <v>269</v>
      </c>
      <c r="D2937" t="s">
        <v>3054</v>
      </c>
      <c r="E2937" t="s">
        <v>3055</v>
      </c>
      <c r="F2937" s="20">
        <v>1700</v>
      </c>
      <c r="I2937" s="11">
        <f t="shared" si="115"/>
        <v>45562</v>
      </c>
      <c r="J2937" s="12">
        <f t="shared" si="116"/>
        <v>4</v>
      </c>
      <c r="K2937" t="str">
        <f t="shared" si="112"/>
        <v>0-30</v>
      </c>
      <c r="L2937" s="11">
        <v>45566</v>
      </c>
      <c r="M2937" s="23">
        <f>YEAR(Таблица1[[#This Row],[Дата отчета]])</f>
        <v>2024</v>
      </c>
    </row>
    <row r="2938" spans="1:14" x14ac:dyDescent="0.25">
      <c r="A2938" t="s">
        <v>12</v>
      </c>
      <c r="B2938" t="s">
        <v>176</v>
      </c>
      <c r="C2938" t="s">
        <v>3056</v>
      </c>
      <c r="D2938" t="s">
        <v>3057</v>
      </c>
      <c r="E2938" t="s">
        <v>3058</v>
      </c>
      <c r="F2938" s="20">
        <v>29460</v>
      </c>
      <c r="I2938" s="11">
        <f t="shared" si="115"/>
        <v>45553</v>
      </c>
      <c r="J2938" s="12">
        <f t="shared" si="116"/>
        <v>13</v>
      </c>
      <c r="K2938" t="str">
        <f t="shared" si="112"/>
        <v>0-30</v>
      </c>
      <c r="L2938" s="11">
        <v>45566</v>
      </c>
      <c r="M2938" s="23">
        <f>YEAR(Таблица1[[#This Row],[Дата отчета]])</f>
        <v>2024</v>
      </c>
    </row>
    <row r="2939" spans="1:14" x14ac:dyDescent="0.25">
      <c r="A2939" t="s">
        <v>12</v>
      </c>
      <c r="B2939" t="s">
        <v>176</v>
      </c>
      <c r="C2939" t="s">
        <v>3059</v>
      </c>
      <c r="D2939" t="s">
        <v>3060</v>
      </c>
      <c r="E2939" t="s">
        <v>3061</v>
      </c>
      <c r="F2939" s="20">
        <v>68640</v>
      </c>
      <c r="I2939" s="11">
        <f t="shared" si="115"/>
        <v>45559</v>
      </c>
      <c r="J2939" s="12">
        <f t="shared" si="116"/>
        <v>7</v>
      </c>
      <c r="K2939" t="str">
        <f t="shared" si="112"/>
        <v>0-30</v>
      </c>
      <c r="L2939" s="11">
        <v>45566</v>
      </c>
      <c r="M2939" s="23">
        <f>YEAR(Таблица1[[#This Row],[Дата отчета]])</f>
        <v>2024</v>
      </c>
    </row>
    <row r="2940" spans="1:14" x14ac:dyDescent="0.25">
      <c r="A2940" t="s">
        <v>12</v>
      </c>
      <c r="B2940" t="s">
        <v>176</v>
      </c>
      <c r="C2940" t="s">
        <v>3062</v>
      </c>
      <c r="D2940" t="s">
        <v>3063</v>
      </c>
      <c r="E2940" t="s">
        <v>2809</v>
      </c>
      <c r="F2940" s="20">
        <v>55990</v>
      </c>
      <c r="I2940" s="11">
        <f t="shared" si="115"/>
        <v>45560</v>
      </c>
      <c r="J2940" s="12">
        <f t="shared" si="116"/>
        <v>6</v>
      </c>
      <c r="K2940" t="str">
        <f t="shared" si="112"/>
        <v>0-30</v>
      </c>
      <c r="L2940" s="11">
        <v>45566</v>
      </c>
      <c r="M2940" s="23">
        <f>YEAR(Таблица1[[#This Row],[Дата отчета]])</f>
        <v>2024</v>
      </c>
    </row>
    <row r="2941" spans="1:14" x14ac:dyDescent="0.25">
      <c r="A2941" t="s">
        <v>12</v>
      </c>
      <c r="B2941" t="s">
        <v>180</v>
      </c>
      <c r="C2941" t="s">
        <v>3064</v>
      </c>
      <c r="D2941" t="s">
        <v>3065</v>
      </c>
      <c r="E2941" t="s">
        <v>3066</v>
      </c>
      <c r="F2941" s="20">
        <v>8750</v>
      </c>
      <c r="I2941" s="11">
        <f t="shared" si="115"/>
        <v>45240</v>
      </c>
      <c r="J2941" s="12">
        <f t="shared" si="116"/>
        <v>326</v>
      </c>
      <c r="K2941" t="str">
        <f t="shared" si="112"/>
        <v>271-360</v>
      </c>
      <c r="L2941" s="11">
        <v>45566</v>
      </c>
      <c r="M2941" s="23">
        <f>YEAR(Таблица1[[#This Row],[Дата отчета]])</f>
        <v>2024</v>
      </c>
    </row>
    <row r="2942" spans="1:14" x14ac:dyDescent="0.25">
      <c r="A2942" t="s">
        <v>12</v>
      </c>
      <c r="B2942" t="s">
        <v>180</v>
      </c>
      <c r="C2942" t="s">
        <v>3067</v>
      </c>
      <c r="D2942" t="s">
        <v>3068</v>
      </c>
      <c r="E2942" t="s">
        <v>300</v>
      </c>
      <c r="F2942" s="20">
        <v>537</v>
      </c>
      <c r="I2942" s="11">
        <f t="shared" si="115"/>
        <v>45449</v>
      </c>
      <c r="J2942" s="12">
        <f t="shared" si="116"/>
        <v>117</v>
      </c>
      <c r="K2942" t="str">
        <f t="shared" si="112"/>
        <v>91-120</v>
      </c>
      <c r="L2942" s="11">
        <v>45566</v>
      </c>
      <c r="M2942" s="23">
        <f>YEAR(Таблица1[[#This Row],[Дата отчета]])</f>
        <v>2024</v>
      </c>
    </row>
    <row r="2943" spans="1:14" x14ac:dyDescent="0.25">
      <c r="A2943" t="s">
        <v>12</v>
      </c>
      <c r="B2943" t="s">
        <v>180</v>
      </c>
      <c r="C2943" t="s">
        <v>3069</v>
      </c>
      <c r="D2943" t="s">
        <v>3070</v>
      </c>
      <c r="E2943" t="s">
        <v>300</v>
      </c>
      <c r="F2943" s="20">
        <v>907</v>
      </c>
      <c r="I2943" s="11">
        <f t="shared" si="115"/>
        <v>45449</v>
      </c>
      <c r="J2943" s="12">
        <f t="shared" si="116"/>
        <v>117</v>
      </c>
      <c r="K2943" t="str">
        <f t="shared" ref="K2943:K3006" si="117">IF(J2943&lt;=30,"0-30",IF(J2943&lt;=90,"31-90",IF(J2943&lt;=120,"91-120",IF(J2943&lt;=180,"121-180",IF(J2943&lt;=270,"181-270",IF(J2943&lt;=360,"271-360","&gt;360"))))))</f>
        <v>91-120</v>
      </c>
      <c r="L2943" s="11">
        <v>45566</v>
      </c>
      <c r="M2943" s="23">
        <f>YEAR(Таблица1[[#This Row],[Дата отчета]])</f>
        <v>2024</v>
      </c>
    </row>
    <row r="2944" spans="1:14" x14ac:dyDescent="0.25">
      <c r="A2944" t="s">
        <v>12</v>
      </c>
      <c r="B2944" t="s">
        <v>180</v>
      </c>
      <c r="C2944" t="s">
        <v>3071</v>
      </c>
      <c r="D2944" t="s">
        <v>3072</v>
      </c>
      <c r="E2944" t="s">
        <v>3073</v>
      </c>
      <c r="F2944" s="20">
        <v>232770</v>
      </c>
      <c r="I2944" s="11">
        <f t="shared" si="115"/>
        <v>45446</v>
      </c>
      <c r="J2944" s="12">
        <f t="shared" si="116"/>
        <v>120</v>
      </c>
      <c r="K2944" t="str">
        <f t="shared" si="117"/>
        <v>91-120</v>
      </c>
      <c r="L2944" s="11">
        <v>45566</v>
      </c>
      <c r="M2944" s="23">
        <f>YEAR(Таблица1[[#This Row],[Дата отчета]])</f>
        <v>2024</v>
      </c>
    </row>
    <row r="2945" spans="1:13" x14ac:dyDescent="0.25">
      <c r="A2945" t="s">
        <v>12</v>
      </c>
      <c r="B2945" t="s">
        <v>180</v>
      </c>
      <c r="C2945" t="s">
        <v>3074</v>
      </c>
      <c r="D2945" t="s">
        <v>3075</v>
      </c>
      <c r="E2945" t="s">
        <v>3061</v>
      </c>
      <c r="F2945" s="20">
        <v>4850</v>
      </c>
      <c r="I2945" s="11">
        <f t="shared" si="115"/>
        <v>45559</v>
      </c>
      <c r="J2945" s="12">
        <f t="shared" si="116"/>
        <v>7</v>
      </c>
      <c r="K2945" t="str">
        <f t="shared" si="117"/>
        <v>0-30</v>
      </c>
      <c r="L2945" s="11">
        <v>45566</v>
      </c>
      <c r="M2945" s="23">
        <f>YEAR(Таблица1[[#This Row],[Дата отчета]])</f>
        <v>2024</v>
      </c>
    </row>
    <row r="2946" spans="1:13" x14ac:dyDescent="0.25">
      <c r="A2946" t="s">
        <v>12</v>
      </c>
      <c r="B2946" t="s">
        <v>180</v>
      </c>
      <c r="C2946" t="s">
        <v>3076</v>
      </c>
      <c r="D2946" t="s">
        <v>3077</v>
      </c>
      <c r="E2946" t="s">
        <v>3061</v>
      </c>
      <c r="F2946" s="20">
        <v>148617</v>
      </c>
      <c r="I2946" s="11">
        <f t="shared" si="115"/>
        <v>45559</v>
      </c>
      <c r="J2946" s="12">
        <f t="shared" si="116"/>
        <v>7</v>
      </c>
      <c r="K2946" t="str">
        <f t="shared" si="117"/>
        <v>0-30</v>
      </c>
      <c r="L2946" s="11">
        <v>45566</v>
      </c>
      <c r="M2946" s="23">
        <f>YEAR(Таблица1[[#This Row],[Дата отчета]])</f>
        <v>2024</v>
      </c>
    </row>
    <row r="2947" spans="1:13" x14ac:dyDescent="0.25">
      <c r="A2947" t="s">
        <v>12</v>
      </c>
      <c r="B2947" t="s">
        <v>186</v>
      </c>
      <c r="C2947" t="s">
        <v>187</v>
      </c>
      <c r="D2947" t="s">
        <v>188</v>
      </c>
      <c r="E2947" t="s">
        <v>189</v>
      </c>
      <c r="F2947" s="20">
        <v>6600</v>
      </c>
      <c r="I2947" s="11">
        <f t="shared" si="115"/>
        <v>45471</v>
      </c>
      <c r="J2947" s="12">
        <f t="shared" si="116"/>
        <v>95</v>
      </c>
      <c r="K2947" t="str">
        <f t="shared" si="117"/>
        <v>91-120</v>
      </c>
      <c r="L2947" s="11">
        <v>45566</v>
      </c>
      <c r="M2947" s="23">
        <f>YEAR(Таблица1[[#This Row],[Дата отчета]])</f>
        <v>2024</v>
      </c>
    </row>
    <row r="2948" spans="1:13" x14ac:dyDescent="0.25">
      <c r="A2948" t="s">
        <v>12</v>
      </c>
      <c r="B2948" t="s">
        <v>186</v>
      </c>
      <c r="C2948" t="s">
        <v>1942</v>
      </c>
      <c r="D2948" t="s">
        <v>3078</v>
      </c>
      <c r="E2948" t="s">
        <v>3079</v>
      </c>
      <c r="F2948" s="20">
        <v>25000</v>
      </c>
      <c r="I2948" s="11">
        <f t="shared" si="115"/>
        <v>45506</v>
      </c>
      <c r="J2948" s="12">
        <f t="shared" si="116"/>
        <v>60</v>
      </c>
      <c r="K2948" t="str">
        <f t="shared" si="117"/>
        <v>31-90</v>
      </c>
      <c r="L2948" s="11">
        <v>45566</v>
      </c>
      <c r="M2948" s="23">
        <f>YEAR(Таблица1[[#This Row],[Дата отчета]])</f>
        <v>2024</v>
      </c>
    </row>
    <row r="2949" spans="1:13" x14ac:dyDescent="0.25">
      <c r="A2949" t="s">
        <v>12</v>
      </c>
      <c r="B2949" t="s">
        <v>186</v>
      </c>
      <c r="C2949" t="s">
        <v>1942</v>
      </c>
      <c r="D2949" t="s">
        <v>3080</v>
      </c>
      <c r="E2949" t="s">
        <v>3081</v>
      </c>
      <c r="F2949" s="20">
        <v>25000</v>
      </c>
      <c r="I2949" s="11">
        <f t="shared" si="115"/>
        <v>45540</v>
      </c>
      <c r="J2949" s="12">
        <f t="shared" si="116"/>
        <v>26</v>
      </c>
      <c r="K2949" t="str">
        <f t="shared" si="117"/>
        <v>0-30</v>
      </c>
      <c r="L2949" s="11">
        <v>45566</v>
      </c>
      <c r="M2949" s="23">
        <f>YEAR(Таблица1[[#This Row],[Дата отчета]])</f>
        <v>2024</v>
      </c>
    </row>
    <row r="2950" spans="1:13" x14ac:dyDescent="0.25">
      <c r="A2950" t="s">
        <v>12</v>
      </c>
      <c r="B2950" t="s">
        <v>186</v>
      </c>
      <c r="C2950" t="s">
        <v>3082</v>
      </c>
      <c r="D2950" t="s">
        <v>3083</v>
      </c>
      <c r="E2950" t="s">
        <v>2953</v>
      </c>
      <c r="F2950" s="20">
        <v>6600</v>
      </c>
      <c r="I2950" s="11">
        <f t="shared" si="115"/>
        <v>45545</v>
      </c>
      <c r="J2950" s="12">
        <f t="shared" si="116"/>
        <v>21</v>
      </c>
      <c r="K2950" t="str">
        <f t="shared" si="117"/>
        <v>0-30</v>
      </c>
      <c r="L2950" s="11">
        <v>45566</v>
      </c>
      <c r="M2950" s="23">
        <f>YEAR(Таблица1[[#This Row],[Дата отчета]])</f>
        <v>2024</v>
      </c>
    </row>
    <row r="2951" spans="1:13" x14ac:dyDescent="0.25">
      <c r="A2951" t="s">
        <v>12</v>
      </c>
      <c r="B2951" t="s">
        <v>186</v>
      </c>
      <c r="C2951" t="s">
        <v>1322</v>
      </c>
      <c r="D2951" t="s">
        <v>3084</v>
      </c>
      <c r="E2951" t="s">
        <v>3085</v>
      </c>
      <c r="F2951" s="20">
        <v>6600</v>
      </c>
      <c r="I2951" s="11">
        <f t="shared" si="115"/>
        <v>45432</v>
      </c>
      <c r="J2951" s="12">
        <f t="shared" si="116"/>
        <v>134</v>
      </c>
      <c r="K2951" t="str">
        <f t="shared" si="117"/>
        <v>121-180</v>
      </c>
      <c r="L2951" s="11">
        <v>45566</v>
      </c>
      <c r="M2951" s="23">
        <f>YEAR(Таблица1[[#This Row],[Дата отчета]])</f>
        <v>2024</v>
      </c>
    </row>
    <row r="2952" spans="1:13" x14ac:dyDescent="0.25">
      <c r="A2952" t="s">
        <v>12</v>
      </c>
      <c r="B2952" t="s">
        <v>186</v>
      </c>
      <c r="C2952" t="s">
        <v>190</v>
      </c>
      <c r="D2952" t="s">
        <v>191</v>
      </c>
      <c r="E2952" t="s">
        <v>192</v>
      </c>
      <c r="F2952" s="20">
        <v>6600</v>
      </c>
      <c r="I2952" s="11">
        <f t="shared" si="115"/>
        <v>45467</v>
      </c>
      <c r="J2952" s="12">
        <f t="shared" si="116"/>
        <v>99</v>
      </c>
      <c r="K2952" t="str">
        <f t="shared" si="117"/>
        <v>91-120</v>
      </c>
      <c r="L2952" s="11">
        <v>45566</v>
      </c>
      <c r="M2952" s="23">
        <f>YEAR(Таблица1[[#This Row],[Дата отчета]])</f>
        <v>2024</v>
      </c>
    </row>
    <row r="2953" spans="1:13" x14ac:dyDescent="0.25">
      <c r="A2953" t="s">
        <v>12</v>
      </c>
      <c r="B2953" t="s">
        <v>186</v>
      </c>
      <c r="C2953" t="s">
        <v>1324</v>
      </c>
      <c r="D2953" t="s">
        <v>3086</v>
      </c>
      <c r="E2953" t="s">
        <v>3087</v>
      </c>
      <c r="F2953" s="20">
        <v>25000</v>
      </c>
      <c r="I2953" s="11">
        <f t="shared" si="115"/>
        <v>45491</v>
      </c>
      <c r="J2953" s="12">
        <f t="shared" si="116"/>
        <v>75</v>
      </c>
      <c r="K2953" t="str">
        <f t="shared" si="117"/>
        <v>31-90</v>
      </c>
      <c r="L2953" s="11">
        <v>45566</v>
      </c>
      <c r="M2953" s="23">
        <f>YEAR(Таблица1[[#This Row],[Дата отчета]])</f>
        <v>2024</v>
      </c>
    </row>
    <row r="2954" spans="1:13" x14ac:dyDescent="0.25">
      <c r="A2954" t="s">
        <v>12</v>
      </c>
      <c r="B2954" t="s">
        <v>186</v>
      </c>
      <c r="C2954" t="s">
        <v>1324</v>
      </c>
      <c r="D2954" t="s">
        <v>3088</v>
      </c>
      <c r="E2954" t="s">
        <v>3089</v>
      </c>
      <c r="F2954" s="20">
        <v>25000</v>
      </c>
      <c r="I2954" s="11">
        <f t="shared" si="115"/>
        <v>45511</v>
      </c>
      <c r="J2954" s="12">
        <f t="shared" si="116"/>
        <v>55</v>
      </c>
      <c r="K2954" t="str">
        <f t="shared" si="117"/>
        <v>31-90</v>
      </c>
      <c r="L2954" s="11">
        <v>45566</v>
      </c>
      <c r="M2954" s="23">
        <f>YEAR(Таблица1[[#This Row],[Дата отчета]])</f>
        <v>2024</v>
      </c>
    </row>
    <row r="2955" spans="1:13" x14ac:dyDescent="0.25">
      <c r="A2955" t="s">
        <v>12</v>
      </c>
      <c r="B2955" t="s">
        <v>186</v>
      </c>
      <c r="C2955" t="s">
        <v>1324</v>
      </c>
      <c r="D2955" t="s">
        <v>3090</v>
      </c>
      <c r="E2955" t="s">
        <v>1802</v>
      </c>
      <c r="F2955" s="20">
        <v>25000</v>
      </c>
      <c r="I2955" s="11">
        <f t="shared" si="115"/>
        <v>45531</v>
      </c>
      <c r="J2955" s="12">
        <f t="shared" si="116"/>
        <v>35</v>
      </c>
      <c r="K2955" t="str">
        <f t="shared" si="117"/>
        <v>31-90</v>
      </c>
      <c r="L2955" s="11">
        <v>45566</v>
      </c>
      <c r="M2955" s="23">
        <f>YEAR(Таблица1[[#This Row],[Дата отчета]])</f>
        <v>2024</v>
      </c>
    </row>
    <row r="2956" spans="1:13" x14ac:dyDescent="0.25">
      <c r="A2956" t="s">
        <v>12</v>
      </c>
      <c r="B2956" t="s">
        <v>186</v>
      </c>
      <c r="C2956" t="s">
        <v>1324</v>
      </c>
      <c r="D2956" t="s">
        <v>3091</v>
      </c>
      <c r="E2956" t="s">
        <v>2447</v>
      </c>
      <c r="F2956" s="20">
        <v>13500</v>
      </c>
      <c r="I2956" s="11">
        <f t="shared" si="115"/>
        <v>45548</v>
      </c>
      <c r="J2956" s="12">
        <f t="shared" si="116"/>
        <v>18</v>
      </c>
      <c r="K2956" t="str">
        <f t="shared" si="117"/>
        <v>0-30</v>
      </c>
      <c r="L2956" s="11">
        <v>45566</v>
      </c>
      <c r="M2956" s="23">
        <f>YEAR(Таблица1[[#This Row],[Дата отчета]])</f>
        <v>2024</v>
      </c>
    </row>
    <row r="2957" spans="1:13" x14ac:dyDescent="0.25">
      <c r="A2957" t="s">
        <v>12</v>
      </c>
      <c r="B2957" t="s">
        <v>186</v>
      </c>
      <c r="C2957" t="s">
        <v>1947</v>
      </c>
      <c r="D2957" t="s">
        <v>3092</v>
      </c>
      <c r="E2957" t="s">
        <v>3093</v>
      </c>
      <c r="F2957" s="20">
        <v>6600</v>
      </c>
      <c r="I2957" s="11">
        <f t="shared" si="115"/>
        <v>45492</v>
      </c>
      <c r="J2957" s="12">
        <f t="shared" si="116"/>
        <v>74</v>
      </c>
      <c r="K2957" t="str">
        <f t="shared" si="117"/>
        <v>31-90</v>
      </c>
      <c r="L2957" s="11">
        <v>45566</v>
      </c>
      <c r="M2957" s="23">
        <f>YEAR(Таблица1[[#This Row],[Дата отчета]])</f>
        <v>2024</v>
      </c>
    </row>
    <row r="2958" spans="1:13" x14ac:dyDescent="0.25">
      <c r="A2958" t="s">
        <v>12</v>
      </c>
      <c r="B2958" t="s">
        <v>186</v>
      </c>
      <c r="C2958" t="s">
        <v>1947</v>
      </c>
      <c r="D2958" t="s">
        <v>3094</v>
      </c>
      <c r="E2958" t="s">
        <v>3089</v>
      </c>
      <c r="F2958" s="20">
        <v>6600</v>
      </c>
      <c r="I2958" s="11">
        <f t="shared" si="115"/>
        <v>45511</v>
      </c>
      <c r="J2958" s="12">
        <f t="shared" si="116"/>
        <v>55</v>
      </c>
      <c r="K2958" t="str">
        <f t="shared" si="117"/>
        <v>31-90</v>
      </c>
      <c r="L2958" s="11">
        <v>45566</v>
      </c>
      <c r="M2958" s="23">
        <f>YEAR(Таблица1[[#This Row],[Дата отчета]])</f>
        <v>2024</v>
      </c>
    </row>
    <row r="2959" spans="1:13" x14ac:dyDescent="0.25">
      <c r="A2959" t="s">
        <v>12</v>
      </c>
      <c r="B2959" t="s">
        <v>186</v>
      </c>
      <c r="C2959" t="s">
        <v>1947</v>
      </c>
      <c r="D2959" t="s">
        <v>1948</v>
      </c>
      <c r="E2959" t="s">
        <v>2447</v>
      </c>
      <c r="F2959" s="20">
        <v>6600</v>
      </c>
      <c r="I2959" s="11">
        <f t="shared" si="115"/>
        <v>45548</v>
      </c>
      <c r="J2959" s="12">
        <f t="shared" si="116"/>
        <v>18</v>
      </c>
      <c r="K2959" t="str">
        <f t="shared" si="117"/>
        <v>0-30</v>
      </c>
      <c r="L2959" s="11">
        <v>45566</v>
      </c>
      <c r="M2959" s="23">
        <f>YEAR(Таблица1[[#This Row],[Дата отчета]])</f>
        <v>2024</v>
      </c>
    </row>
    <row r="2960" spans="1:13" x14ac:dyDescent="0.25">
      <c r="A2960" t="s">
        <v>12</v>
      </c>
      <c r="B2960" t="s">
        <v>186</v>
      </c>
      <c r="C2960" t="s">
        <v>193</v>
      </c>
      <c r="D2960" t="s">
        <v>3095</v>
      </c>
      <c r="E2960" t="s">
        <v>3096</v>
      </c>
      <c r="F2960" s="20">
        <v>6600</v>
      </c>
      <c r="I2960" s="11">
        <f t="shared" si="115"/>
        <v>45497</v>
      </c>
      <c r="J2960" s="12">
        <f t="shared" si="116"/>
        <v>69</v>
      </c>
      <c r="K2960" t="str">
        <f t="shared" si="117"/>
        <v>31-90</v>
      </c>
      <c r="L2960" s="11">
        <v>45566</v>
      </c>
      <c r="M2960" s="23">
        <f>YEAR(Таблица1[[#This Row],[Дата отчета]])</f>
        <v>2024</v>
      </c>
    </row>
    <row r="2961" spans="1:13" x14ac:dyDescent="0.25">
      <c r="A2961" t="s">
        <v>12</v>
      </c>
      <c r="B2961" t="s">
        <v>186</v>
      </c>
      <c r="C2961" t="s">
        <v>193</v>
      </c>
      <c r="D2961" t="s">
        <v>3097</v>
      </c>
      <c r="E2961" t="s">
        <v>3098</v>
      </c>
      <c r="F2961" s="20">
        <v>25000</v>
      </c>
      <c r="I2961" s="11">
        <f t="shared" si="115"/>
        <v>45503</v>
      </c>
      <c r="J2961" s="12">
        <f t="shared" si="116"/>
        <v>63</v>
      </c>
      <c r="K2961" t="str">
        <f t="shared" si="117"/>
        <v>31-90</v>
      </c>
      <c r="L2961" s="11">
        <v>45566</v>
      </c>
      <c r="M2961" s="23">
        <f>YEAR(Таблица1[[#This Row],[Дата отчета]])</f>
        <v>2024</v>
      </c>
    </row>
    <row r="2962" spans="1:13" x14ac:dyDescent="0.25">
      <c r="A2962" t="s">
        <v>12</v>
      </c>
      <c r="B2962" t="s">
        <v>186</v>
      </c>
      <c r="C2962" t="s">
        <v>193</v>
      </c>
      <c r="D2962" t="s">
        <v>3099</v>
      </c>
      <c r="E2962" t="s">
        <v>3020</v>
      </c>
      <c r="F2962" s="20">
        <v>25000</v>
      </c>
      <c r="I2962" s="11">
        <f t="shared" si="115"/>
        <v>45532</v>
      </c>
      <c r="J2962" s="12">
        <f t="shared" si="116"/>
        <v>34</v>
      </c>
      <c r="K2962" t="str">
        <f t="shared" si="117"/>
        <v>31-90</v>
      </c>
      <c r="L2962" s="11">
        <v>45566</v>
      </c>
      <c r="M2962" s="23">
        <f>YEAR(Таблица1[[#This Row],[Дата отчета]])</f>
        <v>2024</v>
      </c>
    </row>
    <row r="2963" spans="1:13" x14ac:dyDescent="0.25">
      <c r="A2963" t="s">
        <v>12</v>
      </c>
      <c r="B2963" t="s">
        <v>186</v>
      </c>
      <c r="C2963" t="s">
        <v>193</v>
      </c>
      <c r="D2963" t="s">
        <v>3100</v>
      </c>
      <c r="E2963" t="s">
        <v>1092</v>
      </c>
      <c r="F2963" s="20">
        <v>13500</v>
      </c>
      <c r="I2963" s="11">
        <f t="shared" si="115"/>
        <v>45554</v>
      </c>
      <c r="J2963" s="12">
        <f t="shared" si="116"/>
        <v>12</v>
      </c>
      <c r="K2963" t="str">
        <f t="shared" si="117"/>
        <v>0-30</v>
      </c>
      <c r="L2963" s="11">
        <v>45566</v>
      </c>
      <c r="M2963" s="23">
        <f>YEAR(Таблица1[[#This Row],[Дата отчета]])</f>
        <v>2024</v>
      </c>
    </row>
    <row r="2964" spans="1:13" x14ac:dyDescent="0.25">
      <c r="A2964" t="s">
        <v>12</v>
      </c>
      <c r="B2964" t="s">
        <v>186</v>
      </c>
      <c r="C2964" t="s">
        <v>1329</v>
      </c>
      <c r="D2964" t="s">
        <v>3101</v>
      </c>
      <c r="E2964" t="s">
        <v>3079</v>
      </c>
      <c r="F2964" s="20">
        <v>25000</v>
      </c>
      <c r="I2964" s="11">
        <f t="shared" si="115"/>
        <v>45506</v>
      </c>
      <c r="J2964" s="12">
        <f t="shared" si="116"/>
        <v>60</v>
      </c>
      <c r="K2964" t="str">
        <f t="shared" si="117"/>
        <v>31-90</v>
      </c>
      <c r="L2964" s="11">
        <v>45566</v>
      </c>
      <c r="M2964" s="23">
        <f>YEAR(Таблица1[[#This Row],[Дата отчета]])</f>
        <v>2024</v>
      </c>
    </row>
    <row r="2965" spans="1:13" x14ac:dyDescent="0.25">
      <c r="A2965" t="s">
        <v>12</v>
      </c>
      <c r="B2965" t="s">
        <v>186</v>
      </c>
      <c r="C2965" t="s">
        <v>1329</v>
      </c>
      <c r="D2965" t="s">
        <v>3102</v>
      </c>
      <c r="E2965" t="s">
        <v>3081</v>
      </c>
      <c r="F2965" s="20">
        <v>25000</v>
      </c>
      <c r="I2965" s="11">
        <f t="shared" si="115"/>
        <v>45540</v>
      </c>
      <c r="J2965" s="12">
        <f t="shared" si="116"/>
        <v>26</v>
      </c>
      <c r="K2965" t="str">
        <f t="shared" si="117"/>
        <v>0-30</v>
      </c>
      <c r="L2965" s="11">
        <v>45566</v>
      </c>
      <c r="M2965" s="23">
        <f>YEAR(Таблица1[[#This Row],[Дата отчета]])</f>
        <v>2024</v>
      </c>
    </row>
    <row r="2966" spans="1:13" x14ac:dyDescent="0.25">
      <c r="A2966" t="s">
        <v>12</v>
      </c>
      <c r="B2966" t="s">
        <v>186</v>
      </c>
      <c r="C2966" t="s">
        <v>1332</v>
      </c>
      <c r="D2966" t="s">
        <v>3103</v>
      </c>
      <c r="E2966" t="s">
        <v>3104</v>
      </c>
      <c r="F2966" s="20">
        <v>25000</v>
      </c>
      <c r="I2966" s="11">
        <f t="shared" si="115"/>
        <v>45484</v>
      </c>
      <c r="J2966" s="12">
        <f t="shared" si="116"/>
        <v>82</v>
      </c>
      <c r="K2966" t="str">
        <f t="shared" si="117"/>
        <v>31-90</v>
      </c>
      <c r="L2966" s="11">
        <v>45566</v>
      </c>
      <c r="M2966" s="23">
        <f>YEAR(Таблица1[[#This Row],[Дата отчета]])</f>
        <v>2024</v>
      </c>
    </row>
    <row r="2967" spans="1:13" x14ac:dyDescent="0.25">
      <c r="A2967" t="s">
        <v>12</v>
      </c>
      <c r="B2967" t="s">
        <v>186</v>
      </c>
      <c r="C2967" t="s">
        <v>1332</v>
      </c>
      <c r="D2967" t="s">
        <v>3105</v>
      </c>
      <c r="E2967" t="s">
        <v>1801</v>
      </c>
      <c r="F2967" s="20">
        <v>25000</v>
      </c>
      <c r="I2967" s="11">
        <f t="shared" si="115"/>
        <v>45524</v>
      </c>
      <c r="J2967" s="12">
        <f t="shared" si="116"/>
        <v>42</v>
      </c>
      <c r="K2967" t="str">
        <f t="shared" si="117"/>
        <v>31-90</v>
      </c>
      <c r="L2967" s="11">
        <v>45566</v>
      </c>
      <c r="M2967" s="23">
        <f>YEAR(Таблица1[[#This Row],[Дата отчета]])</f>
        <v>2024</v>
      </c>
    </row>
    <row r="2968" spans="1:13" x14ac:dyDescent="0.25">
      <c r="A2968" t="s">
        <v>12</v>
      </c>
      <c r="B2968" t="s">
        <v>186</v>
      </c>
      <c r="C2968" t="s">
        <v>196</v>
      </c>
      <c r="D2968" t="s">
        <v>197</v>
      </c>
      <c r="E2968" t="s">
        <v>198</v>
      </c>
      <c r="F2968" s="20">
        <v>6600</v>
      </c>
      <c r="I2968" s="11">
        <f t="shared" si="115"/>
        <v>45439</v>
      </c>
      <c r="J2968" s="12">
        <f t="shared" si="116"/>
        <v>127</v>
      </c>
      <c r="K2968" t="str">
        <f t="shared" si="117"/>
        <v>121-180</v>
      </c>
      <c r="L2968" s="11">
        <v>45566</v>
      </c>
      <c r="M2968" s="23">
        <f>YEAR(Таблица1[[#This Row],[Дата отчета]])</f>
        <v>2024</v>
      </c>
    </row>
    <row r="2969" spans="1:13" x14ac:dyDescent="0.25">
      <c r="A2969" t="s">
        <v>12</v>
      </c>
      <c r="B2969" t="s">
        <v>186</v>
      </c>
      <c r="C2969" t="s">
        <v>199</v>
      </c>
      <c r="D2969" t="s">
        <v>3106</v>
      </c>
      <c r="E2969" t="s">
        <v>3107</v>
      </c>
      <c r="F2969" s="20">
        <v>25200</v>
      </c>
      <c r="I2969" s="11">
        <f t="shared" si="115"/>
        <v>45539</v>
      </c>
      <c r="J2969" s="12">
        <f t="shared" si="116"/>
        <v>27</v>
      </c>
      <c r="K2969" t="str">
        <f t="shared" si="117"/>
        <v>0-30</v>
      </c>
      <c r="L2969" s="11">
        <v>45566</v>
      </c>
      <c r="M2969" s="23">
        <f>YEAR(Таблица1[[#This Row],[Дата отчета]])</f>
        <v>2024</v>
      </c>
    </row>
    <row r="2970" spans="1:13" x14ac:dyDescent="0.25">
      <c r="A2970" t="s">
        <v>12</v>
      </c>
      <c r="B2970" t="s">
        <v>186</v>
      </c>
      <c r="C2970" t="s">
        <v>1334</v>
      </c>
      <c r="D2970" t="s">
        <v>3108</v>
      </c>
      <c r="E2970" t="s">
        <v>1802</v>
      </c>
      <c r="F2970" s="20">
        <v>25000</v>
      </c>
      <c r="I2970" s="11">
        <f t="shared" si="115"/>
        <v>45531</v>
      </c>
      <c r="J2970" s="12">
        <f t="shared" si="116"/>
        <v>35</v>
      </c>
      <c r="K2970" t="str">
        <f t="shared" si="117"/>
        <v>31-90</v>
      </c>
      <c r="L2970" s="11">
        <v>45566</v>
      </c>
      <c r="M2970" s="23">
        <f>YEAR(Таблица1[[#This Row],[Дата отчета]])</f>
        <v>2024</v>
      </c>
    </row>
    <row r="2971" spans="1:13" x14ac:dyDescent="0.25">
      <c r="A2971" t="s">
        <v>12</v>
      </c>
      <c r="B2971" t="s">
        <v>186</v>
      </c>
      <c r="C2971" t="s">
        <v>1336</v>
      </c>
      <c r="D2971" t="s">
        <v>3109</v>
      </c>
      <c r="E2971" t="s">
        <v>3093</v>
      </c>
      <c r="F2971" s="20">
        <v>25000</v>
      </c>
      <c r="I2971" s="11">
        <f t="shared" si="115"/>
        <v>45492</v>
      </c>
      <c r="J2971" s="12">
        <f t="shared" si="116"/>
        <v>74</v>
      </c>
      <c r="K2971" t="str">
        <f t="shared" si="117"/>
        <v>31-90</v>
      </c>
      <c r="L2971" s="11">
        <v>45566</v>
      </c>
      <c r="M2971" s="23">
        <f>YEAR(Таблица1[[#This Row],[Дата отчета]])</f>
        <v>2024</v>
      </c>
    </row>
    <row r="2972" spans="1:13" x14ac:dyDescent="0.25">
      <c r="A2972" t="s">
        <v>12</v>
      </c>
      <c r="B2972" t="s">
        <v>186</v>
      </c>
      <c r="C2972" t="s">
        <v>1336</v>
      </c>
      <c r="D2972" t="s">
        <v>3110</v>
      </c>
      <c r="E2972" t="s">
        <v>2447</v>
      </c>
      <c r="F2972" s="20">
        <v>25000</v>
      </c>
      <c r="I2972" s="11">
        <f t="shared" si="115"/>
        <v>45548</v>
      </c>
      <c r="J2972" s="12">
        <f t="shared" si="116"/>
        <v>18</v>
      </c>
      <c r="K2972" t="str">
        <f t="shared" si="117"/>
        <v>0-30</v>
      </c>
      <c r="L2972" s="11">
        <v>45566</v>
      </c>
      <c r="M2972" s="23">
        <f>YEAR(Таблица1[[#This Row],[Дата отчета]])</f>
        <v>2024</v>
      </c>
    </row>
    <row r="2973" spans="1:13" x14ac:dyDescent="0.25">
      <c r="A2973" t="s">
        <v>12</v>
      </c>
      <c r="B2973" t="s">
        <v>186</v>
      </c>
      <c r="C2973" t="s">
        <v>202</v>
      </c>
      <c r="D2973" t="s">
        <v>203</v>
      </c>
      <c r="E2973" t="s">
        <v>204</v>
      </c>
      <c r="F2973" s="20">
        <v>25000</v>
      </c>
      <c r="I2973" s="11">
        <f t="shared" si="115"/>
        <v>45481</v>
      </c>
      <c r="J2973" s="12">
        <f t="shared" si="116"/>
        <v>85</v>
      </c>
      <c r="K2973" t="str">
        <f t="shared" si="117"/>
        <v>31-90</v>
      </c>
      <c r="L2973" s="11">
        <v>45566</v>
      </c>
      <c r="M2973" s="23">
        <f>YEAR(Таблица1[[#This Row],[Дата отчета]])</f>
        <v>2024</v>
      </c>
    </row>
    <row r="2974" spans="1:13" x14ac:dyDescent="0.25">
      <c r="A2974" t="s">
        <v>12</v>
      </c>
      <c r="B2974" t="s">
        <v>186</v>
      </c>
      <c r="C2974" t="s">
        <v>202</v>
      </c>
      <c r="D2974" t="s">
        <v>3111</v>
      </c>
      <c r="E2974" t="s">
        <v>1010</v>
      </c>
      <c r="F2974" s="20">
        <v>6600</v>
      </c>
      <c r="I2974" s="11">
        <f t="shared" si="115"/>
        <v>45519</v>
      </c>
      <c r="J2974" s="12">
        <f t="shared" si="116"/>
        <v>47</v>
      </c>
      <c r="K2974" t="str">
        <f t="shared" si="117"/>
        <v>31-90</v>
      </c>
      <c r="L2974" s="11">
        <v>45566</v>
      </c>
      <c r="M2974" s="23">
        <f>YEAR(Таблица1[[#This Row],[Дата отчета]])</f>
        <v>2024</v>
      </c>
    </row>
    <row r="2975" spans="1:13" x14ac:dyDescent="0.25">
      <c r="A2975" t="s">
        <v>12</v>
      </c>
      <c r="B2975" t="s">
        <v>186</v>
      </c>
      <c r="C2975" t="s">
        <v>1340</v>
      </c>
      <c r="D2975" t="s">
        <v>3112</v>
      </c>
      <c r="E2975" t="s">
        <v>2447</v>
      </c>
      <c r="F2975" s="20">
        <v>25000</v>
      </c>
      <c r="I2975" s="11">
        <f t="shared" si="115"/>
        <v>45548</v>
      </c>
      <c r="J2975" s="12">
        <f t="shared" si="116"/>
        <v>18</v>
      </c>
      <c r="K2975" t="str">
        <f t="shared" si="117"/>
        <v>0-30</v>
      </c>
      <c r="L2975" s="11">
        <v>45566</v>
      </c>
      <c r="M2975" s="23">
        <f>YEAR(Таблица1[[#This Row],[Дата отчета]])</f>
        <v>2024</v>
      </c>
    </row>
    <row r="2976" spans="1:13" x14ac:dyDescent="0.25">
      <c r="A2976" t="s">
        <v>12</v>
      </c>
      <c r="B2976" t="s">
        <v>186</v>
      </c>
      <c r="C2976" t="s">
        <v>1342</v>
      </c>
      <c r="D2976" t="s">
        <v>3113</v>
      </c>
      <c r="E2976" t="s">
        <v>1802</v>
      </c>
      <c r="F2976" s="20">
        <v>6600</v>
      </c>
      <c r="I2976" s="11">
        <f t="shared" si="115"/>
        <v>45531</v>
      </c>
      <c r="J2976" s="12">
        <f t="shared" si="116"/>
        <v>35</v>
      </c>
      <c r="K2976" t="str">
        <f t="shared" si="117"/>
        <v>31-90</v>
      </c>
      <c r="L2976" s="11">
        <v>45566</v>
      </c>
      <c r="M2976" s="23">
        <f>YEAR(Таблица1[[#This Row],[Дата отчета]])</f>
        <v>2024</v>
      </c>
    </row>
    <row r="2977" spans="1:13" x14ac:dyDescent="0.25">
      <c r="A2977" t="s">
        <v>12</v>
      </c>
      <c r="B2977" t="s">
        <v>186</v>
      </c>
      <c r="C2977" t="s">
        <v>3114</v>
      </c>
      <c r="D2977" t="s">
        <v>3115</v>
      </c>
      <c r="E2977" t="s">
        <v>1785</v>
      </c>
      <c r="F2977" s="20">
        <v>6600</v>
      </c>
      <c r="I2977" s="11">
        <f t="shared" si="115"/>
        <v>45448</v>
      </c>
      <c r="J2977" s="12">
        <f t="shared" si="116"/>
        <v>118</v>
      </c>
      <c r="K2977" t="str">
        <f t="shared" si="117"/>
        <v>91-120</v>
      </c>
      <c r="L2977" s="11">
        <v>45566</v>
      </c>
      <c r="M2977" s="23">
        <f>YEAR(Таблица1[[#This Row],[Дата отчета]])</f>
        <v>2024</v>
      </c>
    </row>
    <row r="2978" spans="1:13" x14ac:dyDescent="0.25">
      <c r="A2978" t="s">
        <v>12</v>
      </c>
      <c r="B2978" t="s">
        <v>186</v>
      </c>
      <c r="C2978" t="s">
        <v>205</v>
      </c>
      <c r="D2978" t="s">
        <v>3116</v>
      </c>
      <c r="E2978" t="s">
        <v>1801</v>
      </c>
      <c r="F2978" s="20">
        <v>25000</v>
      </c>
      <c r="I2978" s="11">
        <f t="shared" si="115"/>
        <v>45524</v>
      </c>
      <c r="J2978" s="12">
        <f t="shared" si="116"/>
        <v>42</v>
      </c>
      <c r="K2978" t="str">
        <f t="shared" si="117"/>
        <v>31-90</v>
      </c>
      <c r="L2978" s="11">
        <v>45566</v>
      </c>
      <c r="M2978" s="23">
        <f>YEAR(Таблица1[[#This Row],[Дата отчета]])</f>
        <v>2024</v>
      </c>
    </row>
    <row r="2979" spans="1:13" x14ac:dyDescent="0.25">
      <c r="A2979" t="s">
        <v>12</v>
      </c>
      <c r="B2979" t="s">
        <v>186</v>
      </c>
      <c r="C2979" t="s">
        <v>3117</v>
      </c>
      <c r="D2979" t="s">
        <v>3118</v>
      </c>
      <c r="E2979" t="s">
        <v>2729</v>
      </c>
      <c r="F2979" s="20">
        <v>6600</v>
      </c>
      <c r="I2979" s="11">
        <f t="shared" si="115"/>
        <v>45489</v>
      </c>
      <c r="J2979" s="12">
        <f t="shared" si="116"/>
        <v>77</v>
      </c>
      <c r="K2979" t="str">
        <f t="shared" si="117"/>
        <v>31-90</v>
      </c>
      <c r="L2979" s="11">
        <v>45566</v>
      </c>
      <c r="M2979" s="23">
        <f>YEAR(Таблица1[[#This Row],[Дата отчета]])</f>
        <v>2024</v>
      </c>
    </row>
    <row r="2980" spans="1:13" x14ac:dyDescent="0.25">
      <c r="A2980" t="s">
        <v>12</v>
      </c>
      <c r="B2980" t="s">
        <v>186</v>
      </c>
      <c r="C2980" t="s">
        <v>3117</v>
      </c>
      <c r="D2980" t="s">
        <v>3119</v>
      </c>
      <c r="E2980" t="s">
        <v>3079</v>
      </c>
      <c r="F2980" s="20">
        <v>25000</v>
      </c>
      <c r="I2980" s="11">
        <f t="shared" si="115"/>
        <v>45506</v>
      </c>
      <c r="J2980" s="12">
        <f t="shared" si="116"/>
        <v>60</v>
      </c>
      <c r="K2980" t="str">
        <f t="shared" si="117"/>
        <v>31-90</v>
      </c>
      <c r="L2980" s="11">
        <v>45566</v>
      </c>
      <c r="M2980" s="23">
        <f>YEAR(Таблица1[[#This Row],[Дата отчета]])</f>
        <v>2024</v>
      </c>
    </row>
    <row r="2981" spans="1:13" x14ac:dyDescent="0.25">
      <c r="A2981" t="s">
        <v>12</v>
      </c>
      <c r="B2981" t="s">
        <v>186</v>
      </c>
      <c r="C2981" t="s">
        <v>1346</v>
      </c>
      <c r="D2981" t="s">
        <v>3120</v>
      </c>
      <c r="E2981" t="s">
        <v>2824</v>
      </c>
      <c r="F2981" s="20">
        <v>18400</v>
      </c>
      <c r="I2981" s="11">
        <f t="shared" si="115"/>
        <v>45547</v>
      </c>
      <c r="J2981" s="12">
        <f t="shared" si="116"/>
        <v>19</v>
      </c>
      <c r="K2981" t="str">
        <f t="shared" si="117"/>
        <v>0-30</v>
      </c>
      <c r="L2981" s="11">
        <v>45566</v>
      </c>
      <c r="M2981" s="23">
        <f>YEAR(Таблица1[[#This Row],[Дата отчета]])</f>
        <v>2024</v>
      </c>
    </row>
    <row r="2982" spans="1:13" x14ac:dyDescent="0.25">
      <c r="A2982" t="s">
        <v>12</v>
      </c>
      <c r="B2982" t="s">
        <v>186</v>
      </c>
      <c r="C2982" t="s">
        <v>1165</v>
      </c>
      <c r="D2982" t="s">
        <v>3121</v>
      </c>
      <c r="E2982" t="s">
        <v>1010</v>
      </c>
      <c r="F2982" s="20">
        <v>25000</v>
      </c>
      <c r="I2982" s="11">
        <f t="shared" si="115"/>
        <v>45519</v>
      </c>
      <c r="J2982" s="12">
        <f t="shared" si="116"/>
        <v>47</v>
      </c>
      <c r="K2982" t="str">
        <f t="shared" si="117"/>
        <v>31-90</v>
      </c>
      <c r="L2982" s="11">
        <v>45566</v>
      </c>
      <c r="M2982" s="23">
        <f>YEAR(Таблица1[[#This Row],[Дата отчета]])</f>
        <v>2024</v>
      </c>
    </row>
    <row r="2983" spans="1:13" x14ac:dyDescent="0.25">
      <c r="A2983" t="s">
        <v>12</v>
      </c>
      <c r="B2983" t="s">
        <v>186</v>
      </c>
      <c r="C2983" t="s">
        <v>1165</v>
      </c>
      <c r="D2983" t="s">
        <v>3122</v>
      </c>
      <c r="E2983" t="s">
        <v>2967</v>
      </c>
      <c r="F2983" s="20">
        <v>6600</v>
      </c>
      <c r="I2983" s="11">
        <f t="shared" ref="I2983:I3046" si="118">E2983*1</f>
        <v>45561</v>
      </c>
      <c r="J2983" s="12">
        <f t="shared" ref="J2983:J3046" si="119">L2983-I2983</f>
        <v>5</v>
      </c>
      <c r="K2983" t="str">
        <f t="shared" si="117"/>
        <v>0-30</v>
      </c>
      <c r="L2983" s="11">
        <v>45566</v>
      </c>
      <c r="M2983" s="23">
        <f>YEAR(Таблица1[[#This Row],[Дата отчета]])</f>
        <v>2024</v>
      </c>
    </row>
    <row r="2984" spans="1:13" x14ac:dyDescent="0.25">
      <c r="A2984" t="s">
        <v>12</v>
      </c>
      <c r="B2984" t="s">
        <v>3123</v>
      </c>
      <c r="C2984" t="s">
        <v>3124</v>
      </c>
      <c r="D2984" t="s">
        <v>3125</v>
      </c>
      <c r="E2984" t="s">
        <v>3126</v>
      </c>
      <c r="F2984" s="20">
        <v>1700000</v>
      </c>
      <c r="I2984" s="11">
        <f t="shared" si="118"/>
        <v>45352</v>
      </c>
      <c r="J2984" s="12">
        <f t="shared" si="119"/>
        <v>214</v>
      </c>
      <c r="K2984" t="str">
        <f t="shared" si="117"/>
        <v>181-270</v>
      </c>
      <c r="L2984" s="11">
        <v>45566</v>
      </c>
      <c r="M2984" s="23">
        <f>YEAR(Таблица1[[#This Row],[Дата отчета]])</f>
        <v>2024</v>
      </c>
    </row>
    <row r="2985" spans="1:13" x14ac:dyDescent="0.25">
      <c r="A2985" t="s">
        <v>12</v>
      </c>
      <c r="B2985" t="s">
        <v>248</v>
      </c>
      <c r="C2985" t="s">
        <v>1973</v>
      </c>
      <c r="D2985" t="s">
        <v>1974</v>
      </c>
      <c r="E2985" t="s">
        <v>2450</v>
      </c>
      <c r="F2985" s="20">
        <v>2323.89</v>
      </c>
      <c r="I2985" s="11">
        <f t="shared" si="118"/>
        <v>45427</v>
      </c>
      <c r="J2985" s="12">
        <f t="shared" si="119"/>
        <v>139</v>
      </c>
      <c r="K2985" t="str">
        <f t="shared" si="117"/>
        <v>121-180</v>
      </c>
      <c r="L2985" s="11">
        <v>45566</v>
      </c>
      <c r="M2985" s="23">
        <f>YEAR(Таблица1[[#This Row],[Дата отчета]])</f>
        <v>2024</v>
      </c>
    </row>
    <row r="2986" spans="1:13" x14ac:dyDescent="0.25">
      <c r="A2986" t="s">
        <v>12</v>
      </c>
      <c r="B2986" t="s">
        <v>1364</v>
      </c>
      <c r="C2986" t="s">
        <v>775</v>
      </c>
      <c r="D2986" t="s">
        <v>1365</v>
      </c>
      <c r="E2986" t="s">
        <v>1778</v>
      </c>
      <c r="F2986" s="20">
        <v>5433.05</v>
      </c>
      <c r="I2986" s="11">
        <f t="shared" si="118"/>
        <v>44403</v>
      </c>
      <c r="J2986" s="12">
        <f t="shared" si="119"/>
        <v>1163</v>
      </c>
      <c r="K2986" t="str">
        <f t="shared" si="117"/>
        <v>&gt;360</v>
      </c>
      <c r="L2986" s="11">
        <v>45566</v>
      </c>
      <c r="M2986" s="23">
        <f>YEAR(Таблица1[[#This Row],[Дата отчета]])</f>
        <v>2024</v>
      </c>
    </row>
    <row r="2987" spans="1:13" x14ac:dyDescent="0.25">
      <c r="A2987" t="s">
        <v>12</v>
      </c>
      <c r="B2987" t="s">
        <v>3127</v>
      </c>
      <c r="C2987" t="s">
        <v>3128</v>
      </c>
      <c r="D2987" t="s">
        <v>3129</v>
      </c>
      <c r="E2987" t="s">
        <v>3061</v>
      </c>
      <c r="F2987" s="20">
        <v>889500</v>
      </c>
      <c r="I2987" s="11">
        <f t="shared" si="118"/>
        <v>45559</v>
      </c>
      <c r="J2987" s="12">
        <f t="shared" si="119"/>
        <v>7</v>
      </c>
      <c r="K2987" t="str">
        <f t="shared" si="117"/>
        <v>0-30</v>
      </c>
      <c r="L2987" s="11">
        <v>45566</v>
      </c>
      <c r="M2987" s="23">
        <f>YEAR(Таблица1[[#This Row],[Дата отчета]])</f>
        <v>2024</v>
      </c>
    </row>
    <row r="2988" spans="1:13" x14ac:dyDescent="0.25">
      <c r="A2988" t="s">
        <v>12</v>
      </c>
      <c r="B2988" t="s">
        <v>271</v>
      </c>
      <c r="C2988" t="s">
        <v>282</v>
      </c>
      <c r="D2988" t="s">
        <v>283</v>
      </c>
      <c r="E2988" t="s">
        <v>284</v>
      </c>
      <c r="F2988" s="20">
        <v>600</v>
      </c>
      <c r="I2988" s="11">
        <f t="shared" si="118"/>
        <v>45398</v>
      </c>
      <c r="J2988" s="12">
        <f t="shared" si="119"/>
        <v>168</v>
      </c>
      <c r="K2988" t="str">
        <f t="shared" si="117"/>
        <v>121-180</v>
      </c>
      <c r="L2988" s="11">
        <v>45566</v>
      </c>
      <c r="M2988" s="23">
        <f>YEAR(Таблица1[[#This Row],[Дата отчета]])</f>
        <v>2024</v>
      </c>
    </row>
    <row r="2989" spans="1:13" x14ac:dyDescent="0.25">
      <c r="A2989" t="s">
        <v>12</v>
      </c>
      <c r="B2989" t="s">
        <v>271</v>
      </c>
      <c r="C2989" t="s">
        <v>3130</v>
      </c>
      <c r="D2989" t="s">
        <v>3131</v>
      </c>
      <c r="E2989" t="s">
        <v>3132</v>
      </c>
      <c r="F2989" s="20">
        <v>590475.6</v>
      </c>
      <c r="I2989" s="11">
        <f t="shared" si="118"/>
        <v>45415</v>
      </c>
      <c r="J2989" s="12">
        <f t="shared" si="119"/>
        <v>151</v>
      </c>
      <c r="K2989" t="str">
        <f t="shared" si="117"/>
        <v>121-180</v>
      </c>
      <c r="L2989" s="11">
        <v>45566</v>
      </c>
      <c r="M2989" s="23">
        <f>YEAR(Таблица1[[#This Row],[Дата отчета]])</f>
        <v>2024</v>
      </c>
    </row>
    <row r="2990" spans="1:13" x14ac:dyDescent="0.25">
      <c r="A2990" t="s">
        <v>12</v>
      </c>
      <c r="B2990" t="s">
        <v>271</v>
      </c>
      <c r="C2990" t="s">
        <v>3130</v>
      </c>
      <c r="D2990" t="s">
        <v>3133</v>
      </c>
      <c r="E2990" t="s">
        <v>2852</v>
      </c>
      <c r="F2990" s="20">
        <v>115897.60000000001</v>
      </c>
      <c r="I2990" s="11">
        <f t="shared" si="118"/>
        <v>45513</v>
      </c>
      <c r="J2990" s="12">
        <f t="shared" si="119"/>
        <v>53</v>
      </c>
      <c r="K2990" t="str">
        <f t="shared" si="117"/>
        <v>31-90</v>
      </c>
      <c r="L2990" s="11">
        <v>45566</v>
      </c>
      <c r="M2990" s="23">
        <f>YEAR(Таблица1[[#This Row],[Дата отчета]])</f>
        <v>2024</v>
      </c>
    </row>
    <row r="2991" spans="1:13" x14ac:dyDescent="0.25">
      <c r="A2991" t="s">
        <v>12</v>
      </c>
      <c r="B2991" t="s">
        <v>271</v>
      </c>
      <c r="C2991" t="s">
        <v>3134</v>
      </c>
      <c r="D2991" t="s">
        <v>3135</v>
      </c>
      <c r="E2991" t="s">
        <v>3055</v>
      </c>
      <c r="F2991" s="20">
        <v>14000</v>
      </c>
      <c r="I2991" s="11">
        <f t="shared" si="118"/>
        <v>45562</v>
      </c>
      <c r="J2991" s="12">
        <f t="shared" si="119"/>
        <v>4</v>
      </c>
      <c r="K2991" t="str">
        <f t="shared" si="117"/>
        <v>0-30</v>
      </c>
      <c r="L2991" s="11">
        <v>45566</v>
      </c>
      <c r="M2991" s="23">
        <f>YEAR(Таблица1[[#This Row],[Дата отчета]])</f>
        <v>2024</v>
      </c>
    </row>
    <row r="2992" spans="1:13" x14ac:dyDescent="0.25">
      <c r="A2992" t="s">
        <v>12</v>
      </c>
      <c r="B2992" t="s">
        <v>3136</v>
      </c>
      <c r="C2992" t="s">
        <v>3137</v>
      </c>
      <c r="D2992" t="s">
        <v>3138</v>
      </c>
      <c r="E2992" t="s">
        <v>3035</v>
      </c>
      <c r="F2992" s="20">
        <v>26200</v>
      </c>
      <c r="I2992" s="11">
        <f t="shared" si="118"/>
        <v>45565</v>
      </c>
      <c r="J2992" s="12">
        <f t="shared" si="119"/>
        <v>1</v>
      </c>
      <c r="K2992" t="str">
        <f t="shared" si="117"/>
        <v>0-30</v>
      </c>
      <c r="L2992" s="11">
        <v>45566</v>
      </c>
      <c r="M2992" s="23">
        <f>YEAR(Таблица1[[#This Row],[Дата отчета]])</f>
        <v>2024</v>
      </c>
    </row>
    <row r="2993" spans="1:14" x14ac:dyDescent="0.25">
      <c r="A2993" t="s">
        <v>12</v>
      </c>
      <c r="B2993" t="s">
        <v>297</v>
      </c>
      <c r="C2993" t="s">
        <v>775</v>
      </c>
      <c r="D2993" t="s">
        <v>3139</v>
      </c>
      <c r="E2993" t="s">
        <v>3140</v>
      </c>
      <c r="F2993" s="20">
        <v>1351</v>
      </c>
      <c r="I2993" s="11">
        <f t="shared" si="118"/>
        <v>45463</v>
      </c>
      <c r="J2993" s="12">
        <f t="shared" si="119"/>
        <v>103</v>
      </c>
      <c r="K2993" t="str">
        <f t="shared" si="117"/>
        <v>91-120</v>
      </c>
      <c r="L2993" s="11">
        <v>45566</v>
      </c>
      <c r="M2993" s="23">
        <f>YEAR(Таблица1[[#This Row],[Дата отчета]])</f>
        <v>2024</v>
      </c>
    </row>
    <row r="2994" spans="1:14" x14ac:dyDescent="0.25">
      <c r="A2994" t="s">
        <v>12</v>
      </c>
      <c r="B2994" t="s">
        <v>297</v>
      </c>
      <c r="C2994" t="s">
        <v>298</v>
      </c>
      <c r="D2994" t="s">
        <v>299</v>
      </c>
      <c r="E2994" t="s">
        <v>300</v>
      </c>
      <c r="F2994" s="20">
        <v>5955</v>
      </c>
      <c r="I2994" s="11">
        <f t="shared" si="118"/>
        <v>45449</v>
      </c>
      <c r="J2994" s="12">
        <f t="shared" si="119"/>
        <v>117</v>
      </c>
      <c r="K2994" t="str">
        <f t="shared" si="117"/>
        <v>91-120</v>
      </c>
      <c r="L2994" s="11">
        <v>45566</v>
      </c>
      <c r="M2994" s="23">
        <f>YEAR(Таблица1[[#This Row],[Дата отчета]])</f>
        <v>2024</v>
      </c>
      <c r="N2994" s="7" t="s">
        <v>4547</v>
      </c>
    </row>
    <row r="2995" spans="1:14" x14ac:dyDescent="0.25">
      <c r="A2995" t="s">
        <v>12</v>
      </c>
      <c r="B2995" t="s">
        <v>378</v>
      </c>
      <c r="C2995" t="s">
        <v>3141</v>
      </c>
      <c r="D2995" t="s">
        <v>3142</v>
      </c>
      <c r="E2995" t="s">
        <v>3093</v>
      </c>
      <c r="F2995" s="20">
        <v>2186</v>
      </c>
      <c r="I2995" s="11">
        <f t="shared" si="118"/>
        <v>45492</v>
      </c>
      <c r="J2995" s="12">
        <f t="shared" si="119"/>
        <v>74</v>
      </c>
      <c r="K2995" t="str">
        <f t="shared" si="117"/>
        <v>31-90</v>
      </c>
      <c r="L2995" s="11">
        <v>45566</v>
      </c>
      <c r="M2995" s="23">
        <f>YEAR(Таблица1[[#This Row],[Дата отчета]])</f>
        <v>2024</v>
      </c>
    </row>
    <row r="2996" spans="1:14" x14ac:dyDescent="0.25">
      <c r="A2996" t="s">
        <v>12</v>
      </c>
      <c r="B2996" t="s">
        <v>2916</v>
      </c>
      <c r="C2996" t="s">
        <v>3143</v>
      </c>
      <c r="D2996" t="s">
        <v>3144</v>
      </c>
      <c r="E2996" t="s">
        <v>3132</v>
      </c>
      <c r="F2996" s="20">
        <v>29399</v>
      </c>
      <c r="I2996" s="11">
        <f t="shared" si="118"/>
        <v>45415</v>
      </c>
      <c r="J2996" s="12">
        <f t="shared" si="119"/>
        <v>151</v>
      </c>
      <c r="K2996" t="str">
        <f t="shared" si="117"/>
        <v>121-180</v>
      </c>
      <c r="L2996" s="11">
        <v>45566</v>
      </c>
      <c r="M2996" s="23">
        <f>YEAR(Таблица1[[#This Row],[Дата отчета]])</f>
        <v>2024</v>
      </c>
    </row>
    <row r="2997" spans="1:14" x14ac:dyDescent="0.25">
      <c r="A2997" t="s">
        <v>12</v>
      </c>
      <c r="B2997" t="s">
        <v>2916</v>
      </c>
      <c r="C2997" t="s">
        <v>2917</v>
      </c>
      <c r="D2997" t="s">
        <v>2918</v>
      </c>
      <c r="E2997" t="s">
        <v>2919</v>
      </c>
      <c r="F2997" s="20">
        <v>2999</v>
      </c>
      <c r="I2997" s="11">
        <f t="shared" si="118"/>
        <v>45426</v>
      </c>
      <c r="J2997" s="12">
        <f t="shared" si="119"/>
        <v>140</v>
      </c>
      <c r="K2997" t="str">
        <f t="shared" si="117"/>
        <v>121-180</v>
      </c>
      <c r="L2997" s="11">
        <v>45566</v>
      </c>
      <c r="M2997" s="23">
        <f>YEAR(Таблица1[[#This Row],[Дата отчета]])</f>
        <v>2024</v>
      </c>
    </row>
    <row r="2998" spans="1:14" x14ac:dyDescent="0.25">
      <c r="A2998" t="s">
        <v>12</v>
      </c>
      <c r="B2998" t="s">
        <v>1411</v>
      </c>
      <c r="C2998" t="s">
        <v>3145</v>
      </c>
      <c r="D2998" t="s">
        <v>3146</v>
      </c>
      <c r="E2998" t="s">
        <v>3023</v>
      </c>
      <c r="F2998" s="20">
        <v>50000</v>
      </c>
      <c r="I2998" s="11">
        <f t="shared" si="118"/>
        <v>45558</v>
      </c>
      <c r="J2998" s="12">
        <f t="shared" si="119"/>
        <v>8</v>
      </c>
      <c r="K2998" t="str">
        <f t="shared" si="117"/>
        <v>0-30</v>
      </c>
      <c r="L2998" s="11">
        <v>45566</v>
      </c>
      <c r="M2998" s="23">
        <f>YEAR(Таблица1[[#This Row],[Дата отчета]])</f>
        <v>2024</v>
      </c>
    </row>
    <row r="2999" spans="1:14" x14ac:dyDescent="0.25">
      <c r="A2999" t="s">
        <v>12</v>
      </c>
      <c r="B2999" t="s">
        <v>3147</v>
      </c>
      <c r="C2999" t="s">
        <v>3148</v>
      </c>
      <c r="D2999" t="s">
        <v>3149</v>
      </c>
      <c r="E2999" t="s">
        <v>3150</v>
      </c>
      <c r="F2999" s="20">
        <v>127.61</v>
      </c>
      <c r="I2999" s="11">
        <f t="shared" si="118"/>
        <v>45182</v>
      </c>
      <c r="J2999" s="12">
        <f t="shared" si="119"/>
        <v>384</v>
      </c>
      <c r="K2999" t="str">
        <f t="shared" si="117"/>
        <v>&gt;360</v>
      </c>
      <c r="L2999" s="11">
        <v>45566</v>
      </c>
      <c r="M2999" s="23">
        <f>YEAR(Таблица1[[#This Row],[Дата отчета]])</f>
        <v>2024</v>
      </c>
    </row>
    <row r="3000" spans="1:14" x14ac:dyDescent="0.25">
      <c r="A3000" t="s">
        <v>12</v>
      </c>
      <c r="B3000" t="s">
        <v>3151</v>
      </c>
      <c r="C3000" t="s">
        <v>269</v>
      </c>
      <c r="D3000" t="s">
        <v>3152</v>
      </c>
      <c r="E3000" t="s">
        <v>3153</v>
      </c>
      <c r="F3000" s="20">
        <v>7800</v>
      </c>
      <c r="I3000" s="11">
        <f t="shared" si="118"/>
        <v>45357</v>
      </c>
      <c r="J3000" s="12">
        <f t="shared" si="119"/>
        <v>209</v>
      </c>
      <c r="K3000" t="str">
        <f t="shared" si="117"/>
        <v>181-270</v>
      </c>
      <c r="L3000" s="11">
        <v>45566</v>
      </c>
      <c r="M3000" s="23">
        <f>YEAR(Таблица1[[#This Row],[Дата отчета]])</f>
        <v>2024</v>
      </c>
    </row>
    <row r="3001" spans="1:14" x14ac:dyDescent="0.25">
      <c r="A3001" t="s">
        <v>12</v>
      </c>
      <c r="B3001" t="s">
        <v>2072</v>
      </c>
      <c r="C3001" t="s">
        <v>3154</v>
      </c>
      <c r="D3001" t="s">
        <v>3155</v>
      </c>
      <c r="E3001" t="s">
        <v>3104</v>
      </c>
      <c r="F3001" s="20">
        <v>77060</v>
      </c>
      <c r="I3001" s="11">
        <f t="shared" si="118"/>
        <v>45484</v>
      </c>
      <c r="J3001" s="12">
        <f t="shared" si="119"/>
        <v>82</v>
      </c>
      <c r="K3001" t="str">
        <f t="shared" si="117"/>
        <v>31-90</v>
      </c>
      <c r="L3001" s="11">
        <v>45566</v>
      </c>
      <c r="M3001" s="23">
        <f>YEAR(Таблица1[[#This Row],[Дата отчета]])</f>
        <v>2024</v>
      </c>
    </row>
    <row r="3002" spans="1:14" x14ac:dyDescent="0.25">
      <c r="A3002" t="s">
        <v>12</v>
      </c>
      <c r="B3002" t="s">
        <v>1427</v>
      </c>
      <c r="C3002" t="s">
        <v>269</v>
      </c>
      <c r="D3002" t="s">
        <v>3156</v>
      </c>
      <c r="E3002" t="s">
        <v>3035</v>
      </c>
      <c r="F3002" s="20">
        <v>1300</v>
      </c>
      <c r="I3002" s="11">
        <f t="shared" si="118"/>
        <v>45565</v>
      </c>
      <c r="J3002" s="12">
        <f t="shared" si="119"/>
        <v>1</v>
      </c>
      <c r="K3002" t="str">
        <f t="shared" si="117"/>
        <v>0-30</v>
      </c>
      <c r="L3002" s="11">
        <v>45566</v>
      </c>
      <c r="M3002" s="23">
        <f>YEAR(Таблица1[[#This Row],[Дата отчета]])</f>
        <v>2024</v>
      </c>
    </row>
    <row r="3003" spans="1:14" x14ac:dyDescent="0.25">
      <c r="A3003" t="s">
        <v>12</v>
      </c>
      <c r="B3003" t="s">
        <v>1428</v>
      </c>
      <c r="C3003" t="s">
        <v>1429</v>
      </c>
      <c r="D3003" t="s">
        <v>1430</v>
      </c>
      <c r="E3003" t="s">
        <v>1782</v>
      </c>
      <c r="F3003" s="20">
        <v>1000</v>
      </c>
      <c r="I3003" s="11">
        <f t="shared" si="118"/>
        <v>45450</v>
      </c>
      <c r="J3003" s="12">
        <f t="shared" si="119"/>
        <v>116</v>
      </c>
      <c r="K3003" t="str">
        <f t="shared" si="117"/>
        <v>91-120</v>
      </c>
      <c r="L3003" s="11">
        <v>45566</v>
      </c>
      <c r="M3003" s="23">
        <f>YEAR(Таблица1[[#This Row],[Дата отчета]])</f>
        <v>2024</v>
      </c>
    </row>
    <row r="3004" spans="1:14" x14ac:dyDescent="0.25">
      <c r="A3004" t="s">
        <v>12</v>
      </c>
      <c r="B3004" t="s">
        <v>1434</v>
      </c>
      <c r="C3004" t="s">
        <v>1435</v>
      </c>
      <c r="D3004" t="s">
        <v>1436</v>
      </c>
      <c r="E3004" t="s">
        <v>1784</v>
      </c>
      <c r="F3004" s="20">
        <v>4583.33</v>
      </c>
      <c r="I3004" s="11">
        <f t="shared" si="118"/>
        <v>44600</v>
      </c>
      <c r="J3004" s="12">
        <f t="shared" si="119"/>
        <v>966</v>
      </c>
      <c r="K3004" t="str">
        <f t="shared" si="117"/>
        <v>&gt;360</v>
      </c>
      <c r="L3004" s="11">
        <v>45566</v>
      </c>
      <c r="M3004" s="23">
        <f>YEAR(Таблица1[[#This Row],[Дата отчета]])</f>
        <v>2024</v>
      </c>
      <c r="N3004" s="2" t="s">
        <v>807</v>
      </c>
    </row>
    <row r="3005" spans="1:14" x14ac:dyDescent="0.25">
      <c r="A3005" t="s">
        <v>12</v>
      </c>
      <c r="B3005" t="s">
        <v>402</v>
      </c>
      <c r="C3005" t="s">
        <v>403</v>
      </c>
      <c r="D3005" t="s">
        <v>404</v>
      </c>
      <c r="E3005" t="s">
        <v>405</v>
      </c>
      <c r="F3005" s="20">
        <v>14913.96</v>
      </c>
      <c r="I3005" s="11">
        <f t="shared" si="118"/>
        <v>44773</v>
      </c>
      <c r="J3005" s="12">
        <f t="shared" si="119"/>
        <v>793</v>
      </c>
      <c r="K3005" t="str">
        <f t="shared" si="117"/>
        <v>&gt;360</v>
      </c>
      <c r="L3005" s="11">
        <v>45566</v>
      </c>
      <c r="M3005" s="23">
        <f>YEAR(Таблица1[[#This Row],[Дата отчета]])</f>
        <v>2024</v>
      </c>
    </row>
    <row r="3006" spans="1:14" x14ac:dyDescent="0.25">
      <c r="A3006" t="s">
        <v>12</v>
      </c>
      <c r="B3006" t="s">
        <v>402</v>
      </c>
      <c r="C3006" t="s">
        <v>3157</v>
      </c>
      <c r="D3006" t="s">
        <v>3158</v>
      </c>
      <c r="E3006" t="s">
        <v>3159</v>
      </c>
      <c r="F3006" s="20">
        <v>180600</v>
      </c>
      <c r="I3006" s="11">
        <f t="shared" si="118"/>
        <v>45475</v>
      </c>
      <c r="J3006" s="12">
        <f t="shared" si="119"/>
        <v>91</v>
      </c>
      <c r="K3006" t="str">
        <f t="shared" si="117"/>
        <v>91-120</v>
      </c>
      <c r="L3006" s="11">
        <v>45566</v>
      </c>
      <c r="M3006" s="23">
        <f>YEAR(Таблица1[[#This Row],[Дата отчета]])</f>
        <v>2024</v>
      </c>
    </row>
    <row r="3007" spans="1:14" x14ac:dyDescent="0.25">
      <c r="A3007" t="s">
        <v>12</v>
      </c>
      <c r="B3007" t="s">
        <v>1469</v>
      </c>
      <c r="C3007" t="s">
        <v>1470</v>
      </c>
      <c r="D3007" t="s">
        <v>1471</v>
      </c>
      <c r="E3007" t="s">
        <v>1785</v>
      </c>
      <c r="F3007" s="20">
        <v>2220000</v>
      </c>
      <c r="I3007" s="11">
        <f t="shared" si="118"/>
        <v>45448</v>
      </c>
      <c r="J3007" s="12">
        <f t="shared" si="119"/>
        <v>118</v>
      </c>
      <c r="K3007" t="str">
        <f t="shared" ref="K3007:K3070" si="120">IF(J3007&lt;=30,"0-30",IF(J3007&lt;=90,"31-90",IF(J3007&lt;=120,"91-120",IF(J3007&lt;=180,"121-180",IF(J3007&lt;=270,"181-270",IF(J3007&lt;=360,"271-360","&gt;360"))))))</f>
        <v>91-120</v>
      </c>
      <c r="L3007" s="11">
        <v>45566</v>
      </c>
      <c r="M3007" s="23">
        <f>YEAR(Таблица1[[#This Row],[Дата отчета]])</f>
        <v>2024</v>
      </c>
      <c r="N3007" s="7" t="s">
        <v>4536</v>
      </c>
    </row>
    <row r="3008" spans="1:14" x14ac:dyDescent="0.25">
      <c r="A3008" t="s">
        <v>12</v>
      </c>
      <c r="B3008" t="s">
        <v>1469</v>
      </c>
      <c r="C3008" t="s">
        <v>1472</v>
      </c>
      <c r="D3008" t="s">
        <v>1473</v>
      </c>
      <c r="E3008" t="s">
        <v>1258</v>
      </c>
      <c r="F3008" s="20">
        <v>442208.48</v>
      </c>
      <c r="I3008" s="11">
        <f t="shared" si="118"/>
        <v>45288</v>
      </c>
      <c r="J3008" s="12">
        <f t="shared" si="119"/>
        <v>278</v>
      </c>
      <c r="K3008" t="str">
        <f t="shared" si="120"/>
        <v>271-360</v>
      </c>
      <c r="L3008" s="11">
        <v>45566</v>
      </c>
      <c r="M3008" s="23">
        <f>YEAR(Таблица1[[#This Row],[Дата отчета]])</f>
        <v>2024</v>
      </c>
    </row>
    <row r="3009" spans="1:13" x14ac:dyDescent="0.25">
      <c r="A3009" t="s">
        <v>12</v>
      </c>
      <c r="B3009" t="s">
        <v>1469</v>
      </c>
      <c r="C3009" t="s">
        <v>3160</v>
      </c>
      <c r="D3009" t="s">
        <v>3161</v>
      </c>
      <c r="E3009" t="s">
        <v>3162</v>
      </c>
      <c r="F3009" s="20">
        <v>1490000</v>
      </c>
      <c r="I3009" s="11">
        <f t="shared" si="118"/>
        <v>45518</v>
      </c>
      <c r="J3009" s="12">
        <f t="shared" si="119"/>
        <v>48</v>
      </c>
      <c r="K3009" t="str">
        <f t="shared" si="120"/>
        <v>31-90</v>
      </c>
      <c r="L3009" s="11">
        <v>45566</v>
      </c>
      <c r="M3009" s="23">
        <f>YEAR(Таблица1[[#This Row],[Дата отчета]])</f>
        <v>2024</v>
      </c>
    </row>
    <row r="3010" spans="1:13" x14ac:dyDescent="0.25">
      <c r="A3010" t="s">
        <v>12</v>
      </c>
      <c r="B3010" t="s">
        <v>1469</v>
      </c>
      <c r="C3010" t="s">
        <v>3163</v>
      </c>
      <c r="D3010" t="s">
        <v>3164</v>
      </c>
      <c r="E3010" t="s">
        <v>2922</v>
      </c>
      <c r="F3010" s="20">
        <v>282000</v>
      </c>
      <c r="I3010" s="11">
        <f t="shared" si="118"/>
        <v>45551</v>
      </c>
      <c r="J3010" s="12">
        <f t="shared" si="119"/>
        <v>15</v>
      </c>
      <c r="K3010" t="str">
        <f t="shared" si="120"/>
        <v>0-30</v>
      </c>
      <c r="L3010" s="11">
        <v>45566</v>
      </c>
      <c r="M3010" s="23">
        <f>YEAR(Таблица1[[#This Row],[Дата отчета]])</f>
        <v>2024</v>
      </c>
    </row>
    <row r="3011" spans="1:13" x14ac:dyDescent="0.25">
      <c r="A3011" t="s">
        <v>12</v>
      </c>
      <c r="B3011" t="s">
        <v>441</v>
      </c>
      <c r="C3011" t="s">
        <v>2920</v>
      </c>
      <c r="D3011" t="s">
        <v>2921</v>
      </c>
      <c r="E3011" t="s">
        <v>2922</v>
      </c>
      <c r="F3011" s="20">
        <v>24080</v>
      </c>
      <c r="I3011" s="11">
        <f t="shared" si="118"/>
        <v>45551</v>
      </c>
      <c r="J3011" s="12">
        <f t="shared" si="119"/>
        <v>15</v>
      </c>
      <c r="K3011" t="str">
        <f t="shared" si="120"/>
        <v>0-30</v>
      </c>
      <c r="L3011" s="11">
        <v>45566</v>
      </c>
      <c r="M3011" s="23">
        <f>YEAR(Таблица1[[#This Row],[Дата отчета]])</f>
        <v>2024</v>
      </c>
    </row>
    <row r="3012" spans="1:13" x14ac:dyDescent="0.25">
      <c r="A3012" t="s">
        <v>12</v>
      </c>
      <c r="B3012" t="s">
        <v>3165</v>
      </c>
      <c r="C3012" t="s">
        <v>3166</v>
      </c>
      <c r="D3012" t="s">
        <v>3167</v>
      </c>
      <c r="E3012" t="s">
        <v>3168</v>
      </c>
      <c r="F3012" s="20">
        <v>340.4</v>
      </c>
      <c r="I3012" s="11">
        <f t="shared" si="118"/>
        <v>44371</v>
      </c>
      <c r="J3012" s="12">
        <f t="shared" si="119"/>
        <v>1195</v>
      </c>
      <c r="K3012" t="str">
        <f t="shared" si="120"/>
        <v>&gt;360</v>
      </c>
      <c r="L3012" s="11">
        <v>45566</v>
      </c>
      <c r="M3012" s="23">
        <f>YEAR(Таблица1[[#This Row],[Дата отчета]])</f>
        <v>2024</v>
      </c>
    </row>
    <row r="3013" spans="1:13" x14ac:dyDescent="0.25">
      <c r="A3013" t="s">
        <v>12</v>
      </c>
      <c r="B3013" t="s">
        <v>448</v>
      </c>
      <c r="C3013" t="s">
        <v>3169</v>
      </c>
      <c r="D3013" t="s">
        <v>3170</v>
      </c>
      <c r="E3013" t="s">
        <v>3098</v>
      </c>
      <c r="F3013" s="20">
        <v>25737</v>
      </c>
      <c r="I3013" s="11">
        <f t="shared" si="118"/>
        <v>45503</v>
      </c>
      <c r="J3013" s="12">
        <f t="shared" si="119"/>
        <v>63</v>
      </c>
      <c r="K3013" t="str">
        <f t="shared" si="120"/>
        <v>31-90</v>
      </c>
      <c r="L3013" s="11">
        <v>45566</v>
      </c>
      <c r="M3013" s="23">
        <f>YEAR(Таблица1[[#This Row],[Дата отчета]])</f>
        <v>2024</v>
      </c>
    </row>
    <row r="3014" spans="1:13" x14ac:dyDescent="0.25">
      <c r="A3014" t="s">
        <v>12</v>
      </c>
      <c r="B3014" t="s">
        <v>456</v>
      </c>
      <c r="C3014" t="s">
        <v>3171</v>
      </c>
      <c r="D3014" t="s">
        <v>3172</v>
      </c>
      <c r="E3014" t="s">
        <v>734</v>
      </c>
      <c r="F3014" s="20">
        <v>170000</v>
      </c>
      <c r="I3014" s="11">
        <f t="shared" si="118"/>
        <v>45541</v>
      </c>
      <c r="J3014" s="12">
        <f t="shared" si="119"/>
        <v>25</v>
      </c>
      <c r="K3014" t="str">
        <f t="shared" si="120"/>
        <v>0-30</v>
      </c>
      <c r="L3014" s="11">
        <v>45566</v>
      </c>
      <c r="M3014" s="23">
        <f>YEAR(Таблица1[[#This Row],[Дата отчета]])</f>
        <v>2024</v>
      </c>
    </row>
    <row r="3015" spans="1:13" x14ac:dyDescent="0.25">
      <c r="A3015" t="s">
        <v>12</v>
      </c>
      <c r="B3015" t="s">
        <v>456</v>
      </c>
      <c r="C3015" t="s">
        <v>457</v>
      </c>
      <c r="D3015" t="s">
        <v>458</v>
      </c>
      <c r="E3015" t="s">
        <v>459</v>
      </c>
      <c r="F3015" s="20">
        <v>5500</v>
      </c>
      <c r="I3015" s="11">
        <f t="shared" si="118"/>
        <v>45195</v>
      </c>
      <c r="J3015" s="12">
        <f t="shared" si="119"/>
        <v>371</v>
      </c>
      <c r="K3015" t="str">
        <f t="shared" si="120"/>
        <v>&gt;360</v>
      </c>
      <c r="L3015" s="11">
        <v>45566</v>
      </c>
      <c r="M3015" s="23">
        <f>YEAR(Таблица1[[#This Row],[Дата отчета]])</f>
        <v>2024</v>
      </c>
    </row>
    <row r="3016" spans="1:13" x14ac:dyDescent="0.25">
      <c r="A3016" t="s">
        <v>12</v>
      </c>
      <c r="B3016" t="s">
        <v>467</v>
      </c>
      <c r="C3016" t="s">
        <v>468</v>
      </c>
      <c r="D3016" t="s">
        <v>469</v>
      </c>
      <c r="E3016" t="s">
        <v>470</v>
      </c>
      <c r="F3016" s="20">
        <v>2000</v>
      </c>
      <c r="I3016" s="11">
        <f t="shared" si="118"/>
        <v>44551</v>
      </c>
      <c r="J3016" s="12">
        <f t="shared" si="119"/>
        <v>1015</v>
      </c>
      <c r="K3016" t="str">
        <f t="shared" si="120"/>
        <v>&gt;360</v>
      </c>
      <c r="L3016" s="11">
        <v>45566</v>
      </c>
      <c r="M3016" s="23">
        <f>YEAR(Таблица1[[#This Row],[Дата отчета]])</f>
        <v>2024</v>
      </c>
    </row>
    <row r="3017" spans="1:13" x14ac:dyDescent="0.25">
      <c r="A3017" t="s">
        <v>12</v>
      </c>
      <c r="B3017" t="s">
        <v>474</v>
      </c>
      <c r="C3017" t="s">
        <v>475</v>
      </c>
      <c r="D3017" t="s">
        <v>476</v>
      </c>
      <c r="E3017" t="s">
        <v>477</v>
      </c>
      <c r="F3017" s="20">
        <v>8850</v>
      </c>
      <c r="I3017" s="11">
        <f t="shared" si="118"/>
        <v>45401</v>
      </c>
      <c r="J3017" s="12">
        <f t="shared" si="119"/>
        <v>165</v>
      </c>
      <c r="K3017" t="str">
        <f t="shared" si="120"/>
        <v>121-180</v>
      </c>
      <c r="L3017" s="11">
        <v>45566</v>
      </c>
      <c r="M3017" s="23">
        <f>YEAR(Таблица1[[#This Row],[Дата отчета]])</f>
        <v>2024</v>
      </c>
    </row>
    <row r="3018" spans="1:13" x14ac:dyDescent="0.25">
      <c r="A3018" t="s">
        <v>12</v>
      </c>
      <c r="B3018" t="s">
        <v>2150</v>
      </c>
      <c r="C3018" t="s">
        <v>3173</v>
      </c>
      <c r="D3018" t="s">
        <v>3174</v>
      </c>
      <c r="E3018" t="s">
        <v>3175</v>
      </c>
      <c r="F3018" s="20">
        <v>28572</v>
      </c>
      <c r="I3018" s="11">
        <f t="shared" si="118"/>
        <v>44755</v>
      </c>
      <c r="J3018" s="12">
        <f t="shared" si="119"/>
        <v>811</v>
      </c>
      <c r="K3018" t="str">
        <f t="shared" si="120"/>
        <v>&gt;360</v>
      </c>
      <c r="L3018" s="11">
        <v>45566</v>
      </c>
      <c r="M3018" s="23">
        <f>YEAR(Таблица1[[#This Row],[Дата отчета]])</f>
        <v>2024</v>
      </c>
    </row>
    <row r="3019" spans="1:13" x14ac:dyDescent="0.25">
      <c r="A3019" t="s">
        <v>12</v>
      </c>
      <c r="B3019" t="s">
        <v>2150</v>
      </c>
      <c r="C3019" t="s">
        <v>3176</v>
      </c>
      <c r="D3019" t="s">
        <v>3177</v>
      </c>
      <c r="E3019" t="s">
        <v>3175</v>
      </c>
      <c r="F3019" s="20">
        <v>5520</v>
      </c>
      <c r="I3019" s="11">
        <f t="shared" si="118"/>
        <v>44755</v>
      </c>
      <c r="J3019" s="12">
        <f t="shared" si="119"/>
        <v>811</v>
      </c>
      <c r="K3019" t="str">
        <f t="shared" si="120"/>
        <v>&gt;360</v>
      </c>
      <c r="L3019" s="11">
        <v>45566</v>
      </c>
      <c r="M3019" s="23">
        <f>YEAR(Таблица1[[#This Row],[Дата отчета]])</f>
        <v>2024</v>
      </c>
    </row>
    <row r="3020" spans="1:13" x14ac:dyDescent="0.25">
      <c r="A3020" t="s">
        <v>12</v>
      </c>
      <c r="B3020" t="s">
        <v>2150</v>
      </c>
      <c r="C3020" t="s">
        <v>3178</v>
      </c>
      <c r="D3020" t="s">
        <v>3179</v>
      </c>
      <c r="E3020" t="s">
        <v>3180</v>
      </c>
      <c r="F3020" s="20">
        <v>4600</v>
      </c>
      <c r="I3020" s="11">
        <f t="shared" si="118"/>
        <v>44988</v>
      </c>
      <c r="J3020" s="12">
        <f t="shared" si="119"/>
        <v>578</v>
      </c>
      <c r="K3020" t="str">
        <f t="shared" si="120"/>
        <v>&gt;360</v>
      </c>
      <c r="L3020" s="11">
        <v>45566</v>
      </c>
      <c r="M3020" s="23">
        <f>YEAR(Таблица1[[#This Row],[Дата отчета]])</f>
        <v>2024</v>
      </c>
    </row>
    <row r="3021" spans="1:13" x14ac:dyDescent="0.25">
      <c r="A3021" t="s">
        <v>12</v>
      </c>
      <c r="B3021" t="s">
        <v>2150</v>
      </c>
      <c r="C3021" t="s">
        <v>3181</v>
      </c>
      <c r="D3021" t="s">
        <v>3182</v>
      </c>
      <c r="E3021" t="s">
        <v>3183</v>
      </c>
      <c r="F3021" s="20">
        <v>27200</v>
      </c>
      <c r="I3021" s="11">
        <f t="shared" si="118"/>
        <v>45013</v>
      </c>
      <c r="J3021" s="12">
        <f t="shared" si="119"/>
        <v>553</v>
      </c>
      <c r="K3021" t="str">
        <f t="shared" si="120"/>
        <v>&gt;360</v>
      </c>
      <c r="L3021" s="11">
        <v>45566</v>
      </c>
      <c r="M3021" s="23">
        <f>YEAR(Таблица1[[#This Row],[Дата отчета]])</f>
        <v>2024</v>
      </c>
    </row>
    <row r="3022" spans="1:13" x14ac:dyDescent="0.25">
      <c r="A3022" t="s">
        <v>12</v>
      </c>
      <c r="B3022" t="s">
        <v>512</v>
      </c>
      <c r="C3022" t="s">
        <v>3184</v>
      </c>
      <c r="D3022" t="s">
        <v>3185</v>
      </c>
      <c r="E3022" t="s">
        <v>3035</v>
      </c>
      <c r="F3022" s="20">
        <v>158800</v>
      </c>
      <c r="I3022" s="11">
        <f t="shared" si="118"/>
        <v>45565</v>
      </c>
      <c r="J3022" s="12">
        <f t="shared" si="119"/>
        <v>1</v>
      </c>
      <c r="K3022" t="str">
        <f t="shared" si="120"/>
        <v>0-30</v>
      </c>
      <c r="L3022" s="11">
        <v>45566</v>
      </c>
      <c r="M3022" s="23">
        <f>YEAR(Таблица1[[#This Row],[Дата отчета]])</f>
        <v>2024</v>
      </c>
    </row>
    <row r="3023" spans="1:13" x14ac:dyDescent="0.25">
      <c r="A3023" t="s">
        <v>12</v>
      </c>
      <c r="B3023" t="s">
        <v>529</v>
      </c>
      <c r="C3023" t="s">
        <v>3186</v>
      </c>
      <c r="D3023" t="s">
        <v>3187</v>
      </c>
      <c r="E3023" t="s">
        <v>3188</v>
      </c>
      <c r="F3023" s="20">
        <v>5550</v>
      </c>
      <c r="I3023" s="11">
        <f t="shared" si="118"/>
        <v>45482</v>
      </c>
      <c r="J3023" s="12">
        <f t="shared" si="119"/>
        <v>84</v>
      </c>
      <c r="K3023" t="str">
        <f t="shared" si="120"/>
        <v>31-90</v>
      </c>
      <c r="L3023" s="11">
        <v>45566</v>
      </c>
      <c r="M3023" s="23">
        <f>YEAR(Таблица1[[#This Row],[Дата отчета]])</f>
        <v>2024</v>
      </c>
    </row>
    <row r="3024" spans="1:13" x14ac:dyDescent="0.25">
      <c r="A3024" t="s">
        <v>12</v>
      </c>
      <c r="B3024" t="s">
        <v>3189</v>
      </c>
      <c r="C3024" t="s">
        <v>3190</v>
      </c>
      <c r="D3024" t="s">
        <v>3191</v>
      </c>
      <c r="E3024" t="s">
        <v>3192</v>
      </c>
      <c r="F3024" s="20">
        <v>32600</v>
      </c>
      <c r="I3024" s="11">
        <f t="shared" si="118"/>
        <v>45331</v>
      </c>
      <c r="J3024" s="12">
        <f t="shared" si="119"/>
        <v>235</v>
      </c>
      <c r="K3024" t="str">
        <f t="shared" si="120"/>
        <v>181-270</v>
      </c>
      <c r="L3024" s="11">
        <v>45566</v>
      </c>
      <c r="M3024" s="23">
        <f>YEAR(Таблица1[[#This Row],[Дата отчета]])</f>
        <v>2024</v>
      </c>
    </row>
    <row r="3025" spans="1:13" x14ac:dyDescent="0.25">
      <c r="A3025" t="s">
        <v>12</v>
      </c>
      <c r="B3025" t="s">
        <v>3189</v>
      </c>
      <c r="C3025" t="s">
        <v>3193</v>
      </c>
      <c r="D3025" t="s">
        <v>3194</v>
      </c>
      <c r="E3025" t="s">
        <v>3058</v>
      </c>
      <c r="F3025" s="20">
        <v>10520</v>
      </c>
      <c r="I3025" s="11">
        <f t="shared" si="118"/>
        <v>45553</v>
      </c>
      <c r="J3025" s="12">
        <f t="shared" si="119"/>
        <v>13</v>
      </c>
      <c r="K3025" t="str">
        <f t="shared" si="120"/>
        <v>0-30</v>
      </c>
      <c r="L3025" s="11">
        <v>45566</v>
      </c>
      <c r="M3025" s="23">
        <f>YEAR(Таблица1[[#This Row],[Дата отчета]])</f>
        <v>2024</v>
      </c>
    </row>
    <row r="3026" spans="1:13" x14ac:dyDescent="0.25">
      <c r="A3026" t="s">
        <v>12</v>
      </c>
      <c r="B3026" t="s">
        <v>539</v>
      </c>
      <c r="C3026" t="s">
        <v>2939</v>
      </c>
      <c r="D3026" t="s">
        <v>3195</v>
      </c>
      <c r="E3026" t="s">
        <v>3196</v>
      </c>
      <c r="F3026" s="20">
        <v>123310</v>
      </c>
      <c r="I3026" s="11">
        <f t="shared" si="118"/>
        <v>45533</v>
      </c>
      <c r="J3026" s="12">
        <f t="shared" si="119"/>
        <v>33</v>
      </c>
      <c r="K3026" t="str">
        <f t="shared" si="120"/>
        <v>31-90</v>
      </c>
      <c r="L3026" s="11">
        <v>45566</v>
      </c>
      <c r="M3026" s="23">
        <f>YEAR(Таблица1[[#This Row],[Дата отчета]])</f>
        <v>2024</v>
      </c>
    </row>
    <row r="3027" spans="1:13" x14ac:dyDescent="0.25">
      <c r="A3027" t="s">
        <v>12</v>
      </c>
      <c r="B3027" t="s">
        <v>539</v>
      </c>
      <c r="C3027" t="s">
        <v>2939</v>
      </c>
      <c r="D3027" t="s">
        <v>3197</v>
      </c>
      <c r="E3027" t="s">
        <v>3058</v>
      </c>
      <c r="F3027" s="20">
        <v>250030</v>
      </c>
      <c r="I3027" s="11">
        <f t="shared" si="118"/>
        <v>45553</v>
      </c>
      <c r="J3027" s="12">
        <f t="shared" si="119"/>
        <v>13</v>
      </c>
      <c r="K3027" t="str">
        <f t="shared" si="120"/>
        <v>0-30</v>
      </c>
      <c r="L3027" s="11">
        <v>45566</v>
      </c>
      <c r="M3027" s="23">
        <f>YEAR(Таблица1[[#This Row],[Дата отчета]])</f>
        <v>2024</v>
      </c>
    </row>
    <row r="3028" spans="1:13" x14ac:dyDescent="0.25">
      <c r="A3028" t="s">
        <v>12</v>
      </c>
      <c r="B3028" t="s">
        <v>3198</v>
      </c>
      <c r="C3028" t="s">
        <v>3199</v>
      </c>
      <c r="D3028" t="s">
        <v>3200</v>
      </c>
      <c r="E3028" t="s">
        <v>3201</v>
      </c>
      <c r="F3028" s="20">
        <v>133000</v>
      </c>
      <c r="I3028" s="11">
        <f t="shared" si="118"/>
        <v>45498</v>
      </c>
      <c r="J3028" s="12">
        <f t="shared" si="119"/>
        <v>68</v>
      </c>
      <c r="K3028" t="str">
        <f t="shared" si="120"/>
        <v>31-90</v>
      </c>
      <c r="L3028" s="11">
        <v>45566</v>
      </c>
      <c r="M3028" s="23">
        <f>YEAR(Таблица1[[#This Row],[Дата отчета]])</f>
        <v>2024</v>
      </c>
    </row>
    <row r="3029" spans="1:13" x14ac:dyDescent="0.25">
      <c r="A3029" t="s">
        <v>12</v>
      </c>
      <c r="B3029" t="s">
        <v>557</v>
      </c>
      <c r="C3029" t="s">
        <v>2184</v>
      </c>
      <c r="D3029" t="s">
        <v>2185</v>
      </c>
      <c r="E3029" t="s">
        <v>2450</v>
      </c>
      <c r="F3029" s="20">
        <v>37818.47</v>
      </c>
      <c r="I3029" s="11">
        <f t="shared" si="118"/>
        <v>45427</v>
      </c>
      <c r="J3029" s="12">
        <f t="shared" si="119"/>
        <v>139</v>
      </c>
      <c r="K3029" t="str">
        <f t="shared" si="120"/>
        <v>121-180</v>
      </c>
      <c r="L3029" s="11">
        <v>45566</v>
      </c>
      <c r="M3029" s="23">
        <f>YEAR(Таблица1[[#This Row],[Дата отчета]])</f>
        <v>2024</v>
      </c>
    </row>
    <row r="3030" spans="1:13" x14ac:dyDescent="0.25">
      <c r="A3030" t="s">
        <v>12</v>
      </c>
      <c r="B3030" t="s">
        <v>561</v>
      </c>
      <c r="C3030" t="s">
        <v>1527</v>
      </c>
      <c r="D3030" t="s">
        <v>1528</v>
      </c>
      <c r="E3030" t="s">
        <v>1794</v>
      </c>
      <c r="F3030" s="20">
        <v>1715565.24</v>
      </c>
      <c r="I3030" s="11">
        <f t="shared" si="118"/>
        <v>45069</v>
      </c>
      <c r="J3030" s="12">
        <f t="shared" si="119"/>
        <v>497</v>
      </c>
      <c r="K3030" t="str">
        <f t="shared" si="120"/>
        <v>&gt;360</v>
      </c>
      <c r="L3030" s="11">
        <v>45566</v>
      </c>
      <c r="M3030" s="23">
        <f>YEAR(Таблица1[[#This Row],[Дата отчета]])</f>
        <v>2024</v>
      </c>
    </row>
    <row r="3031" spans="1:13" x14ac:dyDescent="0.25">
      <c r="A3031" t="s">
        <v>12</v>
      </c>
      <c r="B3031" t="s">
        <v>561</v>
      </c>
      <c r="C3031" t="s">
        <v>1529</v>
      </c>
      <c r="D3031" t="s">
        <v>1530</v>
      </c>
      <c r="E3031" t="s">
        <v>1795</v>
      </c>
      <c r="F3031" s="20">
        <v>5092824.9400000004</v>
      </c>
      <c r="I3031" s="11">
        <f t="shared" si="118"/>
        <v>45391</v>
      </c>
      <c r="J3031" s="12">
        <f t="shared" si="119"/>
        <v>175</v>
      </c>
      <c r="K3031" t="str">
        <f t="shared" si="120"/>
        <v>121-180</v>
      </c>
      <c r="L3031" s="11">
        <v>45566</v>
      </c>
      <c r="M3031" s="23">
        <f>YEAR(Таблица1[[#This Row],[Дата отчета]])</f>
        <v>2024</v>
      </c>
    </row>
    <row r="3032" spans="1:13" x14ac:dyDescent="0.25">
      <c r="A3032" t="s">
        <v>12</v>
      </c>
      <c r="B3032" t="s">
        <v>561</v>
      </c>
      <c r="C3032" t="s">
        <v>1533</v>
      </c>
      <c r="D3032" t="s">
        <v>1534</v>
      </c>
      <c r="E3032" t="s">
        <v>175</v>
      </c>
      <c r="F3032" s="20">
        <v>0.02</v>
      </c>
      <c r="I3032" s="11">
        <f t="shared" si="118"/>
        <v>45399</v>
      </c>
      <c r="J3032" s="12">
        <f t="shared" si="119"/>
        <v>167</v>
      </c>
      <c r="K3032" t="str">
        <f t="shared" si="120"/>
        <v>121-180</v>
      </c>
      <c r="L3032" s="11">
        <v>45566</v>
      </c>
      <c r="M3032" s="23">
        <f>YEAR(Таблица1[[#This Row],[Дата отчета]])</f>
        <v>2024</v>
      </c>
    </row>
    <row r="3033" spans="1:13" x14ac:dyDescent="0.25">
      <c r="A3033" t="s">
        <v>12</v>
      </c>
      <c r="B3033" t="s">
        <v>561</v>
      </c>
      <c r="C3033" t="s">
        <v>1541</v>
      </c>
      <c r="D3033" t="s">
        <v>1542</v>
      </c>
      <c r="E3033" t="s">
        <v>192</v>
      </c>
      <c r="F3033" s="20">
        <v>6277.48</v>
      </c>
      <c r="I3033" s="11">
        <f t="shared" si="118"/>
        <v>45467</v>
      </c>
      <c r="J3033" s="12">
        <f t="shared" si="119"/>
        <v>99</v>
      </c>
      <c r="K3033" t="str">
        <f t="shared" si="120"/>
        <v>91-120</v>
      </c>
      <c r="L3033" s="11">
        <v>45566</v>
      </c>
      <c r="M3033" s="23">
        <f>YEAR(Таблица1[[#This Row],[Дата отчета]])</f>
        <v>2024</v>
      </c>
    </row>
    <row r="3034" spans="1:13" x14ac:dyDescent="0.25">
      <c r="A3034" t="s">
        <v>12</v>
      </c>
      <c r="B3034" t="s">
        <v>561</v>
      </c>
      <c r="C3034" t="s">
        <v>1543</v>
      </c>
      <c r="D3034" t="s">
        <v>1544</v>
      </c>
      <c r="E3034" t="s">
        <v>1798</v>
      </c>
      <c r="F3034" s="20">
        <v>2474.62</v>
      </c>
      <c r="I3034" s="11">
        <f t="shared" si="118"/>
        <v>45470</v>
      </c>
      <c r="J3034" s="12">
        <f t="shared" si="119"/>
        <v>96</v>
      </c>
      <c r="K3034" t="str">
        <f t="shared" si="120"/>
        <v>91-120</v>
      </c>
      <c r="L3034" s="11">
        <v>45566</v>
      </c>
      <c r="M3034" s="23">
        <f>YEAR(Таблица1[[#This Row],[Дата отчета]])</f>
        <v>2024</v>
      </c>
    </row>
    <row r="3035" spans="1:13" x14ac:dyDescent="0.25">
      <c r="A3035" t="s">
        <v>12</v>
      </c>
      <c r="B3035" t="s">
        <v>561</v>
      </c>
      <c r="C3035" t="s">
        <v>2941</v>
      </c>
      <c r="D3035" t="s">
        <v>566</v>
      </c>
      <c r="E3035" t="s">
        <v>204</v>
      </c>
      <c r="F3035" s="20">
        <v>995281.85</v>
      </c>
      <c r="I3035" s="11">
        <f t="shared" si="118"/>
        <v>45481</v>
      </c>
      <c r="J3035" s="12">
        <f t="shared" si="119"/>
        <v>85</v>
      </c>
      <c r="K3035" t="str">
        <f t="shared" si="120"/>
        <v>31-90</v>
      </c>
      <c r="L3035" s="11">
        <v>45566</v>
      </c>
      <c r="M3035" s="23">
        <f>YEAR(Таблица1[[#This Row],[Дата отчета]])</f>
        <v>2024</v>
      </c>
    </row>
    <row r="3036" spans="1:13" x14ac:dyDescent="0.25">
      <c r="A3036" t="s">
        <v>12</v>
      </c>
      <c r="B3036" t="s">
        <v>561</v>
      </c>
      <c r="C3036" t="s">
        <v>1548</v>
      </c>
      <c r="D3036" t="s">
        <v>1549</v>
      </c>
      <c r="E3036" t="s">
        <v>1799</v>
      </c>
      <c r="F3036" s="20">
        <v>2.4</v>
      </c>
      <c r="I3036" s="11">
        <f t="shared" si="118"/>
        <v>45478</v>
      </c>
      <c r="J3036" s="12">
        <f t="shared" si="119"/>
        <v>88</v>
      </c>
      <c r="K3036" t="str">
        <f t="shared" si="120"/>
        <v>31-90</v>
      </c>
      <c r="L3036" s="11">
        <v>45566</v>
      </c>
      <c r="M3036" s="23">
        <f>YEAR(Таблица1[[#This Row],[Дата отчета]])</f>
        <v>2024</v>
      </c>
    </row>
    <row r="3037" spans="1:13" x14ac:dyDescent="0.25">
      <c r="A3037" t="s">
        <v>12</v>
      </c>
      <c r="B3037" t="s">
        <v>561</v>
      </c>
      <c r="C3037" t="s">
        <v>2942</v>
      </c>
      <c r="D3037" t="s">
        <v>565</v>
      </c>
      <c r="E3037" t="s">
        <v>204</v>
      </c>
      <c r="F3037" s="20">
        <v>31.2</v>
      </c>
      <c r="I3037" s="11">
        <f t="shared" si="118"/>
        <v>45481</v>
      </c>
      <c r="J3037" s="12">
        <f t="shared" si="119"/>
        <v>85</v>
      </c>
      <c r="K3037" t="str">
        <f t="shared" si="120"/>
        <v>31-90</v>
      </c>
      <c r="L3037" s="11">
        <v>45566</v>
      </c>
      <c r="M3037" s="23">
        <f>YEAR(Таблица1[[#This Row],[Дата отчета]])</f>
        <v>2024</v>
      </c>
    </row>
    <row r="3038" spans="1:13" x14ac:dyDescent="0.25">
      <c r="A3038" t="s">
        <v>12</v>
      </c>
      <c r="B3038" t="s">
        <v>561</v>
      </c>
      <c r="C3038" t="s">
        <v>2943</v>
      </c>
      <c r="D3038" t="s">
        <v>567</v>
      </c>
      <c r="E3038" t="s">
        <v>568</v>
      </c>
      <c r="F3038" s="20">
        <v>395493.5</v>
      </c>
      <c r="I3038" s="11">
        <f t="shared" si="118"/>
        <v>45527</v>
      </c>
      <c r="J3038" s="12">
        <f t="shared" si="119"/>
        <v>39</v>
      </c>
      <c r="K3038" t="str">
        <f t="shared" si="120"/>
        <v>31-90</v>
      </c>
      <c r="L3038" s="11">
        <v>45566</v>
      </c>
      <c r="M3038" s="23">
        <f>YEAR(Таблица1[[#This Row],[Дата отчета]])</f>
        <v>2024</v>
      </c>
    </row>
    <row r="3039" spans="1:13" x14ac:dyDescent="0.25">
      <c r="A3039" t="s">
        <v>12</v>
      </c>
      <c r="B3039" t="s">
        <v>561</v>
      </c>
      <c r="C3039" t="s">
        <v>2944</v>
      </c>
      <c r="D3039" t="s">
        <v>2634</v>
      </c>
      <c r="E3039" t="s">
        <v>2635</v>
      </c>
      <c r="F3039" s="20">
        <v>36345.29</v>
      </c>
      <c r="I3039" s="11">
        <f t="shared" si="118"/>
        <v>45505</v>
      </c>
      <c r="J3039" s="12">
        <f t="shared" si="119"/>
        <v>61</v>
      </c>
      <c r="K3039" t="str">
        <f t="shared" si="120"/>
        <v>31-90</v>
      </c>
      <c r="L3039" s="11">
        <v>45566</v>
      </c>
      <c r="M3039" s="23">
        <f>YEAR(Таблица1[[#This Row],[Дата отчета]])</f>
        <v>2024</v>
      </c>
    </row>
    <row r="3040" spans="1:13" x14ac:dyDescent="0.25">
      <c r="A3040" t="s">
        <v>12</v>
      </c>
      <c r="B3040" t="s">
        <v>561</v>
      </c>
      <c r="C3040" t="s">
        <v>2945</v>
      </c>
      <c r="D3040" t="s">
        <v>2637</v>
      </c>
      <c r="E3040" t="s">
        <v>1800</v>
      </c>
      <c r="F3040" s="20">
        <v>35878.480000000003</v>
      </c>
      <c r="I3040" s="11">
        <f t="shared" si="118"/>
        <v>45512</v>
      </c>
      <c r="J3040" s="12">
        <f t="shared" si="119"/>
        <v>54</v>
      </c>
      <c r="K3040" t="str">
        <f t="shared" si="120"/>
        <v>31-90</v>
      </c>
      <c r="L3040" s="11">
        <v>45566</v>
      </c>
      <c r="M3040" s="23">
        <f>YEAR(Таблица1[[#This Row],[Дата отчета]])</f>
        <v>2024</v>
      </c>
    </row>
    <row r="3041" spans="1:13" x14ac:dyDescent="0.25">
      <c r="A3041" t="s">
        <v>12</v>
      </c>
      <c r="B3041" t="s">
        <v>561</v>
      </c>
      <c r="C3041" t="s">
        <v>1562</v>
      </c>
      <c r="D3041" t="s">
        <v>1563</v>
      </c>
      <c r="E3041" t="s">
        <v>1800</v>
      </c>
      <c r="F3041" s="20">
        <v>13920</v>
      </c>
      <c r="I3041" s="11">
        <f t="shared" si="118"/>
        <v>45512</v>
      </c>
      <c r="J3041" s="12">
        <f t="shared" si="119"/>
        <v>54</v>
      </c>
      <c r="K3041" t="str">
        <f t="shared" si="120"/>
        <v>31-90</v>
      </c>
      <c r="L3041" s="11">
        <v>45566</v>
      </c>
      <c r="M3041" s="23">
        <f>YEAR(Таблица1[[#This Row],[Дата отчета]])</f>
        <v>2024</v>
      </c>
    </row>
    <row r="3042" spans="1:13" x14ac:dyDescent="0.25">
      <c r="A3042" t="s">
        <v>12</v>
      </c>
      <c r="B3042" t="s">
        <v>561</v>
      </c>
      <c r="C3042" t="s">
        <v>1566</v>
      </c>
      <c r="D3042" t="s">
        <v>1567</v>
      </c>
      <c r="E3042" t="s">
        <v>1801</v>
      </c>
      <c r="F3042" s="20">
        <v>355885.99</v>
      </c>
      <c r="I3042" s="11">
        <f t="shared" si="118"/>
        <v>45524</v>
      </c>
      <c r="J3042" s="12">
        <f t="shared" si="119"/>
        <v>42</v>
      </c>
      <c r="K3042" t="str">
        <f t="shared" si="120"/>
        <v>31-90</v>
      </c>
      <c r="L3042" s="11">
        <v>45566</v>
      </c>
      <c r="M3042" s="23">
        <f>YEAR(Таблица1[[#This Row],[Дата отчета]])</f>
        <v>2024</v>
      </c>
    </row>
    <row r="3043" spans="1:13" x14ac:dyDescent="0.25">
      <c r="A3043" t="s">
        <v>12</v>
      </c>
      <c r="B3043" t="s">
        <v>561</v>
      </c>
      <c r="C3043" t="s">
        <v>1568</v>
      </c>
      <c r="D3043" t="s">
        <v>1569</v>
      </c>
      <c r="E3043" t="s">
        <v>1802</v>
      </c>
      <c r="F3043" s="20">
        <v>21441.599999999999</v>
      </c>
      <c r="I3043" s="11">
        <f t="shared" si="118"/>
        <v>45531</v>
      </c>
      <c r="J3043" s="12">
        <f t="shared" si="119"/>
        <v>35</v>
      </c>
      <c r="K3043" t="str">
        <f t="shared" si="120"/>
        <v>31-90</v>
      </c>
      <c r="L3043" s="11">
        <v>45566</v>
      </c>
      <c r="M3043" s="23">
        <f>YEAR(Таблица1[[#This Row],[Дата отчета]])</f>
        <v>2024</v>
      </c>
    </row>
    <row r="3044" spans="1:13" x14ac:dyDescent="0.25">
      <c r="A3044" t="s">
        <v>12</v>
      </c>
      <c r="B3044" t="s">
        <v>561</v>
      </c>
      <c r="C3044" t="s">
        <v>1570</v>
      </c>
      <c r="D3044" t="s">
        <v>1571</v>
      </c>
      <c r="E3044" t="s">
        <v>734</v>
      </c>
      <c r="F3044" s="20">
        <v>121190.09</v>
      </c>
      <c r="I3044" s="11">
        <f t="shared" si="118"/>
        <v>45541</v>
      </c>
      <c r="J3044" s="12">
        <f t="shared" si="119"/>
        <v>25</v>
      </c>
      <c r="K3044" t="str">
        <f t="shared" si="120"/>
        <v>0-30</v>
      </c>
      <c r="L3044" s="11">
        <v>45566</v>
      </c>
      <c r="M3044" s="23">
        <f>YEAR(Таблица1[[#This Row],[Дата отчета]])</f>
        <v>2024</v>
      </c>
    </row>
    <row r="3045" spans="1:13" x14ac:dyDescent="0.25">
      <c r="A3045" t="s">
        <v>12</v>
      </c>
      <c r="B3045" t="s">
        <v>2641</v>
      </c>
      <c r="C3045" t="s">
        <v>2642</v>
      </c>
      <c r="D3045" t="s">
        <v>3202</v>
      </c>
      <c r="E3045" t="s">
        <v>3035</v>
      </c>
      <c r="F3045" s="20">
        <v>9500</v>
      </c>
      <c r="I3045" s="11">
        <f t="shared" si="118"/>
        <v>45565</v>
      </c>
      <c r="J3045" s="12">
        <f t="shared" si="119"/>
        <v>1</v>
      </c>
      <c r="K3045" t="str">
        <f t="shared" si="120"/>
        <v>0-30</v>
      </c>
      <c r="L3045" s="11">
        <v>45566</v>
      </c>
      <c r="M3045" s="23">
        <f>YEAR(Таблица1[[#This Row],[Дата отчета]])</f>
        <v>2024</v>
      </c>
    </row>
    <row r="3046" spans="1:13" x14ac:dyDescent="0.25">
      <c r="A3046" t="s">
        <v>12</v>
      </c>
      <c r="B3046" t="s">
        <v>2947</v>
      </c>
      <c r="C3046" t="s">
        <v>2948</v>
      </c>
      <c r="D3046" t="s">
        <v>2949</v>
      </c>
      <c r="E3046" t="s">
        <v>2922</v>
      </c>
      <c r="F3046" s="20">
        <v>250800</v>
      </c>
      <c r="I3046" s="11">
        <f t="shared" si="118"/>
        <v>45551</v>
      </c>
      <c r="J3046" s="12">
        <f t="shared" si="119"/>
        <v>15</v>
      </c>
      <c r="K3046" t="str">
        <f t="shared" si="120"/>
        <v>0-30</v>
      </c>
      <c r="L3046" s="11">
        <v>45566</v>
      </c>
      <c r="M3046" s="23">
        <f>YEAR(Таблица1[[#This Row],[Дата отчета]])</f>
        <v>2024</v>
      </c>
    </row>
    <row r="3047" spans="1:13" x14ac:dyDescent="0.25">
      <c r="A3047" t="s">
        <v>12</v>
      </c>
      <c r="B3047" t="s">
        <v>2197</v>
      </c>
      <c r="C3047" t="s">
        <v>2200</v>
      </c>
      <c r="D3047" t="s">
        <v>2201</v>
      </c>
      <c r="E3047" t="s">
        <v>284</v>
      </c>
      <c r="F3047" s="20">
        <v>1207500</v>
      </c>
      <c r="I3047" s="11">
        <f t="shared" ref="I3047:I3110" si="121">E3047*1</f>
        <v>45398</v>
      </c>
      <c r="J3047" s="12">
        <f t="shared" ref="J3047:J3110" si="122">L3047-I3047</f>
        <v>168</v>
      </c>
      <c r="K3047" t="str">
        <f t="shared" si="120"/>
        <v>121-180</v>
      </c>
      <c r="L3047" s="11">
        <v>45566</v>
      </c>
      <c r="M3047" s="23">
        <f>YEAR(Таблица1[[#This Row],[Дата отчета]])</f>
        <v>2024</v>
      </c>
    </row>
    <row r="3048" spans="1:13" x14ac:dyDescent="0.25">
      <c r="A3048" t="s">
        <v>12</v>
      </c>
      <c r="B3048" t="s">
        <v>589</v>
      </c>
      <c r="C3048" t="s">
        <v>590</v>
      </c>
      <c r="D3048" t="s">
        <v>3203</v>
      </c>
      <c r="E3048" t="s">
        <v>3073</v>
      </c>
      <c r="F3048" s="20">
        <v>412.02</v>
      </c>
      <c r="I3048" s="11">
        <f t="shared" si="121"/>
        <v>45446</v>
      </c>
      <c r="J3048" s="12">
        <f t="shared" si="122"/>
        <v>120</v>
      </c>
      <c r="K3048" t="str">
        <f t="shared" si="120"/>
        <v>91-120</v>
      </c>
      <c r="L3048" s="11">
        <v>45566</v>
      </c>
      <c r="M3048" s="23">
        <f>YEAR(Таблица1[[#This Row],[Дата отчета]])</f>
        <v>2024</v>
      </c>
    </row>
    <row r="3049" spans="1:13" x14ac:dyDescent="0.25">
      <c r="A3049" t="s">
        <v>12</v>
      </c>
      <c r="B3049" t="s">
        <v>589</v>
      </c>
      <c r="C3049" t="s">
        <v>590</v>
      </c>
      <c r="D3049" t="s">
        <v>3204</v>
      </c>
      <c r="E3049" t="s">
        <v>1804</v>
      </c>
      <c r="F3049" s="20">
        <v>500</v>
      </c>
      <c r="I3049" s="11">
        <f t="shared" si="121"/>
        <v>45477</v>
      </c>
      <c r="J3049" s="12">
        <f t="shared" si="122"/>
        <v>89</v>
      </c>
      <c r="K3049" t="str">
        <f t="shared" si="120"/>
        <v>31-90</v>
      </c>
      <c r="L3049" s="11">
        <v>45566</v>
      </c>
      <c r="M3049" s="23">
        <f>YEAR(Таблица1[[#This Row],[Дата отчета]])</f>
        <v>2024</v>
      </c>
    </row>
    <row r="3050" spans="1:13" x14ac:dyDescent="0.25">
      <c r="A3050" t="s">
        <v>12</v>
      </c>
      <c r="B3050" t="s">
        <v>589</v>
      </c>
      <c r="C3050" t="s">
        <v>594</v>
      </c>
      <c r="D3050" t="s">
        <v>3205</v>
      </c>
      <c r="E3050" t="s">
        <v>3073</v>
      </c>
      <c r="F3050" s="20">
        <v>138.34</v>
      </c>
      <c r="I3050" s="11">
        <f t="shared" si="121"/>
        <v>45446</v>
      </c>
      <c r="J3050" s="12">
        <f t="shared" si="122"/>
        <v>120</v>
      </c>
      <c r="K3050" t="str">
        <f t="shared" si="120"/>
        <v>91-120</v>
      </c>
      <c r="L3050" s="11">
        <v>45566</v>
      </c>
      <c r="M3050" s="23">
        <f>YEAR(Таблица1[[#This Row],[Дата отчета]])</f>
        <v>2024</v>
      </c>
    </row>
    <row r="3051" spans="1:13" x14ac:dyDescent="0.25">
      <c r="A3051" t="s">
        <v>12</v>
      </c>
      <c r="B3051" t="s">
        <v>589</v>
      </c>
      <c r="C3051" t="s">
        <v>594</v>
      </c>
      <c r="D3051" t="s">
        <v>3206</v>
      </c>
      <c r="E3051" t="s">
        <v>2953</v>
      </c>
      <c r="F3051" s="20">
        <v>2000</v>
      </c>
      <c r="I3051" s="11">
        <f t="shared" si="121"/>
        <v>45545</v>
      </c>
      <c r="J3051" s="12">
        <f t="shared" si="122"/>
        <v>21</v>
      </c>
      <c r="K3051" t="str">
        <f t="shared" si="120"/>
        <v>0-30</v>
      </c>
      <c r="L3051" s="11">
        <v>45566</v>
      </c>
      <c r="M3051" s="23">
        <f>YEAR(Таблица1[[#This Row],[Дата отчета]])</f>
        <v>2024</v>
      </c>
    </row>
    <row r="3052" spans="1:13" x14ac:dyDescent="0.25">
      <c r="A3052" t="s">
        <v>12</v>
      </c>
      <c r="B3052" t="s">
        <v>589</v>
      </c>
      <c r="C3052" t="s">
        <v>596</v>
      </c>
      <c r="D3052" t="s">
        <v>3207</v>
      </c>
      <c r="E3052" t="s">
        <v>1804</v>
      </c>
      <c r="F3052" s="20">
        <v>3560.35</v>
      </c>
      <c r="I3052" s="11">
        <f t="shared" si="121"/>
        <v>45477</v>
      </c>
      <c r="J3052" s="12">
        <f t="shared" si="122"/>
        <v>89</v>
      </c>
      <c r="K3052" t="str">
        <f t="shared" si="120"/>
        <v>31-90</v>
      </c>
      <c r="L3052" s="11">
        <v>45566</v>
      </c>
      <c r="M3052" s="23">
        <f>YEAR(Таблица1[[#This Row],[Дата отчета]])</f>
        <v>2024</v>
      </c>
    </row>
    <row r="3053" spans="1:13" x14ac:dyDescent="0.25">
      <c r="A3053" t="s">
        <v>12</v>
      </c>
      <c r="B3053" t="s">
        <v>589</v>
      </c>
      <c r="C3053" t="s">
        <v>596</v>
      </c>
      <c r="D3053" t="s">
        <v>2952</v>
      </c>
      <c r="E3053" t="s">
        <v>2953</v>
      </c>
      <c r="F3053" s="20">
        <v>5000</v>
      </c>
      <c r="I3053" s="11">
        <f t="shared" si="121"/>
        <v>45545</v>
      </c>
      <c r="J3053" s="12">
        <f t="shared" si="122"/>
        <v>21</v>
      </c>
      <c r="K3053" t="str">
        <f t="shared" si="120"/>
        <v>0-30</v>
      </c>
      <c r="L3053" s="11">
        <v>45566</v>
      </c>
      <c r="M3053" s="23">
        <f>YEAR(Таблица1[[#This Row],[Дата отчета]])</f>
        <v>2024</v>
      </c>
    </row>
    <row r="3054" spans="1:13" x14ac:dyDescent="0.25">
      <c r="A3054" t="s">
        <v>12</v>
      </c>
      <c r="B3054" t="s">
        <v>589</v>
      </c>
      <c r="C3054" t="s">
        <v>598</v>
      </c>
      <c r="D3054" t="s">
        <v>599</v>
      </c>
      <c r="E3054" t="s">
        <v>600</v>
      </c>
      <c r="F3054" s="20">
        <v>45.91</v>
      </c>
      <c r="I3054" s="11">
        <f t="shared" si="121"/>
        <v>43560</v>
      </c>
      <c r="J3054" s="12">
        <f t="shared" si="122"/>
        <v>2006</v>
      </c>
      <c r="K3054" t="str">
        <f t="shared" si="120"/>
        <v>&gt;360</v>
      </c>
      <c r="L3054" s="11">
        <v>45566</v>
      </c>
      <c r="M3054" s="23">
        <f>YEAR(Таблица1[[#This Row],[Дата отчета]])</f>
        <v>2024</v>
      </c>
    </row>
    <row r="3055" spans="1:13" x14ac:dyDescent="0.25">
      <c r="A3055" t="s">
        <v>12</v>
      </c>
      <c r="B3055" t="s">
        <v>589</v>
      </c>
      <c r="C3055" t="s">
        <v>601</v>
      </c>
      <c r="D3055" t="s">
        <v>3208</v>
      </c>
      <c r="E3055" t="s">
        <v>1804</v>
      </c>
      <c r="F3055" s="20">
        <v>1679.71</v>
      </c>
      <c r="I3055" s="11">
        <f t="shared" si="121"/>
        <v>45477</v>
      </c>
      <c r="J3055" s="12">
        <f t="shared" si="122"/>
        <v>89</v>
      </c>
      <c r="K3055" t="str">
        <f t="shared" si="120"/>
        <v>31-90</v>
      </c>
      <c r="L3055" s="11">
        <v>45566</v>
      </c>
      <c r="M3055" s="23">
        <f>YEAR(Таблица1[[#This Row],[Дата отчета]])</f>
        <v>2024</v>
      </c>
    </row>
    <row r="3056" spans="1:13" x14ac:dyDescent="0.25">
      <c r="A3056" t="s">
        <v>12</v>
      </c>
      <c r="B3056" t="s">
        <v>589</v>
      </c>
      <c r="C3056" t="s">
        <v>601</v>
      </c>
      <c r="D3056" t="s">
        <v>2954</v>
      </c>
      <c r="E3056" t="s">
        <v>2953</v>
      </c>
      <c r="F3056" s="20">
        <v>2000</v>
      </c>
      <c r="I3056" s="11">
        <f t="shared" si="121"/>
        <v>45545</v>
      </c>
      <c r="J3056" s="12">
        <f t="shared" si="122"/>
        <v>21</v>
      </c>
      <c r="K3056" t="str">
        <f t="shared" si="120"/>
        <v>0-30</v>
      </c>
      <c r="L3056" s="11">
        <v>45566</v>
      </c>
      <c r="M3056" s="23">
        <f>YEAR(Таблица1[[#This Row],[Дата отчета]])</f>
        <v>2024</v>
      </c>
    </row>
    <row r="3057" spans="1:13" x14ac:dyDescent="0.25">
      <c r="A3057" t="s">
        <v>12</v>
      </c>
      <c r="B3057" t="s">
        <v>589</v>
      </c>
      <c r="C3057" t="s">
        <v>604</v>
      </c>
      <c r="D3057" t="s">
        <v>1609</v>
      </c>
      <c r="E3057" t="s">
        <v>1804</v>
      </c>
      <c r="F3057" s="20">
        <v>492.13</v>
      </c>
      <c r="I3057" s="11">
        <f t="shared" si="121"/>
        <v>45477</v>
      </c>
      <c r="J3057" s="12">
        <f t="shared" si="122"/>
        <v>89</v>
      </c>
      <c r="K3057" t="str">
        <f t="shared" si="120"/>
        <v>31-90</v>
      </c>
      <c r="L3057" s="11">
        <v>45566</v>
      </c>
      <c r="M3057" s="23">
        <f>YEAR(Таблица1[[#This Row],[Дата отчета]])</f>
        <v>2024</v>
      </c>
    </row>
    <row r="3058" spans="1:13" x14ac:dyDescent="0.25">
      <c r="A3058" t="s">
        <v>12</v>
      </c>
      <c r="B3058" t="s">
        <v>589</v>
      </c>
      <c r="C3058" t="s">
        <v>607</v>
      </c>
      <c r="D3058" t="s">
        <v>608</v>
      </c>
      <c r="E3058" t="s">
        <v>609</v>
      </c>
      <c r="F3058" s="20">
        <v>771.25</v>
      </c>
      <c r="I3058" s="11">
        <f t="shared" si="121"/>
        <v>45233</v>
      </c>
      <c r="J3058" s="12">
        <f t="shared" si="122"/>
        <v>333</v>
      </c>
      <c r="K3058" t="str">
        <f t="shared" si="120"/>
        <v>271-360</v>
      </c>
      <c r="L3058" s="11">
        <v>45566</v>
      </c>
      <c r="M3058" s="23">
        <f>YEAR(Таблица1[[#This Row],[Дата отчета]])</f>
        <v>2024</v>
      </c>
    </row>
    <row r="3059" spans="1:13" x14ac:dyDescent="0.25">
      <c r="A3059" t="s">
        <v>12</v>
      </c>
      <c r="B3059" t="s">
        <v>589</v>
      </c>
      <c r="C3059" t="s">
        <v>607</v>
      </c>
      <c r="D3059" t="s">
        <v>610</v>
      </c>
      <c r="E3059" t="s">
        <v>611</v>
      </c>
      <c r="F3059" s="20">
        <v>500</v>
      </c>
      <c r="I3059" s="11">
        <f t="shared" si="121"/>
        <v>45335</v>
      </c>
      <c r="J3059" s="12">
        <f t="shared" si="122"/>
        <v>231</v>
      </c>
      <c r="K3059" t="str">
        <f t="shared" si="120"/>
        <v>181-270</v>
      </c>
      <c r="L3059" s="11">
        <v>45566</v>
      </c>
      <c r="M3059" s="23">
        <f>YEAR(Таблица1[[#This Row],[Дата отчета]])</f>
        <v>2024</v>
      </c>
    </row>
    <row r="3060" spans="1:13" x14ac:dyDescent="0.25">
      <c r="A3060" t="s">
        <v>12</v>
      </c>
      <c r="B3060" t="s">
        <v>589</v>
      </c>
      <c r="C3060" t="s">
        <v>612</v>
      </c>
      <c r="D3060" t="s">
        <v>3209</v>
      </c>
      <c r="E3060" t="s">
        <v>1804</v>
      </c>
      <c r="F3060" s="20">
        <v>1771.47</v>
      </c>
      <c r="I3060" s="11">
        <f t="shared" si="121"/>
        <v>45477</v>
      </c>
      <c r="J3060" s="12">
        <f t="shared" si="122"/>
        <v>89</v>
      </c>
      <c r="K3060" t="str">
        <f t="shared" si="120"/>
        <v>31-90</v>
      </c>
      <c r="L3060" s="11">
        <v>45566</v>
      </c>
      <c r="M3060" s="23">
        <f>YEAR(Таблица1[[#This Row],[Дата отчета]])</f>
        <v>2024</v>
      </c>
    </row>
    <row r="3061" spans="1:13" x14ac:dyDescent="0.25">
      <c r="A3061" t="s">
        <v>12</v>
      </c>
      <c r="B3061" t="s">
        <v>589</v>
      </c>
      <c r="C3061" t="s">
        <v>612</v>
      </c>
      <c r="D3061" t="s">
        <v>2956</v>
      </c>
      <c r="E3061" t="s">
        <v>2953</v>
      </c>
      <c r="F3061" s="20">
        <v>2000</v>
      </c>
      <c r="I3061" s="11">
        <f t="shared" si="121"/>
        <v>45545</v>
      </c>
      <c r="J3061" s="12">
        <f t="shared" si="122"/>
        <v>21</v>
      </c>
      <c r="K3061" t="str">
        <f t="shared" si="120"/>
        <v>0-30</v>
      </c>
      <c r="L3061" s="11">
        <v>45566</v>
      </c>
      <c r="M3061" s="23">
        <f>YEAR(Таблица1[[#This Row],[Дата отчета]])</f>
        <v>2024</v>
      </c>
    </row>
    <row r="3062" spans="1:13" x14ac:dyDescent="0.25">
      <c r="A3062" t="s">
        <v>12</v>
      </c>
      <c r="B3062" t="s">
        <v>589</v>
      </c>
      <c r="C3062" t="s">
        <v>615</v>
      </c>
      <c r="D3062" t="s">
        <v>616</v>
      </c>
      <c r="E3062" t="s">
        <v>617</v>
      </c>
      <c r="F3062" s="20">
        <v>127.6</v>
      </c>
      <c r="I3062" s="11">
        <f t="shared" si="121"/>
        <v>42468</v>
      </c>
      <c r="J3062" s="12">
        <f t="shared" si="122"/>
        <v>3098</v>
      </c>
      <c r="K3062" t="str">
        <f t="shared" si="120"/>
        <v>&gt;360</v>
      </c>
      <c r="L3062" s="11">
        <v>45566</v>
      </c>
      <c r="M3062" s="23">
        <f>YEAR(Таблица1[[#This Row],[Дата отчета]])</f>
        <v>2024</v>
      </c>
    </row>
    <row r="3063" spans="1:13" x14ac:dyDescent="0.25">
      <c r="A3063" t="s">
        <v>12</v>
      </c>
      <c r="B3063" t="s">
        <v>589</v>
      </c>
      <c r="C3063" t="s">
        <v>615</v>
      </c>
      <c r="D3063" t="s">
        <v>618</v>
      </c>
      <c r="E3063" t="s">
        <v>619</v>
      </c>
      <c r="F3063" s="20">
        <v>430</v>
      </c>
      <c r="I3063" s="11">
        <f t="shared" si="121"/>
        <v>42501</v>
      </c>
      <c r="J3063" s="12">
        <f t="shared" si="122"/>
        <v>3065</v>
      </c>
      <c r="K3063" t="str">
        <f t="shared" si="120"/>
        <v>&gt;360</v>
      </c>
      <c r="L3063" s="11">
        <v>45566</v>
      </c>
      <c r="M3063" s="23">
        <f>YEAR(Таблица1[[#This Row],[Дата отчета]])</f>
        <v>2024</v>
      </c>
    </row>
    <row r="3064" spans="1:13" x14ac:dyDescent="0.25">
      <c r="A3064" t="s">
        <v>12</v>
      </c>
      <c r="B3064" t="s">
        <v>589</v>
      </c>
      <c r="C3064" t="s">
        <v>615</v>
      </c>
      <c r="D3064" t="s">
        <v>620</v>
      </c>
      <c r="E3064" t="s">
        <v>621</v>
      </c>
      <c r="F3064" s="20">
        <v>0.01</v>
      </c>
      <c r="I3064" s="11">
        <f t="shared" si="121"/>
        <v>43817</v>
      </c>
      <c r="J3064" s="12">
        <f t="shared" si="122"/>
        <v>1749</v>
      </c>
      <c r="K3064" t="str">
        <f t="shared" si="120"/>
        <v>&gt;360</v>
      </c>
      <c r="L3064" s="11">
        <v>45566</v>
      </c>
      <c r="M3064" s="23">
        <f>YEAR(Таблица1[[#This Row],[Дата отчета]])</f>
        <v>2024</v>
      </c>
    </row>
    <row r="3065" spans="1:13" x14ac:dyDescent="0.25">
      <c r="A3065" t="s">
        <v>12</v>
      </c>
      <c r="B3065" t="s">
        <v>589</v>
      </c>
      <c r="C3065" t="s">
        <v>622</v>
      </c>
      <c r="F3065" s="20">
        <v>68.27</v>
      </c>
      <c r="I3065" s="11">
        <f t="shared" si="121"/>
        <v>0</v>
      </c>
      <c r="J3065" s="12">
        <f t="shared" si="122"/>
        <v>45566</v>
      </c>
      <c r="K3065" t="str">
        <f t="shared" si="120"/>
        <v>&gt;360</v>
      </c>
      <c r="L3065" s="11">
        <v>45566</v>
      </c>
      <c r="M3065" s="23">
        <f>YEAR(Таблица1[[#This Row],[Дата отчета]])</f>
        <v>2024</v>
      </c>
    </row>
    <row r="3066" spans="1:13" x14ac:dyDescent="0.25">
      <c r="A3066" t="s">
        <v>12</v>
      </c>
      <c r="B3066" t="s">
        <v>589</v>
      </c>
      <c r="C3066" t="s">
        <v>623</v>
      </c>
      <c r="D3066" t="s">
        <v>624</v>
      </c>
      <c r="E3066" t="s">
        <v>625</v>
      </c>
      <c r="F3066" s="20">
        <v>799.94</v>
      </c>
      <c r="I3066" s="11">
        <f t="shared" si="121"/>
        <v>42429</v>
      </c>
      <c r="J3066" s="12">
        <f t="shared" si="122"/>
        <v>3137</v>
      </c>
      <c r="K3066" t="str">
        <f t="shared" si="120"/>
        <v>&gt;360</v>
      </c>
      <c r="L3066" s="11">
        <v>45566</v>
      </c>
      <c r="M3066" s="23">
        <f>YEAR(Таблица1[[#This Row],[Дата отчета]])</f>
        <v>2024</v>
      </c>
    </row>
    <row r="3067" spans="1:13" x14ac:dyDescent="0.25">
      <c r="A3067" t="s">
        <v>12</v>
      </c>
      <c r="B3067" t="s">
        <v>589</v>
      </c>
      <c r="C3067" t="s">
        <v>626</v>
      </c>
      <c r="D3067" t="s">
        <v>3210</v>
      </c>
      <c r="E3067" t="s">
        <v>3211</v>
      </c>
      <c r="F3067" s="20">
        <v>869</v>
      </c>
      <c r="I3067" s="11">
        <f t="shared" si="121"/>
        <v>45535</v>
      </c>
      <c r="J3067" s="12">
        <f t="shared" si="122"/>
        <v>31</v>
      </c>
      <c r="K3067" t="str">
        <f t="shared" si="120"/>
        <v>31-90</v>
      </c>
      <c r="L3067" s="11">
        <v>45566</v>
      </c>
      <c r="M3067" s="23">
        <f>YEAR(Таблица1[[#This Row],[Дата отчета]])</f>
        <v>2024</v>
      </c>
    </row>
    <row r="3068" spans="1:13" x14ac:dyDescent="0.25">
      <c r="A3068" t="s">
        <v>12</v>
      </c>
      <c r="B3068" t="s">
        <v>589</v>
      </c>
      <c r="C3068" t="s">
        <v>626</v>
      </c>
      <c r="D3068" t="s">
        <v>3212</v>
      </c>
      <c r="E3068" t="s">
        <v>2953</v>
      </c>
      <c r="F3068" s="20">
        <v>3220.76</v>
      </c>
      <c r="I3068" s="11">
        <f t="shared" si="121"/>
        <v>45545</v>
      </c>
      <c r="J3068" s="12">
        <f t="shared" si="122"/>
        <v>21</v>
      </c>
      <c r="K3068" t="str">
        <f t="shared" si="120"/>
        <v>0-30</v>
      </c>
      <c r="L3068" s="11">
        <v>45566</v>
      </c>
      <c r="M3068" s="23">
        <f>YEAR(Таблица1[[#This Row],[Дата отчета]])</f>
        <v>2024</v>
      </c>
    </row>
    <row r="3069" spans="1:13" x14ac:dyDescent="0.25">
      <c r="A3069" t="s">
        <v>12</v>
      </c>
      <c r="B3069" t="s">
        <v>1615</v>
      </c>
      <c r="C3069" t="s">
        <v>269</v>
      </c>
      <c r="D3069" t="s">
        <v>3213</v>
      </c>
      <c r="E3069" t="s">
        <v>3140</v>
      </c>
      <c r="F3069" s="20">
        <v>380</v>
      </c>
      <c r="I3069" s="11">
        <f t="shared" si="121"/>
        <v>45463</v>
      </c>
      <c r="J3069" s="12">
        <f t="shared" si="122"/>
        <v>103</v>
      </c>
      <c r="K3069" t="str">
        <f t="shared" si="120"/>
        <v>91-120</v>
      </c>
      <c r="L3069" s="11">
        <v>45566</v>
      </c>
      <c r="M3069" s="23">
        <f>YEAR(Таблица1[[#This Row],[Дата отчета]])</f>
        <v>2024</v>
      </c>
    </row>
    <row r="3070" spans="1:13" x14ac:dyDescent="0.25">
      <c r="A3070" t="s">
        <v>12</v>
      </c>
      <c r="B3070" t="s">
        <v>1615</v>
      </c>
      <c r="C3070" t="s">
        <v>269</v>
      </c>
      <c r="D3070" t="s">
        <v>3214</v>
      </c>
      <c r="E3070" t="s">
        <v>2824</v>
      </c>
      <c r="F3070" s="20">
        <v>3120</v>
      </c>
      <c r="I3070" s="11">
        <f t="shared" si="121"/>
        <v>45547</v>
      </c>
      <c r="J3070" s="12">
        <f t="shared" si="122"/>
        <v>19</v>
      </c>
      <c r="K3070" t="str">
        <f t="shared" si="120"/>
        <v>0-30</v>
      </c>
      <c r="L3070" s="11">
        <v>45566</v>
      </c>
      <c r="M3070" s="23">
        <f>YEAR(Таблица1[[#This Row],[Дата отчета]])</f>
        <v>2024</v>
      </c>
    </row>
    <row r="3071" spans="1:13" x14ac:dyDescent="0.25">
      <c r="A3071" t="s">
        <v>12</v>
      </c>
      <c r="B3071" t="s">
        <v>3215</v>
      </c>
      <c r="C3071" t="s">
        <v>3216</v>
      </c>
      <c r="D3071" t="s">
        <v>3217</v>
      </c>
      <c r="E3071" t="s">
        <v>3061</v>
      </c>
      <c r="F3071" s="20">
        <v>12800</v>
      </c>
      <c r="I3071" s="11">
        <f t="shared" si="121"/>
        <v>45559</v>
      </c>
      <c r="J3071" s="12">
        <f t="shared" si="122"/>
        <v>7</v>
      </c>
      <c r="K3071" t="str">
        <f t="shared" ref="K3071:K3134" si="123">IF(J3071&lt;=30,"0-30",IF(J3071&lt;=90,"31-90",IF(J3071&lt;=120,"91-120",IF(J3071&lt;=180,"121-180",IF(J3071&lt;=270,"181-270",IF(J3071&lt;=360,"271-360","&gt;360"))))))</f>
        <v>0-30</v>
      </c>
      <c r="L3071" s="11">
        <v>45566</v>
      </c>
      <c r="M3071" s="23">
        <f>YEAR(Таблица1[[#This Row],[Дата отчета]])</f>
        <v>2024</v>
      </c>
    </row>
    <row r="3072" spans="1:13" x14ac:dyDescent="0.25">
      <c r="A3072" t="s">
        <v>12</v>
      </c>
      <c r="B3072" t="s">
        <v>3218</v>
      </c>
      <c r="C3072" t="s">
        <v>3219</v>
      </c>
      <c r="D3072" t="s">
        <v>3220</v>
      </c>
      <c r="E3072" t="s">
        <v>189</v>
      </c>
      <c r="F3072" s="20">
        <v>50000</v>
      </c>
      <c r="I3072" s="11">
        <f t="shared" si="121"/>
        <v>45471</v>
      </c>
      <c r="J3072" s="12">
        <f t="shared" si="122"/>
        <v>95</v>
      </c>
      <c r="K3072" t="str">
        <f t="shared" si="123"/>
        <v>91-120</v>
      </c>
      <c r="L3072" s="11">
        <v>45566</v>
      </c>
      <c r="M3072" s="23">
        <f>YEAR(Таблица1[[#This Row],[Дата отчета]])</f>
        <v>2024</v>
      </c>
    </row>
    <row r="3073" spans="1:14" x14ac:dyDescent="0.25">
      <c r="A3073" t="s">
        <v>12</v>
      </c>
      <c r="B3073" t="s">
        <v>680</v>
      </c>
      <c r="C3073" t="s">
        <v>2963</v>
      </c>
      <c r="D3073" t="s">
        <v>2964</v>
      </c>
      <c r="E3073" t="s">
        <v>2965</v>
      </c>
      <c r="F3073" s="20">
        <v>117612.25</v>
      </c>
      <c r="I3073" s="11">
        <f t="shared" si="121"/>
        <v>45377</v>
      </c>
      <c r="J3073" s="12">
        <f t="shared" si="122"/>
        <v>189</v>
      </c>
      <c r="K3073" t="str">
        <f t="shared" si="123"/>
        <v>181-270</v>
      </c>
      <c r="L3073" s="11">
        <v>45566</v>
      </c>
      <c r="M3073" s="23">
        <f>YEAR(Таблица1[[#This Row],[Дата отчета]])</f>
        <v>2024</v>
      </c>
    </row>
    <row r="3074" spans="1:14" x14ac:dyDescent="0.25">
      <c r="A3074" t="s">
        <v>12</v>
      </c>
      <c r="B3074" t="s">
        <v>684</v>
      </c>
      <c r="C3074" t="s">
        <v>685</v>
      </c>
      <c r="D3074" t="s">
        <v>3221</v>
      </c>
      <c r="E3074" t="s">
        <v>2465</v>
      </c>
      <c r="F3074" s="20">
        <v>504800.68</v>
      </c>
      <c r="I3074" s="11">
        <f t="shared" si="121"/>
        <v>45555</v>
      </c>
      <c r="J3074" s="12">
        <f t="shared" si="122"/>
        <v>11</v>
      </c>
      <c r="K3074" t="str">
        <f t="shared" si="123"/>
        <v>0-30</v>
      </c>
      <c r="L3074" s="11">
        <v>45566</v>
      </c>
      <c r="M3074" s="23">
        <f>YEAR(Таблица1[[#This Row],[Дата отчета]])</f>
        <v>2024</v>
      </c>
    </row>
    <row r="3075" spans="1:14" x14ac:dyDescent="0.25">
      <c r="A3075" t="s">
        <v>12</v>
      </c>
      <c r="B3075" t="s">
        <v>684</v>
      </c>
      <c r="C3075" t="s">
        <v>685</v>
      </c>
      <c r="D3075" t="s">
        <v>2966</v>
      </c>
      <c r="E3075" t="s">
        <v>2967</v>
      </c>
      <c r="F3075" s="20">
        <v>768972.23</v>
      </c>
      <c r="I3075" s="11">
        <f t="shared" si="121"/>
        <v>45561</v>
      </c>
      <c r="J3075" s="12">
        <f t="shared" si="122"/>
        <v>5</v>
      </c>
      <c r="K3075" t="str">
        <f t="shared" si="123"/>
        <v>0-30</v>
      </c>
      <c r="L3075" s="11">
        <v>45566</v>
      </c>
      <c r="M3075" s="23">
        <f>YEAR(Таблица1[[#This Row],[Дата отчета]])</f>
        <v>2024</v>
      </c>
    </row>
    <row r="3076" spans="1:14" x14ac:dyDescent="0.25">
      <c r="A3076" t="s">
        <v>12</v>
      </c>
      <c r="B3076" t="s">
        <v>684</v>
      </c>
      <c r="C3076" t="s">
        <v>697</v>
      </c>
      <c r="D3076" t="s">
        <v>698</v>
      </c>
      <c r="E3076" t="s">
        <v>699</v>
      </c>
      <c r="F3076" s="20">
        <v>172161</v>
      </c>
      <c r="I3076" s="11">
        <f t="shared" si="121"/>
        <v>45218</v>
      </c>
      <c r="J3076" s="12">
        <f t="shared" si="122"/>
        <v>348</v>
      </c>
      <c r="K3076" t="str">
        <f t="shared" si="123"/>
        <v>271-360</v>
      </c>
      <c r="L3076" s="11">
        <v>45566</v>
      </c>
      <c r="M3076" s="23">
        <f>YEAR(Таблица1[[#This Row],[Дата отчета]])</f>
        <v>2024</v>
      </c>
      <c r="N3076" s="2" t="s">
        <v>4535</v>
      </c>
    </row>
    <row r="3077" spans="1:14" x14ac:dyDescent="0.25">
      <c r="A3077" t="s">
        <v>12</v>
      </c>
      <c r="B3077" t="s">
        <v>715</v>
      </c>
      <c r="C3077" t="s">
        <v>3222</v>
      </c>
      <c r="D3077" t="s">
        <v>3223</v>
      </c>
      <c r="E3077" t="s">
        <v>3061</v>
      </c>
      <c r="F3077" s="20">
        <v>43750000</v>
      </c>
      <c r="I3077" s="11">
        <f t="shared" si="121"/>
        <v>45559</v>
      </c>
      <c r="J3077" s="12">
        <f t="shared" si="122"/>
        <v>7</v>
      </c>
      <c r="K3077" t="str">
        <f t="shared" si="123"/>
        <v>0-30</v>
      </c>
      <c r="L3077" s="11">
        <v>45566</v>
      </c>
      <c r="M3077" s="23">
        <f>YEAR(Таблица1[[#This Row],[Дата отчета]])</f>
        <v>2024</v>
      </c>
    </row>
    <row r="3078" spans="1:14" x14ac:dyDescent="0.25">
      <c r="A3078" t="s">
        <v>12</v>
      </c>
      <c r="B3078" t="s">
        <v>3224</v>
      </c>
      <c r="C3078" t="s">
        <v>3225</v>
      </c>
      <c r="D3078" t="s">
        <v>3226</v>
      </c>
      <c r="E3078" t="s">
        <v>3055</v>
      </c>
      <c r="F3078" s="20">
        <v>72000</v>
      </c>
      <c r="I3078" s="11">
        <f t="shared" si="121"/>
        <v>45562</v>
      </c>
      <c r="J3078" s="12">
        <f t="shared" si="122"/>
        <v>4</v>
      </c>
      <c r="K3078" t="str">
        <f t="shared" si="123"/>
        <v>0-30</v>
      </c>
      <c r="L3078" s="11">
        <v>45566</v>
      </c>
      <c r="M3078" s="23">
        <f>YEAR(Таблица1[[#This Row],[Дата отчета]])</f>
        <v>2024</v>
      </c>
    </row>
    <row r="3079" spans="1:14" x14ac:dyDescent="0.25">
      <c r="A3079" t="s">
        <v>12</v>
      </c>
      <c r="B3079" t="s">
        <v>3227</v>
      </c>
      <c r="C3079" t="s">
        <v>3228</v>
      </c>
      <c r="D3079" t="s">
        <v>3229</v>
      </c>
      <c r="E3079" t="s">
        <v>3061</v>
      </c>
      <c r="F3079" s="20">
        <v>79190</v>
      </c>
      <c r="I3079" s="11">
        <f t="shared" si="121"/>
        <v>45559</v>
      </c>
      <c r="J3079" s="12">
        <f t="shared" si="122"/>
        <v>7</v>
      </c>
      <c r="K3079" t="str">
        <f t="shared" si="123"/>
        <v>0-30</v>
      </c>
      <c r="L3079" s="11">
        <v>45566</v>
      </c>
      <c r="M3079" s="23">
        <f>YEAR(Таблица1[[#This Row],[Дата отчета]])</f>
        <v>2024</v>
      </c>
    </row>
    <row r="3080" spans="1:14" x14ac:dyDescent="0.25">
      <c r="A3080" t="s">
        <v>12</v>
      </c>
      <c r="B3080" t="s">
        <v>726</v>
      </c>
      <c r="C3080" t="s">
        <v>732</v>
      </c>
      <c r="D3080" t="s">
        <v>733</v>
      </c>
      <c r="E3080" t="s">
        <v>734</v>
      </c>
      <c r="F3080" s="20">
        <v>2163.48</v>
      </c>
      <c r="I3080" s="11">
        <f t="shared" si="121"/>
        <v>45541</v>
      </c>
      <c r="J3080" s="12">
        <f t="shared" si="122"/>
        <v>25</v>
      </c>
      <c r="K3080" t="str">
        <f t="shared" si="123"/>
        <v>0-30</v>
      </c>
      <c r="L3080" s="11">
        <v>45566</v>
      </c>
      <c r="M3080" s="23">
        <f>YEAR(Таблица1[[#This Row],[Дата отчета]])</f>
        <v>2024</v>
      </c>
      <c r="N3080" s="2" t="s">
        <v>807</v>
      </c>
    </row>
    <row r="3081" spans="1:14" x14ac:dyDescent="0.25">
      <c r="A3081" t="s">
        <v>12</v>
      </c>
      <c r="B3081" t="s">
        <v>745</v>
      </c>
      <c r="C3081" t="s">
        <v>269</v>
      </c>
      <c r="D3081" t="s">
        <v>2975</v>
      </c>
      <c r="E3081" t="s">
        <v>2976</v>
      </c>
      <c r="F3081" s="20">
        <v>1977.15</v>
      </c>
      <c r="I3081" s="11">
        <f t="shared" si="121"/>
        <v>45139</v>
      </c>
      <c r="J3081" s="12">
        <f t="shared" si="122"/>
        <v>427</v>
      </c>
      <c r="K3081" t="str">
        <f t="shared" si="123"/>
        <v>&gt;360</v>
      </c>
      <c r="L3081" s="11">
        <v>45566</v>
      </c>
      <c r="M3081" s="23">
        <f>YEAR(Таблица1[[#This Row],[Дата отчета]])</f>
        <v>2024</v>
      </c>
    </row>
    <row r="3082" spans="1:14" x14ac:dyDescent="0.25">
      <c r="A3082" t="s">
        <v>12</v>
      </c>
      <c r="B3082" t="s">
        <v>745</v>
      </c>
      <c r="C3082" t="s">
        <v>269</v>
      </c>
      <c r="D3082" t="s">
        <v>2724</v>
      </c>
      <c r="E3082" t="s">
        <v>2725</v>
      </c>
      <c r="F3082" s="20">
        <v>1358</v>
      </c>
      <c r="I3082" s="11">
        <f t="shared" si="121"/>
        <v>45520</v>
      </c>
      <c r="J3082" s="12">
        <f t="shared" si="122"/>
        <v>46</v>
      </c>
      <c r="K3082" t="str">
        <f t="shared" si="123"/>
        <v>31-90</v>
      </c>
      <c r="L3082" s="11">
        <v>45566</v>
      </c>
      <c r="M3082" s="23">
        <f>YEAR(Таблица1[[#This Row],[Дата отчета]])</f>
        <v>2024</v>
      </c>
    </row>
    <row r="3083" spans="1:14" x14ac:dyDescent="0.25">
      <c r="A3083" t="s">
        <v>12</v>
      </c>
      <c r="B3083" t="s">
        <v>2726</v>
      </c>
      <c r="C3083" t="s">
        <v>2727</v>
      </c>
      <c r="D3083" t="s">
        <v>2728</v>
      </c>
      <c r="E3083" t="s">
        <v>2729</v>
      </c>
      <c r="F3083" s="20">
        <v>60000</v>
      </c>
      <c r="I3083" s="11">
        <f t="shared" si="121"/>
        <v>45489</v>
      </c>
      <c r="J3083" s="12">
        <f t="shared" si="122"/>
        <v>77</v>
      </c>
      <c r="K3083" t="str">
        <f t="shared" si="123"/>
        <v>31-90</v>
      </c>
      <c r="L3083" s="11">
        <v>45566</v>
      </c>
      <c r="M3083" s="23">
        <f>YEAR(Таблица1[[#This Row],[Дата отчета]])</f>
        <v>2024</v>
      </c>
    </row>
    <row r="3084" spans="1:14" x14ac:dyDescent="0.25">
      <c r="A3084" t="s">
        <v>12</v>
      </c>
      <c r="B3084" t="s">
        <v>752</v>
      </c>
      <c r="C3084" t="s">
        <v>3230</v>
      </c>
      <c r="D3084" t="s">
        <v>3231</v>
      </c>
      <c r="E3084" t="s">
        <v>2465</v>
      </c>
      <c r="F3084" s="20">
        <v>210000</v>
      </c>
      <c r="I3084" s="11">
        <f t="shared" si="121"/>
        <v>45555</v>
      </c>
      <c r="J3084" s="12">
        <f t="shared" si="122"/>
        <v>11</v>
      </c>
      <c r="K3084" t="str">
        <f t="shared" si="123"/>
        <v>0-30</v>
      </c>
      <c r="L3084" s="11">
        <v>45566</v>
      </c>
      <c r="M3084" s="23">
        <f>YEAR(Таблица1[[#This Row],[Дата отчета]])</f>
        <v>2024</v>
      </c>
    </row>
    <row r="3085" spans="1:14" x14ac:dyDescent="0.25">
      <c r="A3085" t="s">
        <v>12</v>
      </c>
      <c r="B3085" t="s">
        <v>2263</v>
      </c>
      <c r="C3085" t="s">
        <v>3232</v>
      </c>
      <c r="D3085" t="s">
        <v>3233</v>
      </c>
      <c r="E3085" t="s">
        <v>3234</v>
      </c>
      <c r="F3085" s="20">
        <v>672200</v>
      </c>
      <c r="I3085" s="11">
        <f t="shared" si="121"/>
        <v>45419</v>
      </c>
      <c r="J3085" s="12">
        <f t="shared" si="122"/>
        <v>147</v>
      </c>
      <c r="K3085" t="str">
        <f t="shared" si="123"/>
        <v>121-180</v>
      </c>
      <c r="L3085" s="11">
        <v>45566</v>
      </c>
      <c r="M3085" s="23">
        <f>YEAR(Таблица1[[#This Row],[Дата отчета]])</f>
        <v>2024</v>
      </c>
    </row>
    <row r="3086" spans="1:14" x14ac:dyDescent="0.25">
      <c r="A3086" t="s">
        <v>12</v>
      </c>
      <c r="B3086" t="s">
        <v>2263</v>
      </c>
      <c r="C3086" t="s">
        <v>3232</v>
      </c>
      <c r="D3086" t="s">
        <v>3235</v>
      </c>
      <c r="E3086" t="s">
        <v>3236</v>
      </c>
      <c r="F3086" s="20">
        <v>672200</v>
      </c>
      <c r="I3086" s="11">
        <f t="shared" si="121"/>
        <v>45429</v>
      </c>
      <c r="J3086" s="12">
        <f t="shared" si="122"/>
        <v>137</v>
      </c>
      <c r="K3086" t="str">
        <f t="shared" si="123"/>
        <v>121-180</v>
      </c>
      <c r="L3086" s="11">
        <v>45566</v>
      </c>
      <c r="M3086" s="23">
        <f>YEAR(Таблица1[[#This Row],[Дата отчета]])</f>
        <v>2024</v>
      </c>
    </row>
    <row r="3087" spans="1:14" x14ac:dyDescent="0.25">
      <c r="A3087" t="s">
        <v>12</v>
      </c>
      <c r="B3087" t="s">
        <v>2263</v>
      </c>
      <c r="C3087" t="s">
        <v>3237</v>
      </c>
      <c r="D3087" t="s">
        <v>3238</v>
      </c>
      <c r="E3087" t="s">
        <v>3234</v>
      </c>
      <c r="F3087" s="20">
        <v>819540</v>
      </c>
      <c r="I3087" s="11">
        <f t="shared" si="121"/>
        <v>45419</v>
      </c>
      <c r="J3087" s="12">
        <f t="shared" si="122"/>
        <v>147</v>
      </c>
      <c r="K3087" t="str">
        <f t="shared" si="123"/>
        <v>121-180</v>
      </c>
      <c r="L3087" s="11">
        <v>45566</v>
      </c>
      <c r="M3087" s="23">
        <f>YEAR(Таблица1[[#This Row],[Дата отчета]])</f>
        <v>2024</v>
      </c>
    </row>
    <row r="3088" spans="1:14" x14ac:dyDescent="0.25">
      <c r="A3088" t="s">
        <v>12</v>
      </c>
      <c r="B3088" t="s">
        <v>2263</v>
      </c>
      <c r="C3088" t="s">
        <v>3237</v>
      </c>
      <c r="D3088" t="s">
        <v>3239</v>
      </c>
      <c r="E3088" t="s">
        <v>3236</v>
      </c>
      <c r="F3088" s="20">
        <v>819540</v>
      </c>
      <c r="I3088" s="11">
        <f t="shared" si="121"/>
        <v>45429</v>
      </c>
      <c r="J3088" s="12">
        <f t="shared" si="122"/>
        <v>137</v>
      </c>
      <c r="K3088" t="str">
        <f t="shared" si="123"/>
        <v>121-180</v>
      </c>
      <c r="L3088" s="11">
        <v>45566</v>
      </c>
      <c r="M3088" s="23">
        <f>YEAR(Таблица1[[#This Row],[Дата отчета]])</f>
        <v>2024</v>
      </c>
    </row>
    <row r="3089" spans="1:14" x14ac:dyDescent="0.25">
      <c r="A3089" t="s">
        <v>12</v>
      </c>
      <c r="B3089" t="s">
        <v>2263</v>
      </c>
      <c r="C3089" t="s">
        <v>3240</v>
      </c>
      <c r="D3089" t="s">
        <v>3241</v>
      </c>
      <c r="E3089" t="s">
        <v>3234</v>
      </c>
      <c r="F3089" s="20">
        <v>491400</v>
      </c>
      <c r="I3089" s="11">
        <f t="shared" si="121"/>
        <v>45419</v>
      </c>
      <c r="J3089" s="12">
        <f t="shared" si="122"/>
        <v>147</v>
      </c>
      <c r="K3089" t="str">
        <f t="shared" si="123"/>
        <v>121-180</v>
      </c>
      <c r="L3089" s="11">
        <v>45566</v>
      </c>
      <c r="M3089" s="23">
        <f>YEAR(Таблица1[[#This Row],[Дата отчета]])</f>
        <v>2024</v>
      </c>
    </row>
    <row r="3090" spans="1:14" x14ac:dyDescent="0.25">
      <c r="A3090" t="s">
        <v>12</v>
      </c>
      <c r="B3090" t="s">
        <v>2263</v>
      </c>
      <c r="C3090" t="s">
        <v>3240</v>
      </c>
      <c r="D3090" t="s">
        <v>3242</v>
      </c>
      <c r="E3090" t="s">
        <v>3236</v>
      </c>
      <c r="F3090" s="20">
        <v>491400</v>
      </c>
      <c r="I3090" s="11">
        <f t="shared" si="121"/>
        <v>45429</v>
      </c>
      <c r="J3090" s="12">
        <f t="shared" si="122"/>
        <v>137</v>
      </c>
      <c r="K3090" t="str">
        <f t="shared" si="123"/>
        <v>121-180</v>
      </c>
      <c r="L3090" s="11">
        <v>45566</v>
      </c>
      <c r="M3090" s="23">
        <f>YEAR(Таблица1[[#This Row],[Дата отчета]])</f>
        <v>2024</v>
      </c>
    </row>
    <row r="3091" spans="1:14" x14ac:dyDescent="0.25">
      <c r="A3091" t="s">
        <v>12</v>
      </c>
      <c r="B3091" t="s">
        <v>2263</v>
      </c>
      <c r="C3091" t="s">
        <v>3243</v>
      </c>
      <c r="D3091" t="s">
        <v>3244</v>
      </c>
      <c r="E3091" t="s">
        <v>3245</v>
      </c>
      <c r="F3091" s="20">
        <v>678200</v>
      </c>
      <c r="I3091" s="11">
        <f t="shared" si="121"/>
        <v>45425</v>
      </c>
      <c r="J3091" s="12">
        <f t="shared" si="122"/>
        <v>141</v>
      </c>
      <c r="K3091" t="str">
        <f t="shared" si="123"/>
        <v>121-180</v>
      </c>
      <c r="L3091" s="11">
        <v>45566</v>
      </c>
      <c r="M3091" s="23">
        <f>YEAR(Таблица1[[#This Row],[Дата отчета]])</f>
        <v>2024</v>
      </c>
    </row>
    <row r="3092" spans="1:14" x14ac:dyDescent="0.25">
      <c r="A3092" t="s">
        <v>12</v>
      </c>
      <c r="B3092" t="s">
        <v>777</v>
      </c>
      <c r="C3092" t="s">
        <v>778</v>
      </c>
      <c r="D3092" t="s">
        <v>779</v>
      </c>
      <c r="E3092" t="s">
        <v>780</v>
      </c>
      <c r="F3092" s="20">
        <v>196.02</v>
      </c>
      <c r="I3092" s="11">
        <f t="shared" si="121"/>
        <v>44868</v>
      </c>
      <c r="J3092" s="12">
        <f t="shared" si="122"/>
        <v>698</v>
      </c>
      <c r="K3092" t="str">
        <f t="shared" si="123"/>
        <v>&gt;360</v>
      </c>
      <c r="L3092" s="11">
        <v>45566</v>
      </c>
      <c r="M3092" s="23">
        <f>YEAR(Таблица1[[#This Row],[Дата отчета]])</f>
        <v>2024</v>
      </c>
      <c r="N3092" s="2" t="s">
        <v>807</v>
      </c>
    </row>
    <row r="3093" spans="1:14" x14ac:dyDescent="0.25">
      <c r="A3093" t="s">
        <v>12</v>
      </c>
      <c r="B3093" t="s">
        <v>781</v>
      </c>
      <c r="C3093" t="s">
        <v>3246</v>
      </c>
      <c r="D3093" t="s">
        <v>3247</v>
      </c>
      <c r="E3093" t="s">
        <v>3248</v>
      </c>
      <c r="F3093" s="20">
        <v>8910.81</v>
      </c>
      <c r="I3093" s="11">
        <f t="shared" si="121"/>
        <v>45404</v>
      </c>
      <c r="J3093" s="12">
        <f t="shared" si="122"/>
        <v>162</v>
      </c>
      <c r="K3093" t="str">
        <f t="shared" si="123"/>
        <v>121-180</v>
      </c>
      <c r="L3093" s="11">
        <v>45566</v>
      </c>
      <c r="M3093" s="23">
        <f>YEAR(Таблица1[[#This Row],[Дата отчета]])</f>
        <v>2024</v>
      </c>
    </row>
    <row r="3094" spans="1:14" x14ac:dyDescent="0.25">
      <c r="A3094" t="s">
        <v>12</v>
      </c>
      <c r="B3094" t="s">
        <v>781</v>
      </c>
      <c r="C3094" t="s">
        <v>3249</v>
      </c>
      <c r="D3094" t="s">
        <v>3250</v>
      </c>
      <c r="E3094" t="s">
        <v>3251</v>
      </c>
      <c r="F3094" s="20">
        <v>6442.4</v>
      </c>
      <c r="I3094" s="11">
        <f t="shared" si="121"/>
        <v>45405</v>
      </c>
      <c r="J3094" s="12">
        <f t="shared" si="122"/>
        <v>161</v>
      </c>
      <c r="K3094" t="str">
        <f t="shared" si="123"/>
        <v>121-180</v>
      </c>
      <c r="L3094" s="11">
        <v>45566</v>
      </c>
      <c r="M3094" s="23">
        <f>YEAR(Таблица1[[#This Row],[Дата отчета]])</f>
        <v>2024</v>
      </c>
    </row>
    <row r="3095" spans="1:14" x14ac:dyDescent="0.25">
      <c r="A3095" t="s">
        <v>12</v>
      </c>
      <c r="B3095" t="s">
        <v>1676</v>
      </c>
      <c r="C3095" t="s">
        <v>3252</v>
      </c>
      <c r="D3095" t="s">
        <v>3253</v>
      </c>
      <c r="E3095" t="s">
        <v>3254</v>
      </c>
      <c r="F3095" s="20">
        <v>36897.74</v>
      </c>
      <c r="I3095" s="11">
        <f t="shared" si="121"/>
        <v>45219</v>
      </c>
      <c r="J3095" s="12">
        <f t="shared" si="122"/>
        <v>347</v>
      </c>
      <c r="K3095" t="str">
        <f t="shared" si="123"/>
        <v>271-360</v>
      </c>
      <c r="L3095" s="11">
        <v>45566</v>
      </c>
      <c r="M3095" s="23">
        <f>YEAR(Таблица1[[#This Row],[Дата отчета]])</f>
        <v>2024</v>
      </c>
    </row>
    <row r="3096" spans="1:14" x14ac:dyDescent="0.25">
      <c r="A3096" t="s">
        <v>12</v>
      </c>
      <c r="B3096" t="s">
        <v>793</v>
      </c>
      <c r="C3096" t="s">
        <v>794</v>
      </c>
      <c r="D3096" t="s">
        <v>795</v>
      </c>
      <c r="E3096" t="s">
        <v>796</v>
      </c>
      <c r="F3096" s="20">
        <v>650</v>
      </c>
      <c r="I3096" s="11">
        <f t="shared" si="121"/>
        <v>44889</v>
      </c>
      <c r="J3096" s="12">
        <f t="shared" si="122"/>
        <v>677</v>
      </c>
      <c r="K3096" t="str">
        <f t="shared" si="123"/>
        <v>&gt;360</v>
      </c>
      <c r="L3096" s="11">
        <v>45566</v>
      </c>
      <c r="M3096" s="23">
        <f>YEAR(Таблица1[[#This Row],[Дата отчета]])</f>
        <v>2024</v>
      </c>
      <c r="N3096" s="2" t="s">
        <v>807</v>
      </c>
    </row>
    <row r="3097" spans="1:14" x14ac:dyDescent="0.25">
      <c r="A3097" t="s">
        <v>12</v>
      </c>
      <c r="B3097" t="s">
        <v>1224</v>
      </c>
      <c r="C3097" t="s">
        <v>1234</v>
      </c>
      <c r="D3097" t="s">
        <v>1251</v>
      </c>
      <c r="E3097" t="s">
        <v>1258</v>
      </c>
      <c r="F3097" s="20">
        <v>12</v>
      </c>
      <c r="I3097" s="11">
        <f t="shared" si="121"/>
        <v>45288</v>
      </c>
      <c r="J3097" s="12">
        <f t="shared" si="122"/>
        <v>278</v>
      </c>
      <c r="K3097" t="str">
        <f t="shared" si="123"/>
        <v>271-360</v>
      </c>
      <c r="L3097" s="11">
        <v>45566</v>
      </c>
      <c r="M3097" s="23">
        <f>YEAR(Таблица1[[#This Row],[Дата отчета]])</f>
        <v>2024</v>
      </c>
    </row>
    <row r="3098" spans="1:14" x14ac:dyDescent="0.25">
      <c r="A3098" t="s">
        <v>12</v>
      </c>
      <c r="B3098" t="s">
        <v>797</v>
      </c>
      <c r="C3098" t="s">
        <v>2282</v>
      </c>
      <c r="D3098" t="s">
        <v>2283</v>
      </c>
      <c r="E3098" t="s">
        <v>284</v>
      </c>
      <c r="F3098" s="20">
        <v>0.3</v>
      </c>
      <c r="I3098" s="11">
        <f t="shared" si="121"/>
        <v>45398</v>
      </c>
      <c r="J3098" s="12">
        <f t="shared" si="122"/>
        <v>168</v>
      </c>
      <c r="K3098" t="str">
        <f t="shared" si="123"/>
        <v>121-180</v>
      </c>
      <c r="L3098" s="11">
        <v>45566</v>
      </c>
      <c r="M3098" s="23">
        <f>YEAR(Таблица1[[#This Row],[Дата отчета]])</f>
        <v>2024</v>
      </c>
    </row>
    <row r="3099" spans="1:14" x14ac:dyDescent="0.25">
      <c r="A3099" t="s">
        <v>12</v>
      </c>
      <c r="B3099" t="s">
        <v>797</v>
      </c>
      <c r="C3099" t="s">
        <v>2284</v>
      </c>
      <c r="D3099" t="s">
        <v>3255</v>
      </c>
      <c r="E3099" t="s">
        <v>3256</v>
      </c>
      <c r="F3099" s="20">
        <v>103189.11</v>
      </c>
      <c r="I3099" s="11">
        <f t="shared" si="121"/>
        <v>45544</v>
      </c>
      <c r="J3099" s="12">
        <f t="shared" si="122"/>
        <v>22</v>
      </c>
      <c r="K3099" t="str">
        <f t="shared" si="123"/>
        <v>0-30</v>
      </c>
      <c r="L3099" s="11">
        <v>45566</v>
      </c>
      <c r="M3099" s="23">
        <f>YEAR(Таблица1[[#This Row],[Дата отчета]])</f>
        <v>2024</v>
      </c>
    </row>
    <row r="3100" spans="1:14" x14ac:dyDescent="0.25">
      <c r="A3100" t="s">
        <v>12</v>
      </c>
      <c r="B3100" t="s">
        <v>2313</v>
      </c>
      <c r="C3100" t="s">
        <v>2314</v>
      </c>
      <c r="D3100" t="s">
        <v>2315</v>
      </c>
      <c r="E3100" t="s">
        <v>2463</v>
      </c>
      <c r="F3100" s="20">
        <v>87700</v>
      </c>
      <c r="I3100" s="11">
        <f t="shared" si="121"/>
        <v>45468</v>
      </c>
      <c r="J3100" s="12">
        <f t="shared" si="122"/>
        <v>98</v>
      </c>
      <c r="K3100" t="str">
        <f t="shared" si="123"/>
        <v>91-120</v>
      </c>
      <c r="L3100" s="11">
        <v>45566</v>
      </c>
      <c r="M3100" s="23">
        <f>YEAR(Таблица1[[#This Row],[Дата отчета]])</f>
        <v>2024</v>
      </c>
    </row>
    <row r="3101" spans="1:14" x14ac:dyDescent="0.25">
      <c r="A3101" t="s">
        <v>12</v>
      </c>
      <c r="B3101" t="s">
        <v>2313</v>
      </c>
      <c r="C3101" t="s">
        <v>2316</v>
      </c>
      <c r="D3101" t="s">
        <v>2317</v>
      </c>
      <c r="E3101" t="s">
        <v>2464</v>
      </c>
      <c r="F3101" s="20">
        <v>17267</v>
      </c>
      <c r="I3101" s="11">
        <f t="shared" si="121"/>
        <v>45397</v>
      </c>
      <c r="J3101" s="12">
        <f t="shared" si="122"/>
        <v>169</v>
      </c>
      <c r="K3101" t="str">
        <f t="shared" si="123"/>
        <v>121-180</v>
      </c>
      <c r="L3101" s="11">
        <v>45566</v>
      </c>
      <c r="M3101" s="23">
        <f>YEAR(Таблица1[[#This Row],[Дата отчета]])</f>
        <v>2024</v>
      </c>
    </row>
    <row r="3102" spans="1:14" x14ac:dyDescent="0.25">
      <c r="A3102" t="s">
        <v>12</v>
      </c>
      <c r="B3102" t="s">
        <v>2318</v>
      </c>
      <c r="C3102" t="s">
        <v>2319</v>
      </c>
      <c r="D3102" t="s">
        <v>2320</v>
      </c>
      <c r="E3102" t="s">
        <v>2465</v>
      </c>
      <c r="F3102" s="20">
        <v>66810</v>
      </c>
      <c r="I3102" s="11">
        <f t="shared" si="121"/>
        <v>45555</v>
      </c>
      <c r="J3102" s="12">
        <f t="shared" si="122"/>
        <v>11</v>
      </c>
      <c r="K3102" t="str">
        <f t="shared" si="123"/>
        <v>0-30</v>
      </c>
      <c r="L3102" s="11">
        <v>45566</v>
      </c>
      <c r="M3102" s="23">
        <f>YEAR(Таблица1[[#This Row],[Дата отчета]])</f>
        <v>2024</v>
      </c>
    </row>
    <row r="3103" spans="1:14" x14ac:dyDescent="0.25">
      <c r="A3103" t="s">
        <v>12</v>
      </c>
      <c r="B3103" t="s">
        <v>844</v>
      </c>
      <c r="C3103" t="s">
        <v>845</v>
      </c>
      <c r="D3103" t="s">
        <v>846</v>
      </c>
      <c r="E3103" t="s">
        <v>847</v>
      </c>
      <c r="F3103" s="20">
        <v>11834</v>
      </c>
      <c r="I3103" s="11">
        <f t="shared" si="121"/>
        <v>45200</v>
      </c>
      <c r="J3103" s="12">
        <f t="shared" si="122"/>
        <v>366</v>
      </c>
      <c r="K3103" t="str">
        <f t="shared" si="123"/>
        <v>&gt;360</v>
      </c>
      <c r="L3103" s="11">
        <v>45566</v>
      </c>
      <c r="M3103" s="23">
        <f>YEAR(Таблица1[[#This Row],[Дата отчета]])</f>
        <v>2024</v>
      </c>
      <c r="N3103" s="2" t="s">
        <v>807</v>
      </c>
    </row>
    <row r="3104" spans="1:14" x14ac:dyDescent="0.25">
      <c r="A3104" t="s">
        <v>12</v>
      </c>
      <c r="B3104" t="s">
        <v>2788</v>
      </c>
      <c r="C3104" t="s">
        <v>3257</v>
      </c>
      <c r="D3104" t="s">
        <v>3258</v>
      </c>
      <c r="E3104" t="s">
        <v>2635</v>
      </c>
      <c r="F3104" s="20">
        <v>23000</v>
      </c>
      <c r="I3104" s="11">
        <f t="shared" si="121"/>
        <v>45505</v>
      </c>
      <c r="J3104" s="12">
        <f t="shared" si="122"/>
        <v>61</v>
      </c>
      <c r="K3104" t="str">
        <f t="shared" si="123"/>
        <v>31-90</v>
      </c>
      <c r="L3104" s="11">
        <v>45566</v>
      </c>
      <c r="M3104" s="23">
        <f>YEAR(Таблица1[[#This Row],[Дата отчета]])</f>
        <v>2024</v>
      </c>
    </row>
    <row r="3105" spans="1:14" x14ac:dyDescent="0.25">
      <c r="A3105" t="s">
        <v>12</v>
      </c>
      <c r="B3105" t="s">
        <v>3259</v>
      </c>
      <c r="C3105" t="s">
        <v>3260</v>
      </c>
      <c r="D3105" t="s">
        <v>3261</v>
      </c>
      <c r="E3105" t="s">
        <v>2967</v>
      </c>
      <c r="F3105" s="20">
        <v>45000</v>
      </c>
      <c r="I3105" s="11">
        <f t="shared" si="121"/>
        <v>45561</v>
      </c>
      <c r="J3105" s="12">
        <f t="shared" si="122"/>
        <v>5</v>
      </c>
      <c r="K3105" t="str">
        <f t="shared" si="123"/>
        <v>0-30</v>
      </c>
      <c r="L3105" s="11">
        <v>45566</v>
      </c>
      <c r="M3105" s="23">
        <f>YEAR(Таблица1[[#This Row],[Дата отчета]])</f>
        <v>2024</v>
      </c>
    </row>
    <row r="3106" spans="1:14" x14ac:dyDescent="0.25">
      <c r="A3106" t="s">
        <v>12</v>
      </c>
      <c r="B3106" t="s">
        <v>854</v>
      </c>
      <c r="C3106" t="s">
        <v>857</v>
      </c>
      <c r="D3106" t="s">
        <v>858</v>
      </c>
      <c r="E3106" t="s">
        <v>859</v>
      </c>
      <c r="F3106" s="20">
        <v>9250</v>
      </c>
      <c r="I3106" s="11">
        <f t="shared" si="121"/>
        <v>45110</v>
      </c>
      <c r="J3106" s="12">
        <f t="shared" si="122"/>
        <v>456</v>
      </c>
      <c r="K3106" t="str">
        <f t="shared" si="123"/>
        <v>&gt;360</v>
      </c>
      <c r="L3106" s="11">
        <v>45566</v>
      </c>
      <c r="M3106" s="23">
        <f>YEAR(Таблица1[[#This Row],[Дата отчета]])</f>
        <v>2024</v>
      </c>
      <c r="N3106" s="2" t="s">
        <v>807</v>
      </c>
    </row>
    <row r="3107" spans="1:14" x14ac:dyDescent="0.25">
      <c r="A3107" t="s">
        <v>12</v>
      </c>
      <c r="B3107" t="s">
        <v>854</v>
      </c>
      <c r="C3107" t="s">
        <v>860</v>
      </c>
      <c r="D3107" t="s">
        <v>861</v>
      </c>
      <c r="E3107" t="s">
        <v>862</v>
      </c>
      <c r="F3107" s="20">
        <v>4996</v>
      </c>
      <c r="I3107" s="11">
        <f t="shared" si="121"/>
        <v>45187</v>
      </c>
      <c r="J3107" s="12">
        <f t="shared" si="122"/>
        <v>379</v>
      </c>
      <c r="K3107" t="str">
        <f t="shared" si="123"/>
        <v>&gt;360</v>
      </c>
      <c r="L3107" s="11">
        <v>45566</v>
      </c>
      <c r="M3107" s="23">
        <f>YEAR(Таблица1[[#This Row],[Дата отчета]])</f>
        <v>2024</v>
      </c>
      <c r="N3107" s="2" t="s">
        <v>807</v>
      </c>
    </row>
    <row r="3108" spans="1:14" x14ac:dyDescent="0.25">
      <c r="A3108" t="s">
        <v>12</v>
      </c>
      <c r="B3108" t="s">
        <v>854</v>
      </c>
      <c r="C3108" t="s">
        <v>863</v>
      </c>
      <c r="D3108" t="s">
        <v>864</v>
      </c>
      <c r="E3108" t="s">
        <v>865</v>
      </c>
      <c r="F3108" s="20">
        <v>3100</v>
      </c>
      <c r="I3108" s="11">
        <f t="shared" si="121"/>
        <v>45456</v>
      </c>
      <c r="J3108" s="12">
        <f t="shared" si="122"/>
        <v>110</v>
      </c>
      <c r="K3108" t="str">
        <f t="shared" si="123"/>
        <v>91-120</v>
      </c>
      <c r="L3108" s="11">
        <v>45566</v>
      </c>
      <c r="M3108" s="23">
        <f>YEAR(Таблица1[[#This Row],[Дата отчета]])</f>
        <v>2024</v>
      </c>
      <c r="N3108" s="2" t="s">
        <v>807</v>
      </c>
    </row>
    <row r="3109" spans="1:14" x14ac:dyDescent="0.25">
      <c r="A3109" t="s">
        <v>12</v>
      </c>
      <c r="B3109" t="s">
        <v>854</v>
      </c>
      <c r="C3109" t="s">
        <v>866</v>
      </c>
      <c r="D3109" t="s">
        <v>867</v>
      </c>
      <c r="E3109" t="s">
        <v>868</v>
      </c>
      <c r="F3109" s="20">
        <v>2640</v>
      </c>
      <c r="I3109" s="11">
        <f t="shared" si="121"/>
        <v>45252</v>
      </c>
      <c r="J3109" s="12">
        <f t="shared" si="122"/>
        <v>314</v>
      </c>
      <c r="K3109" t="str">
        <f t="shared" si="123"/>
        <v>271-360</v>
      </c>
      <c r="L3109" s="11">
        <v>45566</v>
      </c>
      <c r="M3109" s="23">
        <f>YEAR(Таблица1[[#This Row],[Дата отчета]])</f>
        <v>2024</v>
      </c>
      <c r="N3109" s="2" t="s">
        <v>807</v>
      </c>
    </row>
    <row r="3110" spans="1:14" x14ac:dyDescent="0.25">
      <c r="A3110" t="s">
        <v>12</v>
      </c>
      <c r="B3110" t="s">
        <v>854</v>
      </c>
      <c r="C3110" t="s">
        <v>3262</v>
      </c>
      <c r="D3110" t="s">
        <v>3263</v>
      </c>
      <c r="E3110" t="s">
        <v>2967</v>
      </c>
      <c r="F3110" s="20">
        <v>1500</v>
      </c>
      <c r="I3110" s="11">
        <f t="shared" si="121"/>
        <v>45561</v>
      </c>
      <c r="J3110" s="12">
        <f t="shared" si="122"/>
        <v>5</v>
      </c>
      <c r="K3110" t="str">
        <f t="shared" si="123"/>
        <v>0-30</v>
      </c>
      <c r="L3110" s="11">
        <v>45566</v>
      </c>
      <c r="M3110" s="23">
        <f>YEAR(Таблица1[[#This Row],[Дата отчета]])</f>
        <v>2024</v>
      </c>
    </row>
    <row r="3111" spans="1:14" x14ac:dyDescent="0.25">
      <c r="A3111" t="s">
        <v>12</v>
      </c>
      <c r="B3111" t="s">
        <v>854</v>
      </c>
      <c r="C3111" t="s">
        <v>3264</v>
      </c>
      <c r="D3111" t="s">
        <v>3265</v>
      </c>
      <c r="E3111" t="s">
        <v>3055</v>
      </c>
      <c r="F3111" s="20">
        <v>6580</v>
      </c>
      <c r="I3111" s="11">
        <f t="shared" ref="I3111:I3157" si="124">E3111*1</f>
        <v>45562</v>
      </c>
      <c r="J3111" s="12">
        <f t="shared" ref="J3111:J3157" si="125">L3111-I3111</f>
        <v>4</v>
      </c>
      <c r="K3111" t="str">
        <f t="shared" si="123"/>
        <v>0-30</v>
      </c>
      <c r="L3111" s="11">
        <v>45566</v>
      </c>
      <c r="M3111" s="23">
        <f>YEAR(Таблица1[[#This Row],[Дата отчета]])</f>
        <v>2024</v>
      </c>
    </row>
    <row r="3112" spans="1:14" x14ac:dyDescent="0.25">
      <c r="A3112" t="s">
        <v>12</v>
      </c>
      <c r="B3112" t="s">
        <v>894</v>
      </c>
      <c r="C3112" t="s">
        <v>895</v>
      </c>
      <c r="D3112" t="s">
        <v>896</v>
      </c>
      <c r="E3112" t="s">
        <v>897</v>
      </c>
      <c r="F3112" s="20">
        <v>2400</v>
      </c>
      <c r="I3112" s="11">
        <f t="shared" si="124"/>
        <v>45022</v>
      </c>
      <c r="J3112" s="12">
        <f t="shared" si="125"/>
        <v>544</v>
      </c>
      <c r="K3112" t="str">
        <f t="shared" si="123"/>
        <v>&gt;360</v>
      </c>
      <c r="L3112" s="11">
        <v>45566</v>
      </c>
      <c r="M3112" s="23">
        <f>YEAR(Таблица1[[#This Row],[Дата отчета]])</f>
        <v>2024</v>
      </c>
      <c r="N3112" s="2" t="s">
        <v>807</v>
      </c>
    </row>
    <row r="3113" spans="1:14" x14ac:dyDescent="0.25">
      <c r="A3113" t="s">
        <v>12</v>
      </c>
      <c r="B3113" t="s">
        <v>894</v>
      </c>
      <c r="C3113" t="s">
        <v>898</v>
      </c>
      <c r="D3113" t="s">
        <v>899</v>
      </c>
      <c r="E3113" t="s">
        <v>900</v>
      </c>
      <c r="F3113" s="20">
        <v>22029</v>
      </c>
      <c r="I3113" s="11">
        <f t="shared" si="124"/>
        <v>45203</v>
      </c>
      <c r="J3113" s="12">
        <f t="shared" si="125"/>
        <v>363</v>
      </c>
      <c r="K3113" t="str">
        <f t="shared" si="123"/>
        <v>&gt;360</v>
      </c>
      <c r="L3113" s="11">
        <v>45566</v>
      </c>
      <c r="M3113" s="23">
        <f>YEAR(Таблица1[[#This Row],[Дата отчета]])</f>
        <v>2024</v>
      </c>
      <c r="N3113" s="2" t="s">
        <v>807</v>
      </c>
    </row>
    <row r="3114" spans="1:14" x14ac:dyDescent="0.25">
      <c r="A3114" t="s">
        <v>12</v>
      </c>
      <c r="B3114" t="s">
        <v>901</v>
      </c>
      <c r="C3114" t="s">
        <v>775</v>
      </c>
      <c r="D3114" t="s">
        <v>902</v>
      </c>
      <c r="E3114" t="s">
        <v>903</v>
      </c>
      <c r="F3114" s="20">
        <v>270</v>
      </c>
      <c r="I3114" s="11">
        <f t="shared" si="124"/>
        <v>43679</v>
      </c>
      <c r="J3114" s="12">
        <f t="shared" si="125"/>
        <v>1887</v>
      </c>
      <c r="K3114" t="str">
        <f t="shared" si="123"/>
        <v>&gt;360</v>
      </c>
      <c r="L3114" s="11">
        <v>45566</v>
      </c>
      <c r="M3114" s="23">
        <f>YEAR(Таблица1[[#This Row],[Дата отчета]])</f>
        <v>2024</v>
      </c>
      <c r="N3114" s="2" t="s">
        <v>807</v>
      </c>
    </row>
    <row r="3115" spans="1:14" x14ac:dyDescent="0.25">
      <c r="A3115" t="s">
        <v>12</v>
      </c>
      <c r="B3115" t="s">
        <v>904</v>
      </c>
      <c r="C3115" t="s">
        <v>3266</v>
      </c>
      <c r="D3115" t="s">
        <v>3267</v>
      </c>
      <c r="E3115" t="s">
        <v>3087</v>
      </c>
      <c r="F3115" s="20">
        <v>1900</v>
      </c>
      <c r="I3115" s="11">
        <f t="shared" si="124"/>
        <v>45491</v>
      </c>
      <c r="J3115" s="12">
        <f t="shared" si="125"/>
        <v>75</v>
      </c>
      <c r="K3115" t="str">
        <f t="shared" si="123"/>
        <v>31-90</v>
      </c>
      <c r="L3115" s="11">
        <v>45566</v>
      </c>
      <c r="M3115" s="23">
        <f>YEAR(Таблица1[[#This Row],[Дата отчета]])</f>
        <v>2024</v>
      </c>
    </row>
    <row r="3116" spans="1:14" x14ac:dyDescent="0.25">
      <c r="A3116" t="s">
        <v>12</v>
      </c>
      <c r="B3116" t="s">
        <v>1705</v>
      </c>
      <c r="C3116" t="s">
        <v>2807</v>
      </c>
      <c r="D3116" t="s">
        <v>2808</v>
      </c>
      <c r="E3116" t="s">
        <v>2809</v>
      </c>
      <c r="F3116" s="20">
        <v>1000</v>
      </c>
      <c r="I3116" s="11">
        <f t="shared" si="124"/>
        <v>45560</v>
      </c>
      <c r="J3116" s="12">
        <f t="shared" si="125"/>
        <v>6</v>
      </c>
      <c r="K3116" t="str">
        <f t="shared" si="123"/>
        <v>0-30</v>
      </c>
      <c r="L3116" s="11">
        <v>45566</v>
      </c>
      <c r="M3116" s="23">
        <f>YEAR(Таблица1[[#This Row],[Дата отчета]])</f>
        <v>2024</v>
      </c>
    </row>
    <row r="3117" spans="1:14" x14ac:dyDescent="0.25">
      <c r="A3117" t="s">
        <v>12</v>
      </c>
      <c r="B3117" t="s">
        <v>3268</v>
      </c>
      <c r="C3117" t="s">
        <v>3269</v>
      </c>
      <c r="D3117" t="s">
        <v>3270</v>
      </c>
      <c r="E3117" t="s">
        <v>3271</v>
      </c>
      <c r="F3117" s="20">
        <v>489500</v>
      </c>
      <c r="I3117" s="11">
        <f t="shared" si="124"/>
        <v>45517</v>
      </c>
      <c r="J3117" s="12">
        <f t="shared" si="125"/>
        <v>49</v>
      </c>
      <c r="K3117" t="str">
        <f t="shared" si="123"/>
        <v>31-90</v>
      </c>
      <c r="L3117" s="11">
        <v>45566</v>
      </c>
      <c r="M3117" s="23">
        <f>YEAR(Таблица1[[#This Row],[Дата отчета]])</f>
        <v>2024</v>
      </c>
    </row>
    <row r="3118" spans="1:14" x14ac:dyDescent="0.25">
      <c r="A3118" t="s">
        <v>12</v>
      </c>
      <c r="B3118" t="s">
        <v>3268</v>
      </c>
      <c r="C3118" t="s">
        <v>3272</v>
      </c>
      <c r="D3118" t="s">
        <v>3273</v>
      </c>
      <c r="E3118" t="s">
        <v>3271</v>
      </c>
      <c r="F3118" s="20">
        <v>486500</v>
      </c>
      <c r="I3118" s="11">
        <f t="shared" si="124"/>
        <v>45517</v>
      </c>
      <c r="J3118" s="12">
        <f t="shared" si="125"/>
        <v>49</v>
      </c>
      <c r="K3118" t="str">
        <f t="shared" si="123"/>
        <v>31-90</v>
      </c>
      <c r="L3118" s="11">
        <v>45566</v>
      </c>
      <c r="M3118" s="23">
        <f>YEAR(Таблица1[[#This Row],[Дата отчета]])</f>
        <v>2024</v>
      </c>
    </row>
    <row r="3119" spans="1:14" x14ac:dyDescent="0.25">
      <c r="A3119" t="s">
        <v>12</v>
      </c>
      <c r="B3119" t="s">
        <v>915</v>
      </c>
      <c r="C3119" t="s">
        <v>918</v>
      </c>
      <c r="D3119" t="s">
        <v>919</v>
      </c>
      <c r="E3119" t="s">
        <v>920</v>
      </c>
      <c r="F3119" s="20">
        <v>37500</v>
      </c>
      <c r="I3119" s="11">
        <f t="shared" si="124"/>
        <v>45392</v>
      </c>
      <c r="J3119" s="12">
        <f t="shared" si="125"/>
        <v>174</v>
      </c>
      <c r="K3119" t="str">
        <f t="shared" si="123"/>
        <v>121-180</v>
      </c>
      <c r="L3119" s="11">
        <v>45566</v>
      </c>
      <c r="M3119" s="23">
        <f>YEAR(Таблица1[[#This Row],[Дата отчета]])</f>
        <v>2024</v>
      </c>
      <c r="N3119" s="2" t="s">
        <v>4538</v>
      </c>
    </row>
    <row r="3120" spans="1:14" x14ac:dyDescent="0.25">
      <c r="A3120" t="s">
        <v>12</v>
      </c>
      <c r="B3120" t="s">
        <v>2349</v>
      </c>
      <c r="C3120" t="s">
        <v>2822</v>
      </c>
      <c r="D3120" t="s">
        <v>2823</v>
      </c>
      <c r="E3120" t="s">
        <v>2824</v>
      </c>
      <c r="F3120" s="20">
        <v>87494.399999999994</v>
      </c>
      <c r="I3120" s="11">
        <f t="shared" si="124"/>
        <v>45547</v>
      </c>
      <c r="J3120" s="12">
        <f t="shared" si="125"/>
        <v>19</v>
      </c>
      <c r="K3120" t="str">
        <f t="shared" si="123"/>
        <v>0-30</v>
      </c>
      <c r="L3120" s="11">
        <v>45566</v>
      </c>
      <c r="M3120" s="23">
        <f>YEAR(Таблица1[[#This Row],[Дата отчета]])</f>
        <v>2024</v>
      </c>
    </row>
    <row r="3121" spans="1:16" x14ac:dyDescent="0.25">
      <c r="A3121" t="s">
        <v>12</v>
      </c>
      <c r="B3121" t="s">
        <v>2827</v>
      </c>
      <c r="C3121" t="s">
        <v>3274</v>
      </c>
      <c r="D3121" t="s">
        <v>3275</v>
      </c>
      <c r="E3121" t="s">
        <v>3276</v>
      </c>
      <c r="F3121" s="20">
        <v>1425656</v>
      </c>
      <c r="I3121" s="11">
        <f t="shared" si="124"/>
        <v>45364</v>
      </c>
      <c r="J3121" s="12">
        <f t="shared" si="125"/>
        <v>202</v>
      </c>
      <c r="K3121" t="str">
        <f t="shared" si="123"/>
        <v>181-270</v>
      </c>
      <c r="L3121" s="11">
        <v>45566</v>
      </c>
      <c r="M3121" s="23">
        <f>YEAR(Таблица1[[#This Row],[Дата отчета]])</f>
        <v>2024</v>
      </c>
    </row>
    <row r="3122" spans="1:16" x14ac:dyDescent="0.25">
      <c r="A3122" t="s">
        <v>12</v>
      </c>
      <c r="B3122" t="s">
        <v>2827</v>
      </c>
      <c r="C3122" t="s">
        <v>3277</v>
      </c>
      <c r="D3122" t="s">
        <v>3278</v>
      </c>
      <c r="E3122" t="s">
        <v>3279</v>
      </c>
      <c r="F3122" s="20">
        <v>6050</v>
      </c>
      <c r="I3122" s="11">
        <f t="shared" si="124"/>
        <v>45267</v>
      </c>
      <c r="J3122" s="12">
        <f t="shared" si="125"/>
        <v>299</v>
      </c>
      <c r="K3122" t="str">
        <f t="shared" si="123"/>
        <v>271-360</v>
      </c>
      <c r="L3122" s="11">
        <v>45566</v>
      </c>
      <c r="M3122" s="23">
        <f>YEAR(Таблица1[[#This Row],[Дата отчета]])</f>
        <v>2024</v>
      </c>
    </row>
    <row r="3123" spans="1:16" x14ac:dyDescent="0.25">
      <c r="A3123" t="s">
        <v>12</v>
      </c>
      <c r="B3123" t="s">
        <v>2827</v>
      </c>
      <c r="C3123" t="s">
        <v>3280</v>
      </c>
      <c r="D3123" t="s">
        <v>3281</v>
      </c>
      <c r="E3123" t="s">
        <v>3282</v>
      </c>
      <c r="F3123" s="20">
        <v>11000</v>
      </c>
      <c r="I3123" s="11">
        <f t="shared" si="124"/>
        <v>45313</v>
      </c>
      <c r="J3123" s="12">
        <f t="shared" si="125"/>
        <v>253</v>
      </c>
      <c r="K3123" t="str">
        <f t="shared" si="123"/>
        <v>181-270</v>
      </c>
      <c r="L3123" s="11">
        <v>45566</v>
      </c>
      <c r="M3123" s="23">
        <f>YEAR(Таблица1[[#This Row],[Дата отчета]])</f>
        <v>2024</v>
      </c>
    </row>
    <row r="3124" spans="1:16" x14ac:dyDescent="0.25">
      <c r="A3124" t="s">
        <v>12</v>
      </c>
      <c r="B3124" t="s">
        <v>3283</v>
      </c>
      <c r="C3124" t="s">
        <v>3284</v>
      </c>
      <c r="D3124" t="s">
        <v>3285</v>
      </c>
      <c r="E3124" t="s">
        <v>3286</v>
      </c>
      <c r="F3124" s="20">
        <v>50000</v>
      </c>
      <c r="I3124" s="11">
        <f t="shared" si="124"/>
        <v>44405</v>
      </c>
      <c r="J3124" s="12">
        <f t="shared" si="125"/>
        <v>1161</v>
      </c>
      <c r="K3124" t="str">
        <f t="shared" si="123"/>
        <v>&gt;360</v>
      </c>
      <c r="L3124" s="11">
        <v>45566</v>
      </c>
      <c r="M3124" s="23">
        <f>YEAR(Таблица1[[#This Row],[Дата отчета]])</f>
        <v>2024</v>
      </c>
    </row>
    <row r="3125" spans="1:16" x14ac:dyDescent="0.25">
      <c r="A3125" t="s">
        <v>12</v>
      </c>
      <c r="B3125" t="s">
        <v>3287</v>
      </c>
      <c r="C3125" t="s">
        <v>3288</v>
      </c>
      <c r="D3125" t="s">
        <v>3289</v>
      </c>
      <c r="E3125" t="s">
        <v>3159</v>
      </c>
      <c r="F3125" s="20">
        <v>6400</v>
      </c>
      <c r="I3125" s="11">
        <f t="shared" si="124"/>
        <v>45475</v>
      </c>
      <c r="J3125" s="12">
        <f t="shared" si="125"/>
        <v>91</v>
      </c>
      <c r="K3125" t="str">
        <f t="shared" si="123"/>
        <v>91-120</v>
      </c>
      <c r="L3125" s="11">
        <v>45566</v>
      </c>
      <c r="M3125" s="23">
        <f>YEAR(Таблица1[[#This Row],[Дата отчета]])</f>
        <v>2024</v>
      </c>
    </row>
    <row r="3126" spans="1:16" x14ac:dyDescent="0.25">
      <c r="A3126" t="s">
        <v>12</v>
      </c>
      <c r="B3126" t="s">
        <v>965</v>
      </c>
      <c r="C3126" t="s">
        <v>966</v>
      </c>
      <c r="D3126" t="s">
        <v>2833</v>
      </c>
      <c r="E3126" t="s">
        <v>2834</v>
      </c>
      <c r="F3126" s="20">
        <v>345500</v>
      </c>
      <c r="I3126" s="11">
        <f t="shared" si="124"/>
        <v>45516</v>
      </c>
      <c r="J3126" s="12">
        <f t="shared" si="125"/>
        <v>50</v>
      </c>
      <c r="K3126" t="str">
        <f t="shared" si="123"/>
        <v>31-90</v>
      </c>
      <c r="L3126" s="11">
        <v>45566</v>
      </c>
      <c r="M3126" s="23">
        <f>YEAR(Таблица1[[#This Row],[Дата отчета]])</f>
        <v>2024</v>
      </c>
      <c r="N3126" s="7"/>
    </row>
    <row r="3127" spans="1:16" x14ac:dyDescent="0.25">
      <c r="A3127" t="s">
        <v>12</v>
      </c>
      <c r="B3127" t="s">
        <v>965</v>
      </c>
      <c r="C3127" t="s">
        <v>2835</v>
      </c>
      <c r="D3127" t="s">
        <v>3290</v>
      </c>
      <c r="E3127" t="s">
        <v>2834</v>
      </c>
      <c r="F3127" s="20">
        <v>241680</v>
      </c>
      <c r="I3127" s="11">
        <f t="shared" si="124"/>
        <v>45516</v>
      </c>
      <c r="J3127" s="12">
        <f t="shared" si="125"/>
        <v>50</v>
      </c>
      <c r="K3127" t="str">
        <f t="shared" si="123"/>
        <v>31-90</v>
      </c>
      <c r="L3127" s="11">
        <v>45566</v>
      </c>
      <c r="M3127" s="23">
        <f>YEAR(Таблица1[[#This Row],[Дата отчета]])</f>
        <v>2024</v>
      </c>
    </row>
    <row r="3128" spans="1:16" x14ac:dyDescent="0.25">
      <c r="A3128" t="s">
        <v>12</v>
      </c>
      <c r="B3128" t="s">
        <v>2382</v>
      </c>
      <c r="C3128" t="s">
        <v>269</v>
      </c>
      <c r="D3128" t="s">
        <v>3291</v>
      </c>
      <c r="E3128" t="s">
        <v>3292</v>
      </c>
      <c r="F3128" s="20">
        <v>2000</v>
      </c>
      <c r="I3128" s="11">
        <f t="shared" si="124"/>
        <v>45358</v>
      </c>
      <c r="J3128" s="12">
        <f t="shared" si="125"/>
        <v>208</v>
      </c>
      <c r="K3128" t="str">
        <f t="shared" si="123"/>
        <v>181-270</v>
      </c>
      <c r="L3128" s="11">
        <v>45566</v>
      </c>
      <c r="M3128" s="23">
        <f>YEAR(Таблица1[[#This Row],[Дата отчета]])</f>
        <v>2024</v>
      </c>
    </row>
    <row r="3129" spans="1:16" x14ac:dyDescent="0.25">
      <c r="A3129" t="s">
        <v>12</v>
      </c>
      <c r="B3129" t="s">
        <v>995</v>
      </c>
      <c r="C3129" t="s">
        <v>996</v>
      </c>
      <c r="D3129" t="s">
        <v>997</v>
      </c>
      <c r="E3129" t="s">
        <v>998</v>
      </c>
      <c r="F3129" s="20">
        <v>401.24</v>
      </c>
      <c r="I3129" s="11">
        <f t="shared" si="124"/>
        <v>45534</v>
      </c>
      <c r="J3129" s="12">
        <f t="shared" si="125"/>
        <v>32</v>
      </c>
      <c r="K3129" t="str">
        <f t="shared" si="123"/>
        <v>31-90</v>
      </c>
      <c r="L3129" s="11">
        <v>45566</v>
      </c>
      <c r="M3129" s="23">
        <f>YEAR(Таблица1[[#This Row],[Дата отчета]])</f>
        <v>2024</v>
      </c>
      <c r="N3129" s="7" t="s">
        <v>4536</v>
      </c>
      <c r="P3129" s="2" t="s">
        <v>4552</v>
      </c>
    </row>
    <row r="3130" spans="1:16" x14ac:dyDescent="0.25">
      <c r="A3130" t="s">
        <v>12</v>
      </c>
      <c r="B3130" t="s">
        <v>995</v>
      </c>
      <c r="C3130" t="s">
        <v>999</v>
      </c>
      <c r="D3130" t="s">
        <v>3293</v>
      </c>
      <c r="E3130" t="s">
        <v>920</v>
      </c>
      <c r="F3130" s="20">
        <v>2648.14</v>
      </c>
      <c r="I3130" s="11">
        <f t="shared" si="124"/>
        <v>45392</v>
      </c>
      <c r="J3130" s="12">
        <f t="shared" si="125"/>
        <v>174</v>
      </c>
      <c r="K3130" t="str">
        <f t="shared" si="123"/>
        <v>121-180</v>
      </c>
      <c r="L3130" s="11">
        <v>45566</v>
      </c>
      <c r="M3130" s="23">
        <f>YEAR(Таблица1[[#This Row],[Дата отчета]])</f>
        <v>2024</v>
      </c>
      <c r="N3130" s="7"/>
      <c r="P3130" s="2"/>
    </row>
    <row r="3131" spans="1:16" x14ac:dyDescent="0.25">
      <c r="A3131" t="s">
        <v>12</v>
      </c>
      <c r="B3131" t="s">
        <v>995</v>
      </c>
      <c r="C3131" t="s">
        <v>2841</v>
      </c>
      <c r="D3131" t="s">
        <v>2842</v>
      </c>
      <c r="E3131" t="s">
        <v>1795</v>
      </c>
      <c r="F3131" s="20">
        <v>401.23</v>
      </c>
      <c r="I3131" s="11">
        <f t="shared" si="124"/>
        <v>45391</v>
      </c>
      <c r="J3131" s="12">
        <f t="shared" si="125"/>
        <v>175</v>
      </c>
      <c r="K3131" t="str">
        <f t="shared" si="123"/>
        <v>121-180</v>
      </c>
      <c r="L3131" s="11">
        <v>45566</v>
      </c>
      <c r="M3131" s="23">
        <f>YEAR(Таблица1[[#This Row],[Дата отчета]])</f>
        <v>2024</v>
      </c>
      <c r="P3131" s="2"/>
    </row>
    <row r="3132" spans="1:16" x14ac:dyDescent="0.25">
      <c r="A3132" t="s">
        <v>12</v>
      </c>
      <c r="B3132" t="s">
        <v>1736</v>
      </c>
      <c r="C3132" t="s">
        <v>1737</v>
      </c>
      <c r="D3132" t="s">
        <v>1738</v>
      </c>
      <c r="E3132" t="s">
        <v>1816</v>
      </c>
      <c r="F3132" s="20">
        <v>2974.3</v>
      </c>
      <c r="I3132" s="11">
        <f t="shared" si="124"/>
        <v>44594</v>
      </c>
      <c r="J3132" s="12">
        <f t="shared" si="125"/>
        <v>972</v>
      </c>
      <c r="K3132" t="str">
        <f t="shared" si="123"/>
        <v>&gt;360</v>
      </c>
      <c r="L3132" s="11">
        <v>45566</v>
      </c>
      <c r="M3132" s="23">
        <f>YEAR(Таблица1[[#This Row],[Дата отчета]])</f>
        <v>2024</v>
      </c>
      <c r="N3132" t="s">
        <v>4538</v>
      </c>
    </row>
    <row r="3133" spans="1:16" x14ac:dyDescent="0.25">
      <c r="A3133" t="s">
        <v>12</v>
      </c>
      <c r="B3133" t="s">
        <v>1005</v>
      </c>
      <c r="C3133" t="s">
        <v>3294</v>
      </c>
      <c r="D3133" t="s">
        <v>3295</v>
      </c>
      <c r="E3133" t="s">
        <v>1782</v>
      </c>
      <c r="F3133" s="20">
        <v>37271</v>
      </c>
      <c r="I3133" s="11">
        <f t="shared" si="124"/>
        <v>45450</v>
      </c>
      <c r="J3133" s="12">
        <f t="shared" si="125"/>
        <v>116</v>
      </c>
      <c r="K3133" t="str">
        <f t="shared" si="123"/>
        <v>91-120</v>
      </c>
      <c r="L3133" s="11">
        <v>45566</v>
      </c>
      <c r="M3133" s="23">
        <f>YEAR(Таблица1[[#This Row],[Дата отчета]])</f>
        <v>2024</v>
      </c>
    </row>
    <row r="3134" spans="1:16" x14ac:dyDescent="0.25">
      <c r="A3134" t="s">
        <v>12</v>
      </c>
      <c r="B3134" t="s">
        <v>1008</v>
      </c>
      <c r="C3134" t="s">
        <v>775</v>
      </c>
      <c r="D3134" t="s">
        <v>1009</v>
      </c>
      <c r="E3134" t="s">
        <v>1010</v>
      </c>
      <c r="F3134" s="20">
        <v>0.1</v>
      </c>
      <c r="I3134" s="11">
        <f t="shared" si="124"/>
        <v>45519</v>
      </c>
      <c r="J3134" s="12">
        <f t="shared" si="125"/>
        <v>47</v>
      </c>
      <c r="K3134" t="str">
        <f t="shared" si="123"/>
        <v>31-90</v>
      </c>
      <c r="L3134" s="11">
        <v>45566</v>
      </c>
      <c r="M3134" s="23">
        <f>YEAR(Таблица1[[#This Row],[Дата отчета]])</f>
        <v>2024</v>
      </c>
    </row>
    <row r="3135" spans="1:16" x14ac:dyDescent="0.25">
      <c r="A3135" t="s">
        <v>12</v>
      </c>
      <c r="B3135" t="s">
        <v>1011</v>
      </c>
      <c r="C3135" t="s">
        <v>1012</v>
      </c>
      <c r="D3135" t="s">
        <v>1013</v>
      </c>
      <c r="E3135" t="s">
        <v>1014</v>
      </c>
      <c r="F3135" s="20">
        <v>0.01</v>
      </c>
      <c r="I3135" s="11">
        <f t="shared" si="124"/>
        <v>45224</v>
      </c>
      <c r="J3135" s="12">
        <f t="shared" si="125"/>
        <v>342</v>
      </c>
      <c r="K3135" t="str">
        <f t="shared" ref="K3135:K3198" si="126">IF(J3135&lt;=30,"0-30",IF(J3135&lt;=90,"31-90",IF(J3135&lt;=120,"91-120",IF(J3135&lt;=180,"121-180",IF(J3135&lt;=270,"181-270",IF(J3135&lt;=360,"271-360","&gt;360"))))))</f>
        <v>271-360</v>
      </c>
      <c r="L3135" s="11">
        <v>45566</v>
      </c>
      <c r="M3135" s="23">
        <f>YEAR(Таблица1[[#This Row],[Дата отчета]])</f>
        <v>2024</v>
      </c>
    </row>
    <row r="3136" spans="1:16" x14ac:dyDescent="0.25">
      <c r="A3136" t="s">
        <v>12</v>
      </c>
      <c r="B3136" t="s">
        <v>1011</v>
      </c>
      <c r="C3136" t="s">
        <v>3296</v>
      </c>
      <c r="D3136" t="s">
        <v>3297</v>
      </c>
      <c r="E3136" t="s">
        <v>3298</v>
      </c>
      <c r="F3136" s="20">
        <v>31487.94</v>
      </c>
      <c r="I3136" s="11">
        <f t="shared" si="124"/>
        <v>45420</v>
      </c>
      <c r="J3136" s="12">
        <f t="shared" si="125"/>
        <v>146</v>
      </c>
      <c r="K3136" t="str">
        <f t="shared" si="126"/>
        <v>121-180</v>
      </c>
      <c r="L3136" s="11">
        <v>45566</v>
      </c>
      <c r="M3136" s="23">
        <f>YEAR(Таблица1[[#This Row],[Дата отчета]])</f>
        <v>2024</v>
      </c>
    </row>
    <row r="3137" spans="1:15" x14ac:dyDescent="0.25">
      <c r="A3137" t="s">
        <v>12</v>
      </c>
      <c r="B3137" t="s">
        <v>1017</v>
      </c>
      <c r="C3137" t="s">
        <v>3299</v>
      </c>
      <c r="D3137" t="s">
        <v>3300</v>
      </c>
      <c r="E3137" t="s">
        <v>3301</v>
      </c>
      <c r="F3137" s="20">
        <v>30600</v>
      </c>
      <c r="I3137" s="11">
        <f t="shared" si="124"/>
        <v>45329</v>
      </c>
      <c r="J3137" s="12">
        <f t="shared" si="125"/>
        <v>237</v>
      </c>
      <c r="K3137" t="str">
        <f t="shared" si="126"/>
        <v>181-270</v>
      </c>
      <c r="L3137" s="11">
        <v>45566</v>
      </c>
      <c r="M3137" s="23">
        <f>YEAR(Таблица1[[#This Row],[Дата отчета]])</f>
        <v>2024</v>
      </c>
    </row>
    <row r="3138" spans="1:15" x14ac:dyDescent="0.25">
      <c r="A3138" t="s">
        <v>12</v>
      </c>
      <c r="B3138" t="s">
        <v>1749</v>
      </c>
      <c r="C3138" t="s">
        <v>3302</v>
      </c>
      <c r="D3138" t="s">
        <v>3303</v>
      </c>
      <c r="E3138" t="s">
        <v>2450</v>
      </c>
      <c r="F3138" s="20">
        <v>804565.4</v>
      </c>
      <c r="I3138" s="11">
        <f t="shared" si="124"/>
        <v>45427</v>
      </c>
      <c r="J3138" s="12">
        <f t="shared" si="125"/>
        <v>139</v>
      </c>
      <c r="K3138" t="str">
        <f t="shared" si="126"/>
        <v>121-180</v>
      </c>
      <c r="L3138" s="11">
        <v>45566</v>
      </c>
      <c r="M3138" s="23">
        <f>YEAR(Таблица1[[#This Row],[Дата отчета]])</f>
        <v>2024</v>
      </c>
    </row>
    <row r="3139" spans="1:15" x14ac:dyDescent="0.25">
      <c r="A3139" t="s">
        <v>12</v>
      </c>
      <c r="B3139" t="s">
        <v>1028</v>
      </c>
      <c r="C3139" t="s">
        <v>3304</v>
      </c>
      <c r="D3139" t="s">
        <v>3305</v>
      </c>
      <c r="E3139" t="s">
        <v>3306</v>
      </c>
      <c r="F3139" s="20">
        <v>67500</v>
      </c>
      <c r="I3139" s="11">
        <f t="shared" si="124"/>
        <v>45530</v>
      </c>
      <c r="J3139" s="12">
        <f t="shared" si="125"/>
        <v>36</v>
      </c>
      <c r="K3139" t="str">
        <f t="shared" si="126"/>
        <v>31-90</v>
      </c>
      <c r="L3139" s="11">
        <v>45566</v>
      </c>
      <c r="M3139" s="23">
        <f>YEAR(Таблица1[[#This Row],[Дата отчета]])</f>
        <v>2024</v>
      </c>
    </row>
    <row r="3140" spans="1:15" x14ac:dyDescent="0.25">
      <c r="A3140" t="s">
        <v>12</v>
      </c>
      <c r="B3140" t="s">
        <v>2398</v>
      </c>
      <c r="C3140" t="s">
        <v>269</v>
      </c>
      <c r="D3140" t="s">
        <v>3307</v>
      </c>
      <c r="E3140" t="s">
        <v>2809</v>
      </c>
      <c r="F3140" s="20">
        <v>750</v>
      </c>
      <c r="I3140" s="11">
        <f t="shared" si="124"/>
        <v>45560</v>
      </c>
      <c r="J3140" s="12">
        <f t="shared" si="125"/>
        <v>6</v>
      </c>
      <c r="K3140" t="str">
        <f t="shared" si="126"/>
        <v>0-30</v>
      </c>
      <c r="L3140" s="11">
        <v>45566</v>
      </c>
      <c r="M3140" s="23">
        <f>YEAR(Таблица1[[#This Row],[Дата отчета]])</f>
        <v>2024</v>
      </c>
    </row>
    <row r="3141" spans="1:15" x14ac:dyDescent="0.25">
      <c r="A3141" t="s">
        <v>12</v>
      </c>
      <c r="B3141" t="s">
        <v>3308</v>
      </c>
      <c r="C3141" t="s">
        <v>3309</v>
      </c>
      <c r="D3141" t="s">
        <v>3310</v>
      </c>
      <c r="E3141" t="s">
        <v>3311</v>
      </c>
      <c r="F3141" s="20">
        <v>920000</v>
      </c>
      <c r="I3141" s="11">
        <f t="shared" si="124"/>
        <v>45384</v>
      </c>
      <c r="J3141" s="12">
        <f t="shared" si="125"/>
        <v>182</v>
      </c>
      <c r="K3141" t="str">
        <f t="shared" si="126"/>
        <v>181-270</v>
      </c>
      <c r="L3141" s="11">
        <v>45566</v>
      </c>
      <c r="M3141" s="23">
        <f>YEAR(Таблица1[[#This Row],[Дата отчета]])</f>
        <v>2024</v>
      </c>
    </row>
    <row r="3142" spans="1:15" x14ac:dyDescent="0.25">
      <c r="A3142" t="s">
        <v>12</v>
      </c>
      <c r="B3142" t="s">
        <v>1053</v>
      </c>
      <c r="C3142" t="s">
        <v>3312</v>
      </c>
      <c r="D3142" t="s">
        <v>3313</v>
      </c>
      <c r="E3142" t="s">
        <v>175</v>
      </c>
      <c r="F3142" s="20">
        <v>9719.6</v>
      </c>
      <c r="I3142" s="11">
        <f t="shared" si="124"/>
        <v>45399</v>
      </c>
      <c r="J3142" s="12">
        <f t="shared" si="125"/>
        <v>167</v>
      </c>
      <c r="K3142" t="str">
        <f t="shared" si="126"/>
        <v>121-180</v>
      </c>
      <c r="L3142" s="11">
        <v>45566</v>
      </c>
      <c r="M3142" s="23">
        <f>YEAR(Таблица1[[#This Row],[Дата отчета]])</f>
        <v>2024</v>
      </c>
    </row>
    <row r="3143" spans="1:15" x14ac:dyDescent="0.25">
      <c r="A3143" t="s">
        <v>12</v>
      </c>
      <c r="B3143" t="s">
        <v>1053</v>
      </c>
      <c r="C3143" t="s">
        <v>3314</v>
      </c>
      <c r="D3143" t="s">
        <v>3315</v>
      </c>
      <c r="E3143" t="s">
        <v>3316</v>
      </c>
      <c r="F3143" s="20">
        <v>0.4</v>
      </c>
      <c r="I3143" s="11">
        <f t="shared" si="124"/>
        <v>45078</v>
      </c>
      <c r="J3143" s="12">
        <f t="shared" si="125"/>
        <v>488</v>
      </c>
      <c r="K3143" t="str">
        <f t="shared" si="126"/>
        <v>&gt;360</v>
      </c>
      <c r="L3143" s="11">
        <v>45566</v>
      </c>
      <c r="M3143" s="23">
        <f>YEAR(Таблица1[[#This Row],[Дата отчета]])</f>
        <v>2024</v>
      </c>
    </row>
    <row r="3144" spans="1:15" x14ac:dyDescent="0.25">
      <c r="A3144" t="s">
        <v>12</v>
      </c>
      <c r="B3144" t="s">
        <v>2849</v>
      </c>
      <c r="C3144" t="s">
        <v>2850</v>
      </c>
      <c r="D3144" t="s">
        <v>2851</v>
      </c>
      <c r="E3144" t="s">
        <v>2852</v>
      </c>
      <c r="F3144" s="20">
        <v>474600</v>
      </c>
      <c r="I3144" s="11">
        <f t="shared" si="124"/>
        <v>45513</v>
      </c>
      <c r="J3144" s="12">
        <f t="shared" si="125"/>
        <v>53</v>
      </c>
      <c r="K3144" t="str">
        <f t="shared" si="126"/>
        <v>31-90</v>
      </c>
      <c r="L3144" s="11">
        <v>45566</v>
      </c>
      <c r="M3144" s="23">
        <f>YEAR(Таблица1[[#This Row],[Дата отчета]])</f>
        <v>2024</v>
      </c>
    </row>
    <row r="3145" spans="1:15" x14ac:dyDescent="0.25">
      <c r="A3145" t="s">
        <v>12</v>
      </c>
      <c r="B3145" t="s">
        <v>3317</v>
      </c>
      <c r="C3145" t="s">
        <v>3318</v>
      </c>
      <c r="D3145" t="s">
        <v>3319</v>
      </c>
      <c r="E3145" t="s">
        <v>3055</v>
      </c>
      <c r="F3145" s="20">
        <v>1097.3399999999999</v>
      </c>
      <c r="I3145" s="11">
        <f t="shared" si="124"/>
        <v>45562</v>
      </c>
      <c r="J3145" s="12">
        <f t="shared" si="125"/>
        <v>4</v>
      </c>
      <c r="K3145" t="str">
        <f t="shared" si="126"/>
        <v>0-30</v>
      </c>
      <c r="L3145" s="11">
        <v>45566</v>
      </c>
      <c r="M3145" s="23">
        <f>YEAR(Таблица1[[#This Row],[Дата отчета]])</f>
        <v>2024</v>
      </c>
    </row>
    <row r="3146" spans="1:15" x14ac:dyDescent="0.25">
      <c r="A3146" t="s">
        <v>12</v>
      </c>
      <c r="B3146" t="s">
        <v>1068</v>
      </c>
      <c r="C3146" t="s">
        <v>1069</v>
      </c>
      <c r="D3146" t="s">
        <v>1070</v>
      </c>
      <c r="E3146" t="s">
        <v>1071</v>
      </c>
      <c r="F3146" s="20">
        <v>4</v>
      </c>
      <c r="I3146" s="11">
        <f t="shared" si="124"/>
        <v>44860</v>
      </c>
      <c r="J3146" s="12">
        <f t="shared" si="125"/>
        <v>706</v>
      </c>
      <c r="K3146" t="str">
        <f t="shared" si="126"/>
        <v>&gt;360</v>
      </c>
      <c r="L3146" s="11">
        <v>45566</v>
      </c>
      <c r="M3146" s="23">
        <f>YEAR(Таблица1[[#This Row],[Дата отчета]])</f>
        <v>2024</v>
      </c>
    </row>
    <row r="3147" spans="1:15" x14ac:dyDescent="0.25">
      <c r="A3147" t="s">
        <v>12</v>
      </c>
      <c r="B3147" t="s">
        <v>1068</v>
      </c>
      <c r="C3147" t="s">
        <v>3320</v>
      </c>
      <c r="D3147" t="s">
        <v>3321</v>
      </c>
      <c r="E3147" t="s">
        <v>3322</v>
      </c>
      <c r="F3147" s="20">
        <v>2094390</v>
      </c>
      <c r="I3147" s="11">
        <f t="shared" si="124"/>
        <v>45189</v>
      </c>
      <c r="J3147" s="12">
        <f t="shared" si="125"/>
        <v>377</v>
      </c>
      <c r="K3147" t="str">
        <f t="shared" si="126"/>
        <v>&gt;360</v>
      </c>
      <c r="L3147" s="11">
        <v>45566</v>
      </c>
      <c r="M3147" s="23">
        <f>YEAR(Таблица1[[#This Row],[Дата отчета]])</f>
        <v>2024</v>
      </c>
    </row>
    <row r="3148" spans="1:15" x14ac:dyDescent="0.25">
      <c r="A3148" t="s">
        <v>12</v>
      </c>
      <c r="B3148" t="s">
        <v>2423</v>
      </c>
      <c r="C3148" t="s">
        <v>2863</v>
      </c>
      <c r="D3148" t="s">
        <v>2864</v>
      </c>
      <c r="E3148" t="s">
        <v>2865</v>
      </c>
      <c r="F3148" s="20">
        <v>154140.10999999999</v>
      </c>
      <c r="I3148" s="11">
        <f t="shared" si="124"/>
        <v>45453</v>
      </c>
      <c r="J3148" s="12">
        <f t="shared" si="125"/>
        <v>113</v>
      </c>
      <c r="K3148" t="str">
        <f t="shared" si="126"/>
        <v>91-120</v>
      </c>
      <c r="L3148" s="11">
        <v>45566</v>
      </c>
      <c r="M3148" s="23">
        <f>YEAR(Таблица1[[#This Row],[Дата отчета]])</f>
        <v>2024</v>
      </c>
    </row>
    <row r="3149" spans="1:15" x14ac:dyDescent="0.25">
      <c r="A3149" t="s">
        <v>1082</v>
      </c>
      <c r="B3149" t="s">
        <v>1087</v>
      </c>
      <c r="C3149" t="s">
        <v>1090</v>
      </c>
      <c r="D3149" t="s">
        <v>1091</v>
      </c>
      <c r="E3149" t="s">
        <v>1092</v>
      </c>
      <c r="F3149" s="20">
        <v>35421.75</v>
      </c>
      <c r="I3149" s="11">
        <f t="shared" si="124"/>
        <v>45554</v>
      </c>
      <c r="J3149" s="12">
        <f t="shared" si="125"/>
        <v>12</v>
      </c>
      <c r="K3149" t="str">
        <f t="shared" si="126"/>
        <v>0-30</v>
      </c>
      <c r="L3149" s="11">
        <v>45566</v>
      </c>
      <c r="M3149" s="23">
        <f>YEAR(Таблица1[[#This Row],[Дата отчета]])</f>
        <v>2024</v>
      </c>
      <c r="N3149" s="7" t="s">
        <v>4535</v>
      </c>
      <c r="O3149" s="24"/>
    </row>
    <row r="3150" spans="1:15" x14ac:dyDescent="0.25">
      <c r="A3150" t="s">
        <v>1082</v>
      </c>
      <c r="B3150" t="s">
        <v>1151</v>
      </c>
      <c r="C3150" t="s">
        <v>3323</v>
      </c>
      <c r="D3150" t="s">
        <v>3324</v>
      </c>
      <c r="E3150" t="s">
        <v>1801</v>
      </c>
      <c r="F3150" s="20">
        <v>203455</v>
      </c>
      <c r="I3150" s="11">
        <f t="shared" si="124"/>
        <v>45524</v>
      </c>
      <c r="J3150" s="12">
        <f t="shared" si="125"/>
        <v>42</v>
      </c>
      <c r="K3150" t="str">
        <f t="shared" si="126"/>
        <v>31-90</v>
      </c>
      <c r="L3150" s="11">
        <v>45566</v>
      </c>
      <c r="M3150" s="23">
        <f>YEAR(Таблица1[[#This Row],[Дата отчета]])</f>
        <v>2024</v>
      </c>
    </row>
    <row r="3151" spans="1:15" x14ac:dyDescent="0.25">
      <c r="A3151" t="s">
        <v>1082</v>
      </c>
      <c r="B3151" t="s">
        <v>1151</v>
      </c>
      <c r="C3151" t="s">
        <v>3323</v>
      </c>
      <c r="D3151" t="s">
        <v>3325</v>
      </c>
      <c r="E3151" t="s">
        <v>1801</v>
      </c>
      <c r="F3151" s="20">
        <v>2262500.98</v>
      </c>
      <c r="I3151" s="11">
        <f t="shared" si="124"/>
        <v>45524</v>
      </c>
      <c r="J3151" s="12">
        <f t="shared" si="125"/>
        <v>42</v>
      </c>
      <c r="K3151" t="str">
        <f t="shared" si="126"/>
        <v>31-90</v>
      </c>
      <c r="L3151" s="11">
        <v>45566</v>
      </c>
      <c r="M3151" s="23">
        <f>YEAR(Таблица1[[#This Row],[Дата отчета]])</f>
        <v>2024</v>
      </c>
    </row>
    <row r="3152" spans="1:15" x14ac:dyDescent="0.25">
      <c r="A3152" t="s">
        <v>1082</v>
      </c>
      <c r="B3152" t="s">
        <v>271</v>
      </c>
      <c r="C3152" t="s">
        <v>3013</v>
      </c>
      <c r="D3152" t="s">
        <v>3014</v>
      </c>
      <c r="E3152" t="s">
        <v>2852</v>
      </c>
      <c r="F3152" s="20">
        <v>79619.820000000007</v>
      </c>
      <c r="I3152" s="11">
        <f t="shared" si="124"/>
        <v>45513</v>
      </c>
      <c r="J3152" s="12">
        <f t="shared" si="125"/>
        <v>53</v>
      </c>
      <c r="K3152" t="str">
        <f t="shared" si="126"/>
        <v>31-90</v>
      </c>
      <c r="L3152" s="11">
        <v>45566</v>
      </c>
      <c r="M3152" s="23">
        <f>YEAR(Таблица1[[#This Row],[Дата отчета]])</f>
        <v>2024</v>
      </c>
    </row>
    <row r="3153" spans="1:13" x14ac:dyDescent="0.25">
      <c r="A3153" t="s">
        <v>1082</v>
      </c>
      <c r="B3153" t="s">
        <v>271</v>
      </c>
      <c r="C3153" t="s">
        <v>3326</v>
      </c>
      <c r="D3153" t="s">
        <v>3327</v>
      </c>
      <c r="E3153" t="s">
        <v>3328</v>
      </c>
      <c r="F3153" s="20">
        <v>1657.1</v>
      </c>
      <c r="I3153" s="11">
        <f t="shared" si="124"/>
        <v>45328</v>
      </c>
      <c r="J3153" s="12">
        <f t="shared" si="125"/>
        <v>238</v>
      </c>
      <c r="K3153" t="str">
        <f t="shared" si="126"/>
        <v>181-270</v>
      </c>
      <c r="L3153" s="11">
        <v>45566</v>
      </c>
      <c r="M3153" s="23">
        <f>YEAR(Таблица1[[#This Row],[Дата отчета]])</f>
        <v>2024</v>
      </c>
    </row>
    <row r="3154" spans="1:13" x14ac:dyDescent="0.25">
      <c r="A3154" t="s">
        <v>1082</v>
      </c>
      <c r="B3154" t="s">
        <v>3329</v>
      </c>
      <c r="C3154" t="s">
        <v>3330</v>
      </c>
      <c r="D3154" t="s">
        <v>3331</v>
      </c>
      <c r="E3154" t="s">
        <v>3332</v>
      </c>
      <c r="F3154" s="20">
        <v>2485087.63</v>
      </c>
      <c r="I3154" s="11">
        <f t="shared" si="124"/>
        <v>45400</v>
      </c>
      <c r="J3154" s="12">
        <f t="shared" si="125"/>
        <v>166</v>
      </c>
      <c r="K3154" t="str">
        <f t="shared" si="126"/>
        <v>121-180</v>
      </c>
      <c r="L3154" s="11">
        <v>45566</v>
      </c>
      <c r="M3154" s="23">
        <f>YEAR(Таблица1[[#This Row],[Дата отчета]])</f>
        <v>2024</v>
      </c>
    </row>
    <row r="3155" spans="1:13" x14ac:dyDescent="0.25">
      <c r="A3155" t="s">
        <v>1082</v>
      </c>
      <c r="B3155" t="s">
        <v>3333</v>
      </c>
      <c r="C3155" t="s">
        <v>3334</v>
      </c>
      <c r="D3155" t="s">
        <v>3335</v>
      </c>
      <c r="E3155" t="s">
        <v>3336</v>
      </c>
      <c r="F3155" s="20">
        <v>299766.39</v>
      </c>
      <c r="I3155" s="11">
        <f t="shared" si="124"/>
        <v>45338</v>
      </c>
      <c r="J3155" s="12">
        <f t="shared" si="125"/>
        <v>228</v>
      </c>
      <c r="K3155" t="str">
        <f t="shared" si="126"/>
        <v>181-270</v>
      </c>
      <c r="L3155" s="11">
        <v>45566</v>
      </c>
      <c r="M3155" s="23">
        <f>YEAR(Таблица1[[#This Row],[Дата отчета]])</f>
        <v>2024</v>
      </c>
    </row>
    <row r="3156" spans="1:13" x14ac:dyDescent="0.25">
      <c r="A3156" t="s">
        <v>1082</v>
      </c>
      <c r="B3156" t="s">
        <v>766</v>
      </c>
      <c r="C3156" t="s">
        <v>1762</v>
      </c>
      <c r="D3156" t="s">
        <v>1763</v>
      </c>
      <c r="E3156" t="s">
        <v>1819</v>
      </c>
      <c r="F3156" s="20">
        <v>348705</v>
      </c>
      <c r="I3156" s="11">
        <f t="shared" si="124"/>
        <v>45504</v>
      </c>
      <c r="J3156" s="12">
        <f t="shared" si="125"/>
        <v>62</v>
      </c>
      <c r="K3156" t="str">
        <f t="shared" si="126"/>
        <v>31-90</v>
      </c>
      <c r="L3156" s="11">
        <v>45566</v>
      </c>
      <c r="M3156" s="23">
        <f>YEAR(Таблица1[[#This Row],[Дата отчета]])</f>
        <v>2024</v>
      </c>
    </row>
    <row r="3157" spans="1:13" x14ac:dyDescent="0.25">
      <c r="A3157" t="s">
        <v>1082</v>
      </c>
      <c r="B3157" t="s">
        <v>2349</v>
      </c>
      <c r="C3157" t="s">
        <v>3337</v>
      </c>
      <c r="D3157" t="s">
        <v>3338</v>
      </c>
      <c r="E3157" t="s">
        <v>3339</v>
      </c>
      <c r="F3157" s="20">
        <v>4237847.28</v>
      </c>
      <c r="I3157" s="11">
        <f t="shared" si="124"/>
        <v>45323</v>
      </c>
      <c r="J3157" s="12">
        <f t="shared" si="125"/>
        <v>243</v>
      </c>
      <c r="K3157" t="str">
        <f t="shared" si="126"/>
        <v>181-270</v>
      </c>
      <c r="L3157" s="11">
        <v>45566</v>
      </c>
      <c r="M3157" s="23">
        <f>YEAR(Таблица1[[#This Row],[Дата отчета]])</f>
        <v>2024</v>
      </c>
    </row>
    <row r="3158" spans="1:13" x14ac:dyDescent="0.25">
      <c r="A3158" t="s">
        <v>12</v>
      </c>
      <c r="B3158" t="s">
        <v>3340</v>
      </c>
      <c r="C3158" t="s">
        <v>3341</v>
      </c>
      <c r="D3158" t="s">
        <v>3342</v>
      </c>
      <c r="E3158" t="s">
        <v>3343</v>
      </c>
      <c r="F3158" s="20">
        <v>440</v>
      </c>
      <c r="I3158" s="11">
        <f t="shared" ref="I3158" si="127">E3158*1</f>
        <v>45148</v>
      </c>
      <c r="J3158" s="12">
        <f t="shared" ref="J3158" si="128">L3158-I3158</f>
        <v>326</v>
      </c>
      <c r="K3158" t="str">
        <f t="shared" si="126"/>
        <v>271-360</v>
      </c>
      <c r="L3158" s="11">
        <v>45474</v>
      </c>
      <c r="M3158" s="23">
        <f>YEAR(Таблица1[[#This Row],[Дата отчета]])</f>
        <v>2024</v>
      </c>
    </row>
    <row r="3159" spans="1:13" x14ac:dyDescent="0.25">
      <c r="A3159" t="s">
        <v>12</v>
      </c>
      <c r="B3159" t="s">
        <v>3017</v>
      </c>
      <c r="C3159" t="s">
        <v>3344</v>
      </c>
      <c r="D3159" t="s">
        <v>3345</v>
      </c>
      <c r="E3159" t="s">
        <v>189</v>
      </c>
      <c r="F3159" s="20">
        <v>380525</v>
      </c>
      <c r="I3159" s="11">
        <f t="shared" ref="I3159:I3222" si="129">E3159*1</f>
        <v>45471</v>
      </c>
      <c r="J3159" s="12">
        <f t="shared" ref="J3159:J3222" si="130">L3159-I3159</f>
        <v>3</v>
      </c>
      <c r="K3159" t="str">
        <f t="shared" si="126"/>
        <v>0-30</v>
      </c>
      <c r="L3159" s="11">
        <v>45474</v>
      </c>
      <c r="M3159" s="23">
        <f>YEAR(Таблица1[[#This Row],[Дата отчета]])</f>
        <v>2024</v>
      </c>
    </row>
    <row r="3160" spans="1:13" x14ac:dyDescent="0.25">
      <c r="A3160" t="s">
        <v>12</v>
      </c>
      <c r="B3160" t="s">
        <v>3346</v>
      </c>
      <c r="C3160" t="s">
        <v>3347</v>
      </c>
      <c r="D3160" t="s">
        <v>3348</v>
      </c>
      <c r="E3160" t="s">
        <v>300</v>
      </c>
      <c r="F3160" s="20">
        <v>77000</v>
      </c>
      <c r="I3160" s="11">
        <f t="shared" si="129"/>
        <v>45449</v>
      </c>
      <c r="J3160" s="12">
        <f t="shared" si="130"/>
        <v>25</v>
      </c>
      <c r="K3160" t="str">
        <f t="shared" si="126"/>
        <v>0-30</v>
      </c>
      <c r="L3160" s="11">
        <v>45474</v>
      </c>
      <c r="M3160" s="23">
        <f>YEAR(Таблица1[[#This Row],[Дата отчета]])</f>
        <v>2024</v>
      </c>
    </row>
    <row r="3161" spans="1:13" x14ac:dyDescent="0.25">
      <c r="A3161" t="s">
        <v>12</v>
      </c>
      <c r="B3161" t="s">
        <v>18</v>
      </c>
      <c r="C3161" t="s">
        <v>2469</v>
      </c>
      <c r="D3161" t="s">
        <v>2470</v>
      </c>
      <c r="E3161" t="s">
        <v>2471</v>
      </c>
      <c r="F3161" s="20">
        <v>2800</v>
      </c>
      <c r="I3161" s="11">
        <f t="shared" si="129"/>
        <v>45093</v>
      </c>
      <c r="J3161" s="12">
        <f t="shared" si="130"/>
        <v>381</v>
      </c>
      <c r="K3161" t="str">
        <f t="shared" si="126"/>
        <v>&gt;360</v>
      </c>
      <c r="L3161" s="11">
        <v>45474</v>
      </c>
      <c r="M3161" s="23">
        <f>YEAR(Таблица1[[#This Row],[Дата отчета]])</f>
        <v>2024</v>
      </c>
    </row>
    <row r="3162" spans="1:13" x14ac:dyDescent="0.25">
      <c r="A3162" t="s">
        <v>12</v>
      </c>
      <c r="B3162" t="s">
        <v>3349</v>
      </c>
      <c r="C3162" t="s">
        <v>3350</v>
      </c>
      <c r="D3162" t="s">
        <v>3351</v>
      </c>
      <c r="E3162" t="s">
        <v>3251</v>
      </c>
      <c r="F3162" s="20">
        <v>126296.52</v>
      </c>
      <c r="I3162" s="11">
        <f t="shared" si="129"/>
        <v>45405</v>
      </c>
      <c r="J3162" s="12">
        <f t="shared" si="130"/>
        <v>69</v>
      </c>
      <c r="K3162" t="str">
        <f t="shared" si="126"/>
        <v>31-90</v>
      </c>
      <c r="L3162" s="11">
        <v>45474</v>
      </c>
      <c r="M3162" s="23">
        <f>YEAR(Таблица1[[#This Row],[Дата отчета]])</f>
        <v>2024</v>
      </c>
    </row>
    <row r="3163" spans="1:13" x14ac:dyDescent="0.25">
      <c r="A3163" t="s">
        <v>12</v>
      </c>
      <c r="B3163" t="s">
        <v>13</v>
      </c>
      <c r="C3163" t="s">
        <v>14</v>
      </c>
      <c r="D3163" t="s">
        <v>15</v>
      </c>
      <c r="E3163" t="s">
        <v>16</v>
      </c>
      <c r="F3163" s="20">
        <v>0.01</v>
      </c>
      <c r="I3163" s="11">
        <f t="shared" si="129"/>
        <v>45051</v>
      </c>
      <c r="J3163" s="12">
        <f t="shared" si="130"/>
        <v>423</v>
      </c>
      <c r="K3163" t="str">
        <f t="shared" si="126"/>
        <v>&gt;360</v>
      </c>
      <c r="L3163" s="11">
        <v>45474</v>
      </c>
      <c r="M3163" s="23">
        <f>YEAR(Таблица1[[#This Row],[Дата отчета]])</f>
        <v>2024</v>
      </c>
    </row>
    <row r="3164" spans="1:13" x14ac:dyDescent="0.25">
      <c r="A3164" t="s">
        <v>12</v>
      </c>
      <c r="B3164" t="s">
        <v>93</v>
      </c>
      <c r="C3164" t="s">
        <v>3024</v>
      </c>
      <c r="D3164" t="s">
        <v>3025</v>
      </c>
      <c r="E3164" t="s">
        <v>3026</v>
      </c>
      <c r="F3164" s="20">
        <v>1017.07</v>
      </c>
      <c r="I3164" s="11">
        <f t="shared" si="129"/>
        <v>45356</v>
      </c>
      <c r="J3164" s="12">
        <f t="shared" si="130"/>
        <v>118</v>
      </c>
      <c r="K3164" t="str">
        <f t="shared" si="126"/>
        <v>91-120</v>
      </c>
      <c r="L3164" s="11">
        <v>45474</v>
      </c>
      <c r="M3164" s="23">
        <f>YEAR(Таблица1[[#This Row],[Дата отчета]])</f>
        <v>2024</v>
      </c>
    </row>
    <row r="3165" spans="1:13" x14ac:dyDescent="0.25">
      <c r="A3165" t="s">
        <v>12</v>
      </c>
      <c r="B3165" t="s">
        <v>93</v>
      </c>
      <c r="C3165" t="s">
        <v>3027</v>
      </c>
      <c r="D3165" t="s">
        <v>3028</v>
      </c>
      <c r="E3165" t="s">
        <v>3029</v>
      </c>
      <c r="F3165" s="20">
        <v>2011.81</v>
      </c>
      <c r="I3165" s="11">
        <f t="shared" si="129"/>
        <v>45414</v>
      </c>
      <c r="J3165" s="12">
        <f t="shared" si="130"/>
        <v>60</v>
      </c>
      <c r="K3165" t="str">
        <f t="shared" si="126"/>
        <v>31-90</v>
      </c>
      <c r="L3165" s="11">
        <v>45474</v>
      </c>
      <c r="M3165" s="23">
        <f>YEAR(Таблица1[[#This Row],[Дата отчета]])</f>
        <v>2024</v>
      </c>
    </row>
    <row r="3166" spans="1:13" x14ac:dyDescent="0.25">
      <c r="A3166" t="s">
        <v>12</v>
      </c>
      <c r="B3166" t="s">
        <v>3352</v>
      </c>
      <c r="C3166" t="s">
        <v>3353</v>
      </c>
      <c r="D3166" t="s">
        <v>3354</v>
      </c>
      <c r="E3166" t="s">
        <v>3355</v>
      </c>
      <c r="F3166" s="20">
        <v>267937.38</v>
      </c>
      <c r="I3166" s="11">
        <f t="shared" si="129"/>
        <v>45408</v>
      </c>
      <c r="J3166" s="12">
        <f t="shared" si="130"/>
        <v>66</v>
      </c>
      <c r="K3166" t="str">
        <f t="shared" si="126"/>
        <v>31-90</v>
      </c>
      <c r="L3166" s="11">
        <v>45474</v>
      </c>
      <c r="M3166" s="23">
        <f>YEAR(Таблица1[[#This Row],[Дата отчета]])</f>
        <v>2024</v>
      </c>
    </row>
    <row r="3167" spans="1:13" x14ac:dyDescent="0.25">
      <c r="A3167" t="s">
        <v>12</v>
      </c>
      <c r="B3167" t="s">
        <v>1289</v>
      </c>
      <c r="C3167" t="s">
        <v>269</v>
      </c>
      <c r="D3167" t="s">
        <v>3152</v>
      </c>
      <c r="E3167" t="s">
        <v>3153</v>
      </c>
      <c r="F3167" s="20">
        <v>15925</v>
      </c>
      <c r="I3167" s="11">
        <f t="shared" si="129"/>
        <v>45357</v>
      </c>
      <c r="J3167" s="12">
        <f t="shared" si="130"/>
        <v>117</v>
      </c>
      <c r="K3167" t="str">
        <f t="shared" si="126"/>
        <v>91-120</v>
      </c>
      <c r="L3167" s="11">
        <v>45474</v>
      </c>
      <c r="M3167" s="23">
        <f>YEAR(Таблица1[[#This Row],[Дата отчета]])</f>
        <v>2024</v>
      </c>
    </row>
    <row r="3168" spans="1:13" x14ac:dyDescent="0.25">
      <c r="A3168" t="s">
        <v>12</v>
      </c>
      <c r="B3168" t="s">
        <v>3030</v>
      </c>
      <c r="C3168" t="s">
        <v>970</v>
      </c>
      <c r="D3168" t="s">
        <v>3356</v>
      </c>
      <c r="E3168" t="s">
        <v>3357</v>
      </c>
      <c r="F3168" s="20">
        <v>1330</v>
      </c>
      <c r="I3168" s="11">
        <f t="shared" si="129"/>
        <v>45370</v>
      </c>
      <c r="J3168" s="12">
        <f t="shared" si="130"/>
        <v>104</v>
      </c>
      <c r="K3168" t="str">
        <f t="shared" si="126"/>
        <v>91-120</v>
      </c>
      <c r="L3168" s="11">
        <v>45474</v>
      </c>
      <c r="M3168" s="23">
        <f>YEAR(Таблица1[[#This Row],[Дата отчета]])</f>
        <v>2024</v>
      </c>
    </row>
    <row r="3169" spans="1:14" x14ac:dyDescent="0.25">
      <c r="A3169" t="s">
        <v>12</v>
      </c>
      <c r="B3169" t="s">
        <v>3358</v>
      </c>
      <c r="C3169" t="s">
        <v>775</v>
      </c>
      <c r="D3169" t="s">
        <v>3359</v>
      </c>
      <c r="E3169" t="s">
        <v>3360</v>
      </c>
      <c r="F3169" s="20">
        <v>17495</v>
      </c>
      <c r="I3169" s="11">
        <f t="shared" si="129"/>
        <v>45460</v>
      </c>
      <c r="J3169" s="12">
        <f t="shared" si="130"/>
        <v>14</v>
      </c>
      <c r="K3169" t="str">
        <f t="shared" si="126"/>
        <v>0-30</v>
      </c>
      <c r="L3169" s="11">
        <v>45474</v>
      </c>
      <c r="M3169" s="23">
        <f>YEAR(Таблица1[[#This Row],[Дата отчета]])</f>
        <v>2024</v>
      </c>
    </row>
    <row r="3170" spans="1:14" x14ac:dyDescent="0.25">
      <c r="A3170" t="s">
        <v>12</v>
      </c>
      <c r="B3170" t="s">
        <v>2501</v>
      </c>
      <c r="C3170" t="s">
        <v>3361</v>
      </c>
      <c r="D3170" t="s">
        <v>3362</v>
      </c>
      <c r="E3170" t="s">
        <v>3363</v>
      </c>
      <c r="F3170" s="20">
        <v>61000</v>
      </c>
      <c r="I3170" s="11">
        <f t="shared" si="129"/>
        <v>45464</v>
      </c>
      <c r="J3170" s="12">
        <f t="shared" si="130"/>
        <v>10</v>
      </c>
      <c r="K3170" t="str">
        <f t="shared" si="126"/>
        <v>0-30</v>
      </c>
      <c r="L3170" s="11">
        <v>45474</v>
      </c>
      <c r="M3170" s="23">
        <f>YEAR(Таблица1[[#This Row],[Дата отчета]])</f>
        <v>2024</v>
      </c>
    </row>
    <row r="3171" spans="1:14" x14ac:dyDescent="0.25">
      <c r="A3171" t="s">
        <v>12</v>
      </c>
      <c r="B3171" t="s">
        <v>1888</v>
      </c>
      <c r="C3171" t="s">
        <v>1889</v>
      </c>
      <c r="D3171" t="s">
        <v>1890</v>
      </c>
      <c r="E3171" t="s">
        <v>2438</v>
      </c>
      <c r="F3171" s="20">
        <v>12470</v>
      </c>
      <c r="I3171" s="11">
        <f t="shared" si="129"/>
        <v>45365</v>
      </c>
      <c r="J3171" s="12">
        <f t="shared" si="130"/>
        <v>109</v>
      </c>
      <c r="K3171" t="str">
        <f t="shared" si="126"/>
        <v>91-120</v>
      </c>
      <c r="L3171" s="11">
        <v>45474</v>
      </c>
      <c r="M3171" s="23">
        <f>YEAR(Таблица1[[#This Row],[Дата отчета]])</f>
        <v>2024</v>
      </c>
    </row>
    <row r="3172" spans="1:14" x14ac:dyDescent="0.25">
      <c r="A3172" t="s">
        <v>12</v>
      </c>
      <c r="B3172" t="s">
        <v>120</v>
      </c>
      <c r="C3172" t="s">
        <v>2890</v>
      </c>
      <c r="D3172" t="s">
        <v>2891</v>
      </c>
      <c r="E3172" t="s">
        <v>2892</v>
      </c>
      <c r="F3172" s="20">
        <v>660800</v>
      </c>
      <c r="I3172" s="11">
        <f t="shared" si="129"/>
        <v>45387</v>
      </c>
      <c r="J3172" s="12">
        <f t="shared" si="130"/>
        <v>87</v>
      </c>
      <c r="K3172" t="str">
        <f t="shared" si="126"/>
        <v>31-90</v>
      </c>
      <c r="L3172" s="11">
        <v>45474</v>
      </c>
      <c r="M3172" s="23">
        <f>YEAR(Таблица1[[#This Row],[Дата отчета]])</f>
        <v>2024</v>
      </c>
    </row>
    <row r="3173" spans="1:14" x14ac:dyDescent="0.25">
      <c r="A3173" t="s">
        <v>12</v>
      </c>
      <c r="B3173" t="s">
        <v>3364</v>
      </c>
      <c r="C3173" t="s">
        <v>3365</v>
      </c>
      <c r="D3173" t="s">
        <v>3366</v>
      </c>
      <c r="E3173" t="s">
        <v>189</v>
      </c>
      <c r="F3173" s="20">
        <v>75000</v>
      </c>
      <c r="I3173" s="11">
        <f t="shared" si="129"/>
        <v>45471</v>
      </c>
      <c r="J3173" s="12">
        <f t="shared" si="130"/>
        <v>3</v>
      </c>
      <c r="K3173" t="str">
        <f t="shared" si="126"/>
        <v>0-30</v>
      </c>
      <c r="L3173" s="11">
        <v>45474</v>
      </c>
      <c r="M3173" s="23">
        <f>YEAR(Таблица1[[#This Row],[Дата отчета]])</f>
        <v>2024</v>
      </c>
    </row>
    <row r="3174" spans="1:14" x14ac:dyDescent="0.25">
      <c r="A3174" t="s">
        <v>12</v>
      </c>
      <c r="B3174" t="s">
        <v>124</v>
      </c>
      <c r="C3174" t="s">
        <v>125</v>
      </c>
      <c r="D3174" t="s">
        <v>3036</v>
      </c>
      <c r="E3174" t="s">
        <v>3037</v>
      </c>
      <c r="F3174" s="20">
        <v>33000</v>
      </c>
      <c r="I3174" s="11">
        <f t="shared" si="129"/>
        <v>45282</v>
      </c>
      <c r="J3174" s="12">
        <f t="shared" si="130"/>
        <v>192</v>
      </c>
      <c r="K3174" t="str">
        <f t="shared" si="126"/>
        <v>181-270</v>
      </c>
      <c r="L3174" s="11">
        <v>45474</v>
      </c>
      <c r="M3174" s="23">
        <f>YEAR(Таблица1[[#This Row],[Дата отчета]])</f>
        <v>2024</v>
      </c>
    </row>
    <row r="3175" spans="1:14" x14ac:dyDescent="0.25">
      <c r="A3175" t="s">
        <v>12</v>
      </c>
      <c r="B3175" t="s">
        <v>3367</v>
      </c>
      <c r="C3175" t="s">
        <v>970</v>
      </c>
      <c r="D3175" t="s">
        <v>3152</v>
      </c>
      <c r="E3175" t="s">
        <v>3153</v>
      </c>
      <c r="F3175" s="20">
        <v>23484</v>
      </c>
      <c r="I3175" s="11">
        <f t="shared" si="129"/>
        <v>45357</v>
      </c>
      <c r="J3175" s="12">
        <f t="shared" si="130"/>
        <v>117</v>
      </c>
      <c r="K3175" t="str">
        <f t="shared" si="126"/>
        <v>91-120</v>
      </c>
      <c r="L3175" s="11">
        <v>45474</v>
      </c>
      <c r="M3175" s="23">
        <f>YEAR(Таблица1[[#This Row],[Дата отчета]])</f>
        <v>2024</v>
      </c>
    </row>
    <row r="3176" spans="1:14" x14ac:dyDescent="0.25">
      <c r="A3176" t="s">
        <v>12</v>
      </c>
      <c r="B3176" t="s">
        <v>1891</v>
      </c>
      <c r="C3176" t="s">
        <v>1892</v>
      </c>
      <c r="D3176" t="s">
        <v>1893</v>
      </c>
      <c r="E3176" t="s">
        <v>2439</v>
      </c>
      <c r="F3176" s="20">
        <v>6879</v>
      </c>
      <c r="I3176" s="11">
        <f t="shared" si="129"/>
        <v>45016</v>
      </c>
      <c r="J3176" s="12">
        <f t="shared" si="130"/>
        <v>458</v>
      </c>
      <c r="K3176" t="str">
        <f t="shared" si="126"/>
        <v>&gt;360</v>
      </c>
      <c r="L3176" s="11">
        <v>45474</v>
      </c>
      <c r="M3176" s="23">
        <f>YEAR(Таблица1[[#This Row],[Дата отчета]])</f>
        <v>2024</v>
      </c>
    </row>
    <row r="3177" spans="1:14" x14ac:dyDescent="0.25">
      <c r="A3177" t="s">
        <v>12</v>
      </c>
      <c r="B3177" t="s">
        <v>147</v>
      </c>
      <c r="C3177" t="s">
        <v>3044</v>
      </c>
      <c r="D3177" t="s">
        <v>3045</v>
      </c>
      <c r="E3177" t="s">
        <v>3046</v>
      </c>
      <c r="F3177" s="20">
        <v>191594</v>
      </c>
      <c r="I3177" s="11">
        <f t="shared" si="129"/>
        <v>45442</v>
      </c>
      <c r="J3177" s="12">
        <f t="shared" si="130"/>
        <v>32</v>
      </c>
      <c r="K3177" t="str">
        <f t="shared" si="126"/>
        <v>31-90</v>
      </c>
      <c r="L3177" s="11">
        <v>45474</v>
      </c>
      <c r="M3177" s="23">
        <f>YEAR(Таблица1[[#This Row],[Дата отчета]])</f>
        <v>2024</v>
      </c>
    </row>
    <row r="3178" spans="1:14" x14ac:dyDescent="0.25">
      <c r="A3178" t="s">
        <v>12</v>
      </c>
      <c r="B3178" t="s">
        <v>3368</v>
      </c>
      <c r="C3178" t="s">
        <v>3369</v>
      </c>
      <c r="D3178" t="s">
        <v>3370</v>
      </c>
      <c r="E3178" t="s">
        <v>3371</v>
      </c>
      <c r="F3178" s="20">
        <v>210000</v>
      </c>
      <c r="I3178" s="11">
        <f t="shared" si="129"/>
        <v>45462</v>
      </c>
      <c r="J3178" s="12">
        <f t="shared" si="130"/>
        <v>12</v>
      </c>
      <c r="K3178" t="str">
        <f t="shared" si="126"/>
        <v>0-30</v>
      </c>
      <c r="L3178" s="11">
        <v>45474</v>
      </c>
      <c r="M3178" s="23">
        <f>YEAR(Таблица1[[#This Row],[Дата отчета]])</f>
        <v>2024</v>
      </c>
    </row>
    <row r="3179" spans="1:14" x14ac:dyDescent="0.25">
      <c r="A3179" t="s">
        <v>12</v>
      </c>
      <c r="B3179" t="s">
        <v>150</v>
      </c>
      <c r="C3179" t="s">
        <v>3047</v>
      </c>
      <c r="D3179" t="s">
        <v>3048</v>
      </c>
      <c r="E3179" t="s">
        <v>3049</v>
      </c>
      <c r="F3179" s="20">
        <v>923305.64</v>
      </c>
      <c r="I3179" s="11">
        <f t="shared" si="129"/>
        <v>45348</v>
      </c>
      <c r="J3179" s="12">
        <f t="shared" si="130"/>
        <v>126</v>
      </c>
      <c r="K3179" t="str">
        <f t="shared" si="126"/>
        <v>121-180</v>
      </c>
      <c r="L3179" s="11">
        <v>45474</v>
      </c>
      <c r="M3179" s="23">
        <f>YEAR(Таблица1[[#This Row],[Дата отчета]])</f>
        <v>2024</v>
      </c>
    </row>
    <row r="3180" spans="1:14" x14ac:dyDescent="0.25">
      <c r="A3180" t="s">
        <v>12</v>
      </c>
      <c r="B3180" t="s">
        <v>3372</v>
      </c>
      <c r="C3180" t="s">
        <v>3373</v>
      </c>
      <c r="D3180" t="s">
        <v>3374</v>
      </c>
      <c r="E3180" t="s">
        <v>3375</v>
      </c>
      <c r="F3180" s="20">
        <v>62410</v>
      </c>
      <c r="I3180" s="11">
        <f t="shared" si="129"/>
        <v>45394</v>
      </c>
      <c r="J3180" s="12">
        <f t="shared" si="130"/>
        <v>80</v>
      </c>
      <c r="K3180" t="str">
        <f t="shared" si="126"/>
        <v>31-90</v>
      </c>
      <c r="L3180" s="11">
        <v>45474</v>
      </c>
      <c r="M3180" s="23">
        <f>YEAR(Таблица1[[#This Row],[Дата отчета]])</f>
        <v>2024</v>
      </c>
    </row>
    <row r="3181" spans="1:14" x14ac:dyDescent="0.25">
      <c r="A3181" t="s">
        <v>12</v>
      </c>
      <c r="B3181" t="s">
        <v>3372</v>
      </c>
      <c r="C3181" t="s">
        <v>3376</v>
      </c>
      <c r="D3181" t="s">
        <v>3377</v>
      </c>
      <c r="E3181" t="s">
        <v>3248</v>
      </c>
      <c r="F3181" s="20">
        <v>38340</v>
      </c>
      <c r="I3181" s="11">
        <f t="shared" si="129"/>
        <v>45404</v>
      </c>
      <c r="J3181" s="12">
        <f t="shared" si="130"/>
        <v>70</v>
      </c>
      <c r="K3181" t="str">
        <f t="shared" si="126"/>
        <v>31-90</v>
      </c>
      <c r="L3181" s="11">
        <v>45474</v>
      </c>
      <c r="M3181" s="23">
        <f>YEAR(Таблица1[[#This Row],[Дата отчета]])</f>
        <v>2024</v>
      </c>
    </row>
    <row r="3182" spans="1:14" x14ac:dyDescent="0.25">
      <c r="A3182" t="s">
        <v>12</v>
      </c>
      <c r="B3182" t="s">
        <v>3372</v>
      </c>
      <c r="C3182" t="s">
        <v>3378</v>
      </c>
      <c r="D3182" t="s">
        <v>3379</v>
      </c>
      <c r="E3182" t="s">
        <v>3380</v>
      </c>
      <c r="F3182" s="20">
        <v>13685</v>
      </c>
      <c r="I3182" s="11">
        <f t="shared" si="129"/>
        <v>45434</v>
      </c>
      <c r="J3182" s="12">
        <f t="shared" si="130"/>
        <v>40</v>
      </c>
      <c r="K3182" t="str">
        <f t="shared" si="126"/>
        <v>31-90</v>
      </c>
      <c r="L3182" s="11">
        <v>45474</v>
      </c>
      <c r="M3182" s="23">
        <f>YEAR(Таблица1[[#This Row],[Дата отчета]])</f>
        <v>2024</v>
      </c>
    </row>
    <row r="3183" spans="1:14" x14ac:dyDescent="0.25">
      <c r="A3183" t="s">
        <v>12</v>
      </c>
      <c r="B3183" t="s">
        <v>172</v>
      </c>
      <c r="C3183" t="s">
        <v>173</v>
      </c>
      <c r="D3183" t="s">
        <v>174</v>
      </c>
      <c r="E3183" t="s">
        <v>175</v>
      </c>
      <c r="F3183" s="20">
        <v>12630</v>
      </c>
      <c r="I3183" s="11">
        <f t="shared" si="129"/>
        <v>45399</v>
      </c>
      <c r="J3183" s="12">
        <f t="shared" si="130"/>
        <v>75</v>
      </c>
      <c r="K3183" t="str">
        <f t="shared" si="126"/>
        <v>31-90</v>
      </c>
      <c r="L3183" s="11">
        <v>45474</v>
      </c>
      <c r="M3183" s="23">
        <f>YEAR(Таблица1[[#This Row],[Дата отчета]])</f>
        <v>2024</v>
      </c>
      <c r="N3183" s="7" t="s">
        <v>4547</v>
      </c>
    </row>
    <row r="3184" spans="1:14" x14ac:dyDescent="0.25">
      <c r="A3184" t="s">
        <v>12</v>
      </c>
      <c r="B3184" t="s">
        <v>1313</v>
      </c>
      <c r="C3184" t="s">
        <v>269</v>
      </c>
      <c r="D3184" t="s">
        <v>3381</v>
      </c>
      <c r="E3184" t="s">
        <v>3026</v>
      </c>
      <c r="F3184" s="20">
        <v>21470</v>
      </c>
      <c r="I3184" s="11">
        <f t="shared" si="129"/>
        <v>45356</v>
      </c>
      <c r="J3184" s="12">
        <f t="shared" si="130"/>
        <v>118</v>
      </c>
      <c r="K3184" t="str">
        <f t="shared" si="126"/>
        <v>91-120</v>
      </c>
      <c r="L3184" s="11">
        <v>45474</v>
      </c>
      <c r="M3184" s="23">
        <f>YEAR(Таблица1[[#This Row],[Дата отчета]])</f>
        <v>2024</v>
      </c>
    </row>
    <row r="3185" spans="1:13" x14ac:dyDescent="0.25">
      <c r="A3185" t="s">
        <v>12</v>
      </c>
      <c r="B3185" t="s">
        <v>1313</v>
      </c>
      <c r="C3185" t="s">
        <v>269</v>
      </c>
      <c r="D3185" t="s">
        <v>3382</v>
      </c>
      <c r="E3185" t="s">
        <v>3383</v>
      </c>
      <c r="F3185" s="20">
        <v>14750</v>
      </c>
      <c r="I3185" s="11">
        <f t="shared" si="129"/>
        <v>45435</v>
      </c>
      <c r="J3185" s="12">
        <f t="shared" si="130"/>
        <v>39</v>
      </c>
      <c r="K3185" t="str">
        <f t="shared" si="126"/>
        <v>31-90</v>
      </c>
      <c r="L3185" s="11">
        <v>45474</v>
      </c>
      <c r="M3185" s="23">
        <f>YEAR(Таблица1[[#This Row],[Дата отчета]])</f>
        <v>2024</v>
      </c>
    </row>
    <row r="3186" spans="1:13" x14ac:dyDescent="0.25">
      <c r="A3186" t="s">
        <v>12</v>
      </c>
      <c r="B3186" t="s">
        <v>1313</v>
      </c>
      <c r="C3186" t="s">
        <v>269</v>
      </c>
      <c r="D3186" t="s">
        <v>3384</v>
      </c>
      <c r="E3186" t="s">
        <v>3073</v>
      </c>
      <c r="F3186" s="20">
        <v>10300</v>
      </c>
      <c r="I3186" s="11">
        <f t="shared" si="129"/>
        <v>45446</v>
      </c>
      <c r="J3186" s="12">
        <f t="shared" si="130"/>
        <v>28</v>
      </c>
      <c r="K3186" t="str">
        <f t="shared" si="126"/>
        <v>0-30</v>
      </c>
      <c r="L3186" s="11">
        <v>45474</v>
      </c>
      <c r="M3186" s="23">
        <f>YEAR(Таблица1[[#This Row],[Дата отчета]])</f>
        <v>2024</v>
      </c>
    </row>
    <row r="3187" spans="1:13" x14ac:dyDescent="0.25">
      <c r="A3187" t="s">
        <v>12</v>
      </c>
      <c r="B3187" t="s">
        <v>1313</v>
      </c>
      <c r="C3187" t="s">
        <v>269</v>
      </c>
      <c r="D3187" t="s">
        <v>3385</v>
      </c>
      <c r="E3187" t="s">
        <v>3386</v>
      </c>
      <c r="F3187" s="20">
        <v>10040</v>
      </c>
      <c r="I3187" s="11">
        <f t="shared" si="129"/>
        <v>45447</v>
      </c>
      <c r="J3187" s="12">
        <f t="shared" si="130"/>
        <v>27</v>
      </c>
      <c r="K3187" t="str">
        <f t="shared" si="126"/>
        <v>0-30</v>
      </c>
      <c r="L3187" s="11">
        <v>45474</v>
      </c>
      <c r="M3187" s="23">
        <f>YEAR(Таблица1[[#This Row],[Дата отчета]])</f>
        <v>2024</v>
      </c>
    </row>
    <row r="3188" spans="1:13" x14ac:dyDescent="0.25">
      <c r="A3188" t="s">
        <v>12</v>
      </c>
      <c r="B3188" t="s">
        <v>1313</v>
      </c>
      <c r="C3188" t="s">
        <v>269</v>
      </c>
      <c r="D3188" t="s">
        <v>3387</v>
      </c>
      <c r="E3188" t="s">
        <v>865</v>
      </c>
      <c r="F3188" s="20">
        <v>6800</v>
      </c>
      <c r="I3188" s="11">
        <f t="shared" si="129"/>
        <v>45456</v>
      </c>
      <c r="J3188" s="12">
        <f t="shared" si="130"/>
        <v>18</v>
      </c>
      <c r="K3188" t="str">
        <f t="shared" si="126"/>
        <v>0-30</v>
      </c>
      <c r="L3188" s="11">
        <v>45474</v>
      </c>
      <c r="M3188" s="23">
        <f>YEAR(Таблица1[[#This Row],[Дата отчета]])</f>
        <v>2024</v>
      </c>
    </row>
    <row r="3189" spans="1:13" x14ac:dyDescent="0.25">
      <c r="A3189" t="s">
        <v>12</v>
      </c>
      <c r="B3189" t="s">
        <v>2901</v>
      </c>
      <c r="C3189" t="s">
        <v>3388</v>
      </c>
      <c r="D3189" t="s">
        <v>3389</v>
      </c>
      <c r="E3189" t="s">
        <v>3390</v>
      </c>
      <c r="F3189" s="20">
        <v>80000</v>
      </c>
      <c r="I3189" s="11">
        <f t="shared" si="129"/>
        <v>45440</v>
      </c>
      <c r="J3189" s="12">
        <f t="shared" si="130"/>
        <v>34</v>
      </c>
      <c r="K3189" t="str">
        <f t="shared" si="126"/>
        <v>31-90</v>
      </c>
      <c r="L3189" s="11">
        <v>45474</v>
      </c>
      <c r="M3189" s="23">
        <f>YEAR(Таблица1[[#This Row],[Дата отчета]])</f>
        <v>2024</v>
      </c>
    </row>
    <row r="3190" spans="1:13" x14ac:dyDescent="0.25">
      <c r="A3190" t="s">
        <v>12</v>
      </c>
      <c r="B3190" t="s">
        <v>3391</v>
      </c>
      <c r="C3190" t="s">
        <v>3392</v>
      </c>
      <c r="D3190" t="s">
        <v>3393</v>
      </c>
      <c r="E3190" t="s">
        <v>3394</v>
      </c>
      <c r="F3190" s="20">
        <v>110769.5</v>
      </c>
      <c r="I3190" s="11">
        <f t="shared" si="129"/>
        <v>45379</v>
      </c>
      <c r="J3190" s="12">
        <f t="shared" si="130"/>
        <v>95</v>
      </c>
      <c r="K3190" t="str">
        <f t="shared" si="126"/>
        <v>91-120</v>
      </c>
      <c r="L3190" s="11">
        <v>45474</v>
      </c>
      <c r="M3190" s="23">
        <f>YEAR(Таблица1[[#This Row],[Дата отчета]])</f>
        <v>2024</v>
      </c>
    </row>
    <row r="3191" spans="1:13" x14ac:dyDescent="0.25">
      <c r="A3191" t="s">
        <v>12</v>
      </c>
      <c r="B3191" t="s">
        <v>176</v>
      </c>
      <c r="C3191" t="s">
        <v>3395</v>
      </c>
      <c r="D3191" t="s">
        <v>3396</v>
      </c>
      <c r="E3191" t="s">
        <v>2919</v>
      </c>
      <c r="F3191" s="20">
        <v>6400</v>
      </c>
      <c r="I3191" s="11">
        <f t="shared" si="129"/>
        <v>45426</v>
      </c>
      <c r="J3191" s="12">
        <f t="shared" si="130"/>
        <v>48</v>
      </c>
      <c r="K3191" t="str">
        <f t="shared" si="126"/>
        <v>31-90</v>
      </c>
      <c r="L3191" s="11">
        <v>45474</v>
      </c>
      <c r="M3191" s="23">
        <f>YEAR(Таблица1[[#This Row],[Дата отчета]])</f>
        <v>2024</v>
      </c>
    </row>
    <row r="3192" spans="1:13" x14ac:dyDescent="0.25">
      <c r="A3192" t="s">
        <v>12</v>
      </c>
      <c r="B3192" t="s">
        <v>180</v>
      </c>
      <c r="C3192" t="s">
        <v>3064</v>
      </c>
      <c r="D3192" t="s">
        <v>3065</v>
      </c>
      <c r="E3192" t="s">
        <v>3066</v>
      </c>
      <c r="F3192" s="20">
        <v>8750</v>
      </c>
      <c r="I3192" s="11">
        <f t="shared" si="129"/>
        <v>45240</v>
      </c>
      <c r="J3192" s="12">
        <f t="shared" si="130"/>
        <v>234</v>
      </c>
      <c r="K3192" t="str">
        <f t="shared" si="126"/>
        <v>181-270</v>
      </c>
      <c r="L3192" s="11">
        <v>45474</v>
      </c>
      <c r="M3192" s="23">
        <f>YEAR(Таблица1[[#This Row],[Дата отчета]])</f>
        <v>2024</v>
      </c>
    </row>
    <row r="3193" spans="1:13" x14ac:dyDescent="0.25">
      <c r="A3193" t="s">
        <v>12</v>
      </c>
      <c r="B3193" t="s">
        <v>180</v>
      </c>
      <c r="C3193" t="s">
        <v>3397</v>
      </c>
      <c r="D3193" t="s">
        <v>3398</v>
      </c>
      <c r="E3193" t="s">
        <v>3371</v>
      </c>
      <c r="F3193" s="20">
        <v>183380</v>
      </c>
      <c r="I3193" s="11">
        <f t="shared" si="129"/>
        <v>45462</v>
      </c>
      <c r="J3193" s="12">
        <f t="shared" si="130"/>
        <v>12</v>
      </c>
      <c r="K3193" t="str">
        <f t="shared" si="126"/>
        <v>0-30</v>
      </c>
      <c r="L3193" s="11">
        <v>45474</v>
      </c>
      <c r="M3193" s="23">
        <f>YEAR(Таблица1[[#This Row],[Дата отчета]])</f>
        <v>2024</v>
      </c>
    </row>
    <row r="3194" spans="1:13" x14ac:dyDescent="0.25">
      <c r="A3194" t="s">
        <v>12</v>
      </c>
      <c r="B3194" t="s">
        <v>180</v>
      </c>
      <c r="C3194" t="s">
        <v>3067</v>
      </c>
      <c r="D3194" t="s">
        <v>3068</v>
      </c>
      <c r="E3194" t="s">
        <v>300</v>
      </c>
      <c r="F3194" s="20">
        <v>537</v>
      </c>
      <c r="I3194" s="11">
        <f t="shared" si="129"/>
        <v>45449</v>
      </c>
      <c r="J3194" s="12">
        <f t="shared" si="130"/>
        <v>25</v>
      </c>
      <c r="K3194" t="str">
        <f t="shared" si="126"/>
        <v>0-30</v>
      </c>
      <c r="L3194" s="11">
        <v>45474</v>
      </c>
      <c r="M3194" s="23">
        <f>YEAR(Таблица1[[#This Row],[Дата отчета]])</f>
        <v>2024</v>
      </c>
    </row>
    <row r="3195" spans="1:13" x14ac:dyDescent="0.25">
      <c r="A3195" t="s">
        <v>12</v>
      </c>
      <c r="B3195" t="s">
        <v>180</v>
      </c>
      <c r="C3195" t="s">
        <v>3069</v>
      </c>
      <c r="D3195" t="s">
        <v>3070</v>
      </c>
      <c r="E3195" t="s">
        <v>300</v>
      </c>
      <c r="F3195" s="20">
        <v>907</v>
      </c>
      <c r="I3195" s="11">
        <f t="shared" si="129"/>
        <v>45449</v>
      </c>
      <c r="J3195" s="12">
        <f t="shared" si="130"/>
        <v>25</v>
      </c>
      <c r="K3195" t="str">
        <f t="shared" si="126"/>
        <v>0-30</v>
      </c>
      <c r="L3195" s="11">
        <v>45474</v>
      </c>
      <c r="M3195" s="23">
        <f>YEAR(Таблица1[[#This Row],[Дата отчета]])</f>
        <v>2024</v>
      </c>
    </row>
    <row r="3196" spans="1:13" x14ac:dyDescent="0.25">
      <c r="A3196" t="s">
        <v>12</v>
      </c>
      <c r="B3196" t="s">
        <v>180</v>
      </c>
      <c r="C3196" t="s">
        <v>3071</v>
      </c>
      <c r="D3196" t="s">
        <v>3072</v>
      </c>
      <c r="E3196" t="s">
        <v>3073</v>
      </c>
      <c r="F3196" s="20">
        <v>232770</v>
      </c>
      <c r="I3196" s="11">
        <f t="shared" si="129"/>
        <v>45446</v>
      </c>
      <c r="J3196" s="12">
        <f t="shared" si="130"/>
        <v>28</v>
      </c>
      <c r="K3196" t="str">
        <f t="shared" si="126"/>
        <v>0-30</v>
      </c>
      <c r="L3196" s="11">
        <v>45474</v>
      </c>
      <c r="M3196" s="23">
        <f>YEAR(Таблица1[[#This Row],[Дата отчета]])</f>
        <v>2024</v>
      </c>
    </row>
    <row r="3197" spans="1:13" x14ac:dyDescent="0.25">
      <c r="A3197" t="s">
        <v>12</v>
      </c>
      <c r="B3197" t="s">
        <v>180</v>
      </c>
      <c r="C3197" t="s">
        <v>3399</v>
      </c>
      <c r="D3197" t="s">
        <v>3400</v>
      </c>
      <c r="E3197" t="s">
        <v>192</v>
      </c>
      <c r="F3197" s="20">
        <v>41425</v>
      </c>
      <c r="I3197" s="11">
        <f t="shared" si="129"/>
        <v>45467</v>
      </c>
      <c r="J3197" s="12">
        <f t="shared" si="130"/>
        <v>7</v>
      </c>
      <c r="K3197" t="str">
        <f t="shared" si="126"/>
        <v>0-30</v>
      </c>
      <c r="L3197" s="11">
        <v>45474</v>
      </c>
      <c r="M3197" s="23">
        <f>YEAR(Таблица1[[#This Row],[Дата отчета]])</f>
        <v>2024</v>
      </c>
    </row>
    <row r="3198" spans="1:13" x14ac:dyDescent="0.25">
      <c r="A3198" t="s">
        <v>12</v>
      </c>
      <c r="B3198" t="s">
        <v>3401</v>
      </c>
      <c r="C3198" t="s">
        <v>3402</v>
      </c>
      <c r="D3198" t="s">
        <v>3403</v>
      </c>
      <c r="E3198" t="s">
        <v>3298</v>
      </c>
      <c r="F3198" s="20">
        <v>65900</v>
      </c>
      <c r="I3198" s="11">
        <f t="shared" si="129"/>
        <v>45420</v>
      </c>
      <c r="J3198" s="12">
        <f t="shared" si="130"/>
        <v>54</v>
      </c>
      <c r="K3198" t="str">
        <f t="shared" si="126"/>
        <v>31-90</v>
      </c>
      <c r="L3198" s="11">
        <v>45474</v>
      </c>
      <c r="M3198" s="23">
        <f>YEAR(Таблица1[[#This Row],[Дата отчета]])</f>
        <v>2024</v>
      </c>
    </row>
    <row r="3199" spans="1:13" x14ac:dyDescent="0.25">
      <c r="A3199" t="s">
        <v>12</v>
      </c>
      <c r="B3199" t="s">
        <v>186</v>
      </c>
      <c r="C3199" t="s">
        <v>187</v>
      </c>
      <c r="D3199" t="s">
        <v>3404</v>
      </c>
      <c r="E3199" t="s">
        <v>1785</v>
      </c>
      <c r="F3199" s="20">
        <v>6600</v>
      </c>
      <c r="I3199" s="11">
        <f t="shared" si="129"/>
        <v>45448</v>
      </c>
      <c r="J3199" s="12">
        <f t="shared" si="130"/>
        <v>26</v>
      </c>
      <c r="K3199" t="str">
        <f t="shared" ref="K3199:K3262" si="131">IF(J3199&lt;=30,"0-30",IF(J3199&lt;=90,"31-90",IF(J3199&lt;=120,"91-120",IF(J3199&lt;=180,"121-180",IF(J3199&lt;=270,"181-270",IF(J3199&lt;=360,"271-360","&gt;360"))))))</f>
        <v>0-30</v>
      </c>
      <c r="L3199" s="11">
        <v>45474</v>
      </c>
      <c r="M3199" s="23">
        <f>YEAR(Таблица1[[#This Row],[Дата отчета]])</f>
        <v>2024</v>
      </c>
    </row>
    <row r="3200" spans="1:13" x14ac:dyDescent="0.25">
      <c r="A3200" t="s">
        <v>12</v>
      </c>
      <c r="B3200" t="s">
        <v>186</v>
      </c>
      <c r="C3200" t="s">
        <v>187</v>
      </c>
      <c r="D3200" t="s">
        <v>188</v>
      </c>
      <c r="E3200" t="s">
        <v>189</v>
      </c>
      <c r="F3200" s="20">
        <v>6600</v>
      </c>
      <c r="I3200" s="11">
        <f t="shared" si="129"/>
        <v>45471</v>
      </c>
      <c r="J3200" s="12">
        <f t="shared" si="130"/>
        <v>3</v>
      </c>
      <c r="K3200" t="str">
        <f t="shared" si="131"/>
        <v>0-30</v>
      </c>
      <c r="L3200" s="11">
        <v>45474</v>
      </c>
      <c r="M3200" s="23">
        <f>YEAR(Таблица1[[#This Row],[Дата отчета]])</f>
        <v>2024</v>
      </c>
    </row>
    <row r="3201" spans="1:13" x14ac:dyDescent="0.25">
      <c r="A3201" t="s">
        <v>12</v>
      </c>
      <c r="B3201" t="s">
        <v>186</v>
      </c>
      <c r="C3201" t="s">
        <v>1322</v>
      </c>
      <c r="D3201" t="s">
        <v>3084</v>
      </c>
      <c r="E3201" t="s">
        <v>3085</v>
      </c>
      <c r="F3201" s="20">
        <v>6600</v>
      </c>
      <c r="I3201" s="11">
        <f t="shared" si="129"/>
        <v>45432</v>
      </c>
      <c r="J3201" s="12">
        <f t="shared" si="130"/>
        <v>42</v>
      </c>
      <c r="K3201" t="str">
        <f t="shared" si="131"/>
        <v>31-90</v>
      </c>
      <c r="L3201" s="11">
        <v>45474</v>
      </c>
      <c r="M3201" s="23">
        <f>YEAR(Таблица1[[#This Row],[Дата отчета]])</f>
        <v>2024</v>
      </c>
    </row>
    <row r="3202" spans="1:13" x14ac:dyDescent="0.25">
      <c r="A3202" t="s">
        <v>12</v>
      </c>
      <c r="B3202" t="s">
        <v>186</v>
      </c>
      <c r="C3202" t="s">
        <v>190</v>
      </c>
      <c r="D3202" t="s">
        <v>3405</v>
      </c>
      <c r="E3202" t="s">
        <v>3406</v>
      </c>
      <c r="F3202" s="20">
        <v>6600</v>
      </c>
      <c r="I3202" s="11">
        <f t="shared" si="129"/>
        <v>44039</v>
      </c>
      <c r="J3202" s="12">
        <f t="shared" si="130"/>
        <v>1435</v>
      </c>
      <c r="K3202" t="str">
        <f t="shared" si="131"/>
        <v>&gt;360</v>
      </c>
      <c r="L3202" s="11">
        <v>45474</v>
      </c>
      <c r="M3202" s="23">
        <f>YEAR(Таблица1[[#This Row],[Дата отчета]])</f>
        <v>2024</v>
      </c>
    </row>
    <row r="3203" spans="1:13" x14ac:dyDescent="0.25">
      <c r="A3203" t="s">
        <v>12</v>
      </c>
      <c r="B3203" t="s">
        <v>186</v>
      </c>
      <c r="C3203" t="s">
        <v>190</v>
      </c>
      <c r="D3203" t="s">
        <v>3407</v>
      </c>
      <c r="E3203" t="s">
        <v>3408</v>
      </c>
      <c r="F3203" s="20">
        <v>6600</v>
      </c>
      <c r="I3203" s="11">
        <f t="shared" si="129"/>
        <v>45457</v>
      </c>
      <c r="J3203" s="12">
        <f t="shared" si="130"/>
        <v>17</v>
      </c>
      <c r="K3203" t="str">
        <f t="shared" si="131"/>
        <v>0-30</v>
      </c>
      <c r="L3203" s="11">
        <v>45474</v>
      </c>
      <c r="M3203" s="23">
        <f>YEAR(Таблица1[[#This Row],[Дата отчета]])</f>
        <v>2024</v>
      </c>
    </row>
    <row r="3204" spans="1:13" x14ac:dyDescent="0.25">
      <c r="A3204" t="s">
        <v>12</v>
      </c>
      <c r="B3204" t="s">
        <v>186</v>
      </c>
      <c r="C3204" t="s">
        <v>190</v>
      </c>
      <c r="D3204" t="s">
        <v>191</v>
      </c>
      <c r="E3204" t="s">
        <v>192</v>
      </c>
      <c r="F3204" s="20">
        <v>6600</v>
      </c>
      <c r="I3204" s="11">
        <f t="shared" si="129"/>
        <v>45467</v>
      </c>
      <c r="J3204" s="12">
        <f t="shared" si="130"/>
        <v>7</v>
      </c>
      <c r="K3204" t="str">
        <f t="shared" si="131"/>
        <v>0-30</v>
      </c>
      <c r="L3204" s="11">
        <v>45474</v>
      </c>
      <c r="M3204" s="23">
        <f>YEAR(Таблица1[[#This Row],[Дата отчета]])</f>
        <v>2024</v>
      </c>
    </row>
    <row r="3205" spans="1:13" x14ac:dyDescent="0.25">
      <c r="A3205" t="s">
        <v>12</v>
      </c>
      <c r="B3205" t="s">
        <v>186</v>
      </c>
      <c r="C3205" t="s">
        <v>3409</v>
      </c>
      <c r="D3205" t="s">
        <v>3410</v>
      </c>
      <c r="E3205" t="s">
        <v>1785</v>
      </c>
      <c r="F3205" s="20">
        <v>6600</v>
      </c>
      <c r="I3205" s="11">
        <f t="shared" si="129"/>
        <v>45448</v>
      </c>
      <c r="J3205" s="12">
        <f t="shared" si="130"/>
        <v>26</v>
      </c>
      <c r="K3205" t="str">
        <f t="shared" si="131"/>
        <v>0-30</v>
      </c>
      <c r="L3205" s="11">
        <v>45474</v>
      </c>
      <c r="M3205" s="23">
        <f>YEAR(Таблица1[[#This Row],[Дата отчета]])</f>
        <v>2024</v>
      </c>
    </row>
    <row r="3206" spans="1:13" x14ac:dyDescent="0.25">
      <c r="A3206" t="s">
        <v>12</v>
      </c>
      <c r="B3206" t="s">
        <v>186</v>
      </c>
      <c r="C3206" t="s">
        <v>1324</v>
      </c>
      <c r="D3206" t="s">
        <v>3411</v>
      </c>
      <c r="E3206" t="s">
        <v>3073</v>
      </c>
      <c r="F3206" s="20">
        <v>6600</v>
      </c>
      <c r="I3206" s="11">
        <f t="shared" si="129"/>
        <v>45446</v>
      </c>
      <c r="J3206" s="12">
        <f t="shared" si="130"/>
        <v>28</v>
      </c>
      <c r="K3206" t="str">
        <f t="shared" si="131"/>
        <v>0-30</v>
      </c>
      <c r="L3206" s="11">
        <v>45474</v>
      </c>
      <c r="M3206" s="23">
        <f>YEAR(Таблица1[[#This Row],[Дата отчета]])</f>
        <v>2024</v>
      </c>
    </row>
    <row r="3207" spans="1:13" x14ac:dyDescent="0.25">
      <c r="A3207" t="s">
        <v>12</v>
      </c>
      <c r="B3207" t="s">
        <v>186</v>
      </c>
      <c r="C3207" t="s">
        <v>1324</v>
      </c>
      <c r="D3207" t="s">
        <v>3412</v>
      </c>
      <c r="E3207" t="s">
        <v>3413</v>
      </c>
      <c r="F3207" s="20">
        <v>6600</v>
      </c>
      <c r="I3207" s="11">
        <f t="shared" si="129"/>
        <v>45469</v>
      </c>
      <c r="J3207" s="12">
        <f t="shared" si="130"/>
        <v>5</v>
      </c>
      <c r="K3207" t="str">
        <f t="shared" si="131"/>
        <v>0-30</v>
      </c>
      <c r="L3207" s="11">
        <v>45474</v>
      </c>
      <c r="M3207" s="23">
        <f>YEAR(Таблица1[[#This Row],[Дата отчета]])</f>
        <v>2024</v>
      </c>
    </row>
    <row r="3208" spans="1:13" x14ac:dyDescent="0.25">
      <c r="A3208" t="s">
        <v>12</v>
      </c>
      <c r="B3208" t="s">
        <v>186</v>
      </c>
      <c r="C3208" t="s">
        <v>1947</v>
      </c>
      <c r="D3208" t="s">
        <v>3414</v>
      </c>
      <c r="E3208" t="s">
        <v>1785</v>
      </c>
      <c r="F3208" s="20">
        <v>6600</v>
      </c>
      <c r="I3208" s="11">
        <f t="shared" si="129"/>
        <v>45448</v>
      </c>
      <c r="J3208" s="12">
        <f t="shared" si="130"/>
        <v>26</v>
      </c>
      <c r="K3208" t="str">
        <f t="shared" si="131"/>
        <v>0-30</v>
      </c>
      <c r="L3208" s="11">
        <v>45474</v>
      </c>
      <c r="M3208" s="23">
        <f>YEAR(Таблица1[[#This Row],[Дата отчета]])</f>
        <v>2024</v>
      </c>
    </row>
    <row r="3209" spans="1:13" x14ac:dyDescent="0.25">
      <c r="A3209" t="s">
        <v>12</v>
      </c>
      <c r="B3209" t="s">
        <v>186</v>
      </c>
      <c r="C3209" t="s">
        <v>1947</v>
      </c>
      <c r="D3209" t="s">
        <v>3415</v>
      </c>
      <c r="E3209" t="s">
        <v>2463</v>
      </c>
      <c r="F3209" s="20">
        <v>6600</v>
      </c>
      <c r="I3209" s="11">
        <f t="shared" si="129"/>
        <v>45468</v>
      </c>
      <c r="J3209" s="12">
        <f t="shared" si="130"/>
        <v>6</v>
      </c>
      <c r="K3209" t="str">
        <f t="shared" si="131"/>
        <v>0-30</v>
      </c>
      <c r="L3209" s="11">
        <v>45474</v>
      </c>
      <c r="M3209" s="23">
        <f>YEAR(Таблица1[[#This Row],[Дата отчета]])</f>
        <v>2024</v>
      </c>
    </row>
    <row r="3210" spans="1:13" x14ac:dyDescent="0.25">
      <c r="A3210" t="s">
        <v>12</v>
      </c>
      <c r="B3210" t="s">
        <v>186</v>
      </c>
      <c r="C3210" t="s">
        <v>193</v>
      </c>
      <c r="D3210" t="s">
        <v>3416</v>
      </c>
      <c r="E3210" t="s">
        <v>1785</v>
      </c>
      <c r="F3210" s="20">
        <v>6600</v>
      </c>
      <c r="I3210" s="11">
        <f t="shared" si="129"/>
        <v>45448</v>
      </c>
      <c r="J3210" s="12">
        <f t="shared" si="130"/>
        <v>26</v>
      </c>
      <c r="K3210" t="str">
        <f t="shared" si="131"/>
        <v>0-30</v>
      </c>
      <c r="L3210" s="11">
        <v>45474</v>
      </c>
      <c r="M3210" s="23">
        <f>YEAR(Таблица1[[#This Row],[Дата отчета]])</f>
        <v>2024</v>
      </c>
    </row>
    <row r="3211" spans="1:13" x14ac:dyDescent="0.25">
      <c r="A3211" t="s">
        <v>12</v>
      </c>
      <c r="B3211" t="s">
        <v>186</v>
      </c>
      <c r="C3211" t="s">
        <v>193</v>
      </c>
      <c r="D3211" t="s">
        <v>3417</v>
      </c>
      <c r="E3211" t="s">
        <v>3360</v>
      </c>
      <c r="F3211" s="20">
        <v>6600</v>
      </c>
      <c r="I3211" s="11">
        <f t="shared" si="129"/>
        <v>45460</v>
      </c>
      <c r="J3211" s="12">
        <f t="shared" si="130"/>
        <v>14</v>
      </c>
      <c r="K3211" t="str">
        <f t="shared" si="131"/>
        <v>0-30</v>
      </c>
      <c r="L3211" s="11">
        <v>45474</v>
      </c>
      <c r="M3211" s="23">
        <f>YEAR(Таблица1[[#This Row],[Дата отчета]])</f>
        <v>2024</v>
      </c>
    </row>
    <row r="3212" spans="1:13" x14ac:dyDescent="0.25">
      <c r="A3212" t="s">
        <v>12</v>
      </c>
      <c r="B3212" t="s">
        <v>186</v>
      </c>
      <c r="C3212" t="s">
        <v>193</v>
      </c>
      <c r="D3212" t="s">
        <v>3418</v>
      </c>
      <c r="E3212" t="s">
        <v>2463</v>
      </c>
      <c r="F3212" s="20">
        <v>6600</v>
      </c>
      <c r="I3212" s="11">
        <f t="shared" si="129"/>
        <v>45468</v>
      </c>
      <c r="J3212" s="12">
        <f t="shared" si="130"/>
        <v>6</v>
      </c>
      <c r="K3212" t="str">
        <f t="shared" si="131"/>
        <v>0-30</v>
      </c>
      <c r="L3212" s="11">
        <v>45474</v>
      </c>
      <c r="M3212" s="23">
        <f>YEAR(Таблица1[[#This Row],[Дата отчета]])</f>
        <v>2024</v>
      </c>
    </row>
    <row r="3213" spans="1:13" x14ac:dyDescent="0.25">
      <c r="A3213" t="s">
        <v>12</v>
      </c>
      <c r="B3213" t="s">
        <v>186</v>
      </c>
      <c r="C3213" t="s">
        <v>1329</v>
      </c>
      <c r="D3213" t="s">
        <v>3419</v>
      </c>
      <c r="E3213" t="s">
        <v>1785</v>
      </c>
      <c r="F3213" s="20">
        <v>6600</v>
      </c>
      <c r="I3213" s="11">
        <f t="shared" si="129"/>
        <v>45448</v>
      </c>
      <c r="J3213" s="12">
        <f t="shared" si="130"/>
        <v>26</v>
      </c>
      <c r="K3213" t="str">
        <f t="shared" si="131"/>
        <v>0-30</v>
      </c>
      <c r="L3213" s="11">
        <v>45474</v>
      </c>
      <c r="M3213" s="23">
        <f>YEAR(Таблица1[[#This Row],[Дата отчета]])</f>
        <v>2024</v>
      </c>
    </row>
    <row r="3214" spans="1:13" x14ac:dyDescent="0.25">
      <c r="A3214" t="s">
        <v>12</v>
      </c>
      <c r="B3214" t="s">
        <v>186</v>
      </c>
      <c r="C3214" t="s">
        <v>1332</v>
      </c>
      <c r="D3214" t="s">
        <v>3420</v>
      </c>
      <c r="E3214" t="s">
        <v>1785</v>
      </c>
      <c r="F3214" s="20">
        <v>6600</v>
      </c>
      <c r="I3214" s="11">
        <f t="shared" si="129"/>
        <v>45448</v>
      </c>
      <c r="J3214" s="12">
        <f t="shared" si="130"/>
        <v>26</v>
      </c>
      <c r="K3214" t="str">
        <f t="shared" si="131"/>
        <v>0-30</v>
      </c>
      <c r="L3214" s="11">
        <v>45474</v>
      </c>
      <c r="M3214" s="23">
        <f>YEAR(Таблица1[[#This Row],[Дата отчета]])</f>
        <v>2024</v>
      </c>
    </row>
    <row r="3215" spans="1:13" x14ac:dyDescent="0.25">
      <c r="A3215" t="s">
        <v>12</v>
      </c>
      <c r="B3215" t="s">
        <v>186</v>
      </c>
      <c r="C3215" t="s">
        <v>196</v>
      </c>
      <c r="D3215" t="s">
        <v>3421</v>
      </c>
      <c r="E3215" t="s">
        <v>3085</v>
      </c>
      <c r="F3215" s="20">
        <v>6600</v>
      </c>
      <c r="I3215" s="11">
        <f t="shared" si="129"/>
        <v>45432</v>
      </c>
      <c r="J3215" s="12">
        <f t="shared" si="130"/>
        <v>42</v>
      </c>
      <c r="K3215" t="str">
        <f t="shared" si="131"/>
        <v>31-90</v>
      </c>
      <c r="L3215" s="11">
        <v>45474</v>
      </c>
      <c r="M3215" s="23">
        <f>YEAR(Таблица1[[#This Row],[Дата отчета]])</f>
        <v>2024</v>
      </c>
    </row>
    <row r="3216" spans="1:13" x14ac:dyDescent="0.25">
      <c r="A3216" t="s">
        <v>12</v>
      </c>
      <c r="B3216" t="s">
        <v>186</v>
      </c>
      <c r="C3216" t="s">
        <v>196</v>
      </c>
      <c r="D3216" t="s">
        <v>197</v>
      </c>
      <c r="E3216" t="s">
        <v>198</v>
      </c>
      <c r="F3216" s="20">
        <v>6600</v>
      </c>
      <c r="I3216" s="11">
        <f t="shared" si="129"/>
        <v>45439</v>
      </c>
      <c r="J3216" s="12">
        <f t="shared" si="130"/>
        <v>35</v>
      </c>
      <c r="K3216" t="str">
        <f t="shared" si="131"/>
        <v>31-90</v>
      </c>
      <c r="L3216" s="11">
        <v>45474</v>
      </c>
      <c r="M3216" s="23">
        <f>YEAR(Таблица1[[#This Row],[Дата отчета]])</f>
        <v>2024</v>
      </c>
    </row>
    <row r="3217" spans="1:13" x14ac:dyDescent="0.25">
      <c r="A3217" t="s">
        <v>12</v>
      </c>
      <c r="B3217" t="s">
        <v>186</v>
      </c>
      <c r="C3217" t="s">
        <v>199</v>
      </c>
      <c r="D3217" t="s">
        <v>3422</v>
      </c>
      <c r="E3217" t="s">
        <v>3073</v>
      </c>
      <c r="F3217" s="20">
        <v>6800</v>
      </c>
      <c r="I3217" s="11">
        <f t="shared" si="129"/>
        <v>45446</v>
      </c>
      <c r="J3217" s="12">
        <f t="shared" si="130"/>
        <v>28</v>
      </c>
      <c r="K3217" t="str">
        <f t="shared" si="131"/>
        <v>0-30</v>
      </c>
      <c r="L3217" s="11">
        <v>45474</v>
      </c>
      <c r="M3217" s="23">
        <f>YEAR(Таблица1[[#This Row],[Дата отчета]])</f>
        <v>2024</v>
      </c>
    </row>
    <row r="3218" spans="1:13" x14ac:dyDescent="0.25">
      <c r="A3218" t="s">
        <v>12</v>
      </c>
      <c r="B3218" t="s">
        <v>186</v>
      </c>
      <c r="C3218" t="s">
        <v>1334</v>
      </c>
      <c r="D3218" t="s">
        <v>3423</v>
      </c>
      <c r="E3218" t="s">
        <v>3073</v>
      </c>
      <c r="F3218" s="20">
        <v>6600</v>
      </c>
      <c r="I3218" s="11">
        <f t="shared" si="129"/>
        <v>45446</v>
      </c>
      <c r="J3218" s="12">
        <f t="shared" si="130"/>
        <v>28</v>
      </c>
      <c r="K3218" t="str">
        <f t="shared" si="131"/>
        <v>0-30</v>
      </c>
      <c r="L3218" s="11">
        <v>45474</v>
      </c>
      <c r="M3218" s="23">
        <f>YEAR(Таблица1[[#This Row],[Дата отчета]])</f>
        <v>2024</v>
      </c>
    </row>
    <row r="3219" spans="1:13" x14ac:dyDescent="0.25">
      <c r="A3219" t="s">
        <v>12</v>
      </c>
      <c r="B3219" t="s">
        <v>186</v>
      </c>
      <c r="C3219" t="s">
        <v>1336</v>
      </c>
      <c r="D3219" t="s">
        <v>3424</v>
      </c>
      <c r="E3219" t="s">
        <v>3073</v>
      </c>
      <c r="F3219" s="20">
        <v>6600</v>
      </c>
      <c r="I3219" s="11">
        <f t="shared" si="129"/>
        <v>45446</v>
      </c>
      <c r="J3219" s="12">
        <f t="shared" si="130"/>
        <v>28</v>
      </c>
      <c r="K3219" t="str">
        <f t="shared" si="131"/>
        <v>0-30</v>
      </c>
      <c r="L3219" s="11">
        <v>45474</v>
      </c>
      <c r="M3219" s="23">
        <f>YEAR(Таблица1[[#This Row],[Дата отчета]])</f>
        <v>2024</v>
      </c>
    </row>
    <row r="3220" spans="1:13" x14ac:dyDescent="0.25">
      <c r="A3220" t="s">
        <v>12</v>
      </c>
      <c r="B3220" t="s">
        <v>186</v>
      </c>
      <c r="C3220" t="s">
        <v>3425</v>
      </c>
      <c r="D3220" t="s">
        <v>3426</v>
      </c>
      <c r="E3220" t="s">
        <v>3073</v>
      </c>
      <c r="F3220" s="20">
        <v>6600</v>
      </c>
      <c r="I3220" s="11">
        <f t="shared" si="129"/>
        <v>45446</v>
      </c>
      <c r="J3220" s="12">
        <f t="shared" si="130"/>
        <v>28</v>
      </c>
      <c r="K3220" t="str">
        <f t="shared" si="131"/>
        <v>0-30</v>
      </c>
      <c r="L3220" s="11">
        <v>45474</v>
      </c>
      <c r="M3220" s="23">
        <f>YEAR(Таблица1[[#This Row],[Дата отчета]])</f>
        <v>2024</v>
      </c>
    </row>
    <row r="3221" spans="1:13" x14ac:dyDescent="0.25">
      <c r="A3221" t="s">
        <v>12</v>
      </c>
      <c r="B3221" t="s">
        <v>186</v>
      </c>
      <c r="C3221" t="s">
        <v>1340</v>
      </c>
      <c r="D3221" t="s">
        <v>3427</v>
      </c>
      <c r="E3221" t="s">
        <v>3073</v>
      </c>
      <c r="F3221" s="20">
        <v>6600</v>
      </c>
      <c r="I3221" s="11">
        <f t="shared" si="129"/>
        <v>45446</v>
      </c>
      <c r="J3221" s="12">
        <f t="shared" si="130"/>
        <v>28</v>
      </c>
      <c r="K3221" t="str">
        <f t="shared" si="131"/>
        <v>0-30</v>
      </c>
      <c r="L3221" s="11">
        <v>45474</v>
      </c>
      <c r="M3221" s="23">
        <f>YEAR(Таблица1[[#This Row],[Дата отчета]])</f>
        <v>2024</v>
      </c>
    </row>
    <row r="3222" spans="1:13" x14ac:dyDescent="0.25">
      <c r="A3222" t="s">
        <v>12</v>
      </c>
      <c r="B3222" t="s">
        <v>186</v>
      </c>
      <c r="C3222" t="s">
        <v>3114</v>
      </c>
      <c r="D3222" t="s">
        <v>3115</v>
      </c>
      <c r="E3222" t="s">
        <v>1785</v>
      </c>
      <c r="F3222" s="20">
        <v>6600</v>
      </c>
      <c r="I3222" s="11">
        <f t="shared" si="129"/>
        <v>45448</v>
      </c>
      <c r="J3222" s="12">
        <f t="shared" si="130"/>
        <v>26</v>
      </c>
      <c r="K3222" t="str">
        <f t="shared" si="131"/>
        <v>0-30</v>
      </c>
      <c r="L3222" s="11">
        <v>45474</v>
      </c>
      <c r="M3222" s="23">
        <f>YEAR(Таблица1[[#This Row],[Дата отчета]])</f>
        <v>2024</v>
      </c>
    </row>
    <row r="3223" spans="1:13" x14ac:dyDescent="0.25">
      <c r="A3223" t="s">
        <v>12</v>
      </c>
      <c r="B3223" t="s">
        <v>186</v>
      </c>
      <c r="C3223" t="s">
        <v>205</v>
      </c>
      <c r="D3223" t="s">
        <v>3428</v>
      </c>
      <c r="E3223" t="s">
        <v>477</v>
      </c>
      <c r="F3223" s="20">
        <v>6600</v>
      </c>
      <c r="I3223" s="11">
        <f t="shared" ref="I3223:I3286" si="132">E3223*1</f>
        <v>45401</v>
      </c>
      <c r="J3223" s="12">
        <f t="shared" ref="J3223:J3286" si="133">L3223-I3223</f>
        <v>73</v>
      </c>
      <c r="K3223" t="str">
        <f t="shared" si="131"/>
        <v>31-90</v>
      </c>
      <c r="L3223" s="11">
        <v>45474</v>
      </c>
      <c r="M3223" s="23">
        <f>YEAR(Таблица1[[#This Row],[Дата отчета]])</f>
        <v>2024</v>
      </c>
    </row>
    <row r="3224" spans="1:13" x14ac:dyDescent="0.25">
      <c r="A3224" t="s">
        <v>12</v>
      </c>
      <c r="B3224" t="s">
        <v>186</v>
      </c>
      <c r="C3224" t="s">
        <v>205</v>
      </c>
      <c r="D3224" t="s">
        <v>3429</v>
      </c>
      <c r="E3224" t="s">
        <v>192</v>
      </c>
      <c r="F3224" s="20">
        <v>6600</v>
      </c>
      <c r="I3224" s="11">
        <f t="shared" si="132"/>
        <v>45467</v>
      </c>
      <c r="J3224" s="12">
        <f t="shared" si="133"/>
        <v>7</v>
      </c>
      <c r="K3224" t="str">
        <f t="shared" si="131"/>
        <v>0-30</v>
      </c>
      <c r="L3224" s="11">
        <v>45474</v>
      </c>
      <c r="M3224" s="23">
        <f>YEAR(Таблица1[[#This Row],[Дата отчета]])</f>
        <v>2024</v>
      </c>
    </row>
    <row r="3225" spans="1:13" x14ac:dyDescent="0.25">
      <c r="A3225" t="s">
        <v>12</v>
      </c>
      <c r="B3225" t="s">
        <v>186</v>
      </c>
      <c r="C3225" t="s">
        <v>205</v>
      </c>
      <c r="D3225" t="s">
        <v>3430</v>
      </c>
      <c r="E3225" t="s">
        <v>189</v>
      </c>
      <c r="F3225" s="20">
        <v>25000</v>
      </c>
      <c r="I3225" s="11">
        <f t="shared" si="132"/>
        <v>45471</v>
      </c>
      <c r="J3225" s="12">
        <f t="shared" si="133"/>
        <v>3</v>
      </c>
      <c r="K3225" t="str">
        <f t="shared" si="131"/>
        <v>0-30</v>
      </c>
      <c r="L3225" s="11">
        <v>45474</v>
      </c>
      <c r="M3225" s="23">
        <f>YEAR(Таблица1[[#This Row],[Дата отчета]])</f>
        <v>2024</v>
      </c>
    </row>
    <row r="3226" spans="1:13" x14ac:dyDescent="0.25">
      <c r="A3226" t="s">
        <v>12</v>
      </c>
      <c r="B3226" t="s">
        <v>186</v>
      </c>
      <c r="C3226" t="s">
        <v>1165</v>
      </c>
      <c r="D3226" t="s">
        <v>3431</v>
      </c>
      <c r="E3226" t="s">
        <v>1785</v>
      </c>
      <c r="F3226" s="20">
        <v>6600</v>
      </c>
      <c r="I3226" s="11">
        <f t="shared" si="132"/>
        <v>45448</v>
      </c>
      <c r="J3226" s="12">
        <f t="shared" si="133"/>
        <v>26</v>
      </c>
      <c r="K3226" t="str">
        <f t="shared" si="131"/>
        <v>0-30</v>
      </c>
      <c r="L3226" s="11">
        <v>45474</v>
      </c>
      <c r="M3226" s="23">
        <f>YEAR(Таблица1[[#This Row],[Дата отчета]])</f>
        <v>2024</v>
      </c>
    </row>
    <row r="3227" spans="1:13" x14ac:dyDescent="0.25">
      <c r="A3227" t="s">
        <v>12</v>
      </c>
      <c r="B3227" t="s">
        <v>186</v>
      </c>
      <c r="C3227" t="s">
        <v>1165</v>
      </c>
      <c r="D3227" t="s">
        <v>3432</v>
      </c>
      <c r="E3227" t="s">
        <v>2463</v>
      </c>
      <c r="F3227" s="20">
        <v>6600</v>
      </c>
      <c r="I3227" s="11">
        <f t="shared" si="132"/>
        <v>45468</v>
      </c>
      <c r="J3227" s="12">
        <f t="shared" si="133"/>
        <v>6</v>
      </c>
      <c r="K3227" t="str">
        <f t="shared" si="131"/>
        <v>0-30</v>
      </c>
      <c r="L3227" s="11">
        <v>45474</v>
      </c>
      <c r="M3227" s="23">
        <f>YEAR(Таблица1[[#This Row],[Дата отчета]])</f>
        <v>2024</v>
      </c>
    </row>
    <row r="3228" spans="1:13" x14ac:dyDescent="0.25">
      <c r="A3228" t="s">
        <v>12</v>
      </c>
      <c r="B3228" t="s">
        <v>3123</v>
      </c>
      <c r="C3228" t="s">
        <v>3124</v>
      </c>
      <c r="D3228" t="s">
        <v>3125</v>
      </c>
      <c r="E3228" t="s">
        <v>3126</v>
      </c>
      <c r="F3228" s="20">
        <v>1700000</v>
      </c>
      <c r="I3228" s="11">
        <f t="shared" si="132"/>
        <v>45352</v>
      </c>
      <c r="J3228" s="12">
        <f t="shared" si="133"/>
        <v>122</v>
      </c>
      <c r="K3228" t="str">
        <f t="shared" si="131"/>
        <v>121-180</v>
      </c>
      <c r="L3228" s="11">
        <v>45474</v>
      </c>
      <c r="M3228" s="23">
        <f>YEAR(Таблица1[[#This Row],[Дата отчета]])</f>
        <v>2024</v>
      </c>
    </row>
    <row r="3229" spans="1:13" x14ac:dyDescent="0.25">
      <c r="A3229" t="s">
        <v>12</v>
      </c>
      <c r="B3229" t="s">
        <v>3433</v>
      </c>
      <c r="C3229" t="s">
        <v>3434</v>
      </c>
      <c r="D3229" t="s">
        <v>3435</v>
      </c>
      <c r="E3229" t="s">
        <v>300</v>
      </c>
      <c r="F3229" s="20">
        <v>35000</v>
      </c>
      <c r="I3229" s="11">
        <f t="shared" si="132"/>
        <v>45449</v>
      </c>
      <c r="J3229" s="12">
        <f t="shared" si="133"/>
        <v>25</v>
      </c>
      <c r="K3229" t="str">
        <f t="shared" si="131"/>
        <v>0-30</v>
      </c>
      <c r="L3229" s="11">
        <v>45474</v>
      </c>
      <c r="M3229" s="23">
        <f>YEAR(Таблица1[[#This Row],[Дата отчета]])</f>
        <v>2024</v>
      </c>
    </row>
    <row r="3230" spans="1:13" x14ac:dyDescent="0.25">
      <c r="A3230" t="s">
        <v>12</v>
      </c>
      <c r="B3230" t="s">
        <v>225</v>
      </c>
      <c r="C3230" t="s">
        <v>226</v>
      </c>
      <c r="D3230" t="s">
        <v>3436</v>
      </c>
      <c r="E3230" t="s">
        <v>3248</v>
      </c>
      <c r="F3230" s="20">
        <v>450456</v>
      </c>
      <c r="I3230" s="11">
        <f t="shared" si="132"/>
        <v>45404</v>
      </c>
      <c r="J3230" s="12">
        <f t="shared" si="133"/>
        <v>70</v>
      </c>
      <c r="K3230" t="str">
        <f t="shared" si="131"/>
        <v>31-90</v>
      </c>
      <c r="L3230" s="11">
        <v>45474</v>
      </c>
      <c r="M3230" s="23">
        <f>YEAR(Таблица1[[#This Row],[Дата отчета]])</f>
        <v>2024</v>
      </c>
    </row>
    <row r="3231" spans="1:13" x14ac:dyDescent="0.25">
      <c r="A3231" t="s">
        <v>12</v>
      </c>
      <c r="B3231" t="s">
        <v>3437</v>
      </c>
      <c r="C3231" t="s">
        <v>3438</v>
      </c>
      <c r="D3231" t="s">
        <v>3439</v>
      </c>
      <c r="E3231" t="s">
        <v>3363</v>
      </c>
      <c r="F3231" s="20">
        <v>273056</v>
      </c>
      <c r="I3231" s="11">
        <f t="shared" si="132"/>
        <v>45464</v>
      </c>
      <c r="J3231" s="12">
        <f t="shared" si="133"/>
        <v>10</v>
      </c>
      <c r="K3231" t="str">
        <f t="shared" si="131"/>
        <v>0-30</v>
      </c>
      <c r="L3231" s="11">
        <v>45474</v>
      </c>
      <c r="M3231" s="23">
        <f>YEAR(Таблица1[[#This Row],[Дата отчета]])</f>
        <v>2024</v>
      </c>
    </row>
    <row r="3232" spans="1:13" x14ac:dyDescent="0.25">
      <c r="A3232" t="s">
        <v>12</v>
      </c>
      <c r="B3232" t="s">
        <v>248</v>
      </c>
      <c r="C3232" t="s">
        <v>3440</v>
      </c>
      <c r="D3232" t="s">
        <v>3441</v>
      </c>
      <c r="E3232" t="s">
        <v>3442</v>
      </c>
      <c r="F3232" s="20">
        <v>2324.42</v>
      </c>
      <c r="I3232" s="11">
        <f t="shared" si="132"/>
        <v>44180</v>
      </c>
      <c r="J3232" s="12">
        <f t="shared" si="133"/>
        <v>1294</v>
      </c>
      <c r="K3232" t="str">
        <f t="shared" si="131"/>
        <v>&gt;360</v>
      </c>
      <c r="L3232" s="11">
        <v>45474</v>
      </c>
      <c r="M3232" s="23">
        <f>YEAR(Таблица1[[#This Row],[Дата отчета]])</f>
        <v>2024</v>
      </c>
    </row>
    <row r="3233" spans="1:13" x14ac:dyDescent="0.25">
      <c r="A3233" t="s">
        <v>12</v>
      </c>
      <c r="B3233" t="s">
        <v>248</v>
      </c>
      <c r="C3233" t="s">
        <v>3443</v>
      </c>
      <c r="D3233" t="s">
        <v>3444</v>
      </c>
      <c r="E3233" t="s">
        <v>3445</v>
      </c>
      <c r="F3233" s="20">
        <v>13500</v>
      </c>
      <c r="I3233" s="11">
        <f t="shared" si="132"/>
        <v>45321</v>
      </c>
      <c r="J3233" s="12">
        <f t="shared" si="133"/>
        <v>153</v>
      </c>
      <c r="K3233" t="str">
        <f t="shared" si="131"/>
        <v>121-180</v>
      </c>
      <c r="L3233" s="11">
        <v>45474</v>
      </c>
      <c r="M3233" s="23">
        <f>YEAR(Таблица1[[#This Row],[Дата отчета]])</f>
        <v>2024</v>
      </c>
    </row>
    <row r="3234" spans="1:13" x14ac:dyDescent="0.25">
      <c r="A3234" t="s">
        <v>12</v>
      </c>
      <c r="B3234" t="s">
        <v>248</v>
      </c>
      <c r="C3234" t="s">
        <v>3446</v>
      </c>
      <c r="D3234" t="s">
        <v>3447</v>
      </c>
      <c r="E3234" t="s">
        <v>3448</v>
      </c>
      <c r="F3234" s="20">
        <v>720359.13</v>
      </c>
      <c r="I3234" s="11">
        <f t="shared" si="132"/>
        <v>45362</v>
      </c>
      <c r="J3234" s="12">
        <f t="shared" si="133"/>
        <v>112</v>
      </c>
      <c r="K3234" t="str">
        <f t="shared" si="131"/>
        <v>91-120</v>
      </c>
      <c r="L3234" s="11">
        <v>45474</v>
      </c>
      <c r="M3234" s="23">
        <f>YEAR(Таблица1[[#This Row],[Дата отчета]])</f>
        <v>2024</v>
      </c>
    </row>
    <row r="3235" spans="1:13" x14ac:dyDescent="0.25">
      <c r="A3235" t="s">
        <v>12</v>
      </c>
      <c r="B3235" t="s">
        <v>248</v>
      </c>
      <c r="C3235" t="s">
        <v>3449</v>
      </c>
      <c r="D3235" t="s">
        <v>3450</v>
      </c>
      <c r="E3235" t="s">
        <v>2450</v>
      </c>
      <c r="F3235" s="20">
        <v>4470</v>
      </c>
      <c r="I3235" s="11">
        <f t="shared" si="132"/>
        <v>45427</v>
      </c>
      <c r="J3235" s="12">
        <f t="shared" si="133"/>
        <v>47</v>
      </c>
      <c r="K3235" t="str">
        <f t="shared" si="131"/>
        <v>31-90</v>
      </c>
      <c r="L3235" s="11">
        <v>45474</v>
      </c>
      <c r="M3235" s="23">
        <f>YEAR(Таблица1[[#This Row],[Дата отчета]])</f>
        <v>2024</v>
      </c>
    </row>
    <row r="3236" spans="1:13" x14ac:dyDescent="0.25">
      <c r="A3236" t="s">
        <v>12</v>
      </c>
      <c r="B3236" t="s">
        <v>248</v>
      </c>
      <c r="C3236" t="s">
        <v>1973</v>
      </c>
      <c r="D3236" t="s">
        <v>1974</v>
      </c>
      <c r="E3236" t="s">
        <v>2450</v>
      </c>
      <c r="F3236" s="20">
        <v>53053.14</v>
      </c>
      <c r="I3236" s="11">
        <f t="shared" si="132"/>
        <v>45427</v>
      </c>
      <c r="J3236" s="12">
        <f t="shared" si="133"/>
        <v>47</v>
      </c>
      <c r="K3236" t="str">
        <f t="shared" si="131"/>
        <v>31-90</v>
      </c>
      <c r="L3236" s="11">
        <v>45474</v>
      </c>
      <c r="M3236" s="23">
        <f>YEAR(Таблица1[[#This Row],[Дата отчета]])</f>
        <v>2024</v>
      </c>
    </row>
    <row r="3237" spans="1:13" x14ac:dyDescent="0.25">
      <c r="A3237" t="s">
        <v>12</v>
      </c>
      <c r="B3237" t="s">
        <v>248</v>
      </c>
      <c r="C3237" t="s">
        <v>3451</v>
      </c>
      <c r="D3237" t="s">
        <v>3452</v>
      </c>
      <c r="E3237" t="s">
        <v>3453</v>
      </c>
      <c r="F3237" s="20">
        <v>1160000</v>
      </c>
      <c r="I3237" s="11">
        <f t="shared" si="132"/>
        <v>45369</v>
      </c>
      <c r="J3237" s="12">
        <f t="shared" si="133"/>
        <v>105</v>
      </c>
      <c r="K3237" t="str">
        <f t="shared" si="131"/>
        <v>91-120</v>
      </c>
      <c r="L3237" s="11">
        <v>45474</v>
      </c>
      <c r="M3237" s="23">
        <f>YEAR(Таблица1[[#This Row],[Дата отчета]])</f>
        <v>2024</v>
      </c>
    </row>
    <row r="3238" spans="1:13" x14ac:dyDescent="0.25">
      <c r="A3238" t="s">
        <v>12</v>
      </c>
      <c r="B3238" t="s">
        <v>1364</v>
      </c>
      <c r="C3238" t="s">
        <v>775</v>
      </c>
      <c r="D3238" t="s">
        <v>1365</v>
      </c>
      <c r="E3238" t="s">
        <v>1778</v>
      </c>
      <c r="F3238" s="20">
        <v>5433.05</v>
      </c>
      <c r="I3238" s="11">
        <f t="shared" si="132"/>
        <v>44403</v>
      </c>
      <c r="J3238" s="12">
        <f t="shared" si="133"/>
        <v>1071</v>
      </c>
      <c r="K3238" t="str">
        <f t="shared" si="131"/>
        <v>&gt;360</v>
      </c>
      <c r="L3238" s="11">
        <v>45474</v>
      </c>
      <c r="M3238" s="23">
        <f>YEAR(Таблица1[[#This Row],[Дата отчета]])</f>
        <v>2024</v>
      </c>
    </row>
    <row r="3239" spans="1:13" x14ac:dyDescent="0.25">
      <c r="A3239" t="s">
        <v>12</v>
      </c>
      <c r="B3239" t="s">
        <v>3454</v>
      </c>
      <c r="C3239" t="s">
        <v>3455</v>
      </c>
      <c r="D3239" t="s">
        <v>3456</v>
      </c>
      <c r="E3239" t="s">
        <v>3085</v>
      </c>
      <c r="F3239" s="20">
        <v>775</v>
      </c>
      <c r="I3239" s="11">
        <f t="shared" si="132"/>
        <v>45432</v>
      </c>
      <c r="J3239" s="12">
        <f t="shared" si="133"/>
        <v>42</v>
      </c>
      <c r="K3239" t="str">
        <f t="shared" si="131"/>
        <v>31-90</v>
      </c>
      <c r="L3239" s="11">
        <v>45474</v>
      </c>
      <c r="M3239" s="23">
        <f>YEAR(Таблица1[[#This Row],[Дата отчета]])</f>
        <v>2024</v>
      </c>
    </row>
    <row r="3240" spans="1:13" x14ac:dyDescent="0.25">
      <c r="A3240" t="s">
        <v>12</v>
      </c>
      <c r="B3240" t="s">
        <v>3127</v>
      </c>
      <c r="C3240" t="s">
        <v>3457</v>
      </c>
      <c r="D3240" t="s">
        <v>3458</v>
      </c>
      <c r="E3240" t="s">
        <v>3073</v>
      </c>
      <c r="F3240" s="20">
        <v>1000000</v>
      </c>
      <c r="I3240" s="11">
        <f t="shared" si="132"/>
        <v>45446</v>
      </c>
      <c r="J3240" s="12">
        <f t="shared" si="133"/>
        <v>28</v>
      </c>
      <c r="K3240" t="str">
        <f t="shared" si="131"/>
        <v>0-30</v>
      </c>
      <c r="L3240" s="11">
        <v>45474</v>
      </c>
      <c r="M3240" s="23">
        <f>YEAR(Таблица1[[#This Row],[Дата отчета]])</f>
        <v>2024</v>
      </c>
    </row>
    <row r="3241" spans="1:13" x14ac:dyDescent="0.25">
      <c r="A3241" t="s">
        <v>12</v>
      </c>
      <c r="B3241" t="s">
        <v>271</v>
      </c>
      <c r="C3241" t="s">
        <v>282</v>
      </c>
      <c r="D3241" t="s">
        <v>283</v>
      </c>
      <c r="E3241" t="s">
        <v>284</v>
      </c>
      <c r="F3241" s="20">
        <v>600</v>
      </c>
      <c r="I3241" s="11">
        <f t="shared" si="132"/>
        <v>45398</v>
      </c>
      <c r="J3241" s="12">
        <f t="shared" si="133"/>
        <v>76</v>
      </c>
      <c r="K3241" t="str">
        <f t="shared" si="131"/>
        <v>31-90</v>
      </c>
      <c r="L3241" s="11">
        <v>45474</v>
      </c>
      <c r="M3241" s="23">
        <f>YEAR(Таблица1[[#This Row],[Дата отчета]])</f>
        <v>2024</v>
      </c>
    </row>
    <row r="3242" spans="1:13" x14ac:dyDescent="0.25">
      <c r="A3242" t="s">
        <v>12</v>
      </c>
      <c r="B3242" t="s">
        <v>271</v>
      </c>
      <c r="C3242" t="s">
        <v>3130</v>
      </c>
      <c r="D3242" t="s">
        <v>3131</v>
      </c>
      <c r="E3242" t="s">
        <v>3132</v>
      </c>
      <c r="F3242" s="20">
        <v>590475.6</v>
      </c>
      <c r="I3242" s="11">
        <f t="shared" si="132"/>
        <v>45415</v>
      </c>
      <c r="J3242" s="12">
        <f t="shared" si="133"/>
        <v>59</v>
      </c>
      <c r="K3242" t="str">
        <f t="shared" si="131"/>
        <v>31-90</v>
      </c>
      <c r="L3242" s="11">
        <v>45474</v>
      </c>
      <c r="M3242" s="23">
        <f>YEAR(Таблица1[[#This Row],[Дата отчета]])</f>
        <v>2024</v>
      </c>
    </row>
    <row r="3243" spans="1:13" x14ac:dyDescent="0.25">
      <c r="A3243" t="s">
        <v>12</v>
      </c>
      <c r="B3243" t="s">
        <v>3459</v>
      </c>
      <c r="C3243" t="s">
        <v>3460</v>
      </c>
      <c r="D3243" t="s">
        <v>3461</v>
      </c>
      <c r="E3243" t="s">
        <v>192</v>
      </c>
      <c r="F3243" s="20">
        <v>302030</v>
      </c>
      <c r="I3243" s="11">
        <f t="shared" si="132"/>
        <v>45467</v>
      </c>
      <c r="J3243" s="12">
        <f t="shared" si="133"/>
        <v>7</v>
      </c>
      <c r="K3243" t="str">
        <f t="shared" si="131"/>
        <v>0-30</v>
      </c>
      <c r="L3243" s="11">
        <v>45474</v>
      </c>
      <c r="M3243" s="23">
        <f>YEAR(Таблица1[[#This Row],[Дата отчета]])</f>
        <v>2024</v>
      </c>
    </row>
    <row r="3244" spans="1:13" x14ac:dyDescent="0.25">
      <c r="A3244" t="s">
        <v>12</v>
      </c>
      <c r="B3244" t="s">
        <v>3459</v>
      </c>
      <c r="C3244" t="s">
        <v>3460</v>
      </c>
      <c r="D3244" t="s">
        <v>3462</v>
      </c>
      <c r="E3244" t="s">
        <v>192</v>
      </c>
      <c r="F3244" s="20">
        <v>1574532</v>
      </c>
      <c r="I3244" s="11">
        <f t="shared" si="132"/>
        <v>45467</v>
      </c>
      <c r="J3244" s="12">
        <f t="shared" si="133"/>
        <v>7</v>
      </c>
      <c r="K3244" t="str">
        <f t="shared" si="131"/>
        <v>0-30</v>
      </c>
      <c r="L3244" s="11">
        <v>45474</v>
      </c>
      <c r="M3244" s="23">
        <f>YEAR(Таблица1[[#This Row],[Дата отчета]])</f>
        <v>2024</v>
      </c>
    </row>
    <row r="3245" spans="1:13" x14ac:dyDescent="0.25">
      <c r="A3245" t="s">
        <v>12</v>
      </c>
      <c r="B3245" t="s">
        <v>3459</v>
      </c>
      <c r="C3245" t="s">
        <v>3463</v>
      </c>
      <c r="D3245" t="s">
        <v>3464</v>
      </c>
      <c r="E3245" t="s">
        <v>865</v>
      </c>
      <c r="F3245" s="20">
        <v>4387900</v>
      </c>
      <c r="I3245" s="11">
        <f t="shared" si="132"/>
        <v>45456</v>
      </c>
      <c r="J3245" s="12">
        <f t="shared" si="133"/>
        <v>18</v>
      </c>
      <c r="K3245" t="str">
        <f t="shared" si="131"/>
        <v>0-30</v>
      </c>
      <c r="L3245" s="11">
        <v>45474</v>
      </c>
      <c r="M3245" s="23">
        <f>YEAR(Таблица1[[#This Row],[Дата отчета]])</f>
        <v>2024</v>
      </c>
    </row>
    <row r="3246" spans="1:13" x14ac:dyDescent="0.25">
      <c r="A3246" t="s">
        <v>12</v>
      </c>
      <c r="B3246" t="s">
        <v>3465</v>
      </c>
      <c r="C3246" t="s">
        <v>3466</v>
      </c>
      <c r="D3246" t="s">
        <v>3467</v>
      </c>
      <c r="E3246" t="s">
        <v>2450</v>
      </c>
      <c r="F3246" s="20">
        <v>195000</v>
      </c>
      <c r="I3246" s="11">
        <f t="shared" si="132"/>
        <v>45427</v>
      </c>
      <c r="J3246" s="12">
        <f t="shared" si="133"/>
        <v>47</v>
      </c>
      <c r="K3246" t="str">
        <f t="shared" si="131"/>
        <v>31-90</v>
      </c>
      <c r="L3246" s="11">
        <v>45474</v>
      </c>
      <c r="M3246" s="23">
        <f>YEAR(Таблица1[[#This Row],[Дата отчета]])</f>
        <v>2024</v>
      </c>
    </row>
    <row r="3247" spans="1:13" x14ac:dyDescent="0.25">
      <c r="A3247" t="s">
        <v>12</v>
      </c>
      <c r="B3247" t="s">
        <v>3136</v>
      </c>
      <c r="C3247" t="s">
        <v>3468</v>
      </c>
      <c r="D3247" t="s">
        <v>3469</v>
      </c>
      <c r="E3247" t="s">
        <v>3251</v>
      </c>
      <c r="F3247" s="20">
        <v>38528</v>
      </c>
      <c r="I3247" s="11">
        <f t="shared" si="132"/>
        <v>45405</v>
      </c>
      <c r="J3247" s="12">
        <f t="shared" si="133"/>
        <v>69</v>
      </c>
      <c r="K3247" t="str">
        <f t="shared" si="131"/>
        <v>31-90</v>
      </c>
      <c r="L3247" s="11">
        <v>45474</v>
      </c>
      <c r="M3247" s="23">
        <f>YEAR(Таблица1[[#This Row],[Дата отчета]])</f>
        <v>2024</v>
      </c>
    </row>
    <row r="3248" spans="1:13" x14ac:dyDescent="0.25">
      <c r="A3248" t="s">
        <v>12</v>
      </c>
      <c r="B3248" t="s">
        <v>3136</v>
      </c>
      <c r="C3248" t="s">
        <v>3470</v>
      </c>
      <c r="D3248" t="s">
        <v>3471</v>
      </c>
      <c r="E3248" t="s">
        <v>3472</v>
      </c>
      <c r="F3248" s="20">
        <v>168650</v>
      </c>
      <c r="I3248" s="11">
        <f t="shared" si="132"/>
        <v>45433</v>
      </c>
      <c r="J3248" s="12">
        <f t="shared" si="133"/>
        <v>41</v>
      </c>
      <c r="K3248" t="str">
        <f t="shared" si="131"/>
        <v>31-90</v>
      </c>
      <c r="L3248" s="11">
        <v>45474</v>
      </c>
      <c r="M3248" s="23">
        <f>YEAR(Таблица1[[#This Row],[Дата отчета]])</f>
        <v>2024</v>
      </c>
    </row>
    <row r="3249" spans="1:14" x14ac:dyDescent="0.25">
      <c r="A3249" t="s">
        <v>12</v>
      </c>
      <c r="B3249" t="s">
        <v>3136</v>
      </c>
      <c r="C3249" t="s">
        <v>3473</v>
      </c>
      <c r="D3249" t="s">
        <v>3474</v>
      </c>
      <c r="E3249" t="s">
        <v>3371</v>
      </c>
      <c r="F3249" s="20">
        <v>18700</v>
      </c>
      <c r="I3249" s="11">
        <f t="shared" si="132"/>
        <v>45462</v>
      </c>
      <c r="J3249" s="12">
        <f t="shared" si="133"/>
        <v>12</v>
      </c>
      <c r="K3249" t="str">
        <f t="shared" si="131"/>
        <v>0-30</v>
      </c>
      <c r="L3249" s="11">
        <v>45474</v>
      </c>
      <c r="M3249" s="23">
        <f>YEAR(Таблица1[[#This Row],[Дата отчета]])</f>
        <v>2024</v>
      </c>
    </row>
    <row r="3250" spans="1:14" x14ac:dyDescent="0.25">
      <c r="A3250" t="s">
        <v>12</v>
      </c>
      <c r="B3250" t="s">
        <v>3136</v>
      </c>
      <c r="C3250" t="s">
        <v>3475</v>
      </c>
      <c r="D3250" t="s">
        <v>3476</v>
      </c>
      <c r="E3250" t="s">
        <v>3413</v>
      </c>
      <c r="F3250" s="20">
        <v>5100</v>
      </c>
      <c r="I3250" s="11">
        <f t="shared" si="132"/>
        <v>45469</v>
      </c>
      <c r="J3250" s="12">
        <f t="shared" si="133"/>
        <v>5</v>
      </c>
      <c r="K3250" t="str">
        <f t="shared" si="131"/>
        <v>0-30</v>
      </c>
      <c r="L3250" s="11">
        <v>45474</v>
      </c>
      <c r="M3250" s="23">
        <f>YEAR(Таблица1[[#This Row],[Дата отчета]])</f>
        <v>2024</v>
      </c>
    </row>
    <row r="3251" spans="1:14" x14ac:dyDescent="0.25">
      <c r="A3251" t="s">
        <v>12</v>
      </c>
      <c r="B3251" t="s">
        <v>297</v>
      </c>
      <c r="C3251" t="s">
        <v>775</v>
      </c>
      <c r="D3251" t="s">
        <v>3477</v>
      </c>
      <c r="E3251" t="s">
        <v>3478</v>
      </c>
      <c r="F3251" s="20">
        <v>204</v>
      </c>
      <c r="I3251" s="11">
        <f t="shared" si="132"/>
        <v>45086</v>
      </c>
      <c r="J3251" s="12">
        <f t="shared" si="133"/>
        <v>388</v>
      </c>
      <c r="K3251" t="str">
        <f t="shared" si="131"/>
        <v>&gt;360</v>
      </c>
      <c r="L3251" s="11">
        <v>45474</v>
      </c>
      <c r="M3251" s="23">
        <f>YEAR(Таблица1[[#This Row],[Дата отчета]])</f>
        <v>2024</v>
      </c>
    </row>
    <row r="3252" spans="1:14" x14ac:dyDescent="0.25">
      <c r="A3252" t="s">
        <v>12</v>
      </c>
      <c r="B3252" t="s">
        <v>297</v>
      </c>
      <c r="C3252" t="s">
        <v>775</v>
      </c>
      <c r="D3252" t="s">
        <v>3479</v>
      </c>
      <c r="E3252" t="s">
        <v>3480</v>
      </c>
      <c r="F3252" s="20">
        <v>1060</v>
      </c>
      <c r="I3252" s="11">
        <f t="shared" si="132"/>
        <v>45118</v>
      </c>
      <c r="J3252" s="12">
        <f t="shared" si="133"/>
        <v>356</v>
      </c>
      <c r="K3252" t="str">
        <f t="shared" si="131"/>
        <v>271-360</v>
      </c>
      <c r="L3252" s="11">
        <v>45474</v>
      </c>
      <c r="M3252" s="23">
        <f>YEAR(Таблица1[[#This Row],[Дата отчета]])</f>
        <v>2024</v>
      </c>
    </row>
    <row r="3253" spans="1:14" x14ac:dyDescent="0.25">
      <c r="A3253" t="s">
        <v>12</v>
      </c>
      <c r="B3253" t="s">
        <v>297</v>
      </c>
      <c r="C3253" t="s">
        <v>775</v>
      </c>
      <c r="D3253" t="s">
        <v>3481</v>
      </c>
      <c r="E3253" t="s">
        <v>3482</v>
      </c>
      <c r="F3253" s="20">
        <v>260</v>
      </c>
      <c r="I3253" s="11">
        <f t="shared" si="132"/>
        <v>45153</v>
      </c>
      <c r="J3253" s="12">
        <f t="shared" si="133"/>
        <v>321</v>
      </c>
      <c r="K3253" t="str">
        <f t="shared" si="131"/>
        <v>271-360</v>
      </c>
      <c r="L3253" s="11">
        <v>45474</v>
      </c>
      <c r="M3253" s="23">
        <f>YEAR(Таблица1[[#This Row],[Дата отчета]])</f>
        <v>2024</v>
      </c>
    </row>
    <row r="3254" spans="1:14" x14ac:dyDescent="0.25">
      <c r="A3254" t="s">
        <v>12</v>
      </c>
      <c r="B3254" t="s">
        <v>297</v>
      </c>
      <c r="C3254" t="s">
        <v>775</v>
      </c>
      <c r="D3254" t="s">
        <v>3483</v>
      </c>
      <c r="E3254" t="s">
        <v>3484</v>
      </c>
      <c r="F3254" s="20">
        <v>740</v>
      </c>
      <c r="I3254" s="11">
        <f t="shared" si="132"/>
        <v>45190</v>
      </c>
      <c r="J3254" s="12">
        <f t="shared" si="133"/>
        <v>284</v>
      </c>
      <c r="K3254" t="str">
        <f t="shared" si="131"/>
        <v>271-360</v>
      </c>
      <c r="L3254" s="11">
        <v>45474</v>
      </c>
      <c r="M3254" s="23">
        <f>YEAR(Таблица1[[#This Row],[Дата отчета]])</f>
        <v>2024</v>
      </c>
    </row>
    <row r="3255" spans="1:14" x14ac:dyDescent="0.25">
      <c r="A3255" t="s">
        <v>12</v>
      </c>
      <c r="B3255" t="s">
        <v>297</v>
      </c>
      <c r="C3255" t="s">
        <v>775</v>
      </c>
      <c r="D3255" t="s">
        <v>3485</v>
      </c>
      <c r="E3255" t="s">
        <v>3486</v>
      </c>
      <c r="F3255" s="20">
        <v>1050</v>
      </c>
      <c r="I3255" s="11">
        <f t="shared" si="132"/>
        <v>45196</v>
      </c>
      <c r="J3255" s="12">
        <f t="shared" si="133"/>
        <v>278</v>
      </c>
      <c r="K3255" t="str">
        <f t="shared" si="131"/>
        <v>271-360</v>
      </c>
      <c r="L3255" s="11">
        <v>45474</v>
      </c>
      <c r="M3255" s="23">
        <f>YEAR(Таблица1[[#This Row],[Дата отчета]])</f>
        <v>2024</v>
      </c>
    </row>
    <row r="3256" spans="1:14" x14ac:dyDescent="0.25">
      <c r="A3256" t="s">
        <v>12</v>
      </c>
      <c r="B3256" t="s">
        <v>297</v>
      </c>
      <c r="C3256" t="s">
        <v>3487</v>
      </c>
      <c r="D3256" t="s">
        <v>3488</v>
      </c>
      <c r="E3256" t="s">
        <v>3453</v>
      </c>
      <c r="F3256" s="20">
        <v>291</v>
      </c>
      <c r="I3256" s="11">
        <f t="shared" si="132"/>
        <v>45369</v>
      </c>
      <c r="J3256" s="12">
        <f t="shared" si="133"/>
        <v>105</v>
      </c>
      <c r="K3256" t="str">
        <f t="shared" si="131"/>
        <v>91-120</v>
      </c>
      <c r="L3256" s="11">
        <v>45474</v>
      </c>
      <c r="M3256" s="23">
        <f>YEAR(Таблица1[[#This Row],[Дата отчета]])</f>
        <v>2024</v>
      </c>
    </row>
    <row r="3257" spans="1:14" x14ac:dyDescent="0.25">
      <c r="A3257" t="s">
        <v>12</v>
      </c>
      <c r="B3257" t="s">
        <v>297</v>
      </c>
      <c r="C3257" t="s">
        <v>3487</v>
      </c>
      <c r="D3257" t="s">
        <v>3489</v>
      </c>
      <c r="E3257" t="s">
        <v>3140</v>
      </c>
      <c r="F3257" s="20">
        <v>10000</v>
      </c>
      <c r="I3257" s="11">
        <f t="shared" si="132"/>
        <v>45463</v>
      </c>
      <c r="J3257" s="12">
        <f t="shared" si="133"/>
        <v>11</v>
      </c>
      <c r="K3257" t="str">
        <f t="shared" si="131"/>
        <v>0-30</v>
      </c>
      <c r="L3257" s="11">
        <v>45474</v>
      </c>
      <c r="M3257" s="23">
        <f>YEAR(Таблица1[[#This Row],[Дата отчета]])</f>
        <v>2024</v>
      </c>
    </row>
    <row r="3258" spans="1:14" x14ac:dyDescent="0.25">
      <c r="A3258" t="s">
        <v>12</v>
      </c>
      <c r="B3258" t="s">
        <v>297</v>
      </c>
      <c r="C3258" t="s">
        <v>3487</v>
      </c>
      <c r="D3258" t="s">
        <v>3490</v>
      </c>
      <c r="E3258" t="s">
        <v>3140</v>
      </c>
      <c r="F3258" s="20">
        <v>11396</v>
      </c>
      <c r="I3258" s="11">
        <f t="shared" si="132"/>
        <v>45463</v>
      </c>
      <c r="J3258" s="12">
        <f t="shared" si="133"/>
        <v>11</v>
      </c>
      <c r="K3258" t="str">
        <f t="shared" si="131"/>
        <v>0-30</v>
      </c>
      <c r="L3258" s="11">
        <v>45474</v>
      </c>
      <c r="M3258" s="23">
        <f>YEAR(Таблица1[[#This Row],[Дата отчета]])</f>
        <v>2024</v>
      </c>
    </row>
    <row r="3259" spans="1:14" x14ac:dyDescent="0.25">
      <c r="A3259" t="s">
        <v>12</v>
      </c>
      <c r="B3259" t="s">
        <v>297</v>
      </c>
      <c r="C3259" t="s">
        <v>3487</v>
      </c>
      <c r="D3259" t="s">
        <v>3139</v>
      </c>
      <c r="E3259" t="s">
        <v>3140</v>
      </c>
      <c r="F3259" s="20">
        <v>3958</v>
      </c>
      <c r="I3259" s="11">
        <f t="shared" si="132"/>
        <v>45463</v>
      </c>
      <c r="J3259" s="12">
        <f t="shared" si="133"/>
        <v>11</v>
      </c>
      <c r="K3259" t="str">
        <f t="shared" si="131"/>
        <v>0-30</v>
      </c>
      <c r="L3259" s="11">
        <v>45474</v>
      </c>
      <c r="M3259" s="23">
        <f>YEAR(Таблица1[[#This Row],[Дата отчета]])</f>
        <v>2024</v>
      </c>
    </row>
    <row r="3260" spans="1:14" x14ac:dyDescent="0.25">
      <c r="A3260" t="s">
        <v>12</v>
      </c>
      <c r="B3260" t="s">
        <v>297</v>
      </c>
      <c r="C3260" t="s">
        <v>3491</v>
      </c>
      <c r="D3260" t="s">
        <v>3492</v>
      </c>
      <c r="E3260" t="s">
        <v>3363</v>
      </c>
      <c r="F3260" s="20">
        <v>57300</v>
      </c>
      <c r="I3260" s="11">
        <f t="shared" si="132"/>
        <v>45464</v>
      </c>
      <c r="J3260" s="12">
        <f t="shared" si="133"/>
        <v>10</v>
      </c>
      <c r="K3260" t="str">
        <f t="shared" si="131"/>
        <v>0-30</v>
      </c>
      <c r="L3260" s="11">
        <v>45474</v>
      </c>
      <c r="M3260" s="23">
        <f>YEAR(Таблица1[[#This Row],[Дата отчета]])</f>
        <v>2024</v>
      </c>
    </row>
    <row r="3261" spans="1:14" x14ac:dyDescent="0.25">
      <c r="A3261" t="s">
        <v>12</v>
      </c>
      <c r="B3261" t="s">
        <v>297</v>
      </c>
      <c r="C3261" t="s">
        <v>3493</v>
      </c>
      <c r="D3261" t="s">
        <v>3494</v>
      </c>
      <c r="E3261" t="s">
        <v>300</v>
      </c>
      <c r="F3261" s="20">
        <v>11197</v>
      </c>
      <c r="I3261" s="11">
        <f t="shared" si="132"/>
        <v>45449</v>
      </c>
      <c r="J3261" s="12">
        <f t="shared" si="133"/>
        <v>25</v>
      </c>
      <c r="K3261" t="str">
        <f t="shared" si="131"/>
        <v>0-30</v>
      </c>
      <c r="L3261" s="11">
        <v>45474</v>
      </c>
      <c r="M3261" s="23">
        <f>YEAR(Таблица1[[#This Row],[Дата отчета]])</f>
        <v>2024</v>
      </c>
    </row>
    <row r="3262" spans="1:14" x14ac:dyDescent="0.25">
      <c r="A3262" t="s">
        <v>12</v>
      </c>
      <c r="B3262" t="s">
        <v>297</v>
      </c>
      <c r="C3262" t="s">
        <v>3495</v>
      </c>
      <c r="D3262" t="s">
        <v>3496</v>
      </c>
      <c r="E3262" t="s">
        <v>1798</v>
      </c>
      <c r="F3262" s="20">
        <v>30332</v>
      </c>
      <c r="I3262" s="11">
        <f t="shared" si="132"/>
        <v>45470</v>
      </c>
      <c r="J3262" s="12">
        <f t="shared" si="133"/>
        <v>4</v>
      </c>
      <c r="K3262" t="str">
        <f t="shared" si="131"/>
        <v>0-30</v>
      </c>
      <c r="L3262" s="11">
        <v>45474</v>
      </c>
      <c r="M3262" s="23">
        <f>YEAR(Таблица1[[#This Row],[Дата отчета]])</f>
        <v>2024</v>
      </c>
    </row>
    <row r="3263" spans="1:14" x14ac:dyDescent="0.25">
      <c r="A3263" t="s">
        <v>12</v>
      </c>
      <c r="B3263" t="s">
        <v>297</v>
      </c>
      <c r="C3263" t="s">
        <v>298</v>
      </c>
      <c r="D3263" t="s">
        <v>299</v>
      </c>
      <c r="E3263" t="s">
        <v>300</v>
      </c>
      <c r="F3263" s="20">
        <v>5955</v>
      </c>
      <c r="I3263" s="11">
        <f t="shared" si="132"/>
        <v>45449</v>
      </c>
      <c r="J3263" s="12">
        <f t="shared" si="133"/>
        <v>25</v>
      </c>
      <c r="K3263" t="str">
        <f t="shared" ref="K3263:K3326" si="134">IF(J3263&lt;=30,"0-30",IF(J3263&lt;=90,"31-90",IF(J3263&lt;=120,"91-120",IF(J3263&lt;=180,"121-180",IF(J3263&lt;=270,"181-270",IF(J3263&lt;=360,"271-360","&gt;360"))))))</f>
        <v>0-30</v>
      </c>
      <c r="L3263" s="11">
        <v>45474</v>
      </c>
      <c r="M3263" s="23">
        <f>YEAR(Таблица1[[#This Row],[Дата отчета]])</f>
        <v>2024</v>
      </c>
      <c r="N3263" s="7" t="s">
        <v>4547</v>
      </c>
    </row>
    <row r="3264" spans="1:14" x14ac:dyDescent="0.25">
      <c r="A3264" t="s">
        <v>12</v>
      </c>
      <c r="B3264" t="s">
        <v>297</v>
      </c>
      <c r="C3264" t="s">
        <v>3497</v>
      </c>
      <c r="D3264" t="s">
        <v>3498</v>
      </c>
      <c r="E3264" t="s">
        <v>3360</v>
      </c>
      <c r="F3264" s="20">
        <v>6255</v>
      </c>
      <c r="I3264" s="11">
        <f t="shared" si="132"/>
        <v>45460</v>
      </c>
      <c r="J3264" s="12">
        <f t="shared" si="133"/>
        <v>14</v>
      </c>
      <c r="K3264" t="str">
        <f t="shared" si="134"/>
        <v>0-30</v>
      </c>
      <c r="L3264" s="11">
        <v>45474</v>
      </c>
      <c r="M3264" s="23">
        <f>YEAR(Таблица1[[#This Row],[Дата отчета]])</f>
        <v>2024</v>
      </c>
    </row>
    <row r="3265" spans="1:13" x14ac:dyDescent="0.25">
      <c r="A3265" t="s">
        <v>12</v>
      </c>
      <c r="B3265" t="s">
        <v>297</v>
      </c>
      <c r="C3265" t="s">
        <v>3499</v>
      </c>
      <c r="D3265" t="s">
        <v>3500</v>
      </c>
      <c r="E3265" t="s">
        <v>189</v>
      </c>
      <c r="F3265" s="20">
        <v>8083</v>
      </c>
      <c r="I3265" s="11">
        <f t="shared" si="132"/>
        <v>45471</v>
      </c>
      <c r="J3265" s="12">
        <f t="shared" si="133"/>
        <v>3</v>
      </c>
      <c r="K3265" t="str">
        <f t="shared" si="134"/>
        <v>0-30</v>
      </c>
      <c r="L3265" s="11">
        <v>45474</v>
      </c>
      <c r="M3265" s="23">
        <f>YEAR(Таблица1[[#This Row],[Дата отчета]])</f>
        <v>2024</v>
      </c>
    </row>
    <row r="3266" spans="1:13" x14ac:dyDescent="0.25">
      <c r="A3266" t="s">
        <v>12</v>
      </c>
      <c r="B3266" t="s">
        <v>297</v>
      </c>
      <c r="C3266" t="s">
        <v>3501</v>
      </c>
      <c r="D3266" t="s">
        <v>3502</v>
      </c>
      <c r="E3266" t="s">
        <v>3073</v>
      </c>
      <c r="F3266" s="20">
        <v>3878</v>
      </c>
      <c r="I3266" s="11">
        <f t="shared" si="132"/>
        <v>45446</v>
      </c>
      <c r="J3266" s="12">
        <f t="shared" si="133"/>
        <v>28</v>
      </c>
      <c r="K3266" t="str">
        <f t="shared" si="134"/>
        <v>0-30</v>
      </c>
      <c r="L3266" s="11">
        <v>45474</v>
      </c>
      <c r="M3266" s="23">
        <f>YEAR(Таблица1[[#This Row],[Дата отчета]])</f>
        <v>2024</v>
      </c>
    </row>
    <row r="3267" spans="1:13" x14ac:dyDescent="0.25">
      <c r="A3267" t="s">
        <v>12</v>
      </c>
      <c r="B3267" t="s">
        <v>297</v>
      </c>
      <c r="C3267" t="s">
        <v>3503</v>
      </c>
      <c r="D3267" t="s">
        <v>3504</v>
      </c>
      <c r="E3267" t="s">
        <v>3360</v>
      </c>
      <c r="F3267" s="20">
        <v>95914</v>
      </c>
      <c r="I3267" s="11">
        <f t="shared" si="132"/>
        <v>45460</v>
      </c>
      <c r="J3267" s="12">
        <f t="shared" si="133"/>
        <v>14</v>
      </c>
      <c r="K3267" t="str">
        <f t="shared" si="134"/>
        <v>0-30</v>
      </c>
      <c r="L3267" s="11">
        <v>45474</v>
      </c>
      <c r="M3267" s="23">
        <f>YEAR(Таблица1[[#This Row],[Дата отчета]])</f>
        <v>2024</v>
      </c>
    </row>
    <row r="3268" spans="1:13" x14ac:dyDescent="0.25">
      <c r="A3268" t="s">
        <v>12</v>
      </c>
      <c r="B3268" t="s">
        <v>297</v>
      </c>
      <c r="C3268" t="s">
        <v>3505</v>
      </c>
      <c r="D3268" t="s">
        <v>3506</v>
      </c>
      <c r="E3268" t="s">
        <v>3085</v>
      </c>
      <c r="F3268" s="20">
        <v>42562</v>
      </c>
      <c r="I3268" s="11">
        <f t="shared" si="132"/>
        <v>45432</v>
      </c>
      <c r="J3268" s="12">
        <f t="shared" si="133"/>
        <v>42</v>
      </c>
      <c r="K3268" t="str">
        <f t="shared" si="134"/>
        <v>31-90</v>
      </c>
      <c r="L3268" s="11">
        <v>45474</v>
      </c>
      <c r="M3268" s="23">
        <f>YEAR(Таблица1[[#This Row],[Дата отчета]])</f>
        <v>2024</v>
      </c>
    </row>
    <row r="3269" spans="1:13" x14ac:dyDescent="0.25">
      <c r="A3269" t="s">
        <v>12</v>
      </c>
      <c r="B3269" t="s">
        <v>297</v>
      </c>
      <c r="C3269" t="s">
        <v>3507</v>
      </c>
      <c r="D3269" t="s">
        <v>3508</v>
      </c>
      <c r="E3269" t="s">
        <v>300</v>
      </c>
      <c r="F3269" s="20">
        <v>54343</v>
      </c>
      <c r="I3269" s="11">
        <f t="shared" si="132"/>
        <v>45449</v>
      </c>
      <c r="J3269" s="12">
        <f t="shared" si="133"/>
        <v>25</v>
      </c>
      <c r="K3269" t="str">
        <f t="shared" si="134"/>
        <v>0-30</v>
      </c>
      <c r="L3269" s="11">
        <v>45474</v>
      </c>
      <c r="M3269" s="23">
        <f>YEAR(Таблица1[[#This Row],[Дата отчета]])</f>
        <v>2024</v>
      </c>
    </row>
    <row r="3270" spans="1:13" x14ac:dyDescent="0.25">
      <c r="A3270" t="s">
        <v>12</v>
      </c>
      <c r="B3270" t="s">
        <v>297</v>
      </c>
      <c r="C3270" t="s">
        <v>3509</v>
      </c>
      <c r="D3270" t="s">
        <v>3510</v>
      </c>
      <c r="E3270" t="s">
        <v>3413</v>
      </c>
      <c r="F3270" s="20">
        <v>2260</v>
      </c>
      <c r="I3270" s="11">
        <f t="shared" si="132"/>
        <v>45469</v>
      </c>
      <c r="J3270" s="12">
        <f t="shared" si="133"/>
        <v>5</v>
      </c>
      <c r="K3270" t="str">
        <f t="shared" si="134"/>
        <v>0-30</v>
      </c>
      <c r="L3270" s="11">
        <v>45474</v>
      </c>
      <c r="M3270" s="23">
        <f>YEAR(Таблица1[[#This Row],[Дата отчета]])</f>
        <v>2024</v>
      </c>
    </row>
    <row r="3271" spans="1:13" x14ac:dyDescent="0.25">
      <c r="A3271" t="s">
        <v>12</v>
      </c>
      <c r="B3271" t="s">
        <v>378</v>
      </c>
      <c r="C3271" t="s">
        <v>3511</v>
      </c>
      <c r="D3271" t="s">
        <v>3512</v>
      </c>
      <c r="E3271" t="s">
        <v>3248</v>
      </c>
      <c r="F3271" s="20">
        <v>500000</v>
      </c>
      <c r="I3271" s="11">
        <f t="shared" si="132"/>
        <v>45404</v>
      </c>
      <c r="J3271" s="12">
        <f t="shared" si="133"/>
        <v>70</v>
      </c>
      <c r="K3271" t="str">
        <f t="shared" si="134"/>
        <v>31-90</v>
      </c>
      <c r="L3271" s="11">
        <v>45474</v>
      </c>
      <c r="M3271" s="23">
        <f>YEAR(Таблица1[[#This Row],[Дата отчета]])</f>
        <v>2024</v>
      </c>
    </row>
    <row r="3272" spans="1:13" x14ac:dyDescent="0.25">
      <c r="A3272" t="s">
        <v>12</v>
      </c>
      <c r="B3272" t="s">
        <v>378</v>
      </c>
      <c r="C3272" t="s">
        <v>3141</v>
      </c>
      <c r="D3272" t="s">
        <v>3513</v>
      </c>
      <c r="E3272" t="s">
        <v>3363</v>
      </c>
      <c r="F3272" s="20">
        <v>468775.8</v>
      </c>
      <c r="I3272" s="11">
        <f t="shared" si="132"/>
        <v>45464</v>
      </c>
      <c r="J3272" s="12">
        <f t="shared" si="133"/>
        <v>10</v>
      </c>
      <c r="K3272" t="str">
        <f t="shared" si="134"/>
        <v>0-30</v>
      </c>
      <c r="L3272" s="11">
        <v>45474</v>
      </c>
      <c r="M3272" s="23">
        <f>YEAR(Таблица1[[#This Row],[Дата отчета]])</f>
        <v>2024</v>
      </c>
    </row>
    <row r="3273" spans="1:13" x14ac:dyDescent="0.25">
      <c r="A3273" t="s">
        <v>12</v>
      </c>
      <c r="B3273" t="s">
        <v>383</v>
      </c>
      <c r="C3273" t="s">
        <v>3514</v>
      </c>
      <c r="D3273" t="s">
        <v>3515</v>
      </c>
      <c r="E3273" t="s">
        <v>3386</v>
      </c>
      <c r="F3273" s="20">
        <v>8599</v>
      </c>
      <c r="I3273" s="11">
        <f t="shared" si="132"/>
        <v>45447</v>
      </c>
      <c r="J3273" s="12">
        <f t="shared" si="133"/>
        <v>27</v>
      </c>
      <c r="K3273" t="str">
        <f t="shared" si="134"/>
        <v>0-30</v>
      </c>
      <c r="L3273" s="11">
        <v>45474</v>
      </c>
      <c r="M3273" s="23">
        <f>YEAR(Таблица1[[#This Row],[Дата отчета]])</f>
        <v>2024</v>
      </c>
    </row>
    <row r="3274" spans="1:13" x14ac:dyDescent="0.25">
      <c r="A3274" t="s">
        <v>12</v>
      </c>
      <c r="B3274" t="s">
        <v>2916</v>
      </c>
      <c r="C3274" t="s">
        <v>3143</v>
      </c>
      <c r="D3274" t="s">
        <v>3144</v>
      </c>
      <c r="E3274" t="s">
        <v>3132</v>
      </c>
      <c r="F3274" s="20">
        <v>29399</v>
      </c>
      <c r="I3274" s="11">
        <f t="shared" si="132"/>
        <v>45415</v>
      </c>
      <c r="J3274" s="12">
        <f t="shared" si="133"/>
        <v>59</v>
      </c>
      <c r="K3274" t="str">
        <f t="shared" si="134"/>
        <v>31-90</v>
      </c>
      <c r="L3274" s="11">
        <v>45474</v>
      </c>
      <c r="M3274" s="23">
        <f>YEAR(Таблица1[[#This Row],[Дата отчета]])</f>
        <v>2024</v>
      </c>
    </row>
    <row r="3275" spans="1:13" x14ac:dyDescent="0.25">
      <c r="A3275" t="s">
        <v>12</v>
      </c>
      <c r="B3275" t="s">
        <v>2916</v>
      </c>
      <c r="C3275" t="s">
        <v>2917</v>
      </c>
      <c r="D3275" t="s">
        <v>2918</v>
      </c>
      <c r="E3275" t="s">
        <v>2919</v>
      </c>
      <c r="F3275" s="20">
        <v>2999</v>
      </c>
      <c r="I3275" s="11">
        <f t="shared" si="132"/>
        <v>45426</v>
      </c>
      <c r="J3275" s="12">
        <f t="shared" si="133"/>
        <v>48</v>
      </c>
      <c r="K3275" t="str">
        <f t="shared" si="134"/>
        <v>31-90</v>
      </c>
      <c r="L3275" s="11">
        <v>45474</v>
      </c>
      <c r="M3275" s="23">
        <f>YEAR(Таблица1[[#This Row],[Дата отчета]])</f>
        <v>2024</v>
      </c>
    </row>
    <row r="3276" spans="1:13" x14ac:dyDescent="0.25">
      <c r="A3276" t="s">
        <v>12</v>
      </c>
      <c r="B3276" t="s">
        <v>3147</v>
      </c>
      <c r="C3276" t="s">
        <v>3148</v>
      </c>
      <c r="D3276" t="s">
        <v>3149</v>
      </c>
      <c r="E3276" t="s">
        <v>3150</v>
      </c>
      <c r="F3276" s="20">
        <v>127.61</v>
      </c>
      <c r="I3276" s="11">
        <f t="shared" si="132"/>
        <v>45182</v>
      </c>
      <c r="J3276" s="12">
        <f t="shared" si="133"/>
        <v>292</v>
      </c>
      <c r="K3276" t="str">
        <f t="shared" si="134"/>
        <v>271-360</v>
      </c>
      <c r="L3276" s="11">
        <v>45474</v>
      </c>
      <c r="M3276" s="23">
        <f>YEAR(Таблица1[[#This Row],[Дата отчета]])</f>
        <v>2024</v>
      </c>
    </row>
    <row r="3277" spans="1:13" x14ac:dyDescent="0.25">
      <c r="A3277" t="s">
        <v>12</v>
      </c>
      <c r="B3277" t="s">
        <v>3151</v>
      </c>
      <c r="C3277" t="s">
        <v>269</v>
      </c>
      <c r="D3277" t="s">
        <v>3152</v>
      </c>
      <c r="E3277" t="s">
        <v>3153</v>
      </c>
      <c r="F3277" s="20">
        <v>7800</v>
      </c>
      <c r="I3277" s="11">
        <f t="shared" si="132"/>
        <v>45357</v>
      </c>
      <c r="J3277" s="12">
        <f t="shared" si="133"/>
        <v>117</v>
      </c>
      <c r="K3277" t="str">
        <f t="shared" si="134"/>
        <v>91-120</v>
      </c>
      <c r="L3277" s="11">
        <v>45474</v>
      </c>
      <c r="M3277" s="23">
        <f>YEAR(Таблица1[[#This Row],[Дата отчета]])</f>
        <v>2024</v>
      </c>
    </row>
    <row r="3278" spans="1:13" x14ac:dyDescent="0.25">
      <c r="A3278" t="s">
        <v>12</v>
      </c>
      <c r="B3278" t="s">
        <v>399</v>
      </c>
      <c r="C3278" t="s">
        <v>3516</v>
      </c>
      <c r="D3278" t="s">
        <v>3517</v>
      </c>
      <c r="E3278" t="s">
        <v>2450</v>
      </c>
      <c r="F3278" s="20">
        <v>132597.98000000001</v>
      </c>
      <c r="I3278" s="11">
        <f t="shared" si="132"/>
        <v>45427</v>
      </c>
      <c r="J3278" s="12">
        <f t="shared" si="133"/>
        <v>47</v>
      </c>
      <c r="K3278" t="str">
        <f t="shared" si="134"/>
        <v>31-90</v>
      </c>
      <c r="L3278" s="11">
        <v>45474</v>
      </c>
      <c r="M3278" s="23">
        <f>YEAR(Таблица1[[#This Row],[Дата отчета]])</f>
        <v>2024</v>
      </c>
    </row>
    <row r="3279" spans="1:13" x14ac:dyDescent="0.25">
      <c r="A3279" t="s">
        <v>12</v>
      </c>
      <c r="B3279" t="s">
        <v>399</v>
      </c>
      <c r="C3279" t="s">
        <v>3516</v>
      </c>
      <c r="D3279" t="s">
        <v>3518</v>
      </c>
      <c r="E3279" t="s">
        <v>3073</v>
      </c>
      <c r="F3279" s="20">
        <v>1201781.8400000001</v>
      </c>
      <c r="I3279" s="11">
        <f t="shared" si="132"/>
        <v>45446</v>
      </c>
      <c r="J3279" s="12">
        <f t="shared" si="133"/>
        <v>28</v>
      </c>
      <c r="K3279" t="str">
        <f t="shared" si="134"/>
        <v>0-30</v>
      </c>
      <c r="L3279" s="11">
        <v>45474</v>
      </c>
      <c r="M3279" s="23">
        <f>YEAR(Таблица1[[#This Row],[Дата отчета]])</f>
        <v>2024</v>
      </c>
    </row>
    <row r="3280" spans="1:13" x14ac:dyDescent="0.25">
      <c r="A3280" t="s">
        <v>12</v>
      </c>
      <c r="B3280" t="s">
        <v>1427</v>
      </c>
      <c r="C3280" t="s">
        <v>269</v>
      </c>
      <c r="D3280" t="s">
        <v>3456</v>
      </c>
      <c r="E3280" t="s">
        <v>3085</v>
      </c>
      <c r="F3280" s="20">
        <v>7500</v>
      </c>
      <c r="I3280" s="11">
        <f t="shared" si="132"/>
        <v>45432</v>
      </c>
      <c r="J3280" s="12">
        <f t="shared" si="133"/>
        <v>42</v>
      </c>
      <c r="K3280" t="str">
        <f t="shared" si="134"/>
        <v>31-90</v>
      </c>
      <c r="L3280" s="11">
        <v>45474</v>
      </c>
      <c r="M3280" s="23">
        <f>YEAR(Таблица1[[#This Row],[Дата отчета]])</f>
        <v>2024</v>
      </c>
    </row>
    <row r="3281" spans="1:14" x14ac:dyDescent="0.25">
      <c r="A3281" t="s">
        <v>12</v>
      </c>
      <c r="B3281" t="s">
        <v>1428</v>
      </c>
      <c r="C3281" t="s">
        <v>1429</v>
      </c>
      <c r="D3281" t="s">
        <v>1430</v>
      </c>
      <c r="E3281" t="s">
        <v>1782</v>
      </c>
      <c r="F3281" s="20">
        <v>1000</v>
      </c>
      <c r="I3281" s="11">
        <f t="shared" si="132"/>
        <v>45450</v>
      </c>
      <c r="J3281" s="12">
        <f t="shared" si="133"/>
        <v>24</v>
      </c>
      <c r="K3281" t="str">
        <f t="shared" si="134"/>
        <v>0-30</v>
      </c>
      <c r="L3281" s="11">
        <v>45474</v>
      </c>
      <c r="M3281" s="23">
        <f>YEAR(Таблица1[[#This Row],[Дата отчета]])</f>
        <v>2024</v>
      </c>
    </row>
    <row r="3282" spans="1:14" x14ac:dyDescent="0.25">
      <c r="A3282" t="s">
        <v>12</v>
      </c>
      <c r="B3282" t="s">
        <v>1434</v>
      </c>
      <c r="C3282" t="s">
        <v>1435</v>
      </c>
      <c r="D3282" t="s">
        <v>1436</v>
      </c>
      <c r="E3282" t="s">
        <v>1784</v>
      </c>
      <c r="F3282" s="20">
        <v>4583.33</v>
      </c>
      <c r="I3282" s="11">
        <f t="shared" si="132"/>
        <v>44600</v>
      </c>
      <c r="J3282" s="12">
        <f t="shared" si="133"/>
        <v>874</v>
      </c>
      <c r="K3282" t="str">
        <f t="shared" si="134"/>
        <v>&gt;360</v>
      </c>
      <c r="L3282" s="11">
        <v>45474</v>
      </c>
      <c r="M3282" s="23">
        <f>YEAR(Таблица1[[#This Row],[Дата отчета]])</f>
        <v>2024</v>
      </c>
      <c r="N3282" s="2" t="s">
        <v>807</v>
      </c>
    </row>
    <row r="3283" spans="1:14" x14ac:dyDescent="0.25">
      <c r="A3283" t="s">
        <v>12</v>
      </c>
      <c r="B3283" t="s">
        <v>3519</v>
      </c>
      <c r="C3283" t="s">
        <v>3520</v>
      </c>
      <c r="D3283" t="s">
        <v>3521</v>
      </c>
      <c r="E3283" t="s">
        <v>189</v>
      </c>
      <c r="F3283" s="20">
        <v>35000</v>
      </c>
      <c r="I3283" s="11">
        <f t="shared" si="132"/>
        <v>45471</v>
      </c>
      <c r="J3283" s="12">
        <f t="shared" si="133"/>
        <v>3</v>
      </c>
      <c r="K3283" t="str">
        <f t="shared" si="134"/>
        <v>0-30</v>
      </c>
      <c r="L3283" s="11">
        <v>45474</v>
      </c>
      <c r="M3283" s="23">
        <f>YEAR(Таблица1[[#This Row],[Дата отчета]])</f>
        <v>2024</v>
      </c>
    </row>
    <row r="3284" spans="1:14" x14ac:dyDescent="0.25">
      <c r="A3284" t="s">
        <v>12</v>
      </c>
      <c r="B3284" t="s">
        <v>402</v>
      </c>
      <c r="C3284" t="s">
        <v>403</v>
      </c>
      <c r="D3284" t="s">
        <v>404</v>
      </c>
      <c r="E3284" t="s">
        <v>405</v>
      </c>
      <c r="F3284" s="20">
        <v>14913.96</v>
      </c>
      <c r="I3284" s="11">
        <f t="shared" si="132"/>
        <v>44773</v>
      </c>
      <c r="J3284" s="12">
        <f t="shared" si="133"/>
        <v>701</v>
      </c>
      <c r="K3284" t="str">
        <f t="shared" si="134"/>
        <v>&gt;360</v>
      </c>
      <c r="L3284" s="11">
        <v>45474</v>
      </c>
      <c r="M3284" s="23">
        <f>YEAR(Таблица1[[#This Row],[Дата отчета]])</f>
        <v>2024</v>
      </c>
    </row>
    <row r="3285" spans="1:14" x14ac:dyDescent="0.25">
      <c r="A3285" t="s">
        <v>12</v>
      </c>
      <c r="B3285" t="s">
        <v>402</v>
      </c>
      <c r="C3285" t="s">
        <v>3157</v>
      </c>
      <c r="D3285" t="s">
        <v>3522</v>
      </c>
      <c r="E3285" t="s">
        <v>3132</v>
      </c>
      <c r="F3285" s="20">
        <v>620985.06999999995</v>
      </c>
      <c r="I3285" s="11">
        <f t="shared" si="132"/>
        <v>45415</v>
      </c>
      <c r="J3285" s="12">
        <f t="shared" si="133"/>
        <v>59</v>
      </c>
      <c r="K3285" t="str">
        <f t="shared" si="134"/>
        <v>31-90</v>
      </c>
      <c r="L3285" s="11">
        <v>45474</v>
      </c>
      <c r="M3285" s="23">
        <f>YEAR(Таблица1[[#This Row],[Дата отчета]])</f>
        <v>2024</v>
      </c>
    </row>
    <row r="3286" spans="1:14" x14ac:dyDescent="0.25">
      <c r="A3286" t="s">
        <v>12</v>
      </c>
      <c r="B3286" t="s">
        <v>402</v>
      </c>
      <c r="C3286" t="s">
        <v>3157</v>
      </c>
      <c r="D3286" t="s">
        <v>3523</v>
      </c>
      <c r="E3286" t="s">
        <v>3234</v>
      </c>
      <c r="F3286" s="20">
        <v>393204.93</v>
      </c>
      <c r="I3286" s="11">
        <f t="shared" si="132"/>
        <v>45419</v>
      </c>
      <c r="J3286" s="12">
        <f t="shared" si="133"/>
        <v>55</v>
      </c>
      <c r="K3286" t="str">
        <f t="shared" si="134"/>
        <v>31-90</v>
      </c>
      <c r="L3286" s="11">
        <v>45474</v>
      </c>
      <c r="M3286" s="23">
        <f>YEAR(Таблица1[[#This Row],[Дата отчета]])</f>
        <v>2024</v>
      </c>
    </row>
    <row r="3287" spans="1:14" x14ac:dyDescent="0.25">
      <c r="A3287" t="s">
        <v>12</v>
      </c>
      <c r="B3287" t="s">
        <v>1469</v>
      </c>
      <c r="C3287" t="s">
        <v>3524</v>
      </c>
      <c r="D3287" t="s">
        <v>3525</v>
      </c>
      <c r="E3287" t="s">
        <v>1785</v>
      </c>
      <c r="F3287" s="20">
        <v>2510000</v>
      </c>
      <c r="I3287" s="11">
        <f t="shared" ref="I3287:I3350" si="135">E3287*1</f>
        <v>45448</v>
      </c>
      <c r="J3287" s="12">
        <f t="shared" ref="J3287:J3350" si="136">L3287-I3287</f>
        <v>26</v>
      </c>
      <c r="K3287" t="str">
        <f t="shared" si="134"/>
        <v>0-30</v>
      </c>
      <c r="L3287" s="11">
        <v>45474</v>
      </c>
      <c r="M3287" s="23">
        <f>YEAR(Таблица1[[#This Row],[Дата отчета]])</f>
        <v>2024</v>
      </c>
    </row>
    <row r="3288" spans="1:14" x14ac:dyDescent="0.25">
      <c r="A3288" t="s">
        <v>12</v>
      </c>
      <c r="B3288" t="s">
        <v>1469</v>
      </c>
      <c r="C3288" t="s">
        <v>3524</v>
      </c>
      <c r="D3288" t="s">
        <v>3526</v>
      </c>
      <c r="E3288" t="s">
        <v>300</v>
      </c>
      <c r="F3288" s="20">
        <v>510000</v>
      </c>
      <c r="I3288" s="11">
        <f t="shared" si="135"/>
        <v>45449</v>
      </c>
      <c r="J3288" s="12">
        <f t="shared" si="136"/>
        <v>25</v>
      </c>
      <c r="K3288" t="str">
        <f t="shared" si="134"/>
        <v>0-30</v>
      </c>
      <c r="L3288" s="11">
        <v>45474</v>
      </c>
      <c r="M3288" s="23">
        <f>YEAR(Таблица1[[#This Row],[Дата отчета]])</f>
        <v>2024</v>
      </c>
    </row>
    <row r="3289" spans="1:14" x14ac:dyDescent="0.25">
      <c r="A3289" t="s">
        <v>12</v>
      </c>
      <c r="B3289" t="s">
        <v>1469</v>
      </c>
      <c r="C3289" t="s">
        <v>1470</v>
      </c>
      <c r="D3289" t="s">
        <v>1471</v>
      </c>
      <c r="E3289" t="s">
        <v>1785</v>
      </c>
      <c r="F3289" s="20">
        <v>2988000</v>
      </c>
      <c r="I3289" s="11">
        <f t="shared" si="135"/>
        <v>45448</v>
      </c>
      <c r="J3289" s="12">
        <f t="shared" si="136"/>
        <v>26</v>
      </c>
      <c r="K3289" t="str">
        <f t="shared" si="134"/>
        <v>0-30</v>
      </c>
      <c r="L3289" s="11">
        <v>45474</v>
      </c>
      <c r="M3289" s="23">
        <f>YEAR(Таблица1[[#This Row],[Дата отчета]])</f>
        <v>2024</v>
      </c>
      <c r="N3289" s="7" t="s">
        <v>4536</v>
      </c>
    </row>
    <row r="3290" spans="1:14" x14ac:dyDescent="0.25">
      <c r="A3290" t="s">
        <v>12</v>
      </c>
      <c r="B3290" t="s">
        <v>1469</v>
      </c>
      <c r="C3290" t="s">
        <v>3527</v>
      </c>
      <c r="D3290" t="s">
        <v>3528</v>
      </c>
      <c r="E3290" t="s">
        <v>3529</v>
      </c>
      <c r="F3290" s="20">
        <v>10500000</v>
      </c>
      <c r="I3290" s="11">
        <f t="shared" si="135"/>
        <v>45246</v>
      </c>
      <c r="J3290" s="12">
        <f t="shared" si="136"/>
        <v>228</v>
      </c>
      <c r="K3290" t="str">
        <f t="shared" si="134"/>
        <v>181-270</v>
      </c>
      <c r="L3290" s="11">
        <v>45474</v>
      </c>
      <c r="M3290" s="23">
        <f>YEAR(Таблица1[[#This Row],[Дата отчета]])</f>
        <v>2024</v>
      </c>
    </row>
    <row r="3291" spans="1:14" x14ac:dyDescent="0.25">
      <c r="A3291" t="s">
        <v>12</v>
      </c>
      <c r="B3291" t="s">
        <v>1469</v>
      </c>
      <c r="C3291" t="s">
        <v>1472</v>
      </c>
      <c r="D3291" t="s">
        <v>1473</v>
      </c>
      <c r="E3291" t="s">
        <v>1258</v>
      </c>
      <c r="F3291" s="20">
        <v>442208.48</v>
      </c>
      <c r="I3291" s="11">
        <f t="shared" si="135"/>
        <v>45288</v>
      </c>
      <c r="J3291" s="12">
        <f t="shared" si="136"/>
        <v>186</v>
      </c>
      <c r="K3291" t="str">
        <f t="shared" si="134"/>
        <v>181-270</v>
      </c>
      <c r="L3291" s="11">
        <v>45474</v>
      </c>
      <c r="M3291" s="23">
        <f>YEAR(Таблица1[[#This Row],[Дата отчета]])</f>
        <v>2024</v>
      </c>
    </row>
    <row r="3292" spans="1:14" x14ac:dyDescent="0.25">
      <c r="A3292" t="s">
        <v>12</v>
      </c>
      <c r="B3292" t="s">
        <v>1469</v>
      </c>
      <c r="C3292" t="s">
        <v>3530</v>
      </c>
      <c r="D3292" t="s">
        <v>3531</v>
      </c>
      <c r="E3292" t="s">
        <v>192</v>
      </c>
      <c r="F3292" s="20">
        <v>35000</v>
      </c>
      <c r="I3292" s="11">
        <f t="shared" si="135"/>
        <v>45467</v>
      </c>
      <c r="J3292" s="12">
        <f t="shared" si="136"/>
        <v>7</v>
      </c>
      <c r="K3292" t="str">
        <f t="shared" si="134"/>
        <v>0-30</v>
      </c>
      <c r="L3292" s="11">
        <v>45474</v>
      </c>
      <c r="M3292" s="23">
        <f>YEAR(Таблица1[[#This Row],[Дата отчета]])</f>
        <v>2024</v>
      </c>
    </row>
    <row r="3293" spans="1:14" x14ac:dyDescent="0.25">
      <c r="A3293" t="s">
        <v>12</v>
      </c>
      <c r="B3293" t="s">
        <v>434</v>
      </c>
      <c r="C3293" t="s">
        <v>3532</v>
      </c>
      <c r="D3293" t="s">
        <v>3533</v>
      </c>
      <c r="E3293" t="s">
        <v>1782</v>
      </c>
      <c r="F3293" s="20">
        <v>78500</v>
      </c>
      <c r="I3293" s="11">
        <f t="shared" si="135"/>
        <v>45450</v>
      </c>
      <c r="J3293" s="12">
        <f t="shared" si="136"/>
        <v>24</v>
      </c>
      <c r="K3293" t="str">
        <f t="shared" si="134"/>
        <v>0-30</v>
      </c>
      <c r="L3293" s="11">
        <v>45474</v>
      </c>
      <c r="M3293" s="23">
        <f>YEAR(Таблица1[[#This Row],[Дата отчета]])</f>
        <v>2024</v>
      </c>
    </row>
    <row r="3294" spans="1:14" x14ac:dyDescent="0.25">
      <c r="A3294" t="s">
        <v>12</v>
      </c>
      <c r="B3294" t="s">
        <v>441</v>
      </c>
      <c r="C3294" t="s">
        <v>3534</v>
      </c>
      <c r="D3294" t="s">
        <v>3535</v>
      </c>
      <c r="E3294" t="s">
        <v>3536</v>
      </c>
      <c r="F3294" s="20">
        <v>48315.9</v>
      </c>
      <c r="I3294" s="11">
        <f t="shared" si="135"/>
        <v>45386</v>
      </c>
      <c r="J3294" s="12">
        <f t="shared" si="136"/>
        <v>88</v>
      </c>
      <c r="K3294" t="str">
        <f t="shared" si="134"/>
        <v>31-90</v>
      </c>
      <c r="L3294" s="11">
        <v>45474</v>
      </c>
      <c r="M3294" s="23">
        <f>YEAR(Таблица1[[#This Row],[Дата отчета]])</f>
        <v>2024</v>
      </c>
    </row>
    <row r="3295" spans="1:14" x14ac:dyDescent="0.25">
      <c r="A3295" t="s">
        <v>12</v>
      </c>
      <c r="B3295" t="s">
        <v>441</v>
      </c>
      <c r="C3295" t="s">
        <v>3537</v>
      </c>
      <c r="D3295" t="s">
        <v>3538</v>
      </c>
      <c r="E3295" t="s">
        <v>3539</v>
      </c>
      <c r="F3295" s="20">
        <v>1064</v>
      </c>
      <c r="I3295" s="11">
        <f t="shared" si="135"/>
        <v>45406</v>
      </c>
      <c r="J3295" s="12">
        <f t="shared" si="136"/>
        <v>68</v>
      </c>
      <c r="K3295" t="str">
        <f t="shared" si="134"/>
        <v>31-90</v>
      </c>
      <c r="L3295" s="11">
        <v>45474</v>
      </c>
      <c r="M3295" s="23">
        <f>YEAR(Таблица1[[#This Row],[Дата отчета]])</f>
        <v>2024</v>
      </c>
    </row>
    <row r="3296" spans="1:14" x14ac:dyDescent="0.25">
      <c r="A3296" t="s">
        <v>12</v>
      </c>
      <c r="B3296" t="s">
        <v>3165</v>
      </c>
      <c r="C3296" t="s">
        <v>3166</v>
      </c>
      <c r="D3296" t="s">
        <v>3167</v>
      </c>
      <c r="E3296" t="s">
        <v>3168</v>
      </c>
      <c r="F3296" s="20">
        <v>340.4</v>
      </c>
      <c r="I3296" s="11">
        <f t="shared" si="135"/>
        <v>44371</v>
      </c>
      <c r="J3296" s="12">
        <f t="shared" si="136"/>
        <v>1103</v>
      </c>
      <c r="K3296" t="str">
        <f t="shared" si="134"/>
        <v>&gt;360</v>
      </c>
      <c r="L3296" s="11">
        <v>45474</v>
      </c>
      <c r="M3296" s="23">
        <f>YEAR(Таблица1[[#This Row],[Дата отчета]])</f>
        <v>2024</v>
      </c>
    </row>
    <row r="3297" spans="1:13" x14ac:dyDescent="0.25">
      <c r="A3297" t="s">
        <v>12</v>
      </c>
      <c r="B3297" t="s">
        <v>456</v>
      </c>
      <c r="C3297" t="s">
        <v>457</v>
      </c>
      <c r="D3297" t="s">
        <v>458</v>
      </c>
      <c r="E3297" t="s">
        <v>459</v>
      </c>
      <c r="F3297" s="20">
        <v>33500</v>
      </c>
      <c r="I3297" s="11">
        <f t="shared" si="135"/>
        <v>45195</v>
      </c>
      <c r="J3297" s="12">
        <f t="shared" si="136"/>
        <v>279</v>
      </c>
      <c r="K3297" t="str">
        <f t="shared" si="134"/>
        <v>271-360</v>
      </c>
      <c r="L3297" s="11">
        <v>45474</v>
      </c>
      <c r="M3297" s="23">
        <f>YEAR(Таблица1[[#This Row],[Дата отчета]])</f>
        <v>2024</v>
      </c>
    </row>
    <row r="3298" spans="1:13" x14ac:dyDescent="0.25">
      <c r="A3298" t="s">
        <v>12</v>
      </c>
      <c r="B3298" t="s">
        <v>3540</v>
      </c>
      <c r="C3298" t="s">
        <v>3541</v>
      </c>
      <c r="D3298" t="s">
        <v>3542</v>
      </c>
      <c r="E3298" t="s">
        <v>3472</v>
      </c>
      <c r="F3298" s="20">
        <v>150500</v>
      </c>
      <c r="I3298" s="11">
        <f t="shared" si="135"/>
        <v>45433</v>
      </c>
      <c r="J3298" s="12">
        <f t="shared" si="136"/>
        <v>41</v>
      </c>
      <c r="K3298" t="str">
        <f t="shared" si="134"/>
        <v>31-90</v>
      </c>
      <c r="L3298" s="11">
        <v>45474</v>
      </c>
      <c r="M3298" s="23">
        <f>YEAR(Таблица1[[#This Row],[Дата отчета]])</f>
        <v>2024</v>
      </c>
    </row>
    <row r="3299" spans="1:13" x14ac:dyDescent="0.25">
      <c r="A3299" t="s">
        <v>12</v>
      </c>
      <c r="B3299" t="s">
        <v>467</v>
      </c>
      <c r="C3299" t="s">
        <v>468</v>
      </c>
      <c r="D3299" t="s">
        <v>469</v>
      </c>
      <c r="E3299" t="s">
        <v>470</v>
      </c>
      <c r="F3299" s="20">
        <v>2000</v>
      </c>
      <c r="I3299" s="11">
        <f t="shared" si="135"/>
        <v>44551</v>
      </c>
      <c r="J3299" s="12">
        <f t="shared" si="136"/>
        <v>923</v>
      </c>
      <c r="K3299" t="str">
        <f t="shared" si="134"/>
        <v>&gt;360</v>
      </c>
      <c r="L3299" s="11">
        <v>45474</v>
      </c>
      <c r="M3299" s="23">
        <f>YEAR(Таблица1[[#This Row],[Дата отчета]])</f>
        <v>2024</v>
      </c>
    </row>
    <row r="3300" spans="1:13" x14ac:dyDescent="0.25">
      <c r="A3300" t="s">
        <v>12</v>
      </c>
      <c r="B3300" t="s">
        <v>474</v>
      </c>
      <c r="C3300" t="s">
        <v>475</v>
      </c>
      <c r="D3300" t="s">
        <v>476</v>
      </c>
      <c r="E3300" t="s">
        <v>477</v>
      </c>
      <c r="F3300" s="20">
        <v>8850</v>
      </c>
      <c r="I3300" s="11">
        <f t="shared" si="135"/>
        <v>45401</v>
      </c>
      <c r="J3300" s="12">
        <f t="shared" si="136"/>
        <v>73</v>
      </c>
      <c r="K3300" t="str">
        <f t="shared" si="134"/>
        <v>31-90</v>
      </c>
      <c r="L3300" s="11">
        <v>45474</v>
      </c>
      <c r="M3300" s="23">
        <f>YEAR(Таблица1[[#This Row],[Дата отчета]])</f>
        <v>2024</v>
      </c>
    </row>
    <row r="3301" spans="1:13" x14ac:dyDescent="0.25">
      <c r="A3301" t="s">
        <v>12</v>
      </c>
      <c r="B3301" t="s">
        <v>3543</v>
      </c>
      <c r="C3301" t="s">
        <v>3544</v>
      </c>
      <c r="D3301" t="s">
        <v>3545</v>
      </c>
      <c r="E3301" t="s">
        <v>3363</v>
      </c>
      <c r="F3301" s="20">
        <v>14250</v>
      </c>
      <c r="I3301" s="11">
        <f t="shared" si="135"/>
        <v>45464</v>
      </c>
      <c r="J3301" s="12">
        <f t="shared" si="136"/>
        <v>10</v>
      </c>
      <c r="K3301" t="str">
        <f t="shared" si="134"/>
        <v>0-30</v>
      </c>
      <c r="L3301" s="11">
        <v>45474</v>
      </c>
      <c r="M3301" s="23">
        <f>YEAR(Таблица1[[#This Row],[Дата отчета]])</f>
        <v>2024</v>
      </c>
    </row>
    <row r="3302" spans="1:13" x14ac:dyDescent="0.25">
      <c r="A3302" t="s">
        <v>12</v>
      </c>
      <c r="B3302" t="s">
        <v>478</v>
      </c>
      <c r="C3302" t="s">
        <v>3546</v>
      </c>
      <c r="D3302" t="s">
        <v>3547</v>
      </c>
      <c r="E3302" t="s">
        <v>3445</v>
      </c>
      <c r="F3302" s="20">
        <v>12000</v>
      </c>
      <c r="I3302" s="11">
        <f t="shared" si="135"/>
        <v>45321</v>
      </c>
      <c r="J3302" s="12">
        <f t="shared" si="136"/>
        <v>153</v>
      </c>
      <c r="K3302" t="str">
        <f t="shared" si="134"/>
        <v>121-180</v>
      </c>
      <c r="L3302" s="11">
        <v>45474</v>
      </c>
      <c r="M3302" s="23">
        <f>YEAR(Таблица1[[#This Row],[Дата отчета]])</f>
        <v>2024</v>
      </c>
    </row>
    <row r="3303" spans="1:13" x14ac:dyDescent="0.25">
      <c r="A3303" t="s">
        <v>12</v>
      </c>
      <c r="B3303" t="s">
        <v>3548</v>
      </c>
      <c r="C3303" t="s">
        <v>3549</v>
      </c>
      <c r="D3303" t="s">
        <v>3550</v>
      </c>
      <c r="E3303" t="s">
        <v>3551</v>
      </c>
      <c r="F3303" s="20">
        <v>30000</v>
      </c>
      <c r="I3303" s="11">
        <f t="shared" si="135"/>
        <v>45390</v>
      </c>
      <c r="J3303" s="12">
        <f t="shared" si="136"/>
        <v>84</v>
      </c>
      <c r="K3303" t="str">
        <f t="shared" si="134"/>
        <v>31-90</v>
      </c>
      <c r="L3303" s="11">
        <v>45474</v>
      </c>
      <c r="M3303" s="23">
        <f>YEAR(Таблица1[[#This Row],[Дата отчета]])</f>
        <v>2024</v>
      </c>
    </row>
    <row r="3304" spans="1:13" x14ac:dyDescent="0.25">
      <c r="A3304" t="s">
        <v>12</v>
      </c>
      <c r="B3304" t="s">
        <v>3548</v>
      </c>
      <c r="C3304" t="s">
        <v>3552</v>
      </c>
      <c r="D3304" t="s">
        <v>3553</v>
      </c>
      <c r="E3304" t="s">
        <v>3554</v>
      </c>
      <c r="F3304" s="20">
        <v>3800</v>
      </c>
      <c r="I3304" s="11">
        <f t="shared" si="135"/>
        <v>45268</v>
      </c>
      <c r="J3304" s="12">
        <f t="shared" si="136"/>
        <v>206</v>
      </c>
      <c r="K3304" t="str">
        <f t="shared" si="134"/>
        <v>181-270</v>
      </c>
      <c r="L3304" s="11">
        <v>45474</v>
      </c>
      <c r="M3304" s="23">
        <f>YEAR(Таблица1[[#This Row],[Дата отчета]])</f>
        <v>2024</v>
      </c>
    </row>
    <row r="3305" spans="1:13" x14ac:dyDescent="0.25">
      <c r="A3305" t="s">
        <v>12</v>
      </c>
      <c r="B3305" t="s">
        <v>2150</v>
      </c>
      <c r="C3305" t="s">
        <v>3173</v>
      </c>
      <c r="D3305" t="s">
        <v>3174</v>
      </c>
      <c r="E3305" t="s">
        <v>3175</v>
      </c>
      <c r="F3305" s="20">
        <v>28572</v>
      </c>
      <c r="I3305" s="11">
        <f t="shared" si="135"/>
        <v>44755</v>
      </c>
      <c r="J3305" s="12">
        <f t="shared" si="136"/>
        <v>719</v>
      </c>
      <c r="K3305" t="str">
        <f t="shared" si="134"/>
        <v>&gt;360</v>
      </c>
      <c r="L3305" s="11">
        <v>45474</v>
      </c>
      <c r="M3305" s="23">
        <f>YEAR(Таблица1[[#This Row],[Дата отчета]])</f>
        <v>2024</v>
      </c>
    </row>
    <row r="3306" spans="1:13" x14ac:dyDescent="0.25">
      <c r="A3306" t="s">
        <v>12</v>
      </c>
      <c r="B3306" t="s">
        <v>2150</v>
      </c>
      <c r="C3306" t="s">
        <v>3176</v>
      </c>
      <c r="D3306" t="s">
        <v>3177</v>
      </c>
      <c r="E3306" t="s">
        <v>3175</v>
      </c>
      <c r="F3306" s="20">
        <v>5520</v>
      </c>
      <c r="I3306" s="11">
        <f t="shared" si="135"/>
        <v>44755</v>
      </c>
      <c r="J3306" s="12">
        <f t="shared" si="136"/>
        <v>719</v>
      </c>
      <c r="K3306" t="str">
        <f t="shared" si="134"/>
        <v>&gt;360</v>
      </c>
      <c r="L3306" s="11">
        <v>45474</v>
      </c>
      <c r="M3306" s="23">
        <f>YEAR(Таблица1[[#This Row],[Дата отчета]])</f>
        <v>2024</v>
      </c>
    </row>
    <row r="3307" spans="1:13" x14ac:dyDescent="0.25">
      <c r="A3307" t="s">
        <v>12</v>
      </c>
      <c r="B3307" t="s">
        <v>2150</v>
      </c>
      <c r="C3307" t="s">
        <v>3555</v>
      </c>
      <c r="D3307" t="s">
        <v>3556</v>
      </c>
      <c r="E3307" t="s">
        <v>1258</v>
      </c>
      <c r="F3307" s="20">
        <v>2593867.69</v>
      </c>
      <c r="I3307" s="11">
        <f t="shared" si="135"/>
        <v>45288</v>
      </c>
      <c r="J3307" s="12">
        <f t="shared" si="136"/>
        <v>186</v>
      </c>
      <c r="K3307" t="str">
        <f t="shared" si="134"/>
        <v>181-270</v>
      </c>
      <c r="L3307" s="11">
        <v>45474</v>
      </c>
      <c r="M3307" s="23">
        <f>YEAR(Таблица1[[#This Row],[Дата отчета]])</f>
        <v>2024</v>
      </c>
    </row>
    <row r="3308" spans="1:13" x14ac:dyDescent="0.25">
      <c r="A3308" t="s">
        <v>12</v>
      </c>
      <c r="B3308" t="s">
        <v>2150</v>
      </c>
      <c r="C3308" t="s">
        <v>3555</v>
      </c>
      <c r="D3308" t="s">
        <v>3557</v>
      </c>
      <c r="E3308" t="s">
        <v>3248</v>
      </c>
      <c r="F3308" s="20">
        <v>1220616.7</v>
      </c>
      <c r="I3308" s="11">
        <f t="shared" si="135"/>
        <v>45404</v>
      </c>
      <c r="J3308" s="12">
        <f t="shared" si="136"/>
        <v>70</v>
      </c>
      <c r="K3308" t="str">
        <f t="shared" si="134"/>
        <v>31-90</v>
      </c>
      <c r="L3308" s="11">
        <v>45474</v>
      </c>
      <c r="M3308" s="23">
        <f>YEAR(Таблица1[[#This Row],[Дата отчета]])</f>
        <v>2024</v>
      </c>
    </row>
    <row r="3309" spans="1:13" x14ac:dyDescent="0.25">
      <c r="A3309" t="s">
        <v>12</v>
      </c>
      <c r="B3309" t="s">
        <v>2150</v>
      </c>
      <c r="C3309" t="s">
        <v>3178</v>
      </c>
      <c r="D3309" t="s">
        <v>3179</v>
      </c>
      <c r="E3309" t="s">
        <v>3180</v>
      </c>
      <c r="F3309" s="20">
        <v>4600</v>
      </c>
      <c r="I3309" s="11">
        <f t="shared" si="135"/>
        <v>44988</v>
      </c>
      <c r="J3309" s="12">
        <f t="shared" si="136"/>
        <v>486</v>
      </c>
      <c r="K3309" t="str">
        <f t="shared" si="134"/>
        <v>&gt;360</v>
      </c>
      <c r="L3309" s="11">
        <v>45474</v>
      </c>
      <c r="M3309" s="23">
        <f>YEAR(Таблица1[[#This Row],[Дата отчета]])</f>
        <v>2024</v>
      </c>
    </row>
    <row r="3310" spans="1:13" x14ac:dyDescent="0.25">
      <c r="A3310" t="s">
        <v>12</v>
      </c>
      <c r="B3310" t="s">
        <v>2150</v>
      </c>
      <c r="C3310" t="s">
        <v>3181</v>
      </c>
      <c r="D3310" t="s">
        <v>3182</v>
      </c>
      <c r="E3310" t="s">
        <v>3183</v>
      </c>
      <c r="F3310" s="20">
        <v>27200</v>
      </c>
      <c r="I3310" s="11">
        <f t="shared" si="135"/>
        <v>45013</v>
      </c>
      <c r="J3310" s="12">
        <f t="shared" si="136"/>
        <v>461</v>
      </c>
      <c r="K3310" t="str">
        <f t="shared" si="134"/>
        <v>&gt;360</v>
      </c>
      <c r="L3310" s="11">
        <v>45474</v>
      </c>
      <c r="M3310" s="23">
        <f>YEAR(Таблица1[[#This Row],[Дата отчета]])</f>
        <v>2024</v>
      </c>
    </row>
    <row r="3311" spans="1:13" x14ac:dyDescent="0.25">
      <c r="A3311" t="s">
        <v>12</v>
      </c>
      <c r="B3311" t="s">
        <v>526</v>
      </c>
      <c r="C3311" t="s">
        <v>269</v>
      </c>
      <c r="D3311" t="s">
        <v>3558</v>
      </c>
      <c r="E3311" t="s">
        <v>3559</v>
      </c>
      <c r="F3311" s="20">
        <v>2321606.86</v>
      </c>
      <c r="I3311" s="11">
        <f t="shared" si="135"/>
        <v>45436</v>
      </c>
      <c r="J3311" s="12">
        <f t="shared" si="136"/>
        <v>38</v>
      </c>
      <c r="K3311" t="str">
        <f t="shared" si="134"/>
        <v>31-90</v>
      </c>
      <c r="L3311" s="11">
        <v>45474</v>
      </c>
      <c r="M3311" s="23">
        <f>YEAR(Таблица1[[#This Row],[Дата отчета]])</f>
        <v>2024</v>
      </c>
    </row>
    <row r="3312" spans="1:13" x14ac:dyDescent="0.25">
      <c r="A3312" t="s">
        <v>12</v>
      </c>
      <c r="B3312" t="s">
        <v>526</v>
      </c>
      <c r="C3312" t="s">
        <v>269</v>
      </c>
      <c r="D3312" t="s">
        <v>3560</v>
      </c>
      <c r="E3312" t="s">
        <v>1785</v>
      </c>
      <c r="F3312" s="20">
        <v>2973701.63</v>
      </c>
      <c r="I3312" s="11">
        <f t="shared" si="135"/>
        <v>45448</v>
      </c>
      <c r="J3312" s="12">
        <f t="shared" si="136"/>
        <v>26</v>
      </c>
      <c r="K3312" t="str">
        <f t="shared" si="134"/>
        <v>0-30</v>
      </c>
      <c r="L3312" s="11">
        <v>45474</v>
      </c>
      <c r="M3312" s="23">
        <f>YEAR(Таблица1[[#This Row],[Дата отчета]])</f>
        <v>2024</v>
      </c>
    </row>
    <row r="3313" spans="1:13" x14ac:dyDescent="0.25">
      <c r="A3313" t="s">
        <v>12</v>
      </c>
      <c r="B3313" t="s">
        <v>526</v>
      </c>
      <c r="C3313" t="s">
        <v>269</v>
      </c>
      <c r="D3313" t="s">
        <v>3561</v>
      </c>
      <c r="E3313" t="s">
        <v>192</v>
      </c>
      <c r="F3313" s="20">
        <v>3964935.5</v>
      </c>
      <c r="I3313" s="11">
        <f t="shared" si="135"/>
        <v>45467</v>
      </c>
      <c r="J3313" s="12">
        <f t="shared" si="136"/>
        <v>7</v>
      </c>
      <c r="K3313" t="str">
        <f t="shared" si="134"/>
        <v>0-30</v>
      </c>
      <c r="L3313" s="11">
        <v>45474</v>
      </c>
      <c r="M3313" s="23">
        <f>YEAR(Таблица1[[#This Row],[Дата отчета]])</f>
        <v>2024</v>
      </c>
    </row>
    <row r="3314" spans="1:13" x14ac:dyDescent="0.25">
      <c r="A3314" t="s">
        <v>12</v>
      </c>
      <c r="B3314" t="s">
        <v>529</v>
      </c>
      <c r="C3314" t="s">
        <v>3562</v>
      </c>
      <c r="D3314" t="s">
        <v>3563</v>
      </c>
      <c r="E3314" t="s">
        <v>3564</v>
      </c>
      <c r="F3314" s="20">
        <v>31400</v>
      </c>
      <c r="I3314" s="11">
        <f t="shared" si="135"/>
        <v>45393</v>
      </c>
      <c r="J3314" s="12">
        <f t="shared" si="136"/>
        <v>81</v>
      </c>
      <c r="K3314" t="str">
        <f t="shared" si="134"/>
        <v>31-90</v>
      </c>
      <c r="L3314" s="11">
        <v>45474</v>
      </c>
      <c r="M3314" s="23">
        <f>YEAR(Таблица1[[#This Row],[Дата отчета]])</f>
        <v>2024</v>
      </c>
    </row>
    <row r="3315" spans="1:13" x14ac:dyDescent="0.25">
      <c r="A3315" t="s">
        <v>12</v>
      </c>
      <c r="B3315" t="s">
        <v>529</v>
      </c>
      <c r="C3315" t="s">
        <v>3565</v>
      </c>
      <c r="D3315" t="s">
        <v>3566</v>
      </c>
      <c r="E3315" t="s">
        <v>3564</v>
      </c>
      <c r="F3315" s="20">
        <v>26900</v>
      </c>
      <c r="I3315" s="11">
        <f t="shared" si="135"/>
        <v>45393</v>
      </c>
      <c r="J3315" s="12">
        <f t="shared" si="136"/>
        <v>81</v>
      </c>
      <c r="K3315" t="str">
        <f t="shared" si="134"/>
        <v>31-90</v>
      </c>
      <c r="L3315" s="11">
        <v>45474</v>
      </c>
      <c r="M3315" s="23">
        <f>YEAR(Таблица1[[#This Row],[Дата отчета]])</f>
        <v>2024</v>
      </c>
    </row>
    <row r="3316" spans="1:13" x14ac:dyDescent="0.25">
      <c r="A3316" t="s">
        <v>12</v>
      </c>
      <c r="B3316" t="s">
        <v>3567</v>
      </c>
      <c r="C3316" t="s">
        <v>3568</v>
      </c>
      <c r="D3316" t="s">
        <v>3569</v>
      </c>
      <c r="E3316" t="s">
        <v>3570</v>
      </c>
      <c r="F3316" s="20">
        <v>250000</v>
      </c>
      <c r="I3316" s="11">
        <f t="shared" si="135"/>
        <v>45372</v>
      </c>
      <c r="J3316" s="12">
        <f t="shared" si="136"/>
        <v>102</v>
      </c>
      <c r="K3316" t="str">
        <f t="shared" si="134"/>
        <v>91-120</v>
      </c>
      <c r="L3316" s="11">
        <v>45474</v>
      </c>
      <c r="M3316" s="23">
        <f>YEAR(Таблица1[[#This Row],[Дата отчета]])</f>
        <v>2024</v>
      </c>
    </row>
    <row r="3317" spans="1:13" x14ac:dyDescent="0.25">
      <c r="A3317" t="s">
        <v>12</v>
      </c>
      <c r="B3317" t="s">
        <v>3567</v>
      </c>
      <c r="C3317" t="s">
        <v>3568</v>
      </c>
      <c r="D3317" t="s">
        <v>3571</v>
      </c>
      <c r="E3317" t="s">
        <v>300</v>
      </c>
      <c r="F3317" s="20">
        <v>250000</v>
      </c>
      <c r="I3317" s="11">
        <f t="shared" si="135"/>
        <v>45449</v>
      </c>
      <c r="J3317" s="12">
        <f t="shared" si="136"/>
        <v>25</v>
      </c>
      <c r="K3317" t="str">
        <f t="shared" si="134"/>
        <v>0-30</v>
      </c>
      <c r="L3317" s="11">
        <v>45474</v>
      </c>
      <c r="M3317" s="23">
        <f>YEAR(Таблица1[[#This Row],[Дата отчета]])</f>
        <v>2024</v>
      </c>
    </row>
    <row r="3318" spans="1:13" x14ac:dyDescent="0.25">
      <c r="A3318" t="s">
        <v>12</v>
      </c>
      <c r="B3318" t="s">
        <v>3189</v>
      </c>
      <c r="C3318" t="s">
        <v>3190</v>
      </c>
      <c r="D3318" t="s">
        <v>3191</v>
      </c>
      <c r="E3318" t="s">
        <v>3192</v>
      </c>
      <c r="F3318" s="20">
        <v>32600</v>
      </c>
      <c r="I3318" s="11">
        <f t="shared" si="135"/>
        <v>45331</v>
      </c>
      <c r="J3318" s="12">
        <f t="shared" si="136"/>
        <v>143</v>
      </c>
      <c r="K3318" t="str">
        <f t="shared" si="134"/>
        <v>121-180</v>
      </c>
      <c r="L3318" s="11">
        <v>45474</v>
      </c>
      <c r="M3318" s="23">
        <f>YEAR(Таблица1[[#This Row],[Дата отчета]])</f>
        <v>2024</v>
      </c>
    </row>
    <row r="3319" spans="1:13" x14ac:dyDescent="0.25">
      <c r="A3319" t="s">
        <v>12</v>
      </c>
      <c r="B3319" t="s">
        <v>3572</v>
      </c>
      <c r="C3319" t="s">
        <v>3573</v>
      </c>
      <c r="D3319" t="s">
        <v>3574</v>
      </c>
      <c r="E3319" t="s">
        <v>3140</v>
      </c>
      <c r="F3319" s="20">
        <v>26539.200000000001</v>
      </c>
      <c r="I3319" s="11">
        <f t="shared" si="135"/>
        <v>45463</v>
      </c>
      <c r="J3319" s="12">
        <f t="shared" si="136"/>
        <v>11</v>
      </c>
      <c r="K3319" t="str">
        <f t="shared" si="134"/>
        <v>0-30</v>
      </c>
      <c r="L3319" s="11">
        <v>45474</v>
      </c>
      <c r="M3319" s="23">
        <f>YEAR(Таблица1[[#This Row],[Дата отчета]])</f>
        <v>2024</v>
      </c>
    </row>
    <row r="3320" spans="1:13" x14ac:dyDescent="0.25">
      <c r="A3320" t="s">
        <v>12</v>
      </c>
      <c r="B3320" t="s">
        <v>3575</v>
      </c>
      <c r="C3320" t="s">
        <v>970</v>
      </c>
      <c r="D3320" t="s">
        <v>3576</v>
      </c>
      <c r="E3320" t="s">
        <v>3577</v>
      </c>
      <c r="F3320" s="20">
        <v>6000</v>
      </c>
      <c r="I3320" s="11">
        <f t="shared" si="135"/>
        <v>45351</v>
      </c>
      <c r="J3320" s="12">
        <f t="shared" si="136"/>
        <v>123</v>
      </c>
      <c r="K3320" t="str">
        <f t="shared" si="134"/>
        <v>121-180</v>
      </c>
      <c r="L3320" s="11">
        <v>45474</v>
      </c>
      <c r="M3320" s="23">
        <f>YEAR(Таблица1[[#This Row],[Дата отчета]])</f>
        <v>2024</v>
      </c>
    </row>
    <row r="3321" spans="1:13" x14ac:dyDescent="0.25">
      <c r="A3321" t="s">
        <v>12</v>
      </c>
      <c r="B3321" t="s">
        <v>557</v>
      </c>
      <c r="C3321" t="s">
        <v>970</v>
      </c>
      <c r="D3321" t="s">
        <v>3578</v>
      </c>
      <c r="E3321" t="s">
        <v>3579</v>
      </c>
      <c r="F3321" s="20">
        <v>16151.71</v>
      </c>
      <c r="I3321" s="11">
        <f t="shared" si="135"/>
        <v>45083</v>
      </c>
      <c r="J3321" s="12">
        <f t="shared" si="136"/>
        <v>391</v>
      </c>
      <c r="K3321" t="str">
        <f t="shared" si="134"/>
        <v>&gt;360</v>
      </c>
      <c r="L3321" s="11">
        <v>45474</v>
      </c>
      <c r="M3321" s="23">
        <f>YEAR(Таблица1[[#This Row],[Дата отчета]])</f>
        <v>2024</v>
      </c>
    </row>
    <row r="3322" spans="1:13" x14ac:dyDescent="0.25">
      <c r="A3322" t="s">
        <v>12</v>
      </c>
      <c r="B3322" t="s">
        <v>557</v>
      </c>
      <c r="C3322" t="s">
        <v>2184</v>
      </c>
      <c r="D3322" t="s">
        <v>2185</v>
      </c>
      <c r="E3322" t="s">
        <v>2450</v>
      </c>
      <c r="F3322" s="20">
        <v>60000</v>
      </c>
      <c r="I3322" s="11">
        <f t="shared" si="135"/>
        <v>45427</v>
      </c>
      <c r="J3322" s="12">
        <f t="shared" si="136"/>
        <v>47</v>
      </c>
      <c r="K3322" t="str">
        <f t="shared" si="134"/>
        <v>31-90</v>
      </c>
      <c r="L3322" s="11">
        <v>45474</v>
      </c>
      <c r="M3322" s="23">
        <f>YEAR(Таблица1[[#This Row],[Дата отчета]])</f>
        <v>2024</v>
      </c>
    </row>
    <row r="3323" spans="1:13" x14ac:dyDescent="0.25">
      <c r="A3323" t="s">
        <v>12</v>
      </c>
      <c r="B3323" t="s">
        <v>561</v>
      </c>
      <c r="C3323" t="s">
        <v>1527</v>
      </c>
      <c r="D3323" t="s">
        <v>1528</v>
      </c>
      <c r="E3323" t="s">
        <v>1794</v>
      </c>
      <c r="F3323" s="20">
        <v>1695324.05</v>
      </c>
      <c r="I3323" s="11">
        <f t="shared" si="135"/>
        <v>45069</v>
      </c>
      <c r="J3323" s="12">
        <f t="shared" si="136"/>
        <v>405</v>
      </c>
      <c r="K3323" t="str">
        <f t="shared" si="134"/>
        <v>&gt;360</v>
      </c>
      <c r="L3323" s="11">
        <v>45474</v>
      </c>
      <c r="M3323" s="23">
        <f>YEAR(Таблица1[[#This Row],[Дата отчета]])</f>
        <v>2024</v>
      </c>
    </row>
    <row r="3324" spans="1:13" x14ac:dyDescent="0.25">
      <c r="A3324" t="s">
        <v>12</v>
      </c>
      <c r="B3324" t="s">
        <v>561</v>
      </c>
      <c r="C3324" t="s">
        <v>3580</v>
      </c>
      <c r="D3324" t="s">
        <v>3581</v>
      </c>
      <c r="E3324" t="s">
        <v>1795</v>
      </c>
      <c r="F3324" s="20">
        <v>3428065.53</v>
      </c>
      <c r="I3324" s="11">
        <f t="shared" si="135"/>
        <v>45391</v>
      </c>
      <c r="J3324" s="12">
        <f t="shared" si="136"/>
        <v>83</v>
      </c>
      <c r="K3324" t="str">
        <f t="shared" si="134"/>
        <v>31-90</v>
      </c>
      <c r="L3324" s="11">
        <v>45474</v>
      </c>
      <c r="M3324" s="23">
        <f>YEAR(Таблица1[[#This Row],[Дата отчета]])</f>
        <v>2024</v>
      </c>
    </row>
    <row r="3325" spans="1:13" x14ac:dyDescent="0.25">
      <c r="A3325" t="s">
        <v>12</v>
      </c>
      <c r="B3325" t="s">
        <v>561</v>
      </c>
      <c r="C3325" t="s">
        <v>1529</v>
      </c>
      <c r="D3325" t="s">
        <v>1530</v>
      </c>
      <c r="E3325" t="s">
        <v>1795</v>
      </c>
      <c r="F3325" s="20">
        <v>5092824.9400000004</v>
      </c>
      <c r="I3325" s="11">
        <f t="shared" si="135"/>
        <v>45391</v>
      </c>
      <c r="J3325" s="12">
        <f t="shared" si="136"/>
        <v>83</v>
      </c>
      <c r="K3325" t="str">
        <f t="shared" si="134"/>
        <v>31-90</v>
      </c>
      <c r="L3325" s="11">
        <v>45474</v>
      </c>
      <c r="M3325" s="23">
        <f>YEAR(Таблица1[[#This Row],[Дата отчета]])</f>
        <v>2024</v>
      </c>
    </row>
    <row r="3326" spans="1:13" x14ac:dyDescent="0.25">
      <c r="A3326" t="s">
        <v>12</v>
      </c>
      <c r="B3326" t="s">
        <v>561</v>
      </c>
      <c r="C3326" t="s">
        <v>1533</v>
      </c>
      <c r="D3326" t="s">
        <v>1534</v>
      </c>
      <c r="E3326" t="s">
        <v>175</v>
      </c>
      <c r="F3326" s="20">
        <v>0.02</v>
      </c>
      <c r="I3326" s="11">
        <f t="shared" si="135"/>
        <v>45399</v>
      </c>
      <c r="J3326" s="12">
        <f t="shared" si="136"/>
        <v>75</v>
      </c>
      <c r="K3326" t="str">
        <f t="shared" si="134"/>
        <v>31-90</v>
      </c>
      <c r="L3326" s="11">
        <v>45474</v>
      </c>
      <c r="M3326" s="23">
        <f>YEAR(Таблица1[[#This Row],[Дата отчета]])</f>
        <v>2024</v>
      </c>
    </row>
    <row r="3327" spans="1:13" x14ac:dyDescent="0.25">
      <c r="A3327" t="s">
        <v>12</v>
      </c>
      <c r="B3327" t="s">
        <v>561</v>
      </c>
      <c r="C3327" t="s">
        <v>3582</v>
      </c>
      <c r="D3327" t="s">
        <v>3583</v>
      </c>
      <c r="E3327" t="s">
        <v>3298</v>
      </c>
      <c r="F3327" s="20">
        <v>39177.5</v>
      </c>
      <c r="I3327" s="11">
        <f t="shared" si="135"/>
        <v>45420</v>
      </c>
      <c r="J3327" s="12">
        <f t="shared" si="136"/>
        <v>54</v>
      </c>
      <c r="K3327" t="str">
        <f t="shared" ref="K3327:K3390" si="137">IF(J3327&lt;=30,"0-30",IF(J3327&lt;=90,"31-90",IF(J3327&lt;=120,"91-120",IF(J3327&lt;=180,"121-180",IF(J3327&lt;=270,"181-270",IF(J3327&lt;=360,"271-360","&gt;360"))))))</f>
        <v>31-90</v>
      </c>
      <c r="L3327" s="11">
        <v>45474</v>
      </c>
      <c r="M3327" s="23">
        <f>YEAR(Таблица1[[#This Row],[Дата отчета]])</f>
        <v>2024</v>
      </c>
    </row>
    <row r="3328" spans="1:13" x14ac:dyDescent="0.25">
      <c r="A3328" t="s">
        <v>12</v>
      </c>
      <c r="B3328" t="s">
        <v>561</v>
      </c>
      <c r="C3328" t="s">
        <v>3584</v>
      </c>
      <c r="D3328" t="s">
        <v>3585</v>
      </c>
      <c r="E3328" t="s">
        <v>3586</v>
      </c>
      <c r="F3328" s="20">
        <v>369619.99</v>
      </c>
      <c r="I3328" s="11">
        <f t="shared" si="135"/>
        <v>45428</v>
      </c>
      <c r="J3328" s="12">
        <f t="shared" si="136"/>
        <v>46</v>
      </c>
      <c r="K3328" t="str">
        <f t="shared" si="137"/>
        <v>31-90</v>
      </c>
      <c r="L3328" s="11">
        <v>45474</v>
      </c>
      <c r="M3328" s="23">
        <f>YEAR(Таблица1[[#This Row],[Дата отчета]])</f>
        <v>2024</v>
      </c>
    </row>
    <row r="3329" spans="1:13" x14ac:dyDescent="0.25">
      <c r="A3329" t="s">
        <v>12</v>
      </c>
      <c r="B3329" t="s">
        <v>561</v>
      </c>
      <c r="C3329" t="s">
        <v>1541</v>
      </c>
      <c r="D3329" t="s">
        <v>1542</v>
      </c>
      <c r="E3329" t="s">
        <v>192</v>
      </c>
      <c r="F3329" s="20">
        <v>6277.48</v>
      </c>
      <c r="I3329" s="11">
        <f t="shared" si="135"/>
        <v>45467</v>
      </c>
      <c r="J3329" s="12">
        <f t="shared" si="136"/>
        <v>7</v>
      </c>
      <c r="K3329" t="str">
        <f t="shared" si="137"/>
        <v>0-30</v>
      </c>
      <c r="L3329" s="11">
        <v>45474</v>
      </c>
      <c r="M3329" s="23">
        <f>YEAR(Таблица1[[#This Row],[Дата отчета]])</f>
        <v>2024</v>
      </c>
    </row>
    <row r="3330" spans="1:13" x14ac:dyDescent="0.25">
      <c r="A3330" t="s">
        <v>12</v>
      </c>
      <c r="B3330" t="s">
        <v>561</v>
      </c>
      <c r="C3330" t="s">
        <v>3587</v>
      </c>
      <c r="D3330" t="s">
        <v>3588</v>
      </c>
      <c r="E3330" t="s">
        <v>1798</v>
      </c>
      <c r="F3330" s="20">
        <v>9302.4</v>
      </c>
      <c r="I3330" s="11">
        <f t="shared" si="135"/>
        <v>45470</v>
      </c>
      <c r="J3330" s="12">
        <f t="shared" si="136"/>
        <v>4</v>
      </c>
      <c r="K3330" t="str">
        <f t="shared" si="137"/>
        <v>0-30</v>
      </c>
      <c r="L3330" s="11">
        <v>45474</v>
      </c>
      <c r="M3330" s="23">
        <f>YEAR(Таблица1[[#This Row],[Дата отчета]])</f>
        <v>2024</v>
      </c>
    </row>
    <row r="3331" spans="1:13" x14ac:dyDescent="0.25">
      <c r="A3331" t="s">
        <v>12</v>
      </c>
      <c r="B3331" t="s">
        <v>561</v>
      </c>
      <c r="C3331" t="s">
        <v>1543</v>
      </c>
      <c r="D3331" t="s">
        <v>1544</v>
      </c>
      <c r="E3331" t="s">
        <v>1798</v>
      </c>
      <c r="F3331" s="20">
        <v>2474.62</v>
      </c>
      <c r="I3331" s="11">
        <f t="shared" si="135"/>
        <v>45470</v>
      </c>
      <c r="J3331" s="12">
        <f t="shared" si="136"/>
        <v>4</v>
      </c>
      <c r="K3331" t="str">
        <f t="shared" si="137"/>
        <v>0-30</v>
      </c>
      <c r="L3331" s="11">
        <v>45474</v>
      </c>
      <c r="M3331" s="23">
        <f>YEAR(Таблица1[[#This Row],[Дата отчета]])</f>
        <v>2024</v>
      </c>
    </row>
    <row r="3332" spans="1:13" x14ac:dyDescent="0.25">
      <c r="A3332" t="s">
        <v>12</v>
      </c>
      <c r="B3332" t="s">
        <v>2197</v>
      </c>
      <c r="C3332" t="s">
        <v>2200</v>
      </c>
      <c r="D3332" t="s">
        <v>2201</v>
      </c>
      <c r="E3332" t="s">
        <v>284</v>
      </c>
      <c r="F3332" s="20">
        <v>1207500</v>
      </c>
      <c r="I3332" s="11">
        <f t="shared" si="135"/>
        <v>45398</v>
      </c>
      <c r="J3332" s="12">
        <f t="shared" si="136"/>
        <v>76</v>
      </c>
      <c r="K3332" t="str">
        <f t="shared" si="137"/>
        <v>31-90</v>
      </c>
      <c r="L3332" s="11">
        <v>45474</v>
      </c>
      <c r="M3332" s="23">
        <f>YEAR(Таблица1[[#This Row],[Дата отчета]])</f>
        <v>2024</v>
      </c>
    </row>
    <row r="3333" spans="1:13" x14ac:dyDescent="0.25">
      <c r="A3333" t="s">
        <v>12</v>
      </c>
      <c r="B3333" t="s">
        <v>589</v>
      </c>
      <c r="C3333" t="s">
        <v>590</v>
      </c>
      <c r="D3333" t="s">
        <v>3589</v>
      </c>
      <c r="E3333" t="s">
        <v>3029</v>
      </c>
      <c r="F3333" s="20">
        <v>672.02</v>
      </c>
      <c r="I3333" s="11">
        <f t="shared" si="135"/>
        <v>45414</v>
      </c>
      <c r="J3333" s="12">
        <f t="shared" si="136"/>
        <v>60</v>
      </c>
      <c r="K3333" t="str">
        <f t="shared" si="137"/>
        <v>31-90</v>
      </c>
      <c r="L3333" s="11">
        <v>45474</v>
      </c>
      <c r="M3333" s="23">
        <f>YEAR(Таблица1[[#This Row],[Дата отчета]])</f>
        <v>2024</v>
      </c>
    </row>
    <row r="3334" spans="1:13" x14ac:dyDescent="0.25">
      <c r="A3334" t="s">
        <v>12</v>
      </c>
      <c r="B3334" t="s">
        <v>589</v>
      </c>
      <c r="C3334" t="s">
        <v>590</v>
      </c>
      <c r="D3334" t="s">
        <v>3203</v>
      </c>
      <c r="E3334" t="s">
        <v>3073</v>
      </c>
      <c r="F3334" s="20">
        <v>1000</v>
      </c>
      <c r="I3334" s="11">
        <f t="shared" si="135"/>
        <v>45446</v>
      </c>
      <c r="J3334" s="12">
        <f t="shared" si="136"/>
        <v>28</v>
      </c>
      <c r="K3334" t="str">
        <f t="shared" si="137"/>
        <v>0-30</v>
      </c>
      <c r="L3334" s="11">
        <v>45474</v>
      </c>
      <c r="M3334" s="23">
        <f>YEAR(Таблица1[[#This Row],[Дата отчета]])</f>
        <v>2024</v>
      </c>
    </row>
    <row r="3335" spans="1:13" x14ac:dyDescent="0.25">
      <c r="A3335" t="s">
        <v>12</v>
      </c>
      <c r="B3335" t="s">
        <v>589</v>
      </c>
      <c r="C3335" t="s">
        <v>594</v>
      </c>
      <c r="D3335" t="s">
        <v>3590</v>
      </c>
      <c r="E3335" t="s">
        <v>3029</v>
      </c>
      <c r="F3335" s="20">
        <v>728.34</v>
      </c>
      <c r="I3335" s="11">
        <f t="shared" si="135"/>
        <v>45414</v>
      </c>
      <c r="J3335" s="12">
        <f t="shared" si="136"/>
        <v>60</v>
      </c>
      <c r="K3335" t="str">
        <f t="shared" si="137"/>
        <v>31-90</v>
      </c>
      <c r="L3335" s="11">
        <v>45474</v>
      </c>
      <c r="M3335" s="23">
        <f>YEAR(Таблица1[[#This Row],[Дата отчета]])</f>
        <v>2024</v>
      </c>
    </row>
    <row r="3336" spans="1:13" x14ac:dyDescent="0.25">
      <c r="A3336" t="s">
        <v>12</v>
      </c>
      <c r="B3336" t="s">
        <v>589</v>
      </c>
      <c r="C3336" t="s">
        <v>594</v>
      </c>
      <c r="D3336" t="s">
        <v>3205</v>
      </c>
      <c r="E3336" t="s">
        <v>3073</v>
      </c>
      <c r="F3336" s="20">
        <v>2000</v>
      </c>
      <c r="I3336" s="11">
        <f t="shared" si="135"/>
        <v>45446</v>
      </c>
      <c r="J3336" s="12">
        <f t="shared" si="136"/>
        <v>28</v>
      </c>
      <c r="K3336" t="str">
        <f t="shared" si="137"/>
        <v>0-30</v>
      </c>
      <c r="L3336" s="11">
        <v>45474</v>
      </c>
      <c r="M3336" s="23">
        <f>YEAR(Таблица1[[#This Row],[Дата отчета]])</f>
        <v>2024</v>
      </c>
    </row>
    <row r="3337" spans="1:13" x14ac:dyDescent="0.25">
      <c r="A3337" t="s">
        <v>12</v>
      </c>
      <c r="B3337" t="s">
        <v>589</v>
      </c>
      <c r="C3337" t="s">
        <v>598</v>
      </c>
      <c r="D3337" t="s">
        <v>599</v>
      </c>
      <c r="E3337" t="s">
        <v>600</v>
      </c>
      <c r="F3337" s="20">
        <v>45.91</v>
      </c>
      <c r="I3337" s="11">
        <f t="shared" si="135"/>
        <v>43560</v>
      </c>
      <c r="J3337" s="12">
        <f t="shared" si="136"/>
        <v>1914</v>
      </c>
      <c r="K3337" t="str">
        <f t="shared" si="137"/>
        <v>&gt;360</v>
      </c>
      <c r="L3337" s="11">
        <v>45474</v>
      </c>
      <c r="M3337" s="23">
        <f>YEAR(Таблица1[[#This Row],[Дата отчета]])</f>
        <v>2024</v>
      </c>
    </row>
    <row r="3338" spans="1:13" x14ac:dyDescent="0.25">
      <c r="A3338" t="s">
        <v>12</v>
      </c>
      <c r="B3338" t="s">
        <v>589</v>
      </c>
      <c r="C3338" t="s">
        <v>601</v>
      </c>
      <c r="D3338" t="s">
        <v>3591</v>
      </c>
      <c r="E3338" t="s">
        <v>3073</v>
      </c>
      <c r="F3338" s="20">
        <v>2895.81</v>
      </c>
      <c r="I3338" s="11">
        <f t="shared" si="135"/>
        <v>45446</v>
      </c>
      <c r="J3338" s="12">
        <f t="shared" si="136"/>
        <v>28</v>
      </c>
      <c r="K3338" t="str">
        <f t="shared" si="137"/>
        <v>0-30</v>
      </c>
      <c r="L3338" s="11">
        <v>45474</v>
      </c>
      <c r="M3338" s="23">
        <f>YEAR(Таблица1[[#This Row],[Дата отчета]])</f>
        <v>2024</v>
      </c>
    </row>
    <row r="3339" spans="1:13" x14ac:dyDescent="0.25">
      <c r="A3339" t="s">
        <v>12</v>
      </c>
      <c r="B3339" t="s">
        <v>589</v>
      </c>
      <c r="C3339" t="s">
        <v>604</v>
      </c>
      <c r="D3339" t="s">
        <v>3592</v>
      </c>
      <c r="E3339" t="s">
        <v>3593</v>
      </c>
      <c r="F3339" s="20">
        <v>84.13</v>
      </c>
      <c r="I3339" s="11">
        <f t="shared" si="135"/>
        <v>44897</v>
      </c>
      <c r="J3339" s="12">
        <f t="shared" si="136"/>
        <v>577</v>
      </c>
      <c r="K3339" t="str">
        <f t="shared" si="137"/>
        <v>&gt;360</v>
      </c>
      <c r="L3339" s="11">
        <v>45474</v>
      </c>
      <c r="M3339" s="23">
        <f>YEAR(Таблица1[[#This Row],[Дата отчета]])</f>
        <v>2024</v>
      </c>
    </row>
    <row r="3340" spans="1:13" x14ac:dyDescent="0.25">
      <c r="A3340" t="s">
        <v>12</v>
      </c>
      <c r="B3340" t="s">
        <v>589</v>
      </c>
      <c r="C3340" t="s">
        <v>607</v>
      </c>
      <c r="D3340" t="s">
        <v>608</v>
      </c>
      <c r="E3340" t="s">
        <v>609</v>
      </c>
      <c r="F3340" s="20">
        <v>771.25</v>
      </c>
      <c r="I3340" s="11">
        <f t="shared" si="135"/>
        <v>45233</v>
      </c>
      <c r="J3340" s="12">
        <f t="shared" si="136"/>
        <v>241</v>
      </c>
      <c r="K3340" t="str">
        <f t="shared" si="137"/>
        <v>181-270</v>
      </c>
      <c r="L3340" s="11">
        <v>45474</v>
      </c>
      <c r="M3340" s="23">
        <f>YEAR(Таблица1[[#This Row],[Дата отчета]])</f>
        <v>2024</v>
      </c>
    </row>
    <row r="3341" spans="1:13" x14ac:dyDescent="0.25">
      <c r="A3341" t="s">
        <v>12</v>
      </c>
      <c r="B3341" t="s">
        <v>589</v>
      </c>
      <c r="C3341" t="s">
        <v>607</v>
      </c>
      <c r="D3341" t="s">
        <v>610</v>
      </c>
      <c r="E3341" t="s">
        <v>611</v>
      </c>
      <c r="F3341" s="20">
        <v>500</v>
      </c>
      <c r="I3341" s="11">
        <f t="shared" si="135"/>
        <v>45335</v>
      </c>
      <c r="J3341" s="12">
        <f t="shared" si="136"/>
        <v>139</v>
      </c>
      <c r="K3341" t="str">
        <f t="shared" si="137"/>
        <v>121-180</v>
      </c>
      <c r="L3341" s="11">
        <v>45474</v>
      </c>
      <c r="M3341" s="23">
        <f>YEAR(Таблица1[[#This Row],[Дата отчета]])</f>
        <v>2024</v>
      </c>
    </row>
    <row r="3342" spans="1:13" x14ac:dyDescent="0.25">
      <c r="A3342" t="s">
        <v>12</v>
      </c>
      <c r="B3342" t="s">
        <v>589</v>
      </c>
      <c r="C3342" t="s">
        <v>612</v>
      </c>
      <c r="D3342" t="s">
        <v>3594</v>
      </c>
      <c r="E3342" t="s">
        <v>3029</v>
      </c>
      <c r="F3342" s="20">
        <v>1951.67</v>
      </c>
      <c r="I3342" s="11">
        <f t="shared" si="135"/>
        <v>45414</v>
      </c>
      <c r="J3342" s="12">
        <f t="shared" si="136"/>
        <v>60</v>
      </c>
      <c r="K3342" t="str">
        <f t="shared" si="137"/>
        <v>31-90</v>
      </c>
      <c r="L3342" s="11">
        <v>45474</v>
      </c>
      <c r="M3342" s="23">
        <f>YEAR(Таблица1[[#This Row],[Дата отчета]])</f>
        <v>2024</v>
      </c>
    </row>
    <row r="3343" spans="1:13" x14ac:dyDescent="0.25">
      <c r="A3343" t="s">
        <v>12</v>
      </c>
      <c r="B3343" t="s">
        <v>589</v>
      </c>
      <c r="C3343" t="s">
        <v>615</v>
      </c>
      <c r="D3343" t="s">
        <v>616</v>
      </c>
      <c r="E3343" t="s">
        <v>617</v>
      </c>
      <c r="F3343" s="20">
        <v>127.6</v>
      </c>
      <c r="I3343" s="11">
        <f t="shared" si="135"/>
        <v>42468</v>
      </c>
      <c r="J3343" s="12">
        <f t="shared" si="136"/>
        <v>3006</v>
      </c>
      <c r="K3343" t="str">
        <f t="shared" si="137"/>
        <v>&gt;360</v>
      </c>
      <c r="L3343" s="11">
        <v>45474</v>
      </c>
      <c r="M3343" s="23">
        <f>YEAR(Таблица1[[#This Row],[Дата отчета]])</f>
        <v>2024</v>
      </c>
    </row>
    <row r="3344" spans="1:13" x14ac:dyDescent="0.25">
      <c r="A3344" t="s">
        <v>12</v>
      </c>
      <c r="B3344" t="s">
        <v>589</v>
      </c>
      <c r="C3344" t="s">
        <v>615</v>
      </c>
      <c r="D3344" t="s">
        <v>618</v>
      </c>
      <c r="E3344" t="s">
        <v>619</v>
      </c>
      <c r="F3344" s="20">
        <v>430</v>
      </c>
      <c r="I3344" s="11">
        <f t="shared" si="135"/>
        <v>42501</v>
      </c>
      <c r="J3344" s="12">
        <f t="shared" si="136"/>
        <v>2973</v>
      </c>
      <c r="K3344" t="str">
        <f t="shared" si="137"/>
        <v>&gt;360</v>
      </c>
      <c r="L3344" s="11">
        <v>45474</v>
      </c>
      <c r="M3344" s="23">
        <f>YEAR(Таблица1[[#This Row],[Дата отчета]])</f>
        <v>2024</v>
      </c>
    </row>
    <row r="3345" spans="1:13" x14ac:dyDescent="0.25">
      <c r="A3345" t="s">
        <v>12</v>
      </c>
      <c r="B3345" t="s">
        <v>589</v>
      </c>
      <c r="C3345" t="s">
        <v>615</v>
      </c>
      <c r="D3345" t="s">
        <v>620</v>
      </c>
      <c r="E3345" t="s">
        <v>621</v>
      </c>
      <c r="F3345" s="20">
        <v>0.01</v>
      </c>
      <c r="I3345" s="11">
        <f t="shared" si="135"/>
        <v>43817</v>
      </c>
      <c r="J3345" s="12">
        <f t="shared" si="136"/>
        <v>1657</v>
      </c>
      <c r="K3345" t="str">
        <f t="shared" si="137"/>
        <v>&gt;360</v>
      </c>
      <c r="L3345" s="11">
        <v>45474</v>
      </c>
      <c r="M3345" s="23">
        <f>YEAR(Таблица1[[#This Row],[Дата отчета]])</f>
        <v>2024</v>
      </c>
    </row>
    <row r="3346" spans="1:13" x14ac:dyDescent="0.25">
      <c r="A3346" t="s">
        <v>12</v>
      </c>
      <c r="B3346" t="s">
        <v>589</v>
      </c>
      <c r="C3346" t="s">
        <v>622</v>
      </c>
      <c r="F3346" s="20">
        <v>68.27</v>
      </c>
      <c r="I3346" s="11">
        <f t="shared" si="135"/>
        <v>0</v>
      </c>
      <c r="J3346" s="12">
        <f t="shared" si="136"/>
        <v>45474</v>
      </c>
      <c r="K3346" t="str">
        <f t="shared" si="137"/>
        <v>&gt;360</v>
      </c>
      <c r="L3346" s="11">
        <v>45474</v>
      </c>
      <c r="M3346" s="23">
        <f>YEAR(Таблица1[[#This Row],[Дата отчета]])</f>
        <v>2024</v>
      </c>
    </row>
    <row r="3347" spans="1:13" x14ac:dyDescent="0.25">
      <c r="A3347" t="s">
        <v>12</v>
      </c>
      <c r="B3347" t="s">
        <v>589</v>
      </c>
      <c r="C3347" t="s">
        <v>623</v>
      </c>
      <c r="D3347" t="s">
        <v>624</v>
      </c>
      <c r="E3347" t="s">
        <v>625</v>
      </c>
      <c r="F3347" s="20">
        <v>799.94</v>
      </c>
      <c r="I3347" s="11">
        <f t="shared" si="135"/>
        <v>42429</v>
      </c>
      <c r="J3347" s="12">
        <f t="shared" si="136"/>
        <v>3045</v>
      </c>
      <c r="K3347" t="str">
        <f t="shared" si="137"/>
        <v>&gt;360</v>
      </c>
      <c r="L3347" s="11">
        <v>45474</v>
      </c>
      <c r="M3347" s="23">
        <f>YEAR(Таблица1[[#This Row],[Дата отчета]])</f>
        <v>2024</v>
      </c>
    </row>
    <row r="3348" spans="1:13" x14ac:dyDescent="0.25">
      <c r="A3348" t="s">
        <v>12</v>
      </c>
      <c r="B3348" t="s">
        <v>589</v>
      </c>
      <c r="C3348" t="s">
        <v>626</v>
      </c>
      <c r="D3348" t="s">
        <v>3595</v>
      </c>
      <c r="E3348" t="s">
        <v>3029</v>
      </c>
      <c r="F3348" s="20">
        <v>438.76</v>
      </c>
      <c r="I3348" s="11">
        <f t="shared" si="135"/>
        <v>45414</v>
      </c>
      <c r="J3348" s="12">
        <f t="shared" si="136"/>
        <v>60</v>
      </c>
      <c r="K3348" t="str">
        <f t="shared" si="137"/>
        <v>31-90</v>
      </c>
      <c r="L3348" s="11">
        <v>45474</v>
      </c>
      <c r="M3348" s="23">
        <f>YEAR(Таблица1[[#This Row],[Дата отчета]])</f>
        <v>2024</v>
      </c>
    </row>
    <row r="3349" spans="1:13" x14ac:dyDescent="0.25">
      <c r="A3349" t="s">
        <v>12</v>
      </c>
      <c r="B3349" t="s">
        <v>589</v>
      </c>
      <c r="C3349" t="s">
        <v>626</v>
      </c>
      <c r="D3349" t="s">
        <v>3596</v>
      </c>
      <c r="E3349" t="s">
        <v>3073</v>
      </c>
      <c r="F3349" s="20">
        <v>5000</v>
      </c>
      <c r="I3349" s="11">
        <f t="shared" si="135"/>
        <v>45446</v>
      </c>
      <c r="J3349" s="12">
        <f t="shared" si="136"/>
        <v>28</v>
      </c>
      <c r="K3349" t="str">
        <f t="shared" si="137"/>
        <v>0-30</v>
      </c>
      <c r="L3349" s="11">
        <v>45474</v>
      </c>
      <c r="M3349" s="23">
        <f>YEAR(Таблица1[[#This Row],[Дата отчета]])</f>
        <v>2024</v>
      </c>
    </row>
    <row r="3350" spans="1:13" x14ac:dyDescent="0.25">
      <c r="A3350" t="s">
        <v>12</v>
      </c>
      <c r="B3350" t="s">
        <v>3597</v>
      </c>
      <c r="C3350" t="s">
        <v>3598</v>
      </c>
      <c r="D3350" t="s">
        <v>3599</v>
      </c>
      <c r="E3350" t="s">
        <v>3600</v>
      </c>
      <c r="F3350" s="20">
        <v>26688816.989999998</v>
      </c>
      <c r="I3350" s="11">
        <f t="shared" si="135"/>
        <v>45385</v>
      </c>
      <c r="J3350" s="12">
        <f t="shared" si="136"/>
        <v>89</v>
      </c>
      <c r="K3350" t="str">
        <f t="shared" si="137"/>
        <v>31-90</v>
      </c>
      <c r="L3350" s="11">
        <v>45474</v>
      </c>
      <c r="M3350" s="23">
        <f>YEAR(Таблица1[[#This Row],[Дата отчета]])</f>
        <v>2024</v>
      </c>
    </row>
    <row r="3351" spans="1:13" x14ac:dyDescent="0.25">
      <c r="A3351" t="s">
        <v>12</v>
      </c>
      <c r="B3351" t="s">
        <v>3597</v>
      </c>
      <c r="C3351" t="s">
        <v>3598</v>
      </c>
      <c r="D3351" t="s">
        <v>3601</v>
      </c>
      <c r="E3351" t="s">
        <v>3073</v>
      </c>
      <c r="F3351" s="20">
        <v>1094086.98</v>
      </c>
      <c r="I3351" s="11">
        <f t="shared" ref="I3351:I3414" si="138">E3351*1</f>
        <v>45446</v>
      </c>
      <c r="J3351" s="12">
        <f t="shared" ref="J3351:J3414" si="139">L3351-I3351</f>
        <v>28</v>
      </c>
      <c r="K3351" t="str">
        <f t="shared" si="137"/>
        <v>0-30</v>
      </c>
      <c r="L3351" s="11">
        <v>45474</v>
      </c>
      <c r="M3351" s="23">
        <f>YEAR(Таблица1[[#This Row],[Дата отчета]])</f>
        <v>2024</v>
      </c>
    </row>
    <row r="3352" spans="1:13" x14ac:dyDescent="0.25">
      <c r="A3352" t="s">
        <v>12</v>
      </c>
      <c r="B3352" t="s">
        <v>3597</v>
      </c>
      <c r="C3352" t="s">
        <v>3598</v>
      </c>
      <c r="D3352" t="s">
        <v>3602</v>
      </c>
      <c r="E3352" t="s">
        <v>3073</v>
      </c>
      <c r="F3352" s="20">
        <v>1111327.6499999999</v>
      </c>
      <c r="I3352" s="11">
        <f t="shared" si="138"/>
        <v>45446</v>
      </c>
      <c r="J3352" s="12">
        <f t="shared" si="139"/>
        <v>28</v>
      </c>
      <c r="K3352" t="str">
        <f t="shared" si="137"/>
        <v>0-30</v>
      </c>
      <c r="L3352" s="11">
        <v>45474</v>
      </c>
      <c r="M3352" s="23">
        <f>YEAR(Таблица1[[#This Row],[Дата отчета]])</f>
        <v>2024</v>
      </c>
    </row>
    <row r="3353" spans="1:13" x14ac:dyDescent="0.25">
      <c r="A3353" t="s">
        <v>12</v>
      </c>
      <c r="B3353" t="s">
        <v>3597</v>
      </c>
      <c r="C3353" t="s">
        <v>3598</v>
      </c>
      <c r="D3353" t="s">
        <v>3603</v>
      </c>
      <c r="E3353" t="s">
        <v>3386</v>
      </c>
      <c r="F3353" s="20">
        <v>1086961.82</v>
      </c>
      <c r="I3353" s="11">
        <f t="shared" si="138"/>
        <v>45447</v>
      </c>
      <c r="J3353" s="12">
        <f t="shared" si="139"/>
        <v>27</v>
      </c>
      <c r="K3353" t="str">
        <f t="shared" si="137"/>
        <v>0-30</v>
      </c>
      <c r="L3353" s="11">
        <v>45474</v>
      </c>
      <c r="M3353" s="23">
        <f>YEAR(Таблица1[[#This Row],[Дата отчета]])</f>
        <v>2024</v>
      </c>
    </row>
    <row r="3354" spans="1:13" x14ac:dyDescent="0.25">
      <c r="A3354" t="s">
        <v>12</v>
      </c>
      <c r="B3354" t="s">
        <v>3597</v>
      </c>
      <c r="C3354" t="s">
        <v>3598</v>
      </c>
      <c r="D3354" t="s">
        <v>3604</v>
      </c>
      <c r="E3354" t="s">
        <v>1785</v>
      </c>
      <c r="F3354" s="20">
        <v>1145947.77</v>
      </c>
      <c r="I3354" s="11">
        <f t="shared" si="138"/>
        <v>45448</v>
      </c>
      <c r="J3354" s="12">
        <f t="shared" si="139"/>
        <v>26</v>
      </c>
      <c r="K3354" t="str">
        <f t="shared" si="137"/>
        <v>0-30</v>
      </c>
      <c r="L3354" s="11">
        <v>45474</v>
      </c>
      <c r="M3354" s="23">
        <f>YEAR(Таблица1[[#This Row],[Дата отчета]])</f>
        <v>2024</v>
      </c>
    </row>
    <row r="3355" spans="1:13" x14ac:dyDescent="0.25">
      <c r="A3355" t="s">
        <v>12</v>
      </c>
      <c r="B3355" t="s">
        <v>3597</v>
      </c>
      <c r="C3355" t="s">
        <v>3598</v>
      </c>
      <c r="D3355" t="s">
        <v>3605</v>
      </c>
      <c r="E3355" t="s">
        <v>1785</v>
      </c>
      <c r="F3355" s="20">
        <v>1151218.44</v>
      </c>
      <c r="I3355" s="11">
        <f t="shared" si="138"/>
        <v>45448</v>
      </c>
      <c r="J3355" s="12">
        <f t="shared" si="139"/>
        <v>26</v>
      </c>
      <c r="K3355" t="str">
        <f t="shared" si="137"/>
        <v>0-30</v>
      </c>
      <c r="L3355" s="11">
        <v>45474</v>
      </c>
      <c r="M3355" s="23">
        <f>YEAR(Таблица1[[#This Row],[Дата отчета]])</f>
        <v>2024</v>
      </c>
    </row>
    <row r="3356" spans="1:13" x14ac:dyDescent="0.25">
      <c r="A3356" t="s">
        <v>12</v>
      </c>
      <c r="B3356" t="s">
        <v>3597</v>
      </c>
      <c r="C3356" t="s">
        <v>3598</v>
      </c>
      <c r="D3356" t="s">
        <v>3606</v>
      </c>
      <c r="E3356" t="s">
        <v>300</v>
      </c>
      <c r="F3356" s="20">
        <v>1050902.33</v>
      </c>
      <c r="I3356" s="11">
        <f t="shared" si="138"/>
        <v>45449</v>
      </c>
      <c r="J3356" s="12">
        <f t="shared" si="139"/>
        <v>25</v>
      </c>
      <c r="K3356" t="str">
        <f t="shared" si="137"/>
        <v>0-30</v>
      </c>
      <c r="L3356" s="11">
        <v>45474</v>
      </c>
      <c r="M3356" s="23">
        <f>YEAR(Таблица1[[#This Row],[Дата отчета]])</f>
        <v>2024</v>
      </c>
    </row>
    <row r="3357" spans="1:13" x14ac:dyDescent="0.25">
      <c r="A3357" t="s">
        <v>12</v>
      </c>
      <c r="B3357" t="s">
        <v>3597</v>
      </c>
      <c r="C3357" t="s">
        <v>3598</v>
      </c>
      <c r="D3357" t="s">
        <v>3607</v>
      </c>
      <c r="E3357" t="s">
        <v>2865</v>
      </c>
      <c r="F3357" s="20">
        <v>1091451.6499999999</v>
      </c>
      <c r="I3357" s="11">
        <f t="shared" si="138"/>
        <v>45453</v>
      </c>
      <c r="J3357" s="12">
        <f t="shared" si="139"/>
        <v>21</v>
      </c>
      <c r="K3357" t="str">
        <f t="shared" si="137"/>
        <v>0-30</v>
      </c>
      <c r="L3357" s="11">
        <v>45474</v>
      </c>
      <c r="M3357" s="23">
        <f>YEAR(Таблица1[[#This Row],[Дата отчета]])</f>
        <v>2024</v>
      </c>
    </row>
    <row r="3358" spans="1:13" x14ac:dyDescent="0.25">
      <c r="A3358" t="s">
        <v>12</v>
      </c>
      <c r="B3358" t="s">
        <v>3597</v>
      </c>
      <c r="C3358" t="s">
        <v>3598</v>
      </c>
      <c r="D3358" t="s">
        <v>3608</v>
      </c>
      <c r="E3358" t="s">
        <v>2865</v>
      </c>
      <c r="F3358" s="20">
        <v>1094640.08</v>
      </c>
      <c r="I3358" s="11">
        <f t="shared" si="138"/>
        <v>45453</v>
      </c>
      <c r="J3358" s="12">
        <f t="shared" si="139"/>
        <v>21</v>
      </c>
      <c r="K3358" t="str">
        <f t="shared" si="137"/>
        <v>0-30</v>
      </c>
      <c r="L3358" s="11">
        <v>45474</v>
      </c>
      <c r="M3358" s="23">
        <f>YEAR(Таблица1[[#This Row],[Дата отчета]])</f>
        <v>2024</v>
      </c>
    </row>
    <row r="3359" spans="1:13" x14ac:dyDescent="0.25">
      <c r="A3359" t="s">
        <v>12</v>
      </c>
      <c r="B3359" t="s">
        <v>3597</v>
      </c>
      <c r="C3359" t="s">
        <v>3598</v>
      </c>
      <c r="D3359" t="s">
        <v>3609</v>
      </c>
      <c r="E3359" t="s">
        <v>2865</v>
      </c>
      <c r="F3359" s="20">
        <v>1108217.19</v>
      </c>
      <c r="I3359" s="11">
        <f t="shared" si="138"/>
        <v>45453</v>
      </c>
      <c r="J3359" s="12">
        <f t="shared" si="139"/>
        <v>21</v>
      </c>
      <c r="K3359" t="str">
        <f t="shared" si="137"/>
        <v>0-30</v>
      </c>
      <c r="L3359" s="11">
        <v>45474</v>
      </c>
      <c r="M3359" s="23">
        <f>YEAR(Таблица1[[#This Row],[Дата отчета]])</f>
        <v>2024</v>
      </c>
    </row>
    <row r="3360" spans="1:13" x14ac:dyDescent="0.25">
      <c r="A3360" t="s">
        <v>12</v>
      </c>
      <c r="B3360" t="s">
        <v>3597</v>
      </c>
      <c r="C3360" t="s">
        <v>3598</v>
      </c>
      <c r="D3360" t="s">
        <v>3610</v>
      </c>
      <c r="E3360" t="s">
        <v>3360</v>
      </c>
      <c r="F3360" s="20">
        <v>1089620.6100000001</v>
      </c>
      <c r="I3360" s="11">
        <f t="shared" si="138"/>
        <v>45460</v>
      </c>
      <c r="J3360" s="12">
        <f t="shared" si="139"/>
        <v>14</v>
      </c>
      <c r="K3360" t="str">
        <f t="shared" si="137"/>
        <v>0-30</v>
      </c>
      <c r="L3360" s="11">
        <v>45474</v>
      </c>
      <c r="M3360" s="23">
        <f>YEAR(Таблица1[[#This Row],[Дата отчета]])</f>
        <v>2024</v>
      </c>
    </row>
    <row r="3361" spans="1:13" x14ac:dyDescent="0.25">
      <c r="A3361" t="s">
        <v>12</v>
      </c>
      <c r="B3361" t="s">
        <v>3597</v>
      </c>
      <c r="C3361" t="s">
        <v>3598</v>
      </c>
      <c r="D3361" t="s">
        <v>3611</v>
      </c>
      <c r="E3361" t="s">
        <v>3360</v>
      </c>
      <c r="F3361" s="20">
        <v>1092664.8899999999</v>
      </c>
      <c r="I3361" s="11">
        <f t="shared" si="138"/>
        <v>45460</v>
      </c>
      <c r="J3361" s="12">
        <f t="shared" si="139"/>
        <v>14</v>
      </c>
      <c r="K3361" t="str">
        <f t="shared" si="137"/>
        <v>0-30</v>
      </c>
      <c r="L3361" s="11">
        <v>45474</v>
      </c>
      <c r="M3361" s="23">
        <f>YEAR(Таблица1[[#This Row],[Дата отчета]])</f>
        <v>2024</v>
      </c>
    </row>
    <row r="3362" spans="1:13" x14ac:dyDescent="0.25">
      <c r="A3362" t="s">
        <v>12</v>
      </c>
      <c r="B3362" t="s">
        <v>3597</v>
      </c>
      <c r="C3362" t="s">
        <v>3598</v>
      </c>
      <c r="D3362" t="s">
        <v>3612</v>
      </c>
      <c r="E3362" t="s">
        <v>3360</v>
      </c>
      <c r="F3362" s="20">
        <v>1094915.01</v>
      </c>
      <c r="I3362" s="11">
        <f t="shared" si="138"/>
        <v>45460</v>
      </c>
      <c r="J3362" s="12">
        <f t="shared" si="139"/>
        <v>14</v>
      </c>
      <c r="K3362" t="str">
        <f t="shared" si="137"/>
        <v>0-30</v>
      </c>
      <c r="L3362" s="11">
        <v>45474</v>
      </c>
      <c r="M3362" s="23">
        <f>YEAR(Таблица1[[#This Row],[Дата отчета]])</f>
        <v>2024</v>
      </c>
    </row>
    <row r="3363" spans="1:13" x14ac:dyDescent="0.25">
      <c r="A3363" t="s">
        <v>12</v>
      </c>
      <c r="B3363" t="s">
        <v>3597</v>
      </c>
      <c r="C3363" t="s">
        <v>3598</v>
      </c>
      <c r="D3363" t="s">
        <v>3613</v>
      </c>
      <c r="E3363" t="s">
        <v>3360</v>
      </c>
      <c r="F3363" s="20">
        <v>1098687.27</v>
      </c>
      <c r="I3363" s="11">
        <f t="shared" si="138"/>
        <v>45460</v>
      </c>
      <c r="J3363" s="12">
        <f t="shared" si="139"/>
        <v>14</v>
      </c>
      <c r="K3363" t="str">
        <f t="shared" si="137"/>
        <v>0-30</v>
      </c>
      <c r="L3363" s="11">
        <v>45474</v>
      </c>
      <c r="M3363" s="23">
        <f>YEAR(Таблица1[[#This Row],[Дата отчета]])</f>
        <v>2024</v>
      </c>
    </row>
    <row r="3364" spans="1:13" x14ac:dyDescent="0.25">
      <c r="A3364" t="s">
        <v>12</v>
      </c>
      <c r="B3364" t="s">
        <v>3597</v>
      </c>
      <c r="C3364" t="s">
        <v>3598</v>
      </c>
      <c r="D3364" t="s">
        <v>3614</v>
      </c>
      <c r="E3364" t="s">
        <v>3371</v>
      </c>
      <c r="F3364" s="20">
        <v>1111393.83</v>
      </c>
      <c r="I3364" s="11">
        <f t="shared" si="138"/>
        <v>45462</v>
      </c>
      <c r="J3364" s="12">
        <f t="shared" si="139"/>
        <v>12</v>
      </c>
      <c r="K3364" t="str">
        <f t="shared" si="137"/>
        <v>0-30</v>
      </c>
      <c r="L3364" s="11">
        <v>45474</v>
      </c>
      <c r="M3364" s="23">
        <f>YEAR(Таблица1[[#This Row],[Дата отчета]])</f>
        <v>2024</v>
      </c>
    </row>
    <row r="3365" spans="1:13" x14ac:dyDescent="0.25">
      <c r="A3365" t="s">
        <v>12</v>
      </c>
      <c r="B3365" t="s">
        <v>3597</v>
      </c>
      <c r="C3365" t="s">
        <v>3598</v>
      </c>
      <c r="D3365" t="s">
        <v>3615</v>
      </c>
      <c r="E3365" t="s">
        <v>3140</v>
      </c>
      <c r="F3365" s="20">
        <v>1102360.26</v>
      </c>
      <c r="I3365" s="11">
        <f t="shared" si="138"/>
        <v>45463</v>
      </c>
      <c r="J3365" s="12">
        <f t="shared" si="139"/>
        <v>11</v>
      </c>
      <c r="K3365" t="str">
        <f t="shared" si="137"/>
        <v>0-30</v>
      </c>
      <c r="L3365" s="11">
        <v>45474</v>
      </c>
      <c r="M3365" s="23">
        <f>YEAR(Таблица1[[#This Row],[Дата отчета]])</f>
        <v>2024</v>
      </c>
    </row>
    <row r="3366" spans="1:13" x14ac:dyDescent="0.25">
      <c r="A3366" t="s">
        <v>12</v>
      </c>
      <c r="B3366" t="s">
        <v>3597</v>
      </c>
      <c r="C3366" t="s">
        <v>3598</v>
      </c>
      <c r="D3366" t="s">
        <v>3616</v>
      </c>
      <c r="E3366" t="s">
        <v>3363</v>
      </c>
      <c r="F3366" s="20">
        <v>1119302.3400000001</v>
      </c>
      <c r="I3366" s="11">
        <f t="shared" si="138"/>
        <v>45464</v>
      </c>
      <c r="J3366" s="12">
        <f t="shared" si="139"/>
        <v>10</v>
      </c>
      <c r="K3366" t="str">
        <f t="shared" si="137"/>
        <v>0-30</v>
      </c>
      <c r="L3366" s="11">
        <v>45474</v>
      </c>
      <c r="M3366" s="23">
        <f>YEAR(Таблица1[[#This Row],[Дата отчета]])</f>
        <v>2024</v>
      </c>
    </row>
    <row r="3367" spans="1:13" x14ac:dyDescent="0.25">
      <c r="A3367" t="s">
        <v>12</v>
      </c>
      <c r="B3367" t="s">
        <v>3597</v>
      </c>
      <c r="C3367" t="s">
        <v>3598</v>
      </c>
      <c r="D3367" t="s">
        <v>3617</v>
      </c>
      <c r="E3367" t="s">
        <v>192</v>
      </c>
      <c r="F3367" s="20">
        <v>574872.12</v>
      </c>
      <c r="I3367" s="11">
        <f t="shared" si="138"/>
        <v>45467</v>
      </c>
      <c r="J3367" s="12">
        <f t="shared" si="139"/>
        <v>7</v>
      </c>
      <c r="K3367" t="str">
        <f t="shared" si="137"/>
        <v>0-30</v>
      </c>
      <c r="L3367" s="11">
        <v>45474</v>
      </c>
      <c r="M3367" s="23">
        <f>YEAR(Таблица1[[#This Row],[Дата отчета]])</f>
        <v>2024</v>
      </c>
    </row>
    <row r="3368" spans="1:13" x14ac:dyDescent="0.25">
      <c r="A3368" t="s">
        <v>12</v>
      </c>
      <c r="B3368" t="s">
        <v>3597</v>
      </c>
      <c r="C3368" t="s">
        <v>3598</v>
      </c>
      <c r="D3368" t="s">
        <v>3618</v>
      </c>
      <c r="E3368" t="s">
        <v>192</v>
      </c>
      <c r="F3368" s="20">
        <v>1096503.33</v>
      </c>
      <c r="I3368" s="11">
        <f t="shared" si="138"/>
        <v>45467</v>
      </c>
      <c r="J3368" s="12">
        <f t="shared" si="139"/>
        <v>7</v>
      </c>
      <c r="K3368" t="str">
        <f t="shared" si="137"/>
        <v>0-30</v>
      </c>
      <c r="L3368" s="11">
        <v>45474</v>
      </c>
      <c r="M3368" s="23">
        <f>YEAR(Таблица1[[#This Row],[Дата отчета]])</f>
        <v>2024</v>
      </c>
    </row>
    <row r="3369" spans="1:13" x14ac:dyDescent="0.25">
      <c r="A3369" t="s">
        <v>12</v>
      </c>
      <c r="B3369" t="s">
        <v>3597</v>
      </c>
      <c r="C3369" t="s">
        <v>3598</v>
      </c>
      <c r="D3369" t="s">
        <v>3619</v>
      </c>
      <c r="E3369" t="s">
        <v>192</v>
      </c>
      <c r="F3369" s="20">
        <v>1099746.1499999999</v>
      </c>
      <c r="I3369" s="11">
        <f t="shared" si="138"/>
        <v>45467</v>
      </c>
      <c r="J3369" s="12">
        <f t="shared" si="139"/>
        <v>7</v>
      </c>
      <c r="K3369" t="str">
        <f t="shared" si="137"/>
        <v>0-30</v>
      </c>
      <c r="L3369" s="11">
        <v>45474</v>
      </c>
      <c r="M3369" s="23">
        <f>YEAR(Таблица1[[#This Row],[Дата отчета]])</f>
        <v>2024</v>
      </c>
    </row>
    <row r="3370" spans="1:13" x14ac:dyDescent="0.25">
      <c r="A3370" t="s">
        <v>12</v>
      </c>
      <c r="B3370" t="s">
        <v>3597</v>
      </c>
      <c r="C3370" t="s">
        <v>3598</v>
      </c>
      <c r="D3370" t="s">
        <v>3620</v>
      </c>
      <c r="E3370" t="s">
        <v>192</v>
      </c>
      <c r="F3370" s="20">
        <v>1117184.58</v>
      </c>
      <c r="I3370" s="11">
        <f t="shared" si="138"/>
        <v>45467</v>
      </c>
      <c r="J3370" s="12">
        <f t="shared" si="139"/>
        <v>7</v>
      </c>
      <c r="K3370" t="str">
        <f t="shared" si="137"/>
        <v>0-30</v>
      </c>
      <c r="L3370" s="11">
        <v>45474</v>
      </c>
      <c r="M3370" s="23">
        <f>YEAR(Таблица1[[#This Row],[Дата отчета]])</f>
        <v>2024</v>
      </c>
    </row>
    <row r="3371" spans="1:13" x14ac:dyDescent="0.25">
      <c r="A3371" t="s">
        <v>12</v>
      </c>
      <c r="B3371" t="s">
        <v>3621</v>
      </c>
      <c r="C3371" t="s">
        <v>3622</v>
      </c>
      <c r="D3371" t="s">
        <v>3623</v>
      </c>
      <c r="E3371" t="s">
        <v>3248</v>
      </c>
      <c r="F3371" s="20">
        <v>10600</v>
      </c>
      <c r="I3371" s="11">
        <f t="shared" si="138"/>
        <v>45404</v>
      </c>
      <c r="J3371" s="12">
        <f t="shared" si="139"/>
        <v>70</v>
      </c>
      <c r="K3371" t="str">
        <f t="shared" si="137"/>
        <v>31-90</v>
      </c>
      <c r="L3371" s="11">
        <v>45474</v>
      </c>
      <c r="M3371" s="23">
        <f>YEAR(Таблица1[[#This Row],[Дата отчета]])</f>
        <v>2024</v>
      </c>
    </row>
    <row r="3372" spans="1:13" x14ac:dyDescent="0.25">
      <c r="A3372" t="s">
        <v>12</v>
      </c>
      <c r="B3372" t="s">
        <v>1615</v>
      </c>
      <c r="C3372" t="s">
        <v>269</v>
      </c>
      <c r="D3372" t="s">
        <v>3624</v>
      </c>
      <c r="E3372" t="s">
        <v>3386</v>
      </c>
      <c r="F3372" s="20">
        <v>15000</v>
      </c>
      <c r="I3372" s="11">
        <f t="shared" si="138"/>
        <v>45447</v>
      </c>
      <c r="J3372" s="12">
        <f t="shared" si="139"/>
        <v>27</v>
      </c>
      <c r="K3372" t="str">
        <f t="shared" si="137"/>
        <v>0-30</v>
      </c>
      <c r="L3372" s="11">
        <v>45474</v>
      </c>
      <c r="M3372" s="23">
        <f>YEAR(Таблица1[[#This Row],[Дата отчета]])</f>
        <v>2024</v>
      </c>
    </row>
    <row r="3373" spans="1:13" x14ac:dyDescent="0.25">
      <c r="A3373" t="s">
        <v>12</v>
      </c>
      <c r="B3373" t="s">
        <v>1615</v>
      </c>
      <c r="C3373" t="s">
        <v>269</v>
      </c>
      <c r="D3373" t="s">
        <v>3625</v>
      </c>
      <c r="E3373" t="s">
        <v>1785</v>
      </c>
      <c r="F3373" s="20">
        <v>600</v>
      </c>
      <c r="I3373" s="11">
        <f t="shared" si="138"/>
        <v>45448</v>
      </c>
      <c r="J3373" s="12">
        <f t="shared" si="139"/>
        <v>26</v>
      </c>
      <c r="K3373" t="str">
        <f t="shared" si="137"/>
        <v>0-30</v>
      </c>
      <c r="L3373" s="11">
        <v>45474</v>
      </c>
      <c r="M3373" s="23">
        <f>YEAR(Таблица1[[#This Row],[Дата отчета]])</f>
        <v>2024</v>
      </c>
    </row>
    <row r="3374" spans="1:13" x14ac:dyDescent="0.25">
      <c r="A3374" t="s">
        <v>12</v>
      </c>
      <c r="B3374" t="s">
        <v>1615</v>
      </c>
      <c r="C3374" t="s">
        <v>269</v>
      </c>
      <c r="D3374" t="s">
        <v>3213</v>
      </c>
      <c r="E3374" t="s">
        <v>3140</v>
      </c>
      <c r="F3374" s="20">
        <v>3500</v>
      </c>
      <c r="I3374" s="11">
        <f t="shared" si="138"/>
        <v>45463</v>
      </c>
      <c r="J3374" s="12">
        <f t="shared" si="139"/>
        <v>11</v>
      </c>
      <c r="K3374" t="str">
        <f t="shared" si="137"/>
        <v>0-30</v>
      </c>
      <c r="L3374" s="11">
        <v>45474</v>
      </c>
      <c r="M3374" s="23">
        <f>YEAR(Таблица1[[#This Row],[Дата отчета]])</f>
        <v>2024</v>
      </c>
    </row>
    <row r="3375" spans="1:13" x14ac:dyDescent="0.25">
      <c r="A3375" t="s">
        <v>12</v>
      </c>
      <c r="B3375" t="s">
        <v>3626</v>
      </c>
      <c r="C3375" t="s">
        <v>3627</v>
      </c>
      <c r="D3375" t="s">
        <v>3628</v>
      </c>
      <c r="E3375" t="s">
        <v>3363</v>
      </c>
      <c r="F3375" s="20">
        <v>73400</v>
      </c>
      <c r="I3375" s="11">
        <f t="shared" si="138"/>
        <v>45464</v>
      </c>
      <c r="J3375" s="12">
        <f t="shared" si="139"/>
        <v>10</v>
      </c>
      <c r="K3375" t="str">
        <f t="shared" si="137"/>
        <v>0-30</v>
      </c>
      <c r="L3375" s="11">
        <v>45474</v>
      </c>
      <c r="M3375" s="23">
        <f>YEAR(Таблица1[[#This Row],[Дата отчета]])</f>
        <v>2024</v>
      </c>
    </row>
    <row r="3376" spans="1:13" x14ac:dyDescent="0.25">
      <c r="A3376" t="s">
        <v>12</v>
      </c>
      <c r="B3376" t="s">
        <v>3626</v>
      </c>
      <c r="C3376" t="s">
        <v>3629</v>
      </c>
      <c r="D3376" t="s">
        <v>3630</v>
      </c>
      <c r="E3376" t="s">
        <v>3413</v>
      </c>
      <c r="F3376" s="20">
        <v>95040</v>
      </c>
      <c r="I3376" s="11">
        <f t="shared" si="138"/>
        <v>45469</v>
      </c>
      <c r="J3376" s="12">
        <f t="shared" si="139"/>
        <v>5</v>
      </c>
      <c r="K3376" t="str">
        <f t="shared" si="137"/>
        <v>0-30</v>
      </c>
      <c r="L3376" s="11">
        <v>45474</v>
      </c>
      <c r="M3376" s="23">
        <f>YEAR(Таблица1[[#This Row],[Дата отчета]])</f>
        <v>2024</v>
      </c>
    </row>
    <row r="3377" spans="1:14" x14ac:dyDescent="0.25">
      <c r="A3377" t="s">
        <v>12</v>
      </c>
      <c r="B3377" t="s">
        <v>3631</v>
      </c>
      <c r="C3377" t="s">
        <v>3632</v>
      </c>
      <c r="D3377" t="s">
        <v>3633</v>
      </c>
      <c r="E3377" t="s">
        <v>189</v>
      </c>
      <c r="F3377" s="20">
        <v>20000</v>
      </c>
      <c r="I3377" s="11">
        <f t="shared" si="138"/>
        <v>45471</v>
      </c>
      <c r="J3377" s="12">
        <f t="shared" si="139"/>
        <v>3</v>
      </c>
      <c r="K3377" t="str">
        <f t="shared" si="137"/>
        <v>0-30</v>
      </c>
      <c r="L3377" s="11">
        <v>45474</v>
      </c>
      <c r="M3377" s="23">
        <f>YEAR(Таблица1[[#This Row],[Дата отчета]])</f>
        <v>2024</v>
      </c>
    </row>
    <row r="3378" spans="1:14" x14ac:dyDescent="0.25">
      <c r="A3378" t="s">
        <v>12</v>
      </c>
      <c r="B3378" t="s">
        <v>670</v>
      </c>
      <c r="C3378" t="s">
        <v>3634</v>
      </c>
      <c r="D3378" t="s">
        <v>3635</v>
      </c>
      <c r="E3378" t="s">
        <v>3636</v>
      </c>
      <c r="F3378" s="20">
        <v>0.01</v>
      </c>
      <c r="I3378" s="11">
        <f t="shared" si="138"/>
        <v>44722</v>
      </c>
      <c r="J3378" s="12">
        <f t="shared" si="139"/>
        <v>752</v>
      </c>
      <c r="K3378" t="str">
        <f t="shared" si="137"/>
        <v>&gt;360</v>
      </c>
      <c r="L3378" s="11">
        <v>45474</v>
      </c>
      <c r="M3378" s="23">
        <f>YEAR(Таблица1[[#This Row],[Дата отчета]])</f>
        <v>2024</v>
      </c>
    </row>
    <row r="3379" spans="1:14" x14ac:dyDescent="0.25">
      <c r="A3379" t="s">
        <v>12</v>
      </c>
      <c r="B3379" t="s">
        <v>3637</v>
      </c>
      <c r="C3379" t="s">
        <v>3638</v>
      </c>
      <c r="D3379" t="s">
        <v>3639</v>
      </c>
      <c r="E3379" t="s">
        <v>2450</v>
      </c>
      <c r="F3379" s="20">
        <v>426035</v>
      </c>
      <c r="I3379" s="11">
        <f t="shared" si="138"/>
        <v>45427</v>
      </c>
      <c r="J3379" s="12">
        <f t="shared" si="139"/>
        <v>47</v>
      </c>
      <c r="K3379" t="str">
        <f t="shared" si="137"/>
        <v>31-90</v>
      </c>
      <c r="L3379" s="11">
        <v>45474</v>
      </c>
      <c r="M3379" s="23">
        <f>YEAR(Таблица1[[#This Row],[Дата отчета]])</f>
        <v>2024</v>
      </c>
    </row>
    <row r="3380" spans="1:14" x14ac:dyDescent="0.25">
      <c r="A3380" t="s">
        <v>12</v>
      </c>
      <c r="B3380" t="s">
        <v>3218</v>
      </c>
      <c r="C3380" t="s">
        <v>3219</v>
      </c>
      <c r="D3380" t="s">
        <v>3220</v>
      </c>
      <c r="E3380" t="s">
        <v>189</v>
      </c>
      <c r="F3380" s="20">
        <v>50000</v>
      </c>
      <c r="I3380" s="11">
        <f t="shared" si="138"/>
        <v>45471</v>
      </c>
      <c r="J3380" s="12">
        <f t="shared" si="139"/>
        <v>3</v>
      </c>
      <c r="K3380" t="str">
        <f t="shared" si="137"/>
        <v>0-30</v>
      </c>
      <c r="L3380" s="11">
        <v>45474</v>
      </c>
      <c r="M3380" s="23">
        <f>YEAR(Таблица1[[#This Row],[Дата отчета]])</f>
        <v>2024</v>
      </c>
    </row>
    <row r="3381" spans="1:14" x14ac:dyDescent="0.25">
      <c r="A3381" t="s">
        <v>12</v>
      </c>
      <c r="B3381" t="s">
        <v>680</v>
      </c>
      <c r="C3381" t="s">
        <v>2963</v>
      </c>
      <c r="D3381" t="s">
        <v>2964</v>
      </c>
      <c r="E3381" t="s">
        <v>2965</v>
      </c>
      <c r="F3381" s="20">
        <v>188179.6</v>
      </c>
      <c r="I3381" s="11">
        <f t="shared" si="138"/>
        <v>45377</v>
      </c>
      <c r="J3381" s="12">
        <f t="shared" si="139"/>
        <v>97</v>
      </c>
      <c r="K3381" t="str">
        <f t="shared" si="137"/>
        <v>91-120</v>
      </c>
      <c r="L3381" s="11">
        <v>45474</v>
      </c>
      <c r="M3381" s="23">
        <f>YEAR(Таблица1[[#This Row],[Дата отчета]])</f>
        <v>2024</v>
      </c>
    </row>
    <row r="3382" spans="1:14" x14ac:dyDescent="0.25">
      <c r="A3382" t="s">
        <v>12</v>
      </c>
      <c r="B3382" t="s">
        <v>684</v>
      </c>
      <c r="C3382" t="s">
        <v>697</v>
      </c>
      <c r="D3382" t="s">
        <v>698</v>
      </c>
      <c r="E3382" t="s">
        <v>699</v>
      </c>
      <c r="F3382" s="20">
        <v>172161</v>
      </c>
      <c r="I3382" s="11">
        <f t="shared" si="138"/>
        <v>45218</v>
      </c>
      <c r="J3382" s="12">
        <f t="shared" si="139"/>
        <v>256</v>
      </c>
      <c r="K3382" t="str">
        <f t="shared" si="137"/>
        <v>181-270</v>
      </c>
      <c r="L3382" s="11">
        <v>45474</v>
      </c>
      <c r="M3382" s="23">
        <f>YEAR(Таблица1[[#This Row],[Дата отчета]])</f>
        <v>2024</v>
      </c>
      <c r="N3382" s="2" t="s">
        <v>4535</v>
      </c>
    </row>
    <row r="3383" spans="1:14" x14ac:dyDescent="0.25">
      <c r="A3383" t="s">
        <v>12</v>
      </c>
      <c r="B3383" t="s">
        <v>684</v>
      </c>
      <c r="C3383" t="s">
        <v>3640</v>
      </c>
      <c r="D3383" t="s">
        <v>3641</v>
      </c>
      <c r="E3383" t="s">
        <v>1785</v>
      </c>
      <c r="F3383" s="20">
        <v>8411846</v>
      </c>
      <c r="I3383" s="11">
        <f t="shared" si="138"/>
        <v>45448</v>
      </c>
      <c r="J3383" s="12">
        <f t="shared" si="139"/>
        <v>26</v>
      </c>
      <c r="K3383" t="str">
        <f t="shared" si="137"/>
        <v>0-30</v>
      </c>
      <c r="L3383" s="11">
        <v>45474</v>
      </c>
      <c r="M3383" s="23">
        <f>YEAR(Таблица1[[#This Row],[Дата отчета]])</f>
        <v>2024</v>
      </c>
    </row>
    <row r="3384" spans="1:14" x14ac:dyDescent="0.25">
      <c r="A3384" t="s">
        <v>12</v>
      </c>
      <c r="B3384" t="s">
        <v>712</v>
      </c>
      <c r="C3384" t="s">
        <v>3642</v>
      </c>
      <c r="D3384" t="s">
        <v>3643</v>
      </c>
      <c r="E3384" t="s">
        <v>3355</v>
      </c>
      <c r="F3384" s="20">
        <v>40784</v>
      </c>
      <c r="I3384" s="11">
        <f t="shared" si="138"/>
        <v>45408</v>
      </c>
      <c r="J3384" s="12">
        <f t="shared" si="139"/>
        <v>66</v>
      </c>
      <c r="K3384" t="str">
        <f t="shared" si="137"/>
        <v>31-90</v>
      </c>
      <c r="L3384" s="11">
        <v>45474</v>
      </c>
      <c r="M3384" s="23">
        <f>YEAR(Таблица1[[#This Row],[Дата отчета]])</f>
        <v>2024</v>
      </c>
    </row>
    <row r="3385" spans="1:14" x14ac:dyDescent="0.25">
      <c r="A3385" t="s">
        <v>12</v>
      </c>
      <c r="B3385" t="s">
        <v>715</v>
      </c>
      <c r="C3385" t="s">
        <v>3644</v>
      </c>
      <c r="D3385" t="s">
        <v>3645</v>
      </c>
      <c r="E3385" t="s">
        <v>300</v>
      </c>
      <c r="F3385" s="20">
        <v>35630000</v>
      </c>
      <c r="I3385" s="11">
        <f t="shared" si="138"/>
        <v>45449</v>
      </c>
      <c r="J3385" s="12">
        <f t="shared" si="139"/>
        <v>25</v>
      </c>
      <c r="K3385" t="str">
        <f t="shared" si="137"/>
        <v>0-30</v>
      </c>
      <c r="L3385" s="11">
        <v>45474</v>
      </c>
      <c r="M3385" s="23">
        <f>YEAR(Таблица1[[#This Row],[Дата отчета]])</f>
        <v>2024</v>
      </c>
    </row>
    <row r="3386" spans="1:14" x14ac:dyDescent="0.25">
      <c r="A3386" t="s">
        <v>12</v>
      </c>
      <c r="B3386" t="s">
        <v>726</v>
      </c>
      <c r="C3386" t="s">
        <v>3646</v>
      </c>
      <c r="D3386" t="s">
        <v>3647</v>
      </c>
      <c r="E3386" t="s">
        <v>477</v>
      </c>
      <c r="F3386" s="20">
        <v>4319.3100000000004</v>
      </c>
      <c r="I3386" s="11">
        <f t="shared" si="138"/>
        <v>45401</v>
      </c>
      <c r="J3386" s="12">
        <f t="shared" si="139"/>
        <v>73</v>
      </c>
      <c r="K3386" t="str">
        <f t="shared" si="137"/>
        <v>31-90</v>
      </c>
      <c r="L3386" s="11">
        <v>45474</v>
      </c>
      <c r="M3386" s="23">
        <f>YEAR(Таблица1[[#This Row],[Дата отчета]])</f>
        <v>2024</v>
      </c>
      <c r="N3386" s="2" t="s">
        <v>807</v>
      </c>
    </row>
    <row r="3387" spans="1:14" x14ac:dyDescent="0.25">
      <c r="A3387" t="s">
        <v>12</v>
      </c>
      <c r="B3387" t="s">
        <v>745</v>
      </c>
      <c r="C3387" t="s">
        <v>269</v>
      </c>
      <c r="D3387" t="s">
        <v>2975</v>
      </c>
      <c r="E3387" t="s">
        <v>2976</v>
      </c>
      <c r="F3387" s="20">
        <v>3866.66</v>
      </c>
      <c r="I3387" s="11">
        <f t="shared" si="138"/>
        <v>45139</v>
      </c>
      <c r="J3387" s="12">
        <f t="shared" si="139"/>
        <v>335</v>
      </c>
      <c r="K3387" t="str">
        <f t="shared" si="137"/>
        <v>271-360</v>
      </c>
      <c r="L3387" s="11">
        <v>45474</v>
      </c>
      <c r="M3387" s="23">
        <f>YEAR(Таблица1[[#This Row],[Дата отчета]])</f>
        <v>2024</v>
      </c>
    </row>
    <row r="3388" spans="1:14" x14ac:dyDescent="0.25">
      <c r="A3388" t="s">
        <v>12</v>
      </c>
      <c r="B3388" t="s">
        <v>3648</v>
      </c>
      <c r="C3388" t="s">
        <v>3649</v>
      </c>
      <c r="D3388" t="s">
        <v>3650</v>
      </c>
      <c r="E3388" t="s">
        <v>3363</v>
      </c>
      <c r="F3388" s="20">
        <v>23539.23</v>
      </c>
      <c r="I3388" s="11">
        <f t="shared" si="138"/>
        <v>45464</v>
      </c>
      <c r="J3388" s="12">
        <f t="shared" si="139"/>
        <v>10</v>
      </c>
      <c r="K3388" t="str">
        <f t="shared" si="137"/>
        <v>0-30</v>
      </c>
      <c r="L3388" s="11">
        <v>45474</v>
      </c>
      <c r="M3388" s="23">
        <f>YEAR(Таблица1[[#This Row],[Дата отчета]])</f>
        <v>2024</v>
      </c>
    </row>
    <row r="3389" spans="1:14" x14ac:dyDescent="0.25">
      <c r="A3389" t="s">
        <v>12</v>
      </c>
      <c r="B3389" t="s">
        <v>3648</v>
      </c>
      <c r="C3389" t="s">
        <v>3651</v>
      </c>
      <c r="D3389" t="s">
        <v>3652</v>
      </c>
      <c r="E3389" t="s">
        <v>3363</v>
      </c>
      <c r="F3389" s="20">
        <v>2100</v>
      </c>
      <c r="I3389" s="11">
        <f t="shared" si="138"/>
        <v>45464</v>
      </c>
      <c r="J3389" s="12">
        <f t="shared" si="139"/>
        <v>10</v>
      </c>
      <c r="K3389" t="str">
        <f t="shared" si="137"/>
        <v>0-30</v>
      </c>
      <c r="L3389" s="11">
        <v>45474</v>
      </c>
      <c r="M3389" s="23">
        <f>YEAR(Таблица1[[#This Row],[Дата отчета]])</f>
        <v>2024</v>
      </c>
    </row>
    <row r="3390" spans="1:14" x14ac:dyDescent="0.25">
      <c r="A3390" t="s">
        <v>12</v>
      </c>
      <c r="B3390" t="s">
        <v>3648</v>
      </c>
      <c r="C3390" t="s">
        <v>3653</v>
      </c>
      <c r="D3390" t="s">
        <v>3654</v>
      </c>
      <c r="E3390" t="s">
        <v>3371</v>
      </c>
      <c r="F3390" s="20">
        <v>42192</v>
      </c>
      <c r="I3390" s="11">
        <f t="shared" si="138"/>
        <v>45462</v>
      </c>
      <c r="J3390" s="12">
        <f t="shared" si="139"/>
        <v>12</v>
      </c>
      <c r="K3390" t="str">
        <f t="shared" si="137"/>
        <v>0-30</v>
      </c>
      <c r="L3390" s="11">
        <v>45474</v>
      </c>
      <c r="M3390" s="23">
        <f>YEAR(Таблица1[[#This Row],[Дата отчета]])</f>
        <v>2024</v>
      </c>
    </row>
    <row r="3391" spans="1:14" x14ac:dyDescent="0.25">
      <c r="A3391" t="s">
        <v>12</v>
      </c>
      <c r="B3391" t="s">
        <v>3655</v>
      </c>
      <c r="C3391" t="s">
        <v>3656</v>
      </c>
      <c r="D3391" t="s">
        <v>3657</v>
      </c>
      <c r="E3391" t="s">
        <v>1782</v>
      </c>
      <c r="F3391" s="20">
        <v>12669</v>
      </c>
      <c r="I3391" s="11">
        <f t="shared" si="138"/>
        <v>45450</v>
      </c>
      <c r="J3391" s="12">
        <f t="shared" si="139"/>
        <v>24</v>
      </c>
      <c r="K3391" t="str">
        <f t="shared" ref="K3391:K3454" si="140">IF(J3391&lt;=30,"0-30",IF(J3391&lt;=90,"31-90",IF(J3391&lt;=120,"91-120",IF(J3391&lt;=180,"121-180",IF(J3391&lt;=270,"181-270",IF(J3391&lt;=360,"271-360","&gt;360"))))))</f>
        <v>0-30</v>
      </c>
      <c r="L3391" s="11">
        <v>45474</v>
      </c>
      <c r="M3391" s="23">
        <f>YEAR(Таблица1[[#This Row],[Дата отчета]])</f>
        <v>2024</v>
      </c>
    </row>
    <row r="3392" spans="1:14" x14ac:dyDescent="0.25">
      <c r="A3392" t="s">
        <v>12</v>
      </c>
      <c r="B3392" t="s">
        <v>3658</v>
      </c>
      <c r="C3392" t="s">
        <v>3659</v>
      </c>
      <c r="D3392" t="s">
        <v>3660</v>
      </c>
      <c r="E3392" t="s">
        <v>300</v>
      </c>
      <c r="F3392" s="20">
        <v>14720</v>
      </c>
      <c r="I3392" s="11">
        <f t="shared" si="138"/>
        <v>45449</v>
      </c>
      <c r="J3392" s="12">
        <f t="shared" si="139"/>
        <v>25</v>
      </c>
      <c r="K3392" t="str">
        <f t="shared" si="140"/>
        <v>0-30</v>
      </c>
      <c r="L3392" s="11">
        <v>45474</v>
      </c>
      <c r="M3392" s="23">
        <f>YEAR(Таблица1[[#This Row],[Дата отчета]])</f>
        <v>2024</v>
      </c>
    </row>
    <row r="3393" spans="1:14" x14ac:dyDescent="0.25">
      <c r="A3393" t="s">
        <v>12</v>
      </c>
      <c r="B3393" t="s">
        <v>3661</v>
      </c>
      <c r="C3393" t="s">
        <v>3662</v>
      </c>
      <c r="D3393" t="s">
        <v>3663</v>
      </c>
      <c r="E3393" t="s">
        <v>2965</v>
      </c>
      <c r="F3393" s="20">
        <v>28800</v>
      </c>
      <c r="I3393" s="11">
        <f t="shared" si="138"/>
        <v>45377</v>
      </c>
      <c r="J3393" s="12">
        <f t="shared" si="139"/>
        <v>97</v>
      </c>
      <c r="K3393" t="str">
        <f t="shared" si="140"/>
        <v>91-120</v>
      </c>
      <c r="L3393" s="11">
        <v>45474</v>
      </c>
      <c r="M3393" s="23">
        <f>YEAR(Таблица1[[#This Row],[Дата отчета]])</f>
        <v>2024</v>
      </c>
    </row>
    <row r="3394" spans="1:14" x14ac:dyDescent="0.25">
      <c r="A3394" t="s">
        <v>12</v>
      </c>
      <c r="B3394" t="s">
        <v>3664</v>
      </c>
      <c r="C3394" t="s">
        <v>3665</v>
      </c>
      <c r="D3394" t="s">
        <v>3666</v>
      </c>
      <c r="E3394" t="s">
        <v>796</v>
      </c>
      <c r="F3394" s="20">
        <v>1889400</v>
      </c>
      <c r="I3394" s="11">
        <f t="shared" si="138"/>
        <v>44889</v>
      </c>
      <c r="J3394" s="12">
        <f t="shared" si="139"/>
        <v>585</v>
      </c>
      <c r="K3394" t="str">
        <f t="shared" si="140"/>
        <v>&gt;360</v>
      </c>
      <c r="L3394" s="11">
        <v>45474</v>
      </c>
      <c r="M3394" s="23">
        <f>YEAR(Таблица1[[#This Row],[Дата отчета]])</f>
        <v>2024</v>
      </c>
    </row>
    <row r="3395" spans="1:14" x14ac:dyDescent="0.25">
      <c r="A3395" t="s">
        <v>12</v>
      </c>
      <c r="B3395" t="s">
        <v>3667</v>
      </c>
      <c r="C3395" t="s">
        <v>3668</v>
      </c>
      <c r="D3395" t="s">
        <v>3669</v>
      </c>
      <c r="E3395" t="s">
        <v>477</v>
      </c>
      <c r="F3395" s="20">
        <v>15498000</v>
      </c>
      <c r="I3395" s="11">
        <f t="shared" si="138"/>
        <v>45401</v>
      </c>
      <c r="J3395" s="12">
        <f t="shared" si="139"/>
        <v>73</v>
      </c>
      <c r="K3395" t="str">
        <f t="shared" si="140"/>
        <v>31-90</v>
      </c>
      <c r="L3395" s="11">
        <v>45474</v>
      </c>
      <c r="M3395" s="23">
        <f>YEAR(Таблица1[[#This Row],[Дата отчета]])</f>
        <v>2024</v>
      </c>
    </row>
    <row r="3396" spans="1:14" x14ac:dyDescent="0.25">
      <c r="A3396" t="s">
        <v>12</v>
      </c>
      <c r="B3396" t="s">
        <v>2263</v>
      </c>
      <c r="C3396" t="s">
        <v>3232</v>
      </c>
      <c r="D3396" t="s">
        <v>3233</v>
      </c>
      <c r="E3396" t="s">
        <v>3234</v>
      </c>
      <c r="F3396" s="20">
        <v>672200</v>
      </c>
      <c r="I3396" s="11">
        <f t="shared" si="138"/>
        <v>45419</v>
      </c>
      <c r="J3396" s="12">
        <f t="shared" si="139"/>
        <v>55</v>
      </c>
      <c r="K3396" t="str">
        <f t="shared" si="140"/>
        <v>31-90</v>
      </c>
      <c r="L3396" s="11">
        <v>45474</v>
      </c>
      <c r="M3396" s="23">
        <f>YEAR(Таблица1[[#This Row],[Дата отчета]])</f>
        <v>2024</v>
      </c>
    </row>
    <row r="3397" spans="1:14" x14ac:dyDescent="0.25">
      <c r="A3397" t="s">
        <v>12</v>
      </c>
      <c r="B3397" t="s">
        <v>2263</v>
      </c>
      <c r="C3397" t="s">
        <v>3232</v>
      </c>
      <c r="D3397" t="s">
        <v>3235</v>
      </c>
      <c r="E3397" t="s">
        <v>3236</v>
      </c>
      <c r="F3397" s="20">
        <v>672200</v>
      </c>
      <c r="I3397" s="11">
        <f t="shared" si="138"/>
        <v>45429</v>
      </c>
      <c r="J3397" s="12">
        <f t="shared" si="139"/>
        <v>45</v>
      </c>
      <c r="K3397" t="str">
        <f t="shared" si="140"/>
        <v>31-90</v>
      </c>
      <c r="L3397" s="11">
        <v>45474</v>
      </c>
      <c r="M3397" s="23">
        <f>YEAR(Таблица1[[#This Row],[Дата отчета]])</f>
        <v>2024</v>
      </c>
    </row>
    <row r="3398" spans="1:14" x14ac:dyDescent="0.25">
      <c r="A3398" t="s">
        <v>12</v>
      </c>
      <c r="B3398" t="s">
        <v>2263</v>
      </c>
      <c r="C3398" t="s">
        <v>3237</v>
      </c>
      <c r="D3398" t="s">
        <v>3238</v>
      </c>
      <c r="E3398" t="s">
        <v>3234</v>
      </c>
      <c r="F3398" s="20">
        <v>819540</v>
      </c>
      <c r="I3398" s="11">
        <f t="shared" si="138"/>
        <v>45419</v>
      </c>
      <c r="J3398" s="12">
        <f t="shared" si="139"/>
        <v>55</v>
      </c>
      <c r="K3398" t="str">
        <f t="shared" si="140"/>
        <v>31-90</v>
      </c>
      <c r="L3398" s="11">
        <v>45474</v>
      </c>
      <c r="M3398" s="23">
        <f>YEAR(Таблица1[[#This Row],[Дата отчета]])</f>
        <v>2024</v>
      </c>
    </row>
    <row r="3399" spans="1:14" x14ac:dyDescent="0.25">
      <c r="A3399" t="s">
        <v>12</v>
      </c>
      <c r="B3399" t="s">
        <v>2263</v>
      </c>
      <c r="C3399" t="s">
        <v>3237</v>
      </c>
      <c r="D3399" t="s">
        <v>3239</v>
      </c>
      <c r="E3399" t="s">
        <v>3236</v>
      </c>
      <c r="F3399" s="20">
        <v>819540</v>
      </c>
      <c r="I3399" s="11">
        <f t="shared" si="138"/>
        <v>45429</v>
      </c>
      <c r="J3399" s="12">
        <f t="shared" si="139"/>
        <v>45</v>
      </c>
      <c r="K3399" t="str">
        <f t="shared" si="140"/>
        <v>31-90</v>
      </c>
      <c r="L3399" s="11">
        <v>45474</v>
      </c>
      <c r="M3399" s="23">
        <f>YEAR(Таблица1[[#This Row],[Дата отчета]])</f>
        <v>2024</v>
      </c>
    </row>
    <row r="3400" spans="1:14" x14ac:dyDescent="0.25">
      <c r="A3400" t="s">
        <v>12</v>
      </c>
      <c r="B3400" t="s">
        <v>2263</v>
      </c>
      <c r="C3400" t="s">
        <v>3240</v>
      </c>
      <c r="D3400" t="s">
        <v>3241</v>
      </c>
      <c r="E3400" t="s">
        <v>3234</v>
      </c>
      <c r="F3400" s="20">
        <v>491400</v>
      </c>
      <c r="I3400" s="11">
        <f t="shared" si="138"/>
        <v>45419</v>
      </c>
      <c r="J3400" s="12">
        <f t="shared" si="139"/>
        <v>55</v>
      </c>
      <c r="K3400" t="str">
        <f t="shared" si="140"/>
        <v>31-90</v>
      </c>
      <c r="L3400" s="11">
        <v>45474</v>
      </c>
      <c r="M3400" s="23">
        <f>YEAR(Таблица1[[#This Row],[Дата отчета]])</f>
        <v>2024</v>
      </c>
    </row>
    <row r="3401" spans="1:14" x14ac:dyDescent="0.25">
      <c r="A3401" t="s">
        <v>12</v>
      </c>
      <c r="B3401" t="s">
        <v>2263</v>
      </c>
      <c r="C3401" t="s">
        <v>3240</v>
      </c>
      <c r="D3401" t="s">
        <v>3242</v>
      </c>
      <c r="E3401" t="s">
        <v>3236</v>
      </c>
      <c r="F3401" s="20">
        <v>491400</v>
      </c>
      <c r="I3401" s="11">
        <f t="shared" si="138"/>
        <v>45429</v>
      </c>
      <c r="J3401" s="12">
        <f t="shared" si="139"/>
        <v>45</v>
      </c>
      <c r="K3401" t="str">
        <f t="shared" si="140"/>
        <v>31-90</v>
      </c>
      <c r="L3401" s="11">
        <v>45474</v>
      </c>
      <c r="M3401" s="23">
        <f>YEAR(Таблица1[[#This Row],[Дата отчета]])</f>
        <v>2024</v>
      </c>
    </row>
    <row r="3402" spans="1:14" x14ac:dyDescent="0.25">
      <c r="A3402" t="s">
        <v>12</v>
      </c>
      <c r="B3402" t="s">
        <v>2263</v>
      </c>
      <c r="C3402" t="s">
        <v>3243</v>
      </c>
      <c r="D3402" t="s">
        <v>3244</v>
      </c>
      <c r="E3402" t="s">
        <v>3245</v>
      </c>
      <c r="F3402" s="20">
        <v>678200</v>
      </c>
      <c r="I3402" s="11">
        <f t="shared" si="138"/>
        <v>45425</v>
      </c>
      <c r="J3402" s="12">
        <f t="shared" si="139"/>
        <v>49</v>
      </c>
      <c r="K3402" t="str">
        <f t="shared" si="140"/>
        <v>31-90</v>
      </c>
      <c r="L3402" s="11">
        <v>45474</v>
      </c>
      <c r="M3402" s="23">
        <f>YEAR(Таблица1[[#This Row],[Дата отчета]])</f>
        <v>2024</v>
      </c>
    </row>
    <row r="3403" spans="1:14" x14ac:dyDescent="0.25">
      <c r="A3403" t="s">
        <v>12</v>
      </c>
      <c r="B3403" t="s">
        <v>3670</v>
      </c>
      <c r="C3403" t="s">
        <v>3671</v>
      </c>
      <c r="D3403" t="s">
        <v>3672</v>
      </c>
      <c r="E3403" t="s">
        <v>3586</v>
      </c>
      <c r="F3403" s="20">
        <v>4400</v>
      </c>
      <c r="I3403" s="11">
        <f t="shared" si="138"/>
        <v>45428</v>
      </c>
      <c r="J3403" s="12">
        <f t="shared" si="139"/>
        <v>46</v>
      </c>
      <c r="K3403" t="str">
        <f t="shared" si="140"/>
        <v>31-90</v>
      </c>
      <c r="L3403" s="11">
        <v>45474</v>
      </c>
      <c r="M3403" s="23">
        <f>YEAR(Таблица1[[#This Row],[Дата отчета]])</f>
        <v>2024</v>
      </c>
    </row>
    <row r="3404" spans="1:14" x14ac:dyDescent="0.25">
      <c r="A3404" t="s">
        <v>12</v>
      </c>
      <c r="B3404" t="s">
        <v>766</v>
      </c>
      <c r="C3404" t="s">
        <v>3673</v>
      </c>
      <c r="D3404" t="s">
        <v>3674</v>
      </c>
      <c r="E3404" t="s">
        <v>1798</v>
      </c>
      <c r="F3404" s="20">
        <v>14500</v>
      </c>
      <c r="I3404" s="11">
        <f t="shared" si="138"/>
        <v>45470</v>
      </c>
      <c r="J3404" s="12">
        <f t="shared" si="139"/>
        <v>4</v>
      </c>
      <c r="K3404" t="str">
        <f t="shared" si="140"/>
        <v>0-30</v>
      </c>
      <c r="L3404" s="11">
        <v>45474</v>
      </c>
      <c r="M3404" s="23">
        <f>YEAR(Таблица1[[#This Row],[Дата отчета]])</f>
        <v>2024</v>
      </c>
    </row>
    <row r="3405" spans="1:14" x14ac:dyDescent="0.25">
      <c r="A3405" t="s">
        <v>12</v>
      </c>
      <c r="B3405" t="s">
        <v>3675</v>
      </c>
      <c r="C3405" t="s">
        <v>3676</v>
      </c>
      <c r="D3405" t="s">
        <v>3677</v>
      </c>
      <c r="E3405" t="s">
        <v>3363</v>
      </c>
      <c r="F3405" s="20">
        <v>57110.400000000001</v>
      </c>
      <c r="I3405" s="11">
        <f t="shared" si="138"/>
        <v>45464</v>
      </c>
      <c r="J3405" s="12">
        <f t="shared" si="139"/>
        <v>10</v>
      </c>
      <c r="K3405" t="str">
        <f t="shared" si="140"/>
        <v>0-30</v>
      </c>
      <c r="L3405" s="11">
        <v>45474</v>
      </c>
      <c r="M3405" s="23">
        <f>YEAR(Таблица1[[#This Row],[Дата отчета]])</f>
        <v>2024</v>
      </c>
    </row>
    <row r="3406" spans="1:14" x14ac:dyDescent="0.25">
      <c r="A3406" t="s">
        <v>12</v>
      </c>
      <c r="B3406" t="s">
        <v>777</v>
      </c>
      <c r="C3406" t="s">
        <v>778</v>
      </c>
      <c r="D3406" t="s">
        <v>779</v>
      </c>
      <c r="E3406" t="s">
        <v>780</v>
      </c>
      <c r="F3406" s="20">
        <v>196.02</v>
      </c>
      <c r="I3406" s="11">
        <f t="shared" si="138"/>
        <v>44868</v>
      </c>
      <c r="J3406" s="12">
        <f t="shared" si="139"/>
        <v>606</v>
      </c>
      <c r="K3406" t="str">
        <f t="shared" si="140"/>
        <v>&gt;360</v>
      </c>
      <c r="L3406" s="11">
        <v>45474</v>
      </c>
      <c r="M3406" s="23">
        <f>YEAR(Таблица1[[#This Row],[Дата отчета]])</f>
        <v>2024</v>
      </c>
      <c r="N3406" s="2" t="s">
        <v>807</v>
      </c>
    </row>
    <row r="3407" spans="1:14" x14ac:dyDescent="0.25">
      <c r="A3407" t="s">
        <v>12</v>
      </c>
      <c r="B3407" t="s">
        <v>781</v>
      </c>
      <c r="C3407" t="s">
        <v>3246</v>
      </c>
      <c r="D3407" t="s">
        <v>3247</v>
      </c>
      <c r="E3407" t="s">
        <v>3248</v>
      </c>
      <c r="F3407" s="20">
        <v>8910.81</v>
      </c>
      <c r="I3407" s="11">
        <f t="shared" si="138"/>
        <v>45404</v>
      </c>
      <c r="J3407" s="12">
        <f t="shared" si="139"/>
        <v>70</v>
      </c>
      <c r="K3407" t="str">
        <f t="shared" si="140"/>
        <v>31-90</v>
      </c>
      <c r="L3407" s="11">
        <v>45474</v>
      </c>
      <c r="M3407" s="23">
        <f>YEAR(Таблица1[[#This Row],[Дата отчета]])</f>
        <v>2024</v>
      </c>
    </row>
    <row r="3408" spans="1:14" x14ac:dyDescent="0.25">
      <c r="A3408" t="s">
        <v>12</v>
      </c>
      <c r="B3408" t="s">
        <v>781</v>
      </c>
      <c r="C3408" t="s">
        <v>3249</v>
      </c>
      <c r="D3408" t="s">
        <v>3250</v>
      </c>
      <c r="E3408" t="s">
        <v>3251</v>
      </c>
      <c r="F3408" s="20">
        <v>6442.4</v>
      </c>
      <c r="I3408" s="11">
        <f t="shared" si="138"/>
        <v>45405</v>
      </c>
      <c r="J3408" s="12">
        <f t="shared" si="139"/>
        <v>69</v>
      </c>
      <c r="K3408" t="str">
        <f t="shared" si="140"/>
        <v>31-90</v>
      </c>
      <c r="L3408" s="11">
        <v>45474</v>
      </c>
      <c r="M3408" s="23">
        <f>YEAR(Таблица1[[#This Row],[Дата отчета]])</f>
        <v>2024</v>
      </c>
    </row>
    <row r="3409" spans="1:14" x14ac:dyDescent="0.25">
      <c r="A3409" t="s">
        <v>12</v>
      </c>
      <c r="B3409" t="s">
        <v>1676</v>
      </c>
      <c r="C3409" t="s">
        <v>3252</v>
      </c>
      <c r="D3409" t="s">
        <v>3253</v>
      </c>
      <c r="E3409" t="s">
        <v>3254</v>
      </c>
      <c r="F3409" s="20">
        <v>36897.74</v>
      </c>
      <c r="I3409" s="11">
        <f t="shared" si="138"/>
        <v>45219</v>
      </c>
      <c r="J3409" s="12">
        <f t="shared" si="139"/>
        <v>255</v>
      </c>
      <c r="K3409" t="str">
        <f t="shared" si="140"/>
        <v>181-270</v>
      </c>
      <c r="L3409" s="11">
        <v>45474</v>
      </c>
      <c r="M3409" s="23">
        <f>YEAR(Таблица1[[#This Row],[Дата отчета]])</f>
        <v>2024</v>
      </c>
    </row>
    <row r="3410" spans="1:14" x14ac:dyDescent="0.25">
      <c r="A3410" t="s">
        <v>12</v>
      </c>
      <c r="B3410" t="s">
        <v>793</v>
      </c>
      <c r="C3410" t="s">
        <v>794</v>
      </c>
      <c r="D3410" t="s">
        <v>795</v>
      </c>
      <c r="E3410" t="s">
        <v>796</v>
      </c>
      <c r="F3410" s="20">
        <v>650</v>
      </c>
      <c r="I3410" s="11">
        <f t="shared" si="138"/>
        <v>44889</v>
      </c>
      <c r="J3410" s="12">
        <f t="shared" si="139"/>
        <v>585</v>
      </c>
      <c r="K3410" t="str">
        <f t="shared" si="140"/>
        <v>&gt;360</v>
      </c>
      <c r="L3410" s="11">
        <v>45474</v>
      </c>
      <c r="M3410" s="23">
        <f>YEAR(Таблица1[[#This Row],[Дата отчета]])</f>
        <v>2024</v>
      </c>
      <c r="N3410" s="2" t="s">
        <v>807</v>
      </c>
    </row>
    <row r="3411" spans="1:14" x14ac:dyDescent="0.25">
      <c r="A3411" t="s">
        <v>12</v>
      </c>
      <c r="B3411" t="s">
        <v>1224</v>
      </c>
      <c r="C3411" t="s">
        <v>1234</v>
      </c>
      <c r="D3411" t="s">
        <v>1251</v>
      </c>
      <c r="E3411" t="s">
        <v>1258</v>
      </c>
      <c r="F3411" s="20">
        <v>12</v>
      </c>
      <c r="I3411" s="11">
        <f t="shared" si="138"/>
        <v>45288</v>
      </c>
      <c r="J3411" s="12">
        <f t="shared" si="139"/>
        <v>186</v>
      </c>
      <c r="K3411" t="str">
        <f t="shared" si="140"/>
        <v>181-270</v>
      </c>
      <c r="L3411" s="11">
        <v>45474</v>
      </c>
      <c r="M3411" s="23">
        <f>YEAR(Таблица1[[#This Row],[Дата отчета]])</f>
        <v>2024</v>
      </c>
    </row>
    <row r="3412" spans="1:14" x14ac:dyDescent="0.25">
      <c r="A3412" t="s">
        <v>12</v>
      </c>
      <c r="B3412" t="s">
        <v>797</v>
      </c>
      <c r="C3412" t="s">
        <v>2282</v>
      </c>
      <c r="D3412" t="s">
        <v>2283</v>
      </c>
      <c r="E3412" t="s">
        <v>284</v>
      </c>
      <c r="F3412" s="20">
        <v>0.3</v>
      </c>
      <c r="I3412" s="11">
        <f t="shared" si="138"/>
        <v>45398</v>
      </c>
      <c r="J3412" s="12">
        <f t="shared" si="139"/>
        <v>76</v>
      </c>
      <c r="K3412" t="str">
        <f t="shared" si="140"/>
        <v>31-90</v>
      </c>
      <c r="L3412" s="11">
        <v>45474</v>
      </c>
      <c r="M3412" s="23">
        <f>YEAR(Таблица1[[#This Row],[Дата отчета]])</f>
        <v>2024</v>
      </c>
    </row>
    <row r="3413" spans="1:14" x14ac:dyDescent="0.25">
      <c r="A3413" t="s">
        <v>12</v>
      </c>
      <c r="B3413" t="s">
        <v>2302</v>
      </c>
      <c r="C3413" t="s">
        <v>3678</v>
      </c>
      <c r="D3413" t="s">
        <v>3679</v>
      </c>
      <c r="E3413" t="s">
        <v>3408</v>
      </c>
      <c r="F3413" s="20">
        <v>180000</v>
      </c>
      <c r="I3413" s="11">
        <f t="shared" si="138"/>
        <v>45457</v>
      </c>
      <c r="J3413" s="12">
        <f t="shared" si="139"/>
        <v>17</v>
      </c>
      <c r="K3413" t="str">
        <f t="shared" si="140"/>
        <v>0-30</v>
      </c>
      <c r="L3413" s="11">
        <v>45474</v>
      </c>
      <c r="M3413" s="23">
        <f>YEAR(Таблица1[[#This Row],[Дата отчета]])</f>
        <v>2024</v>
      </c>
    </row>
    <row r="3414" spans="1:14" x14ac:dyDescent="0.25">
      <c r="A3414" t="s">
        <v>12</v>
      </c>
      <c r="B3414" t="s">
        <v>2308</v>
      </c>
      <c r="C3414" t="s">
        <v>3680</v>
      </c>
      <c r="D3414" t="s">
        <v>3681</v>
      </c>
      <c r="E3414" t="s">
        <v>3245</v>
      </c>
      <c r="F3414" s="20">
        <v>35000</v>
      </c>
      <c r="I3414" s="11">
        <f t="shared" si="138"/>
        <v>45425</v>
      </c>
      <c r="J3414" s="12">
        <f t="shared" si="139"/>
        <v>49</v>
      </c>
      <c r="K3414" t="str">
        <f t="shared" si="140"/>
        <v>31-90</v>
      </c>
      <c r="L3414" s="11">
        <v>45474</v>
      </c>
      <c r="M3414" s="23">
        <f>YEAR(Таблица1[[#This Row],[Дата отчета]])</f>
        <v>2024</v>
      </c>
    </row>
    <row r="3415" spans="1:14" x14ac:dyDescent="0.25">
      <c r="A3415" t="s">
        <v>12</v>
      </c>
      <c r="B3415" t="s">
        <v>831</v>
      </c>
      <c r="C3415" t="s">
        <v>3682</v>
      </c>
      <c r="D3415" t="s">
        <v>3683</v>
      </c>
      <c r="E3415" t="s">
        <v>2463</v>
      </c>
      <c r="F3415" s="20">
        <v>182</v>
      </c>
      <c r="I3415" s="11">
        <f t="shared" ref="I3415:I3478" si="141">E3415*1</f>
        <v>45468</v>
      </c>
      <c r="J3415" s="12">
        <f t="shared" ref="J3415:J3478" si="142">L3415-I3415</f>
        <v>6</v>
      </c>
      <c r="K3415" t="str">
        <f t="shared" si="140"/>
        <v>0-30</v>
      </c>
      <c r="L3415" s="11">
        <v>45474</v>
      </c>
      <c r="M3415" s="23">
        <f>YEAR(Таблица1[[#This Row],[Дата отчета]])</f>
        <v>2024</v>
      </c>
    </row>
    <row r="3416" spans="1:14" x14ac:dyDescent="0.25">
      <c r="A3416" t="s">
        <v>12</v>
      </c>
      <c r="B3416" t="s">
        <v>2313</v>
      </c>
      <c r="C3416" t="s">
        <v>3684</v>
      </c>
      <c r="D3416" t="s">
        <v>3685</v>
      </c>
      <c r="E3416" t="s">
        <v>1785</v>
      </c>
      <c r="F3416" s="20">
        <v>6215</v>
      </c>
      <c r="I3416" s="11">
        <f t="shared" si="141"/>
        <v>45448</v>
      </c>
      <c r="J3416" s="12">
        <f t="shared" si="142"/>
        <v>26</v>
      </c>
      <c r="K3416" t="str">
        <f t="shared" si="140"/>
        <v>0-30</v>
      </c>
      <c r="L3416" s="11">
        <v>45474</v>
      </c>
      <c r="M3416" s="23">
        <f>YEAR(Таблица1[[#This Row],[Дата отчета]])</f>
        <v>2024</v>
      </c>
    </row>
    <row r="3417" spans="1:14" x14ac:dyDescent="0.25">
      <c r="A3417" t="s">
        <v>12</v>
      </c>
      <c r="B3417" t="s">
        <v>2313</v>
      </c>
      <c r="C3417" t="s">
        <v>2314</v>
      </c>
      <c r="D3417" t="s">
        <v>2315</v>
      </c>
      <c r="E3417" t="s">
        <v>2463</v>
      </c>
      <c r="F3417" s="20">
        <v>87700</v>
      </c>
      <c r="I3417" s="11">
        <f t="shared" si="141"/>
        <v>45468</v>
      </c>
      <c r="J3417" s="12">
        <f t="shared" si="142"/>
        <v>6</v>
      </c>
      <c r="K3417" t="str">
        <f t="shared" si="140"/>
        <v>0-30</v>
      </c>
      <c r="L3417" s="11">
        <v>45474</v>
      </c>
      <c r="M3417" s="23">
        <f>YEAR(Таблица1[[#This Row],[Дата отчета]])</f>
        <v>2024</v>
      </c>
    </row>
    <row r="3418" spans="1:14" x14ac:dyDescent="0.25">
      <c r="A3418" t="s">
        <v>12</v>
      </c>
      <c r="B3418" t="s">
        <v>2313</v>
      </c>
      <c r="C3418" t="s">
        <v>2316</v>
      </c>
      <c r="D3418" t="s">
        <v>2317</v>
      </c>
      <c r="E3418" t="s">
        <v>2464</v>
      </c>
      <c r="F3418" s="20">
        <v>18597</v>
      </c>
      <c r="I3418" s="11">
        <f t="shared" si="141"/>
        <v>45397</v>
      </c>
      <c r="J3418" s="12">
        <f t="shared" si="142"/>
        <v>77</v>
      </c>
      <c r="K3418" t="str">
        <f t="shared" si="140"/>
        <v>31-90</v>
      </c>
      <c r="L3418" s="11">
        <v>45474</v>
      </c>
      <c r="M3418" s="23">
        <f>YEAR(Таблица1[[#This Row],[Дата отчета]])</f>
        <v>2024</v>
      </c>
    </row>
    <row r="3419" spans="1:14" x14ac:dyDescent="0.25">
      <c r="A3419" t="s">
        <v>12</v>
      </c>
      <c r="B3419" t="s">
        <v>2313</v>
      </c>
      <c r="C3419" t="s">
        <v>3686</v>
      </c>
      <c r="D3419" t="s">
        <v>3687</v>
      </c>
      <c r="E3419" t="s">
        <v>175</v>
      </c>
      <c r="F3419" s="20">
        <v>1350</v>
      </c>
      <c r="I3419" s="11">
        <f t="shared" si="141"/>
        <v>45399</v>
      </c>
      <c r="J3419" s="12">
        <f t="shared" si="142"/>
        <v>75</v>
      </c>
      <c r="K3419" t="str">
        <f t="shared" si="140"/>
        <v>31-90</v>
      </c>
      <c r="L3419" s="11">
        <v>45474</v>
      </c>
      <c r="M3419" s="23">
        <f>YEAR(Таблица1[[#This Row],[Дата отчета]])</f>
        <v>2024</v>
      </c>
    </row>
    <row r="3420" spans="1:14" x14ac:dyDescent="0.25">
      <c r="A3420" t="s">
        <v>12</v>
      </c>
      <c r="B3420" t="s">
        <v>2318</v>
      </c>
      <c r="C3420" t="s">
        <v>3688</v>
      </c>
      <c r="D3420" t="s">
        <v>3689</v>
      </c>
      <c r="E3420" t="s">
        <v>3690</v>
      </c>
      <c r="F3420" s="20">
        <v>16897</v>
      </c>
      <c r="I3420" s="11">
        <f t="shared" si="141"/>
        <v>45378</v>
      </c>
      <c r="J3420" s="12">
        <f t="shared" si="142"/>
        <v>96</v>
      </c>
      <c r="K3420" t="str">
        <f t="shared" si="140"/>
        <v>91-120</v>
      </c>
      <c r="L3420" s="11">
        <v>45474</v>
      </c>
      <c r="M3420" s="23">
        <f>YEAR(Таблица1[[#This Row],[Дата отчета]])</f>
        <v>2024</v>
      </c>
    </row>
    <row r="3421" spans="1:14" x14ac:dyDescent="0.25">
      <c r="A3421" t="s">
        <v>12</v>
      </c>
      <c r="B3421" t="s">
        <v>844</v>
      </c>
      <c r="C3421" t="s">
        <v>845</v>
      </c>
      <c r="D3421" t="s">
        <v>846</v>
      </c>
      <c r="E3421" t="s">
        <v>847</v>
      </c>
      <c r="F3421" s="20">
        <v>11834</v>
      </c>
      <c r="I3421" s="11">
        <f t="shared" si="141"/>
        <v>45200</v>
      </c>
      <c r="J3421" s="12">
        <f t="shared" si="142"/>
        <v>274</v>
      </c>
      <c r="K3421" t="str">
        <f t="shared" si="140"/>
        <v>271-360</v>
      </c>
      <c r="L3421" s="11">
        <v>45474</v>
      </c>
      <c r="M3421" s="23">
        <f>YEAR(Таблица1[[#This Row],[Дата отчета]])</f>
        <v>2024</v>
      </c>
      <c r="N3421" s="2" t="s">
        <v>807</v>
      </c>
    </row>
    <row r="3422" spans="1:14" x14ac:dyDescent="0.25">
      <c r="A3422" t="s">
        <v>12</v>
      </c>
      <c r="B3422" t="s">
        <v>3691</v>
      </c>
      <c r="C3422" t="s">
        <v>970</v>
      </c>
      <c r="D3422" t="s">
        <v>3692</v>
      </c>
      <c r="E3422" t="s">
        <v>2865</v>
      </c>
      <c r="F3422" s="20">
        <v>3200</v>
      </c>
      <c r="I3422" s="11">
        <f t="shared" si="141"/>
        <v>45453</v>
      </c>
      <c r="J3422" s="12">
        <f t="shared" si="142"/>
        <v>21</v>
      </c>
      <c r="K3422" t="str">
        <f t="shared" si="140"/>
        <v>0-30</v>
      </c>
      <c r="L3422" s="11">
        <v>45474</v>
      </c>
      <c r="M3422" s="23">
        <f>YEAR(Таблица1[[#This Row],[Дата отчета]])</f>
        <v>2024</v>
      </c>
    </row>
    <row r="3423" spans="1:14" x14ac:dyDescent="0.25">
      <c r="A3423" t="s">
        <v>12</v>
      </c>
      <c r="B3423" t="s">
        <v>3693</v>
      </c>
      <c r="C3423" t="s">
        <v>269</v>
      </c>
      <c r="D3423" t="s">
        <v>3152</v>
      </c>
      <c r="E3423" t="s">
        <v>3153</v>
      </c>
      <c r="F3423" s="20">
        <v>1287</v>
      </c>
      <c r="I3423" s="11">
        <f t="shared" si="141"/>
        <v>45357</v>
      </c>
      <c r="J3423" s="12">
        <f t="shared" si="142"/>
        <v>117</v>
      </c>
      <c r="K3423" t="str">
        <f t="shared" si="140"/>
        <v>91-120</v>
      </c>
      <c r="L3423" s="11">
        <v>45474</v>
      </c>
      <c r="M3423" s="23">
        <f>YEAR(Таблица1[[#This Row],[Дата отчета]])</f>
        <v>2024</v>
      </c>
    </row>
    <row r="3424" spans="1:14" x14ac:dyDescent="0.25">
      <c r="A3424" t="s">
        <v>12</v>
      </c>
      <c r="B3424" t="s">
        <v>2987</v>
      </c>
      <c r="C3424" t="s">
        <v>3694</v>
      </c>
      <c r="D3424" t="s">
        <v>3695</v>
      </c>
      <c r="E3424" t="s">
        <v>1795</v>
      </c>
      <c r="F3424" s="20">
        <v>96900</v>
      </c>
      <c r="I3424" s="11">
        <f t="shared" si="141"/>
        <v>45391</v>
      </c>
      <c r="J3424" s="12">
        <f t="shared" si="142"/>
        <v>83</v>
      </c>
      <c r="K3424" t="str">
        <f t="shared" si="140"/>
        <v>31-90</v>
      </c>
      <c r="L3424" s="11">
        <v>45474</v>
      </c>
      <c r="M3424" s="23">
        <f>YEAR(Таблица1[[#This Row],[Дата отчета]])</f>
        <v>2024</v>
      </c>
    </row>
    <row r="3425" spans="1:14" x14ac:dyDescent="0.25">
      <c r="A3425" t="s">
        <v>12</v>
      </c>
      <c r="B3425" t="s">
        <v>2987</v>
      </c>
      <c r="C3425" t="s">
        <v>3696</v>
      </c>
      <c r="D3425" t="s">
        <v>3697</v>
      </c>
      <c r="E3425" t="s">
        <v>1795</v>
      </c>
      <c r="F3425" s="20">
        <v>122700</v>
      </c>
      <c r="I3425" s="11">
        <f t="shared" si="141"/>
        <v>45391</v>
      </c>
      <c r="J3425" s="12">
        <f t="shared" si="142"/>
        <v>83</v>
      </c>
      <c r="K3425" t="str">
        <f t="shared" si="140"/>
        <v>31-90</v>
      </c>
      <c r="L3425" s="11">
        <v>45474</v>
      </c>
      <c r="M3425" s="23">
        <f>YEAR(Таблица1[[#This Row],[Дата отчета]])</f>
        <v>2024</v>
      </c>
    </row>
    <row r="3426" spans="1:14" x14ac:dyDescent="0.25">
      <c r="A3426" t="s">
        <v>12</v>
      </c>
      <c r="B3426" t="s">
        <v>854</v>
      </c>
      <c r="C3426" t="s">
        <v>775</v>
      </c>
      <c r="D3426" t="s">
        <v>3698</v>
      </c>
      <c r="E3426" t="s">
        <v>3699</v>
      </c>
      <c r="F3426" s="20">
        <v>23090</v>
      </c>
      <c r="I3426" s="11">
        <f t="shared" si="141"/>
        <v>45409</v>
      </c>
      <c r="J3426" s="12">
        <f t="shared" si="142"/>
        <v>65</v>
      </c>
      <c r="K3426" t="str">
        <f t="shared" si="140"/>
        <v>31-90</v>
      </c>
      <c r="L3426" s="11">
        <v>45474</v>
      </c>
      <c r="M3426" s="23">
        <f>YEAR(Таблица1[[#This Row],[Дата отчета]])</f>
        <v>2024</v>
      </c>
    </row>
    <row r="3427" spans="1:14" x14ac:dyDescent="0.25">
      <c r="A3427" t="s">
        <v>12</v>
      </c>
      <c r="B3427" t="s">
        <v>854</v>
      </c>
      <c r="C3427" t="s">
        <v>3700</v>
      </c>
      <c r="D3427" t="s">
        <v>3701</v>
      </c>
      <c r="E3427" t="s">
        <v>189</v>
      </c>
      <c r="F3427" s="20">
        <v>71490</v>
      </c>
      <c r="I3427" s="11">
        <f t="shared" si="141"/>
        <v>45471</v>
      </c>
      <c r="J3427" s="12">
        <f t="shared" si="142"/>
        <v>3</v>
      </c>
      <c r="K3427" t="str">
        <f t="shared" si="140"/>
        <v>0-30</v>
      </c>
      <c r="L3427" s="11">
        <v>45474</v>
      </c>
      <c r="M3427" s="23">
        <f>YEAR(Таблица1[[#This Row],[Дата отчета]])</f>
        <v>2024</v>
      </c>
    </row>
    <row r="3428" spans="1:14" x14ac:dyDescent="0.25">
      <c r="A3428" t="s">
        <v>12</v>
      </c>
      <c r="B3428" t="s">
        <v>854</v>
      </c>
      <c r="C3428" t="s">
        <v>857</v>
      </c>
      <c r="D3428" t="s">
        <v>858</v>
      </c>
      <c r="E3428" t="s">
        <v>859</v>
      </c>
      <c r="F3428" s="20">
        <v>9250</v>
      </c>
      <c r="I3428" s="11">
        <f t="shared" si="141"/>
        <v>45110</v>
      </c>
      <c r="J3428" s="12">
        <f t="shared" si="142"/>
        <v>364</v>
      </c>
      <c r="K3428" t="str">
        <f t="shared" si="140"/>
        <v>&gt;360</v>
      </c>
      <c r="L3428" s="11">
        <v>45474</v>
      </c>
      <c r="M3428" s="23">
        <f>YEAR(Таблица1[[#This Row],[Дата отчета]])</f>
        <v>2024</v>
      </c>
      <c r="N3428" s="2" t="s">
        <v>807</v>
      </c>
    </row>
    <row r="3429" spans="1:14" x14ac:dyDescent="0.25">
      <c r="A3429" t="s">
        <v>12</v>
      </c>
      <c r="B3429" t="s">
        <v>854</v>
      </c>
      <c r="C3429" t="s">
        <v>860</v>
      </c>
      <c r="D3429" t="s">
        <v>861</v>
      </c>
      <c r="E3429" t="s">
        <v>862</v>
      </c>
      <c r="F3429" s="20">
        <v>4996</v>
      </c>
      <c r="I3429" s="11">
        <f t="shared" si="141"/>
        <v>45187</v>
      </c>
      <c r="J3429" s="12">
        <f t="shared" si="142"/>
        <v>287</v>
      </c>
      <c r="K3429" t="str">
        <f t="shared" si="140"/>
        <v>271-360</v>
      </c>
      <c r="L3429" s="11">
        <v>45474</v>
      </c>
      <c r="M3429" s="23">
        <f>YEAR(Таблица1[[#This Row],[Дата отчета]])</f>
        <v>2024</v>
      </c>
      <c r="N3429" s="2" t="s">
        <v>807</v>
      </c>
    </row>
    <row r="3430" spans="1:14" x14ac:dyDescent="0.25">
      <c r="A3430" t="s">
        <v>12</v>
      </c>
      <c r="B3430" t="s">
        <v>854</v>
      </c>
      <c r="C3430" t="s">
        <v>3702</v>
      </c>
      <c r="D3430" t="s">
        <v>3703</v>
      </c>
      <c r="E3430" t="s">
        <v>1782</v>
      </c>
      <c r="F3430" s="20">
        <v>3250</v>
      </c>
      <c r="I3430" s="11">
        <f t="shared" si="141"/>
        <v>45450</v>
      </c>
      <c r="J3430" s="12">
        <f t="shared" si="142"/>
        <v>24</v>
      </c>
      <c r="K3430" t="str">
        <f t="shared" si="140"/>
        <v>0-30</v>
      </c>
      <c r="L3430" s="11">
        <v>45474</v>
      </c>
      <c r="M3430" s="23">
        <f>YEAR(Таблица1[[#This Row],[Дата отчета]])</f>
        <v>2024</v>
      </c>
    </row>
    <row r="3431" spans="1:14" x14ac:dyDescent="0.25">
      <c r="A3431" t="s">
        <v>12</v>
      </c>
      <c r="B3431" t="s">
        <v>854</v>
      </c>
      <c r="C3431" t="s">
        <v>3704</v>
      </c>
      <c r="D3431" t="s">
        <v>3705</v>
      </c>
      <c r="E3431" t="s">
        <v>2865</v>
      </c>
      <c r="F3431" s="20">
        <v>24940</v>
      </c>
      <c r="I3431" s="11">
        <f t="shared" si="141"/>
        <v>45453</v>
      </c>
      <c r="J3431" s="12">
        <f t="shared" si="142"/>
        <v>21</v>
      </c>
      <c r="K3431" t="str">
        <f t="shared" si="140"/>
        <v>0-30</v>
      </c>
      <c r="L3431" s="11">
        <v>45474</v>
      </c>
      <c r="M3431" s="23">
        <f>YEAR(Таблица1[[#This Row],[Дата отчета]])</f>
        <v>2024</v>
      </c>
    </row>
    <row r="3432" spans="1:14" x14ac:dyDescent="0.25">
      <c r="A3432" t="s">
        <v>12</v>
      </c>
      <c r="B3432" t="s">
        <v>854</v>
      </c>
      <c r="C3432" t="s">
        <v>863</v>
      </c>
      <c r="D3432" t="s">
        <v>864</v>
      </c>
      <c r="E3432" t="s">
        <v>865</v>
      </c>
      <c r="F3432" s="20">
        <v>3100</v>
      </c>
      <c r="I3432" s="11">
        <f t="shared" si="141"/>
        <v>45456</v>
      </c>
      <c r="J3432" s="12">
        <f t="shared" si="142"/>
        <v>18</v>
      </c>
      <c r="K3432" t="str">
        <f t="shared" si="140"/>
        <v>0-30</v>
      </c>
      <c r="L3432" s="11">
        <v>45474</v>
      </c>
      <c r="M3432" s="23">
        <f>YEAR(Таблица1[[#This Row],[Дата отчета]])</f>
        <v>2024</v>
      </c>
      <c r="N3432" s="2" t="s">
        <v>807</v>
      </c>
    </row>
    <row r="3433" spans="1:14" x14ac:dyDescent="0.25">
      <c r="A3433" t="s">
        <v>12</v>
      </c>
      <c r="B3433" t="s">
        <v>854</v>
      </c>
      <c r="C3433" t="s">
        <v>3706</v>
      </c>
      <c r="D3433" t="s">
        <v>3707</v>
      </c>
      <c r="E3433" t="s">
        <v>3408</v>
      </c>
      <c r="F3433" s="20">
        <v>2000</v>
      </c>
      <c r="I3433" s="11">
        <f t="shared" si="141"/>
        <v>45457</v>
      </c>
      <c r="J3433" s="12">
        <f t="shared" si="142"/>
        <v>17</v>
      </c>
      <c r="K3433" t="str">
        <f t="shared" si="140"/>
        <v>0-30</v>
      </c>
      <c r="L3433" s="11">
        <v>45474</v>
      </c>
      <c r="M3433" s="23">
        <f>YEAR(Таблица1[[#This Row],[Дата отчета]])</f>
        <v>2024</v>
      </c>
    </row>
    <row r="3434" spans="1:14" x14ac:dyDescent="0.25">
      <c r="A3434" t="s">
        <v>12</v>
      </c>
      <c r="B3434" t="s">
        <v>854</v>
      </c>
      <c r="C3434" t="s">
        <v>3708</v>
      </c>
      <c r="D3434" t="s">
        <v>3709</v>
      </c>
      <c r="E3434" t="s">
        <v>3363</v>
      </c>
      <c r="F3434" s="20">
        <v>11620</v>
      </c>
      <c r="I3434" s="11">
        <f t="shared" si="141"/>
        <v>45464</v>
      </c>
      <c r="J3434" s="12">
        <f t="shared" si="142"/>
        <v>10</v>
      </c>
      <c r="K3434" t="str">
        <f t="shared" si="140"/>
        <v>0-30</v>
      </c>
      <c r="L3434" s="11">
        <v>45474</v>
      </c>
      <c r="M3434" s="23">
        <f>YEAR(Таблица1[[#This Row],[Дата отчета]])</f>
        <v>2024</v>
      </c>
    </row>
    <row r="3435" spans="1:14" x14ac:dyDescent="0.25">
      <c r="A3435" t="s">
        <v>12</v>
      </c>
      <c r="B3435" t="s">
        <v>854</v>
      </c>
      <c r="C3435" t="s">
        <v>866</v>
      </c>
      <c r="D3435" t="s">
        <v>867</v>
      </c>
      <c r="E3435" t="s">
        <v>868</v>
      </c>
      <c r="F3435" s="20">
        <v>2640</v>
      </c>
      <c r="I3435" s="11">
        <f t="shared" si="141"/>
        <v>45252</v>
      </c>
      <c r="J3435" s="12">
        <f t="shared" si="142"/>
        <v>222</v>
      </c>
      <c r="K3435" t="str">
        <f t="shared" si="140"/>
        <v>181-270</v>
      </c>
      <c r="L3435" s="11">
        <v>45474</v>
      </c>
      <c r="M3435" s="23">
        <f>YEAR(Таблица1[[#This Row],[Дата отчета]])</f>
        <v>2024</v>
      </c>
      <c r="N3435" s="2" t="s">
        <v>807</v>
      </c>
    </row>
    <row r="3436" spans="1:14" x14ac:dyDescent="0.25">
      <c r="A3436" t="s">
        <v>12</v>
      </c>
      <c r="B3436" t="s">
        <v>854</v>
      </c>
      <c r="C3436" t="s">
        <v>3710</v>
      </c>
      <c r="D3436" t="s">
        <v>3711</v>
      </c>
      <c r="E3436" t="s">
        <v>3413</v>
      </c>
      <c r="F3436" s="20">
        <v>2000</v>
      </c>
      <c r="I3436" s="11">
        <f t="shared" si="141"/>
        <v>45469</v>
      </c>
      <c r="J3436" s="12">
        <f t="shared" si="142"/>
        <v>5</v>
      </c>
      <c r="K3436" t="str">
        <f t="shared" si="140"/>
        <v>0-30</v>
      </c>
      <c r="L3436" s="11">
        <v>45474</v>
      </c>
      <c r="M3436" s="23">
        <f>YEAR(Таблица1[[#This Row],[Дата отчета]])</f>
        <v>2024</v>
      </c>
    </row>
    <row r="3437" spans="1:14" x14ac:dyDescent="0.25">
      <c r="A3437" t="s">
        <v>12</v>
      </c>
      <c r="B3437" t="s">
        <v>854</v>
      </c>
      <c r="C3437" t="s">
        <v>3712</v>
      </c>
      <c r="D3437" t="s">
        <v>3713</v>
      </c>
      <c r="E3437" t="s">
        <v>3413</v>
      </c>
      <c r="F3437" s="20">
        <v>62310</v>
      </c>
      <c r="I3437" s="11">
        <f t="shared" si="141"/>
        <v>45469</v>
      </c>
      <c r="J3437" s="12">
        <f t="shared" si="142"/>
        <v>5</v>
      </c>
      <c r="K3437" t="str">
        <f t="shared" si="140"/>
        <v>0-30</v>
      </c>
      <c r="L3437" s="11">
        <v>45474</v>
      </c>
      <c r="M3437" s="23">
        <f>YEAR(Таблица1[[#This Row],[Дата отчета]])</f>
        <v>2024</v>
      </c>
    </row>
    <row r="3438" spans="1:14" x14ac:dyDescent="0.25">
      <c r="A3438" t="s">
        <v>12</v>
      </c>
      <c r="B3438" t="s">
        <v>854</v>
      </c>
      <c r="C3438" t="s">
        <v>3714</v>
      </c>
      <c r="D3438" t="s">
        <v>3715</v>
      </c>
      <c r="E3438" t="s">
        <v>189</v>
      </c>
      <c r="F3438" s="20">
        <v>2404</v>
      </c>
      <c r="I3438" s="11">
        <f t="shared" si="141"/>
        <v>45471</v>
      </c>
      <c r="J3438" s="12">
        <f t="shared" si="142"/>
        <v>3</v>
      </c>
      <c r="K3438" t="str">
        <f t="shared" si="140"/>
        <v>0-30</v>
      </c>
      <c r="L3438" s="11">
        <v>45474</v>
      </c>
      <c r="M3438" s="23">
        <f>YEAR(Таблица1[[#This Row],[Дата отчета]])</f>
        <v>2024</v>
      </c>
    </row>
    <row r="3439" spans="1:14" x14ac:dyDescent="0.25">
      <c r="A3439" t="s">
        <v>12</v>
      </c>
      <c r="B3439" t="s">
        <v>854</v>
      </c>
      <c r="C3439" t="s">
        <v>3716</v>
      </c>
      <c r="D3439" t="s">
        <v>3717</v>
      </c>
      <c r="E3439" t="s">
        <v>3413</v>
      </c>
      <c r="F3439" s="20">
        <v>3650</v>
      </c>
      <c r="I3439" s="11">
        <f t="shared" si="141"/>
        <v>45469</v>
      </c>
      <c r="J3439" s="12">
        <f t="shared" si="142"/>
        <v>5</v>
      </c>
      <c r="K3439" t="str">
        <f t="shared" si="140"/>
        <v>0-30</v>
      </c>
      <c r="L3439" s="11">
        <v>45474</v>
      </c>
      <c r="M3439" s="23">
        <f>YEAR(Таблица1[[#This Row],[Дата отчета]])</f>
        <v>2024</v>
      </c>
    </row>
    <row r="3440" spans="1:14" x14ac:dyDescent="0.25">
      <c r="A3440" t="s">
        <v>12</v>
      </c>
      <c r="B3440" t="s">
        <v>894</v>
      </c>
      <c r="C3440" t="s">
        <v>895</v>
      </c>
      <c r="D3440" t="s">
        <v>896</v>
      </c>
      <c r="E3440" t="s">
        <v>897</v>
      </c>
      <c r="F3440" s="20">
        <v>2400</v>
      </c>
      <c r="I3440" s="11">
        <f t="shared" si="141"/>
        <v>45022</v>
      </c>
      <c r="J3440" s="12">
        <f t="shared" si="142"/>
        <v>452</v>
      </c>
      <c r="K3440" t="str">
        <f t="shared" si="140"/>
        <v>&gt;360</v>
      </c>
      <c r="L3440" s="11">
        <v>45474</v>
      </c>
      <c r="M3440" s="23">
        <f>YEAR(Таблица1[[#This Row],[Дата отчета]])</f>
        <v>2024</v>
      </c>
      <c r="N3440" s="2" t="s">
        <v>807</v>
      </c>
    </row>
    <row r="3441" spans="1:14" x14ac:dyDescent="0.25">
      <c r="A3441" t="s">
        <v>12</v>
      </c>
      <c r="B3441" t="s">
        <v>894</v>
      </c>
      <c r="C3441" t="s">
        <v>898</v>
      </c>
      <c r="D3441" t="s">
        <v>899</v>
      </c>
      <c r="E3441" t="s">
        <v>900</v>
      </c>
      <c r="F3441" s="20">
        <v>22029</v>
      </c>
      <c r="I3441" s="11">
        <f t="shared" si="141"/>
        <v>45203</v>
      </c>
      <c r="J3441" s="12">
        <f t="shared" si="142"/>
        <v>271</v>
      </c>
      <c r="K3441" t="str">
        <f t="shared" si="140"/>
        <v>271-360</v>
      </c>
      <c r="L3441" s="11">
        <v>45474</v>
      </c>
      <c r="M3441" s="23">
        <f>YEAR(Таблица1[[#This Row],[Дата отчета]])</f>
        <v>2024</v>
      </c>
      <c r="N3441" s="2" t="s">
        <v>807</v>
      </c>
    </row>
    <row r="3442" spans="1:14" x14ac:dyDescent="0.25">
      <c r="A3442" t="s">
        <v>12</v>
      </c>
      <c r="B3442" t="s">
        <v>901</v>
      </c>
      <c r="C3442" t="s">
        <v>775</v>
      </c>
      <c r="D3442" t="s">
        <v>902</v>
      </c>
      <c r="E3442" t="s">
        <v>903</v>
      </c>
      <c r="F3442" s="20">
        <v>270</v>
      </c>
      <c r="I3442" s="11">
        <f t="shared" si="141"/>
        <v>43679</v>
      </c>
      <c r="J3442" s="12">
        <f t="shared" si="142"/>
        <v>1795</v>
      </c>
      <c r="K3442" t="str">
        <f t="shared" si="140"/>
        <v>&gt;360</v>
      </c>
      <c r="L3442" s="11">
        <v>45474</v>
      </c>
      <c r="M3442" s="23">
        <f>YEAR(Таблица1[[#This Row],[Дата отчета]])</f>
        <v>2024</v>
      </c>
      <c r="N3442" s="2" t="s">
        <v>807</v>
      </c>
    </row>
    <row r="3443" spans="1:14" x14ac:dyDescent="0.25">
      <c r="A3443" t="s">
        <v>12</v>
      </c>
      <c r="B3443" t="s">
        <v>3718</v>
      </c>
      <c r="C3443" t="s">
        <v>3719</v>
      </c>
      <c r="D3443" t="s">
        <v>3720</v>
      </c>
      <c r="E3443" t="s">
        <v>3371</v>
      </c>
      <c r="F3443" s="20">
        <v>48643.76</v>
      </c>
      <c r="I3443" s="11">
        <f t="shared" si="141"/>
        <v>45462</v>
      </c>
      <c r="J3443" s="12">
        <f t="shared" si="142"/>
        <v>12</v>
      </c>
      <c r="K3443" t="str">
        <f t="shared" si="140"/>
        <v>0-30</v>
      </c>
      <c r="L3443" s="11">
        <v>45474</v>
      </c>
      <c r="M3443" s="23">
        <f>YEAR(Таблица1[[#This Row],[Дата отчета]])</f>
        <v>2024</v>
      </c>
    </row>
    <row r="3444" spans="1:14" x14ac:dyDescent="0.25">
      <c r="A3444" t="s">
        <v>12</v>
      </c>
      <c r="B3444" t="s">
        <v>3718</v>
      </c>
      <c r="C3444" t="s">
        <v>3721</v>
      </c>
      <c r="D3444" t="s">
        <v>3722</v>
      </c>
      <c r="E3444" t="s">
        <v>189</v>
      </c>
      <c r="F3444" s="20">
        <v>1720800</v>
      </c>
      <c r="I3444" s="11">
        <f t="shared" si="141"/>
        <v>45471</v>
      </c>
      <c r="J3444" s="12">
        <f t="shared" si="142"/>
        <v>3</v>
      </c>
      <c r="K3444" t="str">
        <f t="shared" si="140"/>
        <v>0-30</v>
      </c>
      <c r="L3444" s="11">
        <v>45474</v>
      </c>
      <c r="M3444" s="23">
        <f>YEAR(Таблица1[[#This Row],[Дата отчета]])</f>
        <v>2024</v>
      </c>
    </row>
    <row r="3445" spans="1:14" x14ac:dyDescent="0.25">
      <c r="A3445" t="s">
        <v>12</v>
      </c>
      <c r="B3445" t="s">
        <v>904</v>
      </c>
      <c r="C3445" t="s">
        <v>3723</v>
      </c>
      <c r="D3445" t="s">
        <v>3724</v>
      </c>
      <c r="E3445" t="s">
        <v>192</v>
      </c>
      <c r="F3445" s="20">
        <v>178000</v>
      </c>
      <c r="I3445" s="11">
        <f t="shared" si="141"/>
        <v>45467</v>
      </c>
      <c r="J3445" s="12">
        <f t="shared" si="142"/>
        <v>7</v>
      </c>
      <c r="K3445" t="str">
        <f t="shared" si="140"/>
        <v>0-30</v>
      </c>
      <c r="L3445" s="11">
        <v>45474</v>
      </c>
      <c r="M3445" s="23">
        <f>YEAR(Таблица1[[#This Row],[Дата отчета]])</f>
        <v>2024</v>
      </c>
    </row>
    <row r="3446" spans="1:14" x14ac:dyDescent="0.25">
      <c r="A3446" t="s">
        <v>12</v>
      </c>
      <c r="B3446" t="s">
        <v>1705</v>
      </c>
      <c r="C3446" t="s">
        <v>3725</v>
      </c>
      <c r="D3446" t="s">
        <v>3726</v>
      </c>
      <c r="E3446" t="s">
        <v>198</v>
      </c>
      <c r="F3446" s="20">
        <v>14200</v>
      </c>
      <c r="I3446" s="11">
        <f t="shared" si="141"/>
        <v>45439</v>
      </c>
      <c r="J3446" s="12">
        <f t="shared" si="142"/>
        <v>35</v>
      </c>
      <c r="K3446" t="str">
        <f t="shared" si="140"/>
        <v>31-90</v>
      </c>
      <c r="L3446" s="11">
        <v>45474</v>
      </c>
      <c r="M3446" s="23">
        <f>YEAR(Таблица1[[#This Row],[Дата отчета]])</f>
        <v>2024</v>
      </c>
    </row>
    <row r="3447" spans="1:14" x14ac:dyDescent="0.25">
      <c r="A3447" t="s">
        <v>12</v>
      </c>
      <c r="B3447" t="s">
        <v>915</v>
      </c>
      <c r="C3447" t="s">
        <v>918</v>
      </c>
      <c r="D3447" t="s">
        <v>919</v>
      </c>
      <c r="E3447" t="s">
        <v>920</v>
      </c>
      <c r="F3447" s="20">
        <v>37500</v>
      </c>
      <c r="I3447" s="11">
        <f t="shared" si="141"/>
        <v>45392</v>
      </c>
      <c r="J3447" s="12">
        <f t="shared" si="142"/>
        <v>82</v>
      </c>
      <c r="K3447" t="str">
        <f t="shared" si="140"/>
        <v>31-90</v>
      </c>
      <c r="L3447" s="11">
        <v>45474</v>
      </c>
      <c r="M3447" s="23">
        <f>YEAR(Таблица1[[#This Row],[Дата отчета]])</f>
        <v>2024</v>
      </c>
      <c r="N3447" s="2" t="s">
        <v>4538</v>
      </c>
    </row>
    <row r="3448" spans="1:14" x14ac:dyDescent="0.25">
      <c r="A3448" t="s">
        <v>12</v>
      </c>
      <c r="B3448" t="s">
        <v>915</v>
      </c>
      <c r="C3448" t="s">
        <v>3727</v>
      </c>
      <c r="D3448" t="s">
        <v>3728</v>
      </c>
      <c r="E3448" t="s">
        <v>3371</v>
      </c>
      <c r="F3448" s="20">
        <v>24860</v>
      </c>
      <c r="I3448" s="11">
        <f t="shared" si="141"/>
        <v>45462</v>
      </c>
      <c r="J3448" s="12">
        <f t="shared" si="142"/>
        <v>12</v>
      </c>
      <c r="K3448" t="str">
        <f t="shared" si="140"/>
        <v>0-30</v>
      </c>
      <c r="L3448" s="11">
        <v>45474</v>
      </c>
      <c r="M3448" s="23">
        <f>YEAR(Таблица1[[#This Row],[Дата отчета]])</f>
        <v>2024</v>
      </c>
    </row>
    <row r="3449" spans="1:14" x14ac:dyDescent="0.25">
      <c r="A3449" t="s">
        <v>12</v>
      </c>
      <c r="B3449" t="s">
        <v>3729</v>
      </c>
      <c r="C3449" t="s">
        <v>3730</v>
      </c>
      <c r="D3449" t="s">
        <v>3731</v>
      </c>
      <c r="E3449" t="s">
        <v>3085</v>
      </c>
      <c r="F3449" s="20">
        <v>43935</v>
      </c>
      <c r="I3449" s="11">
        <f t="shared" si="141"/>
        <v>45432</v>
      </c>
      <c r="J3449" s="12">
        <f t="shared" si="142"/>
        <v>42</v>
      </c>
      <c r="K3449" t="str">
        <f t="shared" si="140"/>
        <v>31-90</v>
      </c>
      <c r="L3449" s="11">
        <v>45474</v>
      </c>
      <c r="M3449" s="23">
        <f>YEAR(Таблица1[[#This Row],[Дата отчета]])</f>
        <v>2024</v>
      </c>
    </row>
    <row r="3450" spans="1:14" x14ac:dyDescent="0.25">
      <c r="A3450" t="s">
        <v>12</v>
      </c>
      <c r="B3450" t="s">
        <v>2349</v>
      </c>
      <c r="C3450" t="s">
        <v>3732</v>
      </c>
      <c r="D3450" t="s">
        <v>3733</v>
      </c>
      <c r="E3450" t="s">
        <v>2865</v>
      </c>
      <c r="F3450" s="20">
        <v>6334.8</v>
      </c>
      <c r="I3450" s="11">
        <f t="shared" si="141"/>
        <v>45453</v>
      </c>
      <c r="J3450" s="12">
        <f t="shared" si="142"/>
        <v>21</v>
      </c>
      <c r="K3450" t="str">
        <f t="shared" si="140"/>
        <v>0-30</v>
      </c>
      <c r="L3450" s="11">
        <v>45474</v>
      </c>
      <c r="M3450" s="23">
        <f>YEAR(Таблица1[[#This Row],[Дата отчета]])</f>
        <v>2024</v>
      </c>
    </row>
    <row r="3451" spans="1:14" x14ac:dyDescent="0.25">
      <c r="A3451" t="s">
        <v>12</v>
      </c>
      <c r="B3451" t="s">
        <v>2349</v>
      </c>
      <c r="C3451" t="s">
        <v>3734</v>
      </c>
      <c r="D3451" t="s">
        <v>3735</v>
      </c>
      <c r="E3451" t="s">
        <v>3375</v>
      </c>
      <c r="F3451" s="20">
        <v>2272.8000000000002</v>
      </c>
      <c r="I3451" s="11">
        <f t="shared" si="141"/>
        <v>45394</v>
      </c>
      <c r="J3451" s="12">
        <f t="shared" si="142"/>
        <v>80</v>
      </c>
      <c r="K3451" t="str">
        <f t="shared" si="140"/>
        <v>31-90</v>
      </c>
      <c r="L3451" s="11">
        <v>45474</v>
      </c>
      <c r="M3451" s="23">
        <f>YEAR(Таблица1[[#This Row],[Дата отчета]])</f>
        <v>2024</v>
      </c>
    </row>
    <row r="3452" spans="1:14" x14ac:dyDescent="0.25">
      <c r="A3452" t="s">
        <v>12</v>
      </c>
      <c r="B3452" t="s">
        <v>2349</v>
      </c>
      <c r="C3452" t="s">
        <v>3736</v>
      </c>
      <c r="D3452" t="s">
        <v>3737</v>
      </c>
      <c r="E3452" t="s">
        <v>3355</v>
      </c>
      <c r="F3452" s="20">
        <v>432903.6</v>
      </c>
      <c r="I3452" s="11">
        <f t="shared" si="141"/>
        <v>45408</v>
      </c>
      <c r="J3452" s="12">
        <f t="shared" si="142"/>
        <v>66</v>
      </c>
      <c r="K3452" t="str">
        <f t="shared" si="140"/>
        <v>31-90</v>
      </c>
      <c r="L3452" s="11">
        <v>45474</v>
      </c>
      <c r="M3452" s="23">
        <f>YEAR(Таблица1[[#This Row],[Дата отчета]])</f>
        <v>2024</v>
      </c>
    </row>
    <row r="3453" spans="1:14" x14ac:dyDescent="0.25">
      <c r="A3453" t="s">
        <v>12</v>
      </c>
      <c r="B3453" t="s">
        <v>2827</v>
      </c>
      <c r="C3453" t="s">
        <v>3274</v>
      </c>
      <c r="D3453" t="s">
        <v>3275</v>
      </c>
      <c r="E3453" t="s">
        <v>3276</v>
      </c>
      <c r="F3453" s="20">
        <v>1425656</v>
      </c>
      <c r="I3453" s="11">
        <f t="shared" si="141"/>
        <v>45364</v>
      </c>
      <c r="J3453" s="12">
        <f t="shared" si="142"/>
        <v>110</v>
      </c>
      <c r="K3453" t="str">
        <f t="shared" si="140"/>
        <v>91-120</v>
      </c>
      <c r="L3453" s="11">
        <v>45474</v>
      </c>
      <c r="M3453" s="23">
        <f>YEAR(Таблица1[[#This Row],[Дата отчета]])</f>
        <v>2024</v>
      </c>
    </row>
    <row r="3454" spans="1:14" x14ac:dyDescent="0.25">
      <c r="A3454" t="s">
        <v>12</v>
      </c>
      <c r="B3454" t="s">
        <v>2827</v>
      </c>
      <c r="C3454" t="s">
        <v>3277</v>
      </c>
      <c r="D3454" t="s">
        <v>3278</v>
      </c>
      <c r="E3454" t="s">
        <v>3279</v>
      </c>
      <c r="F3454" s="20">
        <v>6050</v>
      </c>
      <c r="I3454" s="11">
        <f t="shared" si="141"/>
        <v>45267</v>
      </c>
      <c r="J3454" s="12">
        <f t="shared" si="142"/>
        <v>207</v>
      </c>
      <c r="K3454" t="str">
        <f t="shared" si="140"/>
        <v>181-270</v>
      </c>
      <c r="L3454" s="11">
        <v>45474</v>
      </c>
      <c r="M3454" s="23">
        <f>YEAR(Таблица1[[#This Row],[Дата отчета]])</f>
        <v>2024</v>
      </c>
    </row>
    <row r="3455" spans="1:14" x14ac:dyDescent="0.25">
      <c r="A3455" t="s">
        <v>12</v>
      </c>
      <c r="B3455" t="s">
        <v>2827</v>
      </c>
      <c r="C3455" t="s">
        <v>3280</v>
      </c>
      <c r="D3455" t="s">
        <v>3281</v>
      </c>
      <c r="E3455" t="s">
        <v>3282</v>
      </c>
      <c r="F3455" s="20">
        <v>11000</v>
      </c>
      <c r="I3455" s="11">
        <f t="shared" si="141"/>
        <v>45313</v>
      </c>
      <c r="J3455" s="12">
        <f t="shared" si="142"/>
        <v>161</v>
      </c>
      <c r="K3455" t="str">
        <f t="shared" ref="K3455:K3518" si="143">IF(J3455&lt;=30,"0-30",IF(J3455&lt;=90,"31-90",IF(J3455&lt;=120,"91-120",IF(J3455&lt;=180,"121-180",IF(J3455&lt;=270,"181-270",IF(J3455&lt;=360,"271-360","&gt;360"))))))</f>
        <v>121-180</v>
      </c>
      <c r="L3455" s="11">
        <v>45474</v>
      </c>
      <c r="M3455" s="23">
        <f>YEAR(Таблица1[[#This Row],[Дата отчета]])</f>
        <v>2024</v>
      </c>
    </row>
    <row r="3456" spans="1:14" x14ac:dyDescent="0.25">
      <c r="A3456" t="s">
        <v>12</v>
      </c>
      <c r="B3456" t="s">
        <v>3283</v>
      </c>
      <c r="C3456" t="s">
        <v>3284</v>
      </c>
      <c r="D3456" t="s">
        <v>3285</v>
      </c>
      <c r="E3456" t="s">
        <v>3286</v>
      </c>
      <c r="F3456" s="20">
        <v>50000</v>
      </c>
      <c r="I3456" s="11">
        <f t="shared" si="141"/>
        <v>44405</v>
      </c>
      <c r="J3456" s="12">
        <f t="shared" si="142"/>
        <v>1069</v>
      </c>
      <c r="K3456" t="str">
        <f t="shared" si="143"/>
        <v>&gt;360</v>
      </c>
      <c r="L3456" s="11">
        <v>45474</v>
      </c>
      <c r="M3456" s="23">
        <f>YEAR(Таблица1[[#This Row],[Дата отчета]])</f>
        <v>2024</v>
      </c>
    </row>
    <row r="3457" spans="1:16" x14ac:dyDescent="0.25">
      <c r="A3457" t="s">
        <v>12</v>
      </c>
      <c r="B3457" t="s">
        <v>3738</v>
      </c>
      <c r="C3457" t="s">
        <v>3739</v>
      </c>
      <c r="D3457" t="s">
        <v>3740</v>
      </c>
      <c r="E3457" t="s">
        <v>3363</v>
      </c>
      <c r="F3457" s="20">
        <v>14790</v>
      </c>
      <c r="I3457" s="11">
        <f t="shared" si="141"/>
        <v>45464</v>
      </c>
      <c r="J3457" s="12">
        <f t="shared" si="142"/>
        <v>10</v>
      </c>
      <c r="K3457" t="str">
        <f t="shared" si="143"/>
        <v>0-30</v>
      </c>
      <c r="L3457" s="11">
        <v>45474</v>
      </c>
      <c r="M3457" s="23">
        <f>YEAR(Таблица1[[#This Row],[Дата отчета]])</f>
        <v>2024</v>
      </c>
    </row>
    <row r="3458" spans="1:16" x14ac:dyDescent="0.25">
      <c r="A3458" t="s">
        <v>12</v>
      </c>
      <c r="B3458" t="s">
        <v>3741</v>
      </c>
      <c r="C3458" t="s">
        <v>3742</v>
      </c>
      <c r="D3458" t="s">
        <v>3743</v>
      </c>
      <c r="E3458" t="s">
        <v>2450</v>
      </c>
      <c r="F3458" s="20">
        <v>190000</v>
      </c>
      <c r="I3458" s="11">
        <f t="shared" si="141"/>
        <v>45427</v>
      </c>
      <c r="J3458" s="12">
        <f t="shared" si="142"/>
        <v>47</v>
      </c>
      <c r="K3458" t="str">
        <f t="shared" si="143"/>
        <v>31-90</v>
      </c>
      <c r="L3458" s="11">
        <v>45474</v>
      </c>
      <c r="M3458" s="23">
        <f>YEAR(Таблица1[[#This Row],[Дата отчета]])</f>
        <v>2024</v>
      </c>
    </row>
    <row r="3459" spans="1:16" x14ac:dyDescent="0.25">
      <c r="A3459" t="s">
        <v>12</v>
      </c>
      <c r="B3459" t="s">
        <v>3741</v>
      </c>
      <c r="C3459" t="s">
        <v>3742</v>
      </c>
      <c r="D3459" t="s">
        <v>3744</v>
      </c>
      <c r="E3459" t="s">
        <v>3390</v>
      </c>
      <c r="F3459" s="20">
        <v>190000</v>
      </c>
      <c r="I3459" s="11">
        <f t="shared" si="141"/>
        <v>45440</v>
      </c>
      <c r="J3459" s="12">
        <f t="shared" si="142"/>
        <v>34</v>
      </c>
      <c r="K3459" t="str">
        <f t="shared" si="143"/>
        <v>31-90</v>
      </c>
      <c r="L3459" s="11">
        <v>45474</v>
      </c>
      <c r="M3459" s="23">
        <f>YEAR(Таблица1[[#This Row],[Дата отчета]])</f>
        <v>2024</v>
      </c>
    </row>
    <row r="3460" spans="1:16" x14ac:dyDescent="0.25">
      <c r="A3460" t="s">
        <v>12</v>
      </c>
      <c r="B3460" t="s">
        <v>2382</v>
      </c>
      <c r="C3460" t="s">
        <v>269</v>
      </c>
      <c r="D3460" t="s">
        <v>3291</v>
      </c>
      <c r="E3460" t="s">
        <v>3292</v>
      </c>
      <c r="F3460" s="20">
        <v>2000</v>
      </c>
      <c r="I3460" s="11">
        <f t="shared" si="141"/>
        <v>45358</v>
      </c>
      <c r="J3460" s="12">
        <f t="shared" si="142"/>
        <v>116</v>
      </c>
      <c r="K3460" t="str">
        <f t="shared" si="143"/>
        <v>91-120</v>
      </c>
      <c r="L3460" s="11">
        <v>45474</v>
      </c>
      <c r="M3460" s="23">
        <f>YEAR(Таблица1[[#This Row],[Дата отчета]])</f>
        <v>2024</v>
      </c>
    </row>
    <row r="3461" spans="1:16" x14ac:dyDescent="0.25">
      <c r="A3461" t="s">
        <v>12</v>
      </c>
      <c r="B3461" t="s">
        <v>2382</v>
      </c>
      <c r="C3461" t="s">
        <v>269</v>
      </c>
      <c r="D3461" t="s">
        <v>3356</v>
      </c>
      <c r="E3461" t="s">
        <v>3357</v>
      </c>
      <c r="F3461" s="20">
        <v>1250</v>
      </c>
      <c r="I3461" s="11">
        <f t="shared" si="141"/>
        <v>45370</v>
      </c>
      <c r="J3461" s="12">
        <f t="shared" si="142"/>
        <v>104</v>
      </c>
      <c r="K3461" t="str">
        <f t="shared" si="143"/>
        <v>91-120</v>
      </c>
      <c r="L3461" s="11">
        <v>45474</v>
      </c>
      <c r="M3461" s="23">
        <f>YEAR(Таблица1[[#This Row],[Дата отчета]])</f>
        <v>2024</v>
      </c>
    </row>
    <row r="3462" spans="1:16" x14ac:dyDescent="0.25">
      <c r="A3462" t="s">
        <v>12</v>
      </c>
      <c r="B3462" t="s">
        <v>980</v>
      </c>
      <c r="C3462" t="s">
        <v>3745</v>
      </c>
      <c r="D3462" t="s">
        <v>3746</v>
      </c>
      <c r="E3462" t="s">
        <v>3140</v>
      </c>
      <c r="F3462" s="20">
        <v>16500</v>
      </c>
      <c r="I3462" s="11">
        <f t="shared" si="141"/>
        <v>45463</v>
      </c>
      <c r="J3462" s="12">
        <f t="shared" si="142"/>
        <v>11</v>
      </c>
      <c r="K3462" t="str">
        <f t="shared" si="143"/>
        <v>0-30</v>
      </c>
      <c r="L3462" s="11">
        <v>45474</v>
      </c>
      <c r="M3462" s="23">
        <f>YEAR(Таблица1[[#This Row],[Дата отчета]])</f>
        <v>2024</v>
      </c>
    </row>
    <row r="3463" spans="1:16" x14ac:dyDescent="0.25">
      <c r="A3463" t="s">
        <v>12</v>
      </c>
      <c r="B3463" t="s">
        <v>1733</v>
      </c>
      <c r="C3463" t="s">
        <v>3747</v>
      </c>
      <c r="D3463" t="s">
        <v>3356</v>
      </c>
      <c r="E3463" t="s">
        <v>3357</v>
      </c>
      <c r="F3463" s="20">
        <v>3570</v>
      </c>
      <c r="I3463" s="11">
        <f t="shared" si="141"/>
        <v>45370</v>
      </c>
      <c r="J3463" s="12">
        <f t="shared" si="142"/>
        <v>104</v>
      </c>
      <c r="K3463" t="str">
        <f t="shared" si="143"/>
        <v>91-120</v>
      </c>
      <c r="L3463" s="11">
        <v>45474</v>
      </c>
      <c r="M3463" s="23">
        <f>YEAR(Таблица1[[#This Row],[Дата отчета]])</f>
        <v>2024</v>
      </c>
    </row>
    <row r="3464" spans="1:16" x14ac:dyDescent="0.25">
      <c r="A3464" t="s">
        <v>12</v>
      </c>
      <c r="B3464" t="s">
        <v>995</v>
      </c>
      <c r="C3464" t="s">
        <v>999</v>
      </c>
      <c r="D3464" t="s">
        <v>3293</v>
      </c>
      <c r="E3464" t="s">
        <v>920</v>
      </c>
      <c r="F3464" s="20">
        <v>2648.14</v>
      </c>
      <c r="I3464" s="11">
        <f t="shared" si="141"/>
        <v>45392</v>
      </c>
      <c r="J3464" s="12">
        <f t="shared" si="142"/>
        <v>82</v>
      </c>
      <c r="K3464" t="str">
        <f t="shared" si="143"/>
        <v>31-90</v>
      </c>
      <c r="L3464" s="11">
        <v>45474</v>
      </c>
      <c r="M3464" s="23">
        <f>YEAR(Таблица1[[#This Row],[Дата отчета]])</f>
        <v>2024</v>
      </c>
      <c r="N3464" s="7"/>
      <c r="P3464" s="2"/>
    </row>
    <row r="3465" spans="1:16" x14ac:dyDescent="0.25">
      <c r="A3465" t="s">
        <v>12</v>
      </c>
      <c r="B3465" t="s">
        <v>995</v>
      </c>
      <c r="C3465" t="s">
        <v>2841</v>
      </c>
      <c r="D3465" t="s">
        <v>2842</v>
      </c>
      <c r="E3465" t="s">
        <v>1795</v>
      </c>
      <c r="F3465" s="20">
        <v>401.23</v>
      </c>
      <c r="I3465" s="11">
        <f t="shared" si="141"/>
        <v>45391</v>
      </c>
      <c r="J3465" s="12">
        <f t="shared" si="142"/>
        <v>83</v>
      </c>
      <c r="K3465" t="str">
        <f t="shared" si="143"/>
        <v>31-90</v>
      </c>
      <c r="L3465" s="11">
        <v>45474</v>
      </c>
      <c r="M3465" s="23">
        <f>YEAR(Таблица1[[#This Row],[Дата отчета]])</f>
        <v>2024</v>
      </c>
      <c r="P3465" s="2" t="s">
        <v>4552</v>
      </c>
    </row>
    <row r="3466" spans="1:16" x14ac:dyDescent="0.25">
      <c r="A3466" t="s">
        <v>12</v>
      </c>
      <c r="B3466" t="s">
        <v>1736</v>
      </c>
      <c r="C3466" t="s">
        <v>1737</v>
      </c>
      <c r="D3466" t="s">
        <v>1738</v>
      </c>
      <c r="E3466" t="s">
        <v>1816</v>
      </c>
      <c r="F3466" s="20">
        <v>2974.3</v>
      </c>
      <c r="I3466" s="11">
        <f t="shared" si="141"/>
        <v>44594</v>
      </c>
      <c r="J3466" s="12">
        <f t="shared" si="142"/>
        <v>880</v>
      </c>
      <c r="K3466" t="str">
        <f t="shared" si="143"/>
        <v>&gt;360</v>
      </c>
      <c r="L3466" s="11">
        <v>45474</v>
      </c>
      <c r="M3466" s="23">
        <f>YEAR(Таблица1[[#This Row],[Дата отчета]])</f>
        <v>2024</v>
      </c>
      <c r="N3466" t="s">
        <v>4538</v>
      </c>
    </row>
    <row r="3467" spans="1:16" x14ac:dyDescent="0.25">
      <c r="A3467" t="s">
        <v>12</v>
      </c>
      <c r="B3467" t="s">
        <v>1005</v>
      </c>
      <c r="C3467" t="s">
        <v>3294</v>
      </c>
      <c r="D3467" t="s">
        <v>3295</v>
      </c>
      <c r="E3467" t="s">
        <v>1782</v>
      </c>
      <c r="F3467" s="20">
        <v>111835.29</v>
      </c>
      <c r="I3467" s="11">
        <f t="shared" si="141"/>
        <v>45450</v>
      </c>
      <c r="J3467" s="12">
        <f t="shared" si="142"/>
        <v>24</v>
      </c>
      <c r="K3467" t="str">
        <f t="shared" si="143"/>
        <v>0-30</v>
      </c>
      <c r="L3467" s="11">
        <v>45474</v>
      </c>
      <c r="M3467" s="23">
        <f>YEAR(Таблица1[[#This Row],[Дата отчета]])</f>
        <v>2024</v>
      </c>
    </row>
    <row r="3468" spans="1:16" x14ac:dyDescent="0.25">
      <c r="A3468" t="s">
        <v>12</v>
      </c>
      <c r="B3468" t="s">
        <v>1011</v>
      </c>
      <c r="C3468" t="s">
        <v>1012</v>
      </c>
      <c r="D3468" t="s">
        <v>1013</v>
      </c>
      <c r="E3468" t="s">
        <v>1014</v>
      </c>
      <c r="F3468" s="20">
        <v>0.01</v>
      </c>
      <c r="I3468" s="11">
        <f t="shared" si="141"/>
        <v>45224</v>
      </c>
      <c r="J3468" s="12">
        <f t="shared" si="142"/>
        <v>250</v>
      </c>
      <c r="K3468" t="str">
        <f t="shared" si="143"/>
        <v>181-270</v>
      </c>
      <c r="L3468" s="11">
        <v>45474</v>
      </c>
      <c r="M3468" s="23">
        <f>YEAR(Таблица1[[#This Row],[Дата отчета]])</f>
        <v>2024</v>
      </c>
    </row>
    <row r="3469" spans="1:16" x14ac:dyDescent="0.25">
      <c r="A3469" t="s">
        <v>12</v>
      </c>
      <c r="B3469" t="s">
        <v>1011</v>
      </c>
      <c r="C3469" t="s">
        <v>3296</v>
      </c>
      <c r="D3469" t="s">
        <v>3297</v>
      </c>
      <c r="E3469" t="s">
        <v>3298</v>
      </c>
      <c r="F3469" s="20">
        <v>207739.69</v>
      </c>
      <c r="I3469" s="11">
        <f t="shared" si="141"/>
        <v>45420</v>
      </c>
      <c r="J3469" s="12">
        <f t="shared" si="142"/>
        <v>54</v>
      </c>
      <c r="K3469" t="str">
        <f t="shared" si="143"/>
        <v>31-90</v>
      </c>
      <c r="L3469" s="11">
        <v>45474</v>
      </c>
      <c r="M3469" s="23">
        <f>YEAR(Таблица1[[#This Row],[Дата отчета]])</f>
        <v>2024</v>
      </c>
    </row>
    <row r="3470" spans="1:16" x14ac:dyDescent="0.25">
      <c r="A3470" t="s">
        <v>12</v>
      </c>
      <c r="B3470" t="s">
        <v>1017</v>
      </c>
      <c r="C3470" t="s">
        <v>3299</v>
      </c>
      <c r="D3470" t="s">
        <v>3300</v>
      </c>
      <c r="E3470" t="s">
        <v>3301</v>
      </c>
      <c r="F3470" s="20">
        <v>30600</v>
      </c>
      <c r="I3470" s="11">
        <f t="shared" si="141"/>
        <v>45329</v>
      </c>
      <c r="J3470" s="12">
        <f t="shared" si="142"/>
        <v>145</v>
      </c>
      <c r="K3470" t="str">
        <f t="shared" si="143"/>
        <v>121-180</v>
      </c>
      <c r="L3470" s="11">
        <v>45474</v>
      </c>
      <c r="M3470" s="23">
        <f>YEAR(Таблица1[[#This Row],[Дата отчета]])</f>
        <v>2024</v>
      </c>
    </row>
    <row r="3471" spans="1:16" x14ac:dyDescent="0.25">
      <c r="A3471" t="s">
        <v>12</v>
      </c>
      <c r="B3471" t="s">
        <v>1746</v>
      </c>
      <c r="C3471" t="s">
        <v>3748</v>
      </c>
      <c r="D3471" t="s">
        <v>3749</v>
      </c>
      <c r="E3471" t="s">
        <v>3236</v>
      </c>
      <c r="F3471" s="20">
        <v>22000</v>
      </c>
      <c r="I3471" s="11">
        <f t="shared" si="141"/>
        <v>45429</v>
      </c>
      <c r="J3471" s="12">
        <f t="shared" si="142"/>
        <v>45</v>
      </c>
      <c r="K3471" t="str">
        <f t="shared" si="143"/>
        <v>31-90</v>
      </c>
      <c r="L3471" s="11">
        <v>45474</v>
      </c>
      <c r="M3471" s="23">
        <f>YEAR(Таблица1[[#This Row],[Дата отчета]])</f>
        <v>2024</v>
      </c>
    </row>
    <row r="3472" spans="1:16" x14ac:dyDescent="0.25">
      <c r="A3472" t="s">
        <v>12</v>
      </c>
      <c r="B3472" t="s">
        <v>1749</v>
      </c>
      <c r="C3472" t="s">
        <v>3750</v>
      </c>
      <c r="D3472" t="s">
        <v>3303</v>
      </c>
      <c r="E3472" t="s">
        <v>2450</v>
      </c>
      <c r="F3472" s="20">
        <v>1003351.97</v>
      </c>
      <c r="I3472" s="11">
        <f t="shared" si="141"/>
        <v>45427</v>
      </c>
      <c r="J3472" s="12">
        <f t="shared" si="142"/>
        <v>47</v>
      </c>
      <c r="K3472" t="str">
        <f t="shared" si="143"/>
        <v>31-90</v>
      </c>
      <c r="L3472" s="11">
        <v>45474</v>
      </c>
      <c r="M3472" s="23">
        <f>YEAR(Таблица1[[#This Row],[Дата отчета]])</f>
        <v>2024</v>
      </c>
    </row>
    <row r="3473" spans="1:13" x14ac:dyDescent="0.25">
      <c r="A3473" t="s">
        <v>12</v>
      </c>
      <c r="B3473" t="s">
        <v>1024</v>
      </c>
      <c r="C3473" t="s">
        <v>3751</v>
      </c>
      <c r="D3473" t="s">
        <v>3752</v>
      </c>
      <c r="E3473" t="s">
        <v>3753</v>
      </c>
      <c r="F3473" s="20">
        <v>15500</v>
      </c>
      <c r="I3473" s="11">
        <f t="shared" si="141"/>
        <v>45197</v>
      </c>
      <c r="J3473" s="12">
        <f t="shared" si="142"/>
        <v>277</v>
      </c>
      <c r="K3473" t="str">
        <f t="shared" si="143"/>
        <v>271-360</v>
      </c>
      <c r="L3473" s="11">
        <v>45474</v>
      </c>
      <c r="M3473" s="23">
        <f>YEAR(Таблица1[[#This Row],[Дата отчета]])</f>
        <v>2024</v>
      </c>
    </row>
    <row r="3474" spans="1:13" x14ac:dyDescent="0.25">
      <c r="A3474" t="s">
        <v>12</v>
      </c>
      <c r="B3474" t="s">
        <v>3754</v>
      </c>
      <c r="C3474" t="s">
        <v>3755</v>
      </c>
      <c r="D3474" t="s">
        <v>3756</v>
      </c>
      <c r="E3474" t="s">
        <v>3073</v>
      </c>
      <c r="F3474" s="20">
        <v>2758870.5</v>
      </c>
      <c r="I3474" s="11">
        <f t="shared" si="141"/>
        <v>45446</v>
      </c>
      <c r="J3474" s="12">
        <f t="shared" si="142"/>
        <v>28</v>
      </c>
      <c r="K3474" t="str">
        <f t="shared" si="143"/>
        <v>0-30</v>
      </c>
      <c r="L3474" s="11">
        <v>45474</v>
      </c>
      <c r="M3474" s="23">
        <f>YEAR(Таблица1[[#This Row],[Дата отчета]])</f>
        <v>2024</v>
      </c>
    </row>
    <row r="3475" spans="1:13" x14ac:dyDescent="0.25">
      <c r="A3475" t="s">
        <v>12</v>
      </c>
      <c r="B3475" t="s">
        <v>3757</v>
      </c>
      <c r="C3475" t="s">
        <v>3758</v>
      </c>
      <c r="D3475" t="s">
        <v>3759</v>
      </c>
      <c r="E3475" t="s">
        <v>2463</v>
      </c>
      <c r="F3475" s="20">
        <v>19000</v>
      </c>
      <c r="I3475" s="11">
        <f t="shared" si="141"/>
        <v>45468</v>
      </c>
      <c r="J3475" s="12">
        <f t="shared" si="142"/>
        <v>6</v>
      </c>
      <c r="K3475" t="str">
        <f t="shared" si="143"/>
        <v>0-30</v>
      </c>
      <c r="L3475" s="11">
        <v>45474</v>
      </c>
      <c r="M3475" s="23">
        <f>YEAR(Таблица1[[#This Row],[Дата отчета]])</f>
        <v>2024</v>
      </c>
    </row>
    <row r="3476" spans="1:13" x14ac:dyDescent="0.25">
      <c r="A3476" t="s">
        <v>12</v>
      </c>
      <c r="B3476" t="s">
        <v>2398</v>
      </c>
      <c r="C3476" t="s">
        <v>269</v>
      </c>
      <c r="D3476" t="s">
        <v>3760</v>
      </c>
      <c r="E3476" t="s">
        <v>3761</v>
      </c>
      <c r="F3476" s="20">
        <v>4000</v>
      </c>
      <c r="I3476" s="11">
        <f t="shared" si="141"/>
        <v>45441</v>
      </c>
      <c r="J3476" s="12">
        <f t="shared" si="142"/>
        <v>33</v>
      </c>
      <c r="K3476" t="str">
        <f t="shared" si="143"/>
        <v>31-90</v>
      </c>
      <c r="L3476" s="11">
        <v>45474</v>
      </c>
      <c r="M3476" s="23">
        <f>YEAR(Таблица1[[#This Row],[Дата отчета]])</f>
        <v>2024</v>
      </c>
    </row>
    <row r="3477" spans="1:13" x14ac:dyDescent="0.25">
      <c r="A3477" t="s">
        <v>12</v>
      </c>
      <c r="B3477" t="s">
        <v>3762</v>
      </c>
      <c r="C3477" t="s">
        <v>3763</v>
      </c>
      <c r="D3477" t="s">
        <v>3764</v>
      </c>
      <c r="E3477" t="s">
        <v>3073</v>
      </c>
      <c r="F3477" s="20">
        <v>8850</v>
      </c>
      <c r="I3477" s="11">
        <f t="shared" si="141"/>
        <v>45446</v>
      </c>
      <c r="J3477" s="12">
        <f t="shared" si="142"/>
        <v>28</v>
      </c>
      <c r="K3477" t="str">
        <f t="shared" si="143"/>
        <v>0-30</v>
      </c>
      <c r="L3477" s="11">
        <v>45474</v>
      </c>
      <c r="M3477" s="23">
        <f>YEAR(Таблица1[[#This Row],[Дата отчета]])</f>
        <v>2024</v>
      </c>
    </row>
    <row r="3478" spans="1:13" x14ac:dyDescent="0.25">
      <c r="A3478" t="s">
        <v>12</v>
      </c>
      <c r="B3478" t="s">
        <v>3308</v>
      </c>
      <c r="C3478" t="s">
        <v>3309</v>
      </c>
      <c r="D3478" t="s">
        <v>3310</v>
      </c>
      <c r="E3478" t="s">
        <v>3311</v>
      </c>
      <c r="F3478" s="20">
        <v>920000</v>
      </c>
      <c r="I3478" s="11">
        <f t="shared" si="141"/>
        <v>45384</v>
      </c>
      <c r="J3478" s="12">
        <f t="shared" si="142"/>
        <v>90</v>
      </c>
      <c r="K3478" t="str">
        <f t="shared" si="143"/>
        <v>31-90</v>
      </c>
      <c r="L3478" s="11">
        <v>45474</v>
      </c>
      <c r="M3478" s="23">
        <f>YEAR(Таблица1[[#This Row],[Дата отчета]])</f>
        <v>2024</v>
      </c>
    </row>
    <row r="3479" spans="1:13" x14ac:dyDescent="0.25">
      <c r="A3479" t="s">
        <v>12</v>
      </c>
      <c r="B3479" t="s">
        <v>1053</v>
      </c>
      <c r="C3479" t="s">
        <v>3312</v>
      </c>
      <c r="D3479" t="s">
        <v>3313</v>
      </c>
      <c r="E3479" t="s">
        <v>175</v>
      </c>
      <c r="F3479" s="20">
        <v>9719.6</v>
      </c>
      <c r="I3479" s="11">
        <f t="shared" ref="I3479:I3494" si="144">E3479*1</f>
        <v>45399</v>
      </c>
      <c r="J3479" s="12">
        <f t="shared" ref="J3479:J3494" si="145">L3479-I3479</f>
        <v>75</v>
      </c>
      <c r="K3479" t="str">
        <f t="shared" si="143"/>
        <v>31-90</v>
      </c>
      <c r="L3479" s="11">
        <v>45474</v>
      </c>
      <c r="M3479" s="23">
        <f>YEAR(Таблица1[[#This Row],[Дата отчета]])</f>
        <v>2024</v>
      </c>
    </row>
    <row r="3480" spans="1:13" x14ac:dyDescent="0.25">
      <c r="A3480" t="s">
        <v>12</v>
      </c>
      <c r="B3480" t="s">
        <v>1053</v>
      </c>
      <c r="C3480" t="s">
        <v>3314</v>
      </c>
      <c r="D3480" t="s">
        <v>3315</v>
      </c>
      <c r="E3480" t="s">
        <v>3316</v>
      </c>
      <c r="F3480" s="20">
        <v>0.4</v>
      </c>
      <c r="I3480" s="11">
        <f t="shared" si="144"/>
        <v>45078</v>
      </c>
      <c r="J3480" s="12">
        <f t="shared" si="145"/>
        <v>396</v>
      </c>
      <c r="K3480" t="str">
        <f t="shared" si="143"/>
        <v>&gt;360</v>
      </c>
      <c r="L3480" s="11">
        <v>45474</v>
      </c>
      <c r="M3480" s="23">
        <f>YEAR(Таблица1[[#This Row],[Дата отчета]])</f>
        <v>2024</v>
      </c>
    </row>
    <row r="3481" spans="1:13" x14ac:dyDescent="0.25">
      <c r="A3481" t="s">
        <v>12</v>
      </c>
      <c r="B3481" t="s">
        <v>2417</v>
      </c>
      <c r="C3481" t="s">
        <v>3765</v>
      </c>
      <c r="D3481" t="s">
        <v>3766</v>
      </c>
      <c r="E3481" t="s">
        <v>868</v>
      </c>
      <c r="F3481" s="20">
        <v>313500</v>
      </c>
      <c r="I3481" s="11">
        <f t="shared" si="144"/>
        <v>45252</v>
      </c>
      <c r="J3481" s="12">
        <f t="shared" si="145"/>
        <v>222</v>
      </c>
      <c r="K3481" t="str">
        <f t="shared" si="143"/>
        <v>181-270</v>
      </c>
      <c r="L3481" s="11">
        <v>45474</v>
      </c>
      <c r="M3481" s="23">
        <f>YEAR(Таблица1[[#This Row],[Дата отчета]])</f>
        <v>2024</v>
      </c>
    </row>
    <row r="3482" spans="1:13" x14ac:dyDescent="0.25">
      <c r="A3482" t="s">
        <v>12</v>
      </c>
      <c r="B3482" t="s">
        <v>1068</v>
      </c>
      <c r="C3482" t="s">
        <v>1069</v>
      </c>
      <c r="D3482" t="s">
        <v>1070</v>
      </c>
      <c r="E3482" t="s">
        <v>1071</v>
      </c>
      <c r="F3482" s="20">
        <v>4</v>
      </c>
      <c r="I3482" s="11">
        <f t="shared" si="144"/>
        <v>44860</v>
      </c>
      <c r="J3482" s="12">
        <f t="shared" si="145"/>
        <v>614</v>
      </c>
      <c r="K3482" t="str">
        <f t="shared" si="143"/>
        <v>&gt;360</v>
      </c>
      <c r="L3482" s="11">
        <v>45474</v>
      </c>
      <c r="M3482" s="23">
        <f>YEAR(Таблица1[[#This Row],[Дата отчета]])</f>
        <v>2024</v>
      </c>
    </row>
    <row r="3483" spans="1:13" x14ac:dyDescent="0.25">
      <c r="A3483" t="s">
        <v>12</v>
      </c>
      <c r="B3483" t="s">
        <v>1068</v>
      </c>
      <c r="C3483" t="s">
        <v>3320</v>
      </c>
      <c r="D3483" t="s">
        <v>3321</v>
      </c>
      <c r="E3483" t="s">
        <v>3322</v>
      </c>
      <c r="F3483" s="20">
        <v>2094390</v>
      </c>
      <c r="I3483" s="11">
        <f t="shared" si="144"/>
        <v>45189</v>
      </c>
      <c r="J3483" s="12">
        <f t="shared" si="145"/>
        <v>285</v>
      </c>
      <c r="K3483" t="str">
        <f t="shared" si="143"/>
        <v>271-360</v>
      </c>
      <c r="L3483" s="11">
        <v>45474</v>
      </c>
      <c r="M3483" s="23">
        <f>YEAR(Таблица1[[#This Row],[Дата отчета]])</f>
        <v>2024</v>
      </c>
    </row>
    <row r="3484" spans="1:13" x14ac:dyDescent="0.25">
      <c r="A3484" t="s">
        <v>12</v>
      </c>
      <c r="B3484" t="s">
        <v>3767</v>
      </c>
      <c r="C3484" t="s">
        <v>3768</v>
      </c>
      <c r="D3484" t="s">
        <v>3769</v>
      </c>
      <c r="E3484" t="s">
        <v>3770</v>
      </c>
      <c r="F3484" s="20">
        <v>26485.919999999998</v>
      </c>
      <c r="I3484" s="11">
        <f t="shared" si="144"/>
        <v>45341</v>
      </c>
      <c r="J3484" s="12">
        <f t="shared" si="145"/>
        <v>133</v>
      </c>
      <c r="K3484" t="str">
        <f t="shared" si="143"/>
        <v>121-180</v>
      </c>
      <c r="L3484" s="11">
        <v>45474</v>
      </c>
      <c r="M3484" s="23">
        <f>YEAR(Таблица1[[#This Row],[Дата отчета]])</f>
        <v>2024</v>
      </c>
    </row>
    <row r="3485" spans="1:13" x14ac:dyDescent="0.25">
      <c r="A3485" t="s">
        <v>12</v>
      </c>
      <c r="B3485" t="s">
        <v>2423</v>
      </c>
      <c r="C3485" t="s">
        <v>2863</v>
      </c>
      <c r="D3485" t="s">
        <v>2864</v>
      </c>
      <c r="E3485" t="s">
        <v>2865</v>
      </c>
      <c r="F3485" s="20">
        <v>185371.36</v>
      </c>
      <c r="I3485" s="11">
        <f t="shared" si="144"/>
        <v>45453</v>
      </c>
      <c r="J3485" s="12">
        <f t="shared" si="145"/>
        <v>21</v>
      </c>
      <c r="K3485" t="str">
        <f t="shared" si="143"/>
        <v>0-30</v>
      </c>
      <c r="L3485" s="11">
        <v>45474</v>
      </c>
      <c r="M3485" s="23">
        <f>YEAR(Таблица1[[#This Row],[Дата отчета]])</f>
        <v>2024</v>
      </c>
    </row>
    <row r="3486" spans="1:13" x14ac:dyDescent="0.25">
      <c r="A3486" t="s">
        <v>1082</v>
      </c>
      <c r="B3486" t="s">
        <v>271</v>
      </c>
      <c r="C3486" t="s">
        <v>3326</v>
      </c>
      <c r="D3486" t="s">
        <v>3327</v>
      </c>
      <c r="E3486" t="s">
        <v>3328</v>
      </c>
      <c r="F3486" s="20">
        <v>57739.34</v>
      </c>
      <c r="I3486" s="11">
        <f t="shared" si="144"/>
        <v>45328</v>
      </c>
      <c r="J3486" s="12">
        <f t="shared" si="145"/>
        <v>146</v>
      </c>
      <c r="K3486" t="str">
        <f t="shared" si="143"/>
        <v>121-180</v>
      </c>
      <c r="L3486" s="11">
        <v>45474</v>
      </c>
      <c r="M3486" s="23">
        <f>YEAR(Таблица1[[#This Row],[Дата отчета]])</f>
        <v>2024</v>
      </c>
    </row>
    <row r="3487" spans="1:13" x14ac:dyDescent="0.25">
      <c r="A3487" t="s">
        <v>1082</v>
      </c>
      <c r="B3487" t="s">
        <v>3329</v>
      </c>
      <c r="C3487" t="s">
        <v>3330</v>
      </c>
      <c r="D3487" t="s">
        <v>3331</v>
      </c>
      <c r="E3487" t="s">
        <v>3332</v>
      </c>
      <c r="F3487" s="20">
        <v>2485087.63</v>
      </c>
      <c r="I3487" s="11">
        <f t="shared" si="144"/>
        <v>45400</v>
      </c>
      <c r="J3487" s="12">
        <f t="shared" si="145"/>
        <v>74</v>
      </c>
      <c r="K3487" t="str">
        <f t="shared" si="143"/>
        <v>31-90</v>
      </c>
      <c r="L3487" s="11">
        <v>45474</v>
      </c>
      <c r="M3487" s="23">
        <f>YEAR(Таблица1[[#This Row],[Дата отчета]])</f>
        <v>2024</v>
      </c>
    </row>
    <row r="3488" spans="1:13" x14ac:dyDescent="0.25">
      <c r="A3488" t="s">
        <v>1082</v>
      </c>
      <c r="B3488" t="s">
        <v>3333</v>
      </c>
      <c r="C3488" t="s">
        <v>3334</v>
      </c>
      <c r="D3488" t="s">
        <v>3335</v>
      </c>
      <c r="E3488" t="s">
        <v>3336</v>
      </c>
      <c r="F3488" s="20">
        <v>1178770.51</v>
      </c>
      <c r="I3488" s="11">
        <f t="shared" si="144"/>
        <v>45338</v>
      </c>
      <c r="J3488" s="12">
        <f t="shared" si="145"/>
        <v>136</v>
      </c>
      <c r="K3488" t="str">
        <f t="shared" si="143"/>
        <v>121-180</v>
      </c>
      <c r="L3488" s="11">
        <v>45474</v>
      </c>
      <c r="M3488" s="23">
        <f>YEAR(Таблица1[[#This Row],[Дата отчета]])</f>
        <v>2024</v>
      </c>
    </row>
    <row r="3489" spans="1:13" x14ac:dyDescent="0.25">
      <c r="A3489" t="s">
        <v>1082</v>
      </c>
      <c r="B3489" t="s">
        <v>561</v>
      </c>
      <c r="C3489" t="s">
        <v>3771</v>
      </c>
      <c r="D3489" t="s">
        <v>3772</v>
      </c>
      <c r="E3489" t="s">
        <v>699</v>
      </c>
      <c r="F3489" s="20">
        <v>545854.66</v>
      </c>
      <c r="I3489" s="11">
        <f t="shared" si="144"/>
        <v>45218</v>
      </c>
      <c r="J3489" s="12">
        <f t="shared" si="145"/>
        <v>256</v>
      </c>
      <c r="K3489" t="str">
        <f t="shared" si="143"/>
        <v>181-270</v>
      </c>
      <c r="L3489" s="11">
        <v>45474</v>
      </c>
      <c r="M3489" s="23">
        <f>YEAR(Таблица1[[#This Row],[Дата отчета]])</f>
        <v>2024</v>
      </c>
    </row>
    <row r="3490" spans="1:13" x14ac:dyDescent="0.25">
      <c r="A3490" t="s">
        <v>1082</v>
      </c>
      <c r="B3490" t="s">
        <v>561</v>
      </c>
      <c r="C3490" t="s">
        <v>3771</v>
      </c>
      <c r="D3490" t="s">
        <v>3773</v>
      </c>
      <c r="E3490" t="s">
        <v>2438</v>
      </c>
      <c r="F3490" s="20">
        <v>3013009.97</v>
      </c>
      <c r="I3490" s="11">
        <f t="shared" si="144"/>
        <v>45365</v>
      </c>
      <c r="J3490" s="12">
        <f t="shared" si="145"/>
        <v>109</v>
      </c>
      <c r="K3490" t="str">
        <f t="shared" si="143"/>
        <v>91-120</v>
      </c>
      <c r="L3490" s="11">
        <v>45474</v>
      </c>
      <c r="M3490" s="23">
        <f>YEAR(Таблица1[[#This Row],[Дата отчета]])</f>
        <v>2024</v>
      </c>
    </row>
    <row r="3491" spans="1:13" x14ac:dyDescent="0.25">
      <c r="A3491" t="s">
        <v>1082</v>
      </c>
      <c r="B3491" t="s">
        <v>766</v>
      </c>
      <c r="C3491" t="s">
        <v>1762</v>
      </c>
      <c r="D3491" t="s">
        <v>3774</v>
      </c>
      <c r="E3491" t="s">
        <v>189</v>
      </c>
      <c r="F3491" s="20">
        <v>1132762.98</v>
      </c>
      <c r="I3491" s="11">
        <f t="shared" si="144"/>
        <v>45471</v>
      </c>
      <c r="J3491" s="12">
        <f t="shared" si="145"/>
        <v>3</v>
      </c>
      <c r="K3491" t="str">
        <f t="shared" si="143"/>
        <v>0-30</v>
      </c>
      <c r="L3491" s="11">
        <v>45474</v>
      </c>
      <c r="M3491" s="23">
        <f>YEAR(Таблица1[[#This Row],[Дата отчета]])</f>
        <v>2024</v>
      </c>
    </row>
    <row r="3492" spans="1:13" x14ac:dyDescent="0.25">
      <c r="A3492" t="s">
        <v>1082</v>
      </c>
      <c r="B3492" t="s">
        <v>766</v>
      </c>
      <c r="C3492" t="s">
        <v>3775</v>
      </c>
      <c r="D3492" t="s">
        <v>3776</v>
      </c>
      <c r="E3492" t="s">
        <v>189</v>
      </c>
      <c r="F3492" s="20">
        <v>2339143.89</v>
      </c>
      <c r="I3492" s="11">
        <f t="shared" si="144"/>
        <v>45471</v>
      </c>
      <c r="J3492" s="12">
        <f t="shared" si="145"/>
        <v>3</v>
      </c>
      <c r="K3492" t="str">
        <f t="shared" si="143"/>
        <v>0-30</v>
      </c>
      <c r="L3492" s="11">
        <v>45474</v>
      </c>
      <c r="M3492" s="23">
        <f>YEAR(Таблица1[[#This Row],[Дата отчета]])</f>
        <v>2024</v>
      </c>
    </row>
    <row r="3493" spans="1:13" x14ac:dyDescent="0.25">
      <c r="A3493" t="s">
        <v>1082</v>
      </c>
      <c r="B3493" t="s">
        <v>915</v>
      </c>
      <c r="C3493" t="s">
        <v>3777</v>
      </c>
      <c r="D3493" t="s">
        <v>3778</v>
      </c>
      <c r="E3493" t="s">
        <v>3357</v>
      </c>
      <c r="F3493" s="20">
        <v>5874261.6299999999</v>
      </c>
      <c r="I3493" s="11">
        <f t="shared" si="144"/>
        <v>45370</v>
      </c>
      <c r="J3493" s="12">
        <f t="shared" si="145"/>
        <v>104</v>
      </c>
      <c r="K3493" t="str">
        <f t="shared" si="143"/>
        <v>91-120</v>
      </c>
      <c r="L3493" s="11">
        <v>45474</v>
      </c>
      <c r="M3493" s="23">
        <f>YEAR(Таблица1[[#This Row],[Дата отчета]])</f>
        <v>2024</v>
      </c>
    </row>
    <row r="3494" spans="1:13" x14ac:dyDescent="0.25">
      <c r="A3494" t="s">
        <v>1082</v>
      </c>
      <c r="B3494" t="s">
        <v>2349</v>
      </c>
      <c r="C3494" t="s">
        <v>3337</v>
      </c>
      <c r="D3494" t="s">
        <v>3338</v>
      </c>
      <c r="E3494" t="s">
        <v>3339</v>
      </c>
      <c r="F3494" s="20">
        <v>4237847.28</v>
      </c>
      <c r="I3494" s="11">
        <f t="shared" si="144"/>
        <v>45323</v>
      </c>
      <c r="J3494" s="12">
        <f t="shared" si="145"/>
        <v>151</v>
      </c>
      <c r="K3494" t="str">
        <f t="shared" si="143"/>
        <v>121-180</v>
      </c>
      <c r="L3494" s="11">
        <v>45474</v>
      </c>
      <c r="M3494" s="23">
        <f>YEAR(Таблица1[[#This Row],[Дата отчета]])</f>
        <v>2024</v>
      </c>
    </row>
    <row r="3495" spans="1:13" x14ac:dyDescent="0.25">
      <c r="A3495" t="s">
        <v>12</v>
      </c>
      <c r="B3495" t="s">
        <v>3340</v>
      </c>
      <c r="C3495" t="s">
        <v>3341</v>
      </c>
      <c r="D3495" t="s">
        <v>3342</v>
      </c>
      <c r="E3495" t="s">
        <v>3343</v>
      </c>
      <c r="F3495" s="20">
        <v>440</v>
      </c>
      <c r="I3495" s="11">
        <f t="shared" ref="I3495" si="146">E3495*1</f>
        <v>45148</v>
      </c>
      <c r="J3495" s="12">
        <f t="shared" ref="J3495" si="147">L3495-I3495</f>
        <v>235</v>
      </c>
      <c r="K3495" t="str">
        <f t="shared" si="143"/>
        <v>181-270</v>
      </c>
      <c r="L3495" s="11">
        <v>45383</v>
      </c>
      <c r="M3495" s="23">
        <f>YEAR(Таблица1[[#This Row],[Дата отчета]])</f>
        <v>2024</v>
      </c>
    </row>
    <row r="3496" spans="1:13" x14ac:dyDescent="0.25">
      <c r="A3496" t="s">
        <v>12</v>
      </c>
      <c r="B3496" t="s">
        <v>18</v>
      </c>
      <c r="C3496" t="s">
        <v>2469</v>
      </c>
      <c r="D3496" t="s">
        <v>2470</v>
      </c>
      <c r="E3496" t="s">
        <v>2471</v>
      </c>
      <c r="F3496" s="20">
        <v>5200</v>
      </c>
      <c r="I3496" s="11">
        <f t="shared" ref="I3496:I3559" si="148">E3496*1</f>
        <v>45093</v>
      </c>
      <c r="J3496" s="12">
        <f t="shared" ref="J3496:J3559" si="149">L3496-I3496</f>
        <v>290</v>
      </c>
      <c r="K3496" t="str">
        <f t="shared" si="143"/>
        <v>271-360</v>
      </c>
      <c r="L3496" s="11">
        <v>45383</v>
      </c>
      <c r="M3496" s="23">
        <f>YEAR(Таблица1[[#This Row],[Дата отчета]])</f>
        <v>2024</v>
      </c>
    </row>
    <row r="3497" spans="1:13" x14ac:dyDescent="0.25">
      <c r="A3497" t="s">
        <v>12</v>
      </c>
      <c r="B3497" t="s">
        <v>32</v>
      </c>
      <c r="C3497" t="s">
        <v>3779</v>
      </c>
      <c r="D3497" t="s">
        <v>3780</v>
      </c>
      <c r="E3497" t="s">
        <v>3529</v>
      </c>
      <c r="F3497" s="20">
        <v>5547126.2000000002</v>
      </c>
      <c r="I3497" s="11">
        <f t="shared" si="148"/>
        <v>45246</v>
      </c>
      <c r="J3497" s="12">
        <f t="shared" si="149"/>
        <v>137</v>
      </c>
      <c r="K3497" t="str">
        <f t="shared" si="143"/>
        <v>121-180</v>
      </c>
      <c r="L3497" s="11">
        <v>45383</v>
      </c>
      <c r="M3497" s="23">
        <f>YEAR(Таблица1[[#This Row],[Дата отчета]])</f>
        <v>2024</v>
      </c>
    </row>
    <row r="3498" spans="1:13" x14ac:dyDescent="0.25">
      <c r="A3498" t="s">
        <v>12</v>
      </c>
      <c r="B3498" t="s">
        <v>32</v>
      </c>
      <c r="C3498" t="s">
        <v>3779</v>
      </c>
      <c r="D3498" t="s">
        <v>3781</v>
      </c>
      <c r="E3498" t="s">
        <v>3782</v>
      </c>
      <c r="F3498" s="20">
        <v>1832272.8</v>
      </c>
      <c r="I3498" s="11">
        <f t="shared" si="148"/>
        <v>45344</v>
      </c>
      <c r="J3498" s="12">
        <f t="shared" si="149"/>
        <v>39</v>
      </c>
      <c r="K3498" t="str">
        <f t="shared" si="143"/>
        <v>31-90</v>
      </c>
      <c r="L3498" s="11">
        <v>45383</v>
      </c>
      <c r="M3498" s="23">
        <f>YEAR(Таблица1[[#This Row],[Дата отчета]])</f>
        <v>2024</v>
      </c>
    </row>
    <row r="3499" spans="1:13" x14ac:dyDescent="0.25">
      <c r="A3499" t="s">
        <v>12</v>
      </c>
      <c r="B3499" t="s">
        <v>32</v>
      </c>
      <c r="C3499" t="s">
        <v>3783</v>
      </c>
      <c r="D3499" t="s">
        <v>3784</v>
      </c>
      <c r="E3499" t="s">
        <v>3529</v>
      </c>
      <c r="F3499" s="20">
        <v>5143632.9000000004</v>
      </c>
      <c r="I3499" s="11">
        <f t="shared" si="148"/>
        <v>45246</v>
      </c>
      <c r="J3499" s="12">
        <f t="shared" si="149"/>
        <v>137</v>
      </c>
      <c r="K3499" t="str">
        <f t="shared" si="143"/>
        <v>121-180</v>
      </c>
      <c r="L3499" s="11">
        <v>45383</v>
      </c>
      <c r="M3499" s="23">
        <f>YEAR(Таблица1[[#This Row],[Дата отчета]])</f>
        <v>2024</v>
      </c>
    </row>
    <row r="3500" spans="1:13" x14ac:dyDescent="0.25">
      <c r="A3500" t="s">
        <v>12</v>
      </c>
      <c r="B3500" t="s">
        <v>32</v>
      </c>
      <c r="C3500" t="s">
        <v>3783</v>
      </c>
      <c r="D3500" t="s">
        <v>3785</v>
      </c>
      <c r="E3500" t="s">
        <v>3782</v>
      </c>
      <c r="F3500" s="20">
        <v>2204414.1</v>
      </c>
      <c r="I3500" s="11">
        <f t="shared" si="148"/>
        <v>45344</v>
      </c>
      <c r="J3500" s="12">
        <f t="shared" si="149"/>
        <v>39</v>
      </c>
      <c r="K3500" t="str">
        <f t="shared" si="143"/>
        <v>31-90</v>
      </c>
      <c r="L3500" s="11">
        <v>45383</v>
      </c>
      <c r="M3500" s="23">
        <f>YEAR(Таблица1[[#This Row],[Дата отчета]])</f>
        <v>2024</v>
      </c>
    </row>
    <row r="3501" spans="1:13" x14ac:dyDescent="0.25">
      <c r="A3501" t="s">
        <v>12</v>
      </c>
      <c r="B3501" t="s">
        <v>32</v>
      </c>
      <c r="C3501" t="s">
        <v>3786</v>
      </c>
      <c r="D3501" t="s">
        <v>3787</v>
      </c>
      <c r="E3501" t="s">
        <v>3529</v>
      </c>
      <c r="F3501" s="20">
        <v>4313673</v>
      </c>
      <c r="I3501" s="11">
        <f t="shared" si="148"/>
        <v>45246</v>
      </c>
      <c r="J3501" s="12">
        <f t="shared" si="149"/>
        <v>137</v>
      </c>
      <c r="K3501" t="str">
        <f t="shared" si="143"/>
        <v>121-180</v>
      </c>
      <c r="L3501" s="11">
        <v>45383</v>
      </c>
      <c r="M3501" s="23">
        <f>YEAR(Таблица1[[#This Row],[Дата отчета]])</f>
        <v>2024</v>
      </c>
    </row>
    <row r="3502" spans="1:13" x14ac:dyDescent="0.25">
      <c r="A3502" t="s">
        <v>12</v>
      </c>
      <c r="B3502" t="s">
        <v>32</v>
      </c>
      <c r="C3502" t="s">
        <v>3786</v>
      </c>
      <c r="D3502" t="s">
        <v>3788</v>
      </c>
      <c r="E3502" t="s">
        <v>3782</v>
      </c>
      <c r="F3502" s="20">
        <v>1848717</v>
      </c>
      <c r="I3502" s="11">
        <f t="shared" si="148"/>
        <v>45344</v>
      </c>
      <c r="J3502" s="12">
        <f t="shared" si="149"/>
        <v>39</v>
      </c>
      <c r="K3502" t="str">
        <f t="shared" si="143"/>
        <v>31-90</v>
      </c>
      <c r="L3502" s="11">
        <v>45383</v>
      </c>
      <c r="M3502" s="23">
        <f>YEAR(Таблица1[[#This Row],[Дата отчета]])</f>
        <v>2024</v>
      </c>
    </row>
    <row r="3503" spans="1:13" x14ac:dyDescent="0.25">
      <c r="A3503" t="s">
        <v>12</v>
      </c>
      <c r="B3503" t="s">
        <v>32</v>
      </c>
      <c r="C3503" t="s">
        <v>3789</v>
      </c>
      <c r="D3503" t="s">
        <v>3790</v>
      </c>
      <c r="E3503" t="s">
        <v>3791</v>
      </c>
      <c r="F3503" s="20">
        <v>4498242.53</v>
      </c>
      <c r="I3503" s="11">
        <f t="shared" si="148"/>
        <v>45251</v>
      </c>
      <c r="J3503" s="12">
        <f t="shared" si="149"/>
        <v>132</v>
      </c>
      <c r="K3503" t="str">
        <f t="shared" si="143"/>
        <v>121-180</v>
      </c>
      <c r="L3503" s="11">
        <v>45383</v>
      </c>
      <c r="M3503" s="23">
        <f>YEAR(Таблица1[[#This Row],[Дата отчета]])</f>
        <v>2024</v>
      </c>
    </row>
    <row r="3504" spans="1:13" x14ac:dyDescent="0.25">
      <c r="A3504" t="s">
        <v>12</v>
      </c>
      <c r="B3504" t="s">
        <v>32</v>
      </c>
      <c r="C3504" t="s">
        <v>3789</v>
      </c>
      <c r="D3504" t="s">
        <v>3792</v>
      </c>
      <c r="E3504" t="s">
        <v>3782</v>
      </c>
      <c r="F3504" s="20">
        <v>1927818.22</v>
      </c>
      <c r="I3504" s="11">
        <f t="shared" si="148"/>
        <v>45344</v>
      </c>
      <c r="J3504" s="12">
        <f t="shared" si="149"/>
        <v>39</v>
      </c>
      <c r="K3504" t="str">
        <f t="shared" si="143"/>
        <v>31-90</v>
      </c>
      <c r="L3504" s="11">
        <v>45383</v>
      </c>
      <c r="M3504" s="23">
        <f>YEAR(Таблица1[[#This Row],[Дата отчета]])</f>
        <v>2024</v>
      </c>
    </row>
    <row r="3505" spans="1:13" x14ac:dyDescent="0.25">
      <c r="A3505" t="s">
        <v>12</v>
      </c>
      <c r="B3505" t="s">
        <v>32</v>
      </c>
      <c r="C3505" t="s">
        <v>3793</v>
      </c>
      <c r="D3505" t="s">
        <v>3794</v>
      </c>
      <c r="E3505" t="s">
        <v>3529</v>
      </c>
      <c r="F3505" s="20">
        <v>625893.61</v>
      </c>
      <c r="I3505" s="11">
        <f t="shared" si="148"/>
        <v>45246</v>
      </c>
      <c r="J3505" s="12">
        <f t="shared" si="149"/>
        <v>137</v>
      </c>
      <c r="K3505" t="str">
        <f t="shared" si="143"/>
        <v>121-180</v>
      </c>
      <c r="L3505" s="11">
        <v>45383</v>
      </c>
      <c r="M3505" s="23">
        <f>YEAR(Таблица1[[#This Row],[Дата отчета]])</f>
        <v>2024</v>
      </c>
    </row>
    <row r="3506" spans="1:13" x14ac:dyDescent="0.25">
      <c r="A3506" t="s">
        <v>12</v>
      </c>
      <c r="B3506" t="s">
        <v>32</v>
      </c>
      <c r="C3506" t="s">
        <v>3793</v>
      </c>
      <c r="D3506" t="s">
        <v>3795</v>
      </c>
      <c r="E3506" t="s">
        <v>3782</v>
      </c>
      <c r="F3506" s="20">
        <v>268240.12</v>
      </c>
      <c r="I3506" s="11">
        <f t="shared" si="148"/>
        <v>45344</v>
      </c>
      <c r="J3506" s="12">
        <f t="shared" si="149"/>
        <v>39</v>
      </c>
      <c r="K3506" t="str">
        <f t="shared" si="143"/>
        <v>31-90</v>
      </c>
      <c r="L3506" s="11">
        <v>45383</v>
      </c>
      <c r="M3506" s="23">
        <f>YEAR(Таблица1[[#This Row],[Дата отчета]])</f>
        <v>2024</v>
      </c>
    </row>
    <row r="3507" spans="1:13" x14ac:dyDescent="0.25">
      <c r="A3507" t="s">
        <v>12</v>
      </c>
      <c r="B3507" t="s">
        <v>42</v>
      </c>
      <c r="C3507" t="s">
        <v>3796</v>
      </c>
      <c r="D3507" t="s">
        <v>3797</v>
      </c>
      <c r="E3507" t="s">
        <v>3798</v>
      </c>
      <c r="F3507" s="20">
        <v>14700000</v>
      </c>
      <c r="I3507" s="11">
        <f t="shared" si="148"/>
        <v>45271</v>
      </c>
      <c r="J3507" s="12">
        <f t="shared" si="149"/>
        <v>112</v>
      </c>
      <c r="K3507" t="str">
        <f t="shared" si="143"/>
        <v>91-120</v>
      </c>
      <c r="L3507" s="11">
        <v>45383</v>
      </c>
      <c r="M3507" s="23">
        <f>YEAR(Таблица1[[#This Row],[Дата отчета]])</f>
        <v>2024</v>
      </c>
    </row>
    <row r="3508" spans="1:13" x14ac:dyDescent="0.25">
      <c r="A3508" t="s">
        <v>12</v>
      </c>
      <c r="B3508" t="s">
        <v>13</v>
      </c>
      <c r="C3508" t="s">
        <v>14</v>
      </c>
      <c r="D3508" t="s">
        <v>15</v>
      </c>
      <c r="E3508" t="s">
        <v>16</v>
      </c>
      <c r="F3508" s="20">
        <v>0.01</v>
      </c>
      <c r="I3508" s="11">
        <f t="shared" si="148"/>
        <v>45051</v>
      </c>
      <c r="J3508" s="12">
        <f t="shared" si="149"/>
        <v>332</v>
      </c>
      <c r="K3508" t="str">
        <f t="shared" si="143"/>
        <v>271-360</v>
      </c>
      <c r="L3508" s="11">
        <v>45383</v>
      </c>
      <c r="M3508" s="23">
        <f>YEAR(Таблица1[[#This Row],[Дата отчета]])</f>
        <v>2024</v>
      </c>
    </row>
    <row r="3509" spans="1:13" x14ac:dyDescent="0.25">
      <c r="A3509" t="s">
        <v>12</v>
      </c>
      <c r="B3509" t="s">
        <v>3799</v>
      </c>
      <c r="C3509" t="s">
        <v>3800</v>
      </c>
      <c r="D3509" t="s">
        <v>3801</v>
      </c>
      <c r="E3509" t="s">
        <v>3802</v>
      </c>
      <c r="F3509" s="20">
        <v>1613200</v>
      </c>
      <c r="I3509" s="11">
        <f t="shared" si="148"/>
        <v>45371</v>
      </c>
      <c r="J3509" s="12">
        <f t="shared" si="149"/>
        <v>12</v>
      </c>
      <c r="K3509" t="str">
        <f t="shared" si="143"/>
        <v>0-30</v>
      </c>
      <c r="L3509" s="11">
        <v>45383</v>
      </c>
      <c r="M3509" s="23">
        <f>YEAR(Таблица1[[#This Row],[Дата отчета]])</f>
        <v>2024</v>
      </c>
    </row>
    <row r="3510" spans="1:13" x14ac:dyDescent="0.25">
      <c r="A3510" t="s">
        <v>12</v>
      </c>
      <c r="B3510" t="s">
        <v>3803</v>
      </c>
      <c r="C3510" t="s">
        <v>3804</v>
      </c>
      <c r="D3510" t="s">
        <v>3805</v>
      </c>
      <c r="E3510" t="s">
        <v>1258</v>
      </c>
      <c r="F3510" s="20">
        <v>4185400</v>
      </c>
      <c r="I3510" s="11">
        <f t="shared" si="148"/>
        <v>45288</v>
      </c>
      <c r="J3510" s="12">
        <f t="shared" si="149"/>
        <v>95</v>
      </c>
      <c r="K3510" t="str">
        <f t="shared" si="143"/>
        <v>91-120</v>
      </c>
      <c r="L3510" s="11">
        <v>45383</v>
      </c>
      <c r="M3510" s="23">
        <f>YEAR(Таблица1[[#This Row],[Дата отчета]])</f>
        <v>2024</v>
      </c>
    </row>
    <row r="3511" spans="1:13" x14ac:dyDescent="0.25">
      <c r="A3511" t="s">
        <v>12</v>
      </c>
      <c r="B3511" t="s">
        <v>84</v>
      </c>
      <c r="C3511" t="s">
        <v>85</v>
      </c>
      <c r="D3511" t="s">
        <v>3806</v>
      </c>
      <c r="E3511" t="s">
        <v>3807</v>
      </c>
      <c r="F3511" s="20">
        <v>149579232</v>
      </c>
      <c r="I3511" s="11">
        <f t="shared" si="148"/>
        <v>45264</v>
      </c>
      <c r="J3511" s="12">
        <f t="shared" si="149"/>
        <v>119</v>
      </c>
      <c r="K3511" t="str">
        <f t="shared" si="143"/>
        <v>91-120</v>
      </c>
      <c r="L3511" s="11">
        <v>45383</v>
      </c>
      <c r="M3511" s="23">
        <f>YEAR(Таблица1[[#This Row],[Дата отчета]])</f>
        <v>2024</v>
      </c>
    </row>
    <row r="3512" spans="1:13" x14ac:dyDescent="0.25">
      <c r="A3512" t="s">
        <v>12</v>
      </c>
      <c r="B3512" t="s">
        <v>93</v>
      </c>
      <c r="C3512" t="s">
        <v>3024</v>
      </c>
      <c r="D3512" t="s">
        <v>3025</v>
      </c>
      <c r="E3512" t="s">
        <v>3026</v>
      </c>
      <c r="F3512" s="20">
        <v>1017.07</v>
      </c>
      <c r="I3512" s="11">
        <f t="shared" si="148"/>
        <v>45356</v>
      </c>
      <c r="J3512" s="12">
        <f t="shared" si="149"/>
        <v>27</v>
      </c>
      <c r="K3512" t="str">
        <f t="shared" si="143"/>
        <v>0-30</v>
      </c>
      <c r="L3512" s="11">
        <v>45383</v>
      </c>
      <c r="M3512" s="23">
        <f>YEAR(Таблица1[[#This Row],[Дата отчета]])</f>
        <v>2024</v>
      </c>
    </row>
    <row r="3513" spans="1:13" x14ac:dyDescent="0.25">
      <c r="A3513" t="s">
        <v>12</v>
      </c>
      <c r="B3513" t="s">
        <v>1289</v>
      </c>
      <c r="C3513" t="s">
        <v>269</v>
      </c>
      <c r="D3513" t="s">
        <v>3152</v>
      </c>
      <c r="E3513" t="s">
        <v>3153</v>
      </c>
      <c r="F3513" s="20">
        <v>15925</v>
      </c>
      <c r="I3513" s="11">
        <f t="shared" si="148"/>
        <v>45357</v>
      </c>
      <c r="J3513" s="12">
        <f t="shared" si="149"/>
        <v>26</v>
      </c>
      <c r="K3513" t="str">
        <f t="shared" si="143"/>
        <v>0-30</v>
      </c>
      <c r="L3513" s="11">
        <v>45383</v>
      </c>
      <c r="M3513" s="23">
        <f>YEAR(Таблица1[[#This Row],[Дата отчета]])</f>
        <v>2024</v>
      </c>
    </row>
    <row r="3514" spans="1:13" x14ac:dyDescent="0.25">
      <c r="A3514" t="s">
        <v>12</v>
      </c>
      <c r="B3514" t="s">
        <v>3030</v>
      </c>
      <c r="C3514" t="s">
        <v>970</v>
      </c>
      <c r="D3514" t="s">
        <v>3356</v>
      </c>
      <c r="E3514" t="s">
        <v>3357</v>
      </c>
      <c r="F3514" s="20">
        <v>1330</v>
      </c>
      <c r="I3514" s="11">
        <f t="shared" si="148"/>
        <v>45370</v>
      </c>
      <c r="J3514" s="12">
        <f t="shared" si="149"/>
        <v>13</v>
      </c>
      <c r="K3514" t="str">
        <f t="shared" si="143"/>
        <v>0-30</v>
      </c>
      <c r="L3514" s="11">
        <v>45383</v>
      </c>
      <c r="M3514" s="23">
        <f>YEAR(Таблица1[[#This Row],[Дата отчета]])</f>
        <v>2024</v>
      </c>
    </row>
    <row r="3515" spans="1:13" x14ac:dyDescent="0.25">
      <c r="A3515" t="s">
        <v>12</v>
      </c>
      <c r="B3515" t="s">
        <v>3030</v>
      </c>
      <c r="C3515" t="s">
        <v>3808</v>
      </c>
      <c r="D3515" t="s">
        <v>3809</v>
      </c>
      <c r="E3515" t="s">
        <v>3577</v>
      </c>
      <c r="F3515" s="20">
        <v>2100</v>
      </c>
      <c r="I3515" s="11">
        <f t="shared" si="148"/>
        <v>45351</v>
      </c>
      <c r="J3515" s="12">
        <f t="shared" si="149"/>
        <v>32</v>
      </c>
      <c r="K3515" t="str">
        <f t="shared" si="143"/>
        <v>31-90</v>
      </c>
      <c r="L3515" s="11">
        <v>45383</v>
      </c>
      <c r="M3515" s="23">
        <f>YEAR(Таблица1[[#This Row],[Дата отчета]])</f>
        <v>2024</v>
      </c>
    </row>
    <row r="3516" spans="1:13" x14ac:dyDescent="0.25">
      <c r="A3516" t="s">
        <v>12</v>
      </c>
      <c r="B3516" t="s">
        <v>1151</v>
      </c>
      <c r="C3516" t="s">
        <v>3810</v>
      </c>
      <c r="D3516" t="s">
        <v>3811</v>
      </c>
      <c r="E3516" t="s">
        <v>3357</v>
      </c>
      <c r="F3516" s="20">
        <v>88800</v>
      </c>
      <c r="I3516" s="11">
        <f t="shared" si="148"/>
        <v>45370</v>
      </c>
      <c r="J3516" s="12">
        <f t="shared" si="149"/>
        <v>13</v>
      </c>
      <c r="K3516" t="str">
        <f t="shared" si="143"/>
        <v>0-30</v>
      </c>
      <c r="L3516" s="11">
        <v>45383</v>
      </c>
      <c r="M3516" s="23">
        <f>YEAR(Таблица1[[#This Row],[Дата отчета]])</f>
        <v>2024</v>
      </c>
    </row>
    <row r="3517" spans="1:13" x14ac:dyDescent="0.25">
      <c r="A3517" t="s">
        <v>12</v>
      </c>
      <c r="B3517" t="s">
        <v>3812</v>
      </c>
      <c r="C3517" t="s">
        <v>3813</v>
      </c>
      <c r="D3517" t="s">
        <v>3814</v>
      </c>
      <c r="E3517" t="s">
        <v>3782</v>
      </c>
      <c r="F3517" s="20">
        <v>2800000</v>
      </c>
      <c r="I3517" s="11">
        <f t="shared" si="148"/>
        <v>45344</v>
      </c>
      <c r="J3517" s="12">
        <f t="shared" si="149"/>
        <v>39</v>
      </c>
      <c r="K3517" t="str">
        <f t="shared" si="143"/>
        <v>31-90</v>
      </c>
      <c r="L3517" s="11">
        <v>45383</v>
      </c>
      <c r="M3517" s="23">
        <f>YEAR(Таблица1[[#This Row],[Дата отчета]])</f>
        <v>2024</v>
      </c>
    </row>
    <row r="3518" spans="1:13" x14ac:dyDescent="0.25">
      <c r="A3518" t="s">
        <v>12</v>
      </c>
      <c r="B3518" t="s">
        <v>3812</v>
      </c>
      <c r="C3518" t="s">
        <v>3813</v>
      </c>
      <c r="D3518" t="s">
        <v>3815</v>
      </c>
      <c r="E3518" t="s">
        <v>3816</v>
      </c>
      <c r="F3518" s="20">
        <v>3200000</v>
      </c>
      <c r="I3518" s="11">
        <f t="shared" si="148"/>
        <v>45366</v>
      </c>
      <c r="J3518" s="12">
        <f t="shared" si="149"/>
        <v>17</v>
      </c>
      <c r="K3518" t="str">
        <f t="shared" si="143"/>
        <v>0-30</v>
      </c>
      <c r="L3518" s="11">
        <v>45383</v>
      </c>
      <c r="M3518" s="23">
        <f>YEAR(Таблица1[[#This Row],[Дата отчета]])</f>
        <v>2024</v>
      </c>
    </row>
    <row r="3519" spans="1:13" x14ac:dyDescent="0.25">
      <c r="A3519" t="s">
        <v>12</v>
      </c>
      <c r="B3519" t="s">
        <v>114</v>
      </c>
      <c r="C3519" t="s">
        <v>3817</v>
      </c>
      <c r="D3519" t="s">
        <v>3818</v>
      </c>
      <c r="E3519" t="s">
        <v>3819</v>
      </c>
      <c r="F3519" s="20">
        <v>29124</v>
      </c>
      <c r="I3519" s="11">
        <f t="shared" si="148"/>
        <v>45337</v>
      </c>
      <c r="J3519" s="12">
        <f t="shared" si="149"/>
        <v>46</v>
      </c>
      <c r="K3519" t="str">
        <f t="shared" ref="K3519:K3582" si="150">IF(J3519&lt;=30,"0-30",IF(J3519&lt;=90,"31-90",IF(J3519&lt;=120,"91-120",IF(J3519&lt;=180,"121-180",IF(J3519&lt;=270,"181-270",IF(J3519&lt;=360,"271-360","&gt;360"))))))</f>
        <v>31-90</v>
      </c>
      <c r="L3519" s="11">
        <v>45383</v>
      </c>
      <c r="M3519" s="23">
        <f>YEAR(Таблица1[[#This Row],[Дата отчета]])</f>
        <v>2024</v>
      </c>
    </row>
    <row r="3520" spans="1:13" x14ac:dyDescent="0.25">
      <c r="A3520" t="s">
        <v>12</v>
      </c>
      <c r="B3520" t="s">
        <v>114</v>
      </c>
      <c r="C3520" t="s">
        <v>3820</v>
      </c>
      <c r="D3520" t="s">
        <v>3821</v>
      </c>
      <c r="E3520" t="s">
        <v>3802</v>
      </c>
      <c r="F3520" s="20">
        <v>286485.26</v>
      </c>
      <c r="I3520" s="11">
        <f t="shared" si="148"/>
        <v>45371</v>
      </c>
      <c r="J3520" s="12">
        <f t="shared" si="149"/>
        <v>12</v>
      </c>
      <c r="K3520" t="str">
        <f t="shared" si="150"/>
        <v>0-30</v>
      </c>
      <c r="L3520" s="11">
        <v>45383</v>
      </c>
      <c r="M3520" s="23">
        <f>YEAR(Таблица1[[#This Row],[Дата отчета]])</f>
        <v>2024</v>
      </c>
    </row>
    <row r="3521" spans="1:13" x14ac:dyDescent="0.25">
      <c r="A3521" t="s">
        <v>12</v>
      </c>
      <c r="B3521" t="s">
        <v>1888</v>
      </c>
      <c r="C3521" t="s">
        <v>1889</v>
      </c>
      <c r="D3521" t="s">
        <v>1890</v>
      </c>
      <c r="E3521" t="s">
        <v>2438</v>
      </c>
      <c r="F3521" s="20">
        <v>12470</v>
      </c>
      <c r="I3521" s="11">
        <f t="shared" si="148"/>
        <v>45365</v>
      </c>
      <c r="J3521" s="12">
        <f t="shared" si="149"/>
        <v>18</v>
      </c>
      <c r="K3521" t="str">
        <f t="shared" si="150"/>
        <v>0-30</v>
      </c>
      <c r="L3521" s="11">
        <v>45383</v>
      </c>
      <c r="M3521" s="23">
        <f>YEAR(Таблица1[[#This Row],[Дата отчета]])</f>
        <v>2024</v>
      </c>
    </row>
    <row r="3522" spans="1:13" x14ac:dyDescent="0.25">
      <c r="A3522" t="s">
        <v>12</v>
      </c>
      <c r="B3522" t="s">
        <v>124</v>
      </c>
      <c r="C3522" t="s">
        <v>125</v>
      </c>
      <c r="D3522" t="s">
        <v>3036</v>
      </c>
      <c r="E3522" t="s">
        <v>3037</v>
      </c>
      <c r="F3522" s="20">
        <v>49500</v>
      </c>
      <c r="I3522" s="11">
        <f t="shared" si="148"/>
        <v>45282</v>
      </c>
      <c r="J3522" s="12">
        <f t="shared" si="149"/>
        <v>101</v>
      </c>
      <c r="K3522" t="str">
        <f t="shared" si="150"/>
        <v>91-120</v>
      </c>
      <c r="L3522" s="11">
        <v>45383</v>
      </c>
      <c r="M3522" s="23">
        <f>YEAR(Таблица1[[#This Row],[Дата отчета]])</f>
        <v>2024</v>
      </c>
    </row>
    <row r="3523" spans="1:13" x14ac:dyDescent="0.25">
      <c r="A3523" t="s">
        <v>12</v>
      </c>
      <c r="B3523" t="s">
        <v>3367</v>
      </c>
      <c r="C3523" t="s">
        <v>970</v>
      </c>
      <c r="D3523" t="s">
        <v>3152</v>
      </c>
      <c r="E3523" t="s">
        <v>3153</v>
      </c>
      <c r="F3523" s="20">
        <v>23484</v>
      </c>
      <c r="I3523" s="11">
        <f t="shared" si="148"/>
        <v>45357</v>
      </c>
      <c r="J3523" s="12">
        <f t="shared" si="149"/>
        <v>26</v>
      </c>
      <c r="K3523" t="str">
        <f t="shared" si="150"/>
        <v>0-30</v>
      </c>
      <c r="L3523" s="11">
        <v>45383</v>
      </c>
      <c r="M3523" s="23">
        <f>YEAR(Таблица1[[#This Row],[Дата отчета]])</f>
        <v>2024</v>
      </c>
    </row>
    <row r="3524" spans="1:13" x14ac:dyDescent="0.25">
      <c r="A3524" t="s">
        <v>12</v>
      </c>
      <c r="B3524" t="s">
        <v>1891</v>
      </c>
      <c r="C3524" t="s">
        <v>1892</v>
      </c>
      <c r="D3524" t="s">
        <v>1893</v>
      </c>
      <c r="E3524" t="s">
        <v>2439</v>
      </c>
      <c r="F3524" s="20">
        <v>6879</v>
      </c>
      <c r="I3524" s="11">
        <f t="shared" si="148"/>
        <v>45016</v>
      </c>
      <c r="J3524" s="12">
        <f t="shared" si="149"/>
        <v>367</v>
      </c>
      <c r="K3524" t="str">
        <f t="shared" si="150"/>
        <v>&gt;360</v>
      </c>
      <c r="L3524" s="11">
        <v>45383</v>
      </c>
      <c r="M3524" s="23">
        <f>YEAR(Таблица1[[#This Row],[Дата отчета]])</f>
        <v>2024</v>
      </c>
    </row>
    <row r="3525" spans="1:13" x14ac:dyDescent="0.25">
      <c r="A3525" t="s">
        <v>12</v>
      </c>
      <c r="B3525" t="s">
        <v>150</v>
      </c>
      <c r="C3525" t="s">
        <v>3047</v>
      </c>
      <c r="D3525" t="s">
        <v>3048</v>
      </c>
      <c r="E3525" t="s">
        <v>3049</v>
      </c>
      <c r="F3525" s="20">
        <v>1615784.87</v>
      </c>
      <c r="I3525" s="11">
        <f t="shared" si="148"/>
        <v>45348</v>
      </c>
      <c r="J3525" s="12">
        <f t="shared" si="149"/>
        <v>35</v>
      </c>
      <c r="K3525" t="str">
        <f t="shared" si="150"/>
        <v>31-90</v>
      </c>
      <c r="L3525" s="11">
        <v>45383</v>
      </c>
      <c r="M3525" s="23">
        <f>YEAR(Таблица1[[#This Row],[Дата отчета]])</f>
        <v>2024</v>
      </c>
    </row>
    <row r="3526" spans="1:13" x14ac:dyDescent="0.25">
      <c r="A3526" t="s">
        <v>12</v>
      </c>
      <c r="B3526" t="s">
        <v>3822</v>
      </c>
      <c r="C3526" t="s">
        <v>3823</v>
      </c>
      <c r="D3526" t="s">
        <v>3824</v>
      </c>
      <c r="E3526" t="s">
        <v>3802</v>
      </c>
      <c r="F3526" s="20">
        <v>41540</v>
      </c>
      <c r="I3526" s="11">
        <f t="shared" si="148"/>
        <v>45371</v>
      </c>
      <c r="J3526" s="12">
        <f t="shared" si="149"/>
        <v>12</v>
      </c>
      <c r="K3526" t="str">
        <f t="shared" si="150"/>
        <v>0-30</v>
      </c>
      <c r="L3526" s="11">
        <v>45383</v>
      </c>
      <c r="M3526" s="23">
        <f>YEAR(Таблица1[[#This Row],[Дата отчета]])</f>
        <v>2024</v>
      </c>
    </row>
    <row r="3527" spans="1:13" x14ac:dyDescent="0.25">
      <c r="A3527" t="s">
        <v>12</v>
      </c>
      <c r="B3527" t="s">
        <v>3822</v>
      </c>
      <c r="C3527" t="s">
        <v>3823</v>
      </c>
      <c r="D3527" t="s">
        <v>3825</v>
      </c>
      <c r="E3527" t="s">
        <v>3826</v>
      </c>
      <c r="F3527" s="20">
        <v>600000</v>
      </c>
      <c r="I3527" s="11">
        <f t="shared" si="148"/>
        <v>45376</v>
      </c>
      <c r="J3527" s="12">
        <f t="shared" si="149"/>
        <v>7</v>
      </c>
      <c r="K3527" t="str">
        <f t="shared" si="150"/>
        <v>0-30</v>
      </c>
      <c r="L3527" s="11">
        <v>45383</v>
      </c>
      <c r="M3527" s="23">
        <f>YEAR(Таблица1[[#This Row],[Дата отчета]])</f>
        <v>2024</v>
      </c>
    </row>
    <row r="3528" spans="1:13" x14ac:dyDescent="0.25">
      <c r="A3528" t="s">
        <v>12</v>
      </c>
      <c r="B3528" t="s">
        <v>1313</v>
      </c>
      <c r="C3528" t="s">
        <v>269</v>
      </c>
      <c r="D3528" t="s">
        <v>3381</v>
      </c>
      <c r="E3528" t="s">
        <v>3026</v>
      </c>
      <c r="F3528" s="20">
        <v>21470</v>
      </c>
      <c r="I3528" s="11">
        <f t="shared" si="148"/>
        <v>45356</v>
      </c>
      <c r="J3528" s="12">
        <f t="shared" si="149"/>
        <v>27</v>
      </c>
      <c r="K3528" t="str">
        <f t="shared" si="150"/>
        <v>0-30</v>
      </c>
      <c r="L3528" s="11">
        <v>45383</v>
      </c>
      <c r="M3528" s="23">
        <f>YEAR(Таблица1[[#This Row],[Дата отчета]])</f>
        <v>2024</v>
      </c>
    </row>
    <row r="3529" spans="1:13" x14ac:dyDescent="0.25">
      <c r="A3529" t="s">
        <v>12</v>
      </c>
      <c r="B3529" t="s">
        <v>3827</v>
      </c>
      <c r="C3529" t="s">
        <v>3828</v>
      </c>
      <c r="D3529" t="s">
        <v>3829</v>
      </c>
      <c r="E3529" t="s">
        <v>3830</v>
      </c>
      <c r="F3529" s="20">
        <v>200000</v>
      </c>
      <c r="I3529" s="11">
        <f t="shared" si="148"/>
        <v>45349</v>
      </c>
      <c r="J3529" s="12">
        <f t="shared" si="149"/>
        <v>34</v>
      </c>
      <c r="K3529" t="str">
        <f t="shared" si="150"/>
        <v>31-90</v>
      </c>
      <c r="L3529" s="11">
        <v>45383</v>
      </c>
      <c r="M3529" s="23">
        <f>YEAR(Таблица1[[#This Row],[Дата отчета]])</f>
        <v>2024</v>
      </c>
    </row>
    <row r="3530" spans="1:13" x14ac:dyDescent="0.25">
      <c r="A3530" t="s">
        <v>12</v>
      </c>
      <c r="B3530" t="s">
        <v>3827</v>
      </c>
      <c r="C3530" t="s">
        <v>3828</v>
      </c>
      <c r="D3530" t="s">
        <v>3831</v>
      </c>
      <c r="E3530" t="s">
        <v>3832</v>
      </c>
      <c r="F3530" s="20">
        <v>200000</v>
      </c>
      <c r="I3530" s="11">
        <f t="shared" si="148"/>
        <v>45350</v>
      </c>
      <c r="J3530" s="12">
        <f t="shared" si="149"/>
        <v>33</v>
      </c>
      <c r="K3530" t="str">
        <f t="shared" si="150"/>
        <v>31-90</v>
      </c>
      <c r="L3530" s="11">
        <v>45383</v>
      </c>
      <c r="M3530" s="23">
        <f>YEAR(Таблица1[[#This Row],[Дата отчета]])</f>
        <v>2024</v>
      </c>
    </row>
    <row r="3531" spans="1:13" x14ac:dyDescent="0.25">
      <c r="A3531" t="s">
        <v>12</v>
      </c>
      <c r="B3531" t="s">
        <v>3391</v>
      </c>
      <c r="C3531" t="s">
        <v>3392</v>
      </c>
      <c r="D3531" t="s">
        <v>3393</v>
      </c>
      <c r="E3531" t="s">
        <v>3394</v>
      </c>
      <c r="F3531" s="20">
        <v>110769.5</v>
      </c>
      <c r="I3531" s="11">
        <f t="shared" si="148"/>
        <v>45379</v>
      </c>
      <c r="J3531" s="12">
        <f t="shared" si="149"/>
        <v>4</v>
      </c>
      <c r="K3531" t="str">
        <f t="shared" si="150"/>
        <v>0-30</v>
      </c>
      <c r="L3531" s="11">
        <v>45383</v>
      </c>
      <c r="M3531" s="23">
        <f>YEAR(Таблица1[[#This Row],[Дата отчета]])</f>
        <v>2024</v>
      </c>
    </row>
    <row r="3532" spans="1:13" x14ac:dyDescent="0.25">
      <c r="A3532" t="s">
        <v>12</v>
      </c>
      <c r="B3532" t="s">
        <v>180</v>
      </c>
      <c r="C3532" t="s">
        <v>3064</v>
      </c>
      <c r="D3532" t="s">
        <v>3065</v>
      </c>
      <c r="E3532" t="s">
        <v>3066</v>
      </c>
      <c r="F3532" s="20">
        <v>8750</v>
      </c>
      <c r="I3532" s="11">
        <f t="shared" si="148"/>
        <v>45240</v>
      </c>
      <c r="J3532" s="12">
        <f t="shared" si="149"/>
        <v>143</v>
      </c>
      <c r="K3532" t="str">
        <f t="shared" si="150"/>
        <v>121-180</v>
      </c>
      <c r="L3532" s="11">
        <v>45383</v>
      </c>
      <c r="M3532" s="23">
        <f>YEAR(Таблица1[[#This Row],[Дата отчета]])</f>
        <v>2024</v>
      </c>
    </row>
    <row r="3533" spans="1:13" x14ac:dyDescent="0.25">
      <c r="A3533" t="s">
        <v>12</v>
      </c>
      <c r="B3533" t="s">
        <v>180</v>
      </c>
      <c r="C3533" t="s">
        <v>3833</v>
      </c>
      <c r="D3533" t="s">
        <v>3834</v>
      </c>
      <c r="E3533" t="s">
        <v>3276</v>
      </c>
      <c r="F3533" s="20">
        <v>73765</v>
      </c>
      <c r="I3533" s="11">
        <f t="shared" si="148"/>
        <v>45364</v>
      </c>
      <c r="J3533" s="12">
        <f t="shared" si="149"/>
        <v>19</v>
      </c>
      <c r="K3533" t="str">
        <f t="shared" si="150"/>
        <v>0-30</v>
      </c>
      <c r="L3533" s="11">
        <v>45383</v>
      </c>
      <c r="M3533" s="23">
        <f>YEAR(Таблица1[[#This Row],[Дата отчета]])</f>
        <v>2024</v>
      </c>
    </row>
    <row r="3534" spans="1:13" x14ac:dyDescent="0.25">
      <c r="A3534" t="s">
        <v>12</v>
      </c>
      <c r="B3534" t="s">
        <v>186</v>
      </c>
      <c r="C3534" t="s">
        <v>190</v>
      </c>
      <c r="D3534" t="s">
        <v>3405</v>
      </c>
      <c r="E3534" t="s">
        <v>3406</v>
      </c>
      <c r="F3534" s="20">
        <v>6600</v>
      </c>
      <c r="I3534" s="11">
        <f t="shared" si="148"/>
        <v>44039</v>
      </c>
      <c r="J3534" s="12">
        <f t="shared" si="149"/>
        <v>1344</v>
      </c>
      <c r="K3534" t="str">
        <f t="shared" si="150"/>
        <v>&gt;360</v>
      </c>
      <c r="L3534" s="11">
        <v>45383</v>
      </c>
      <c r="M3534" s="23">
        <f>YEAR(Таблица1[[#This Row],[Дата отчета]])</f>
        <v>2024</v>
      </c>
    </row>
    <row r="3535" spans="1:13" x14ac:dyDescent="0.25">
      <c r="A3535" t="s">
        <v>12</v>
      </c>
      <c r="B3535" t="s">
        <v>186</v>
      </c>
      <c r="C3535" t="s">
        <v>1346</v>
      </c>
      <c r="D3535" t="s">
        <v>3835</v>
      </c>
      <c r="E3535" t="s">
        <v>3836</v>
      </c>
      <c r="F3535" s="20">
        <v>6600</v>
      </c>
      <c r="I3535" s="11">
        <f t="shared" si="148"/>
        <v>45254</v>
      </c>
      <c r="J3535" s="12">
        <f t="shared" si="149"/>
        <v>129</v>
      </c>
      <c r="K3535" t="str">
        <f t="shared" si="150"/>
        <v>121-180</v>
      </c>
      <c r="L3535" s="11">
        <v>45383</v>
      </c>
      <c r="M3535" s="23">
        <f>YEAR(Таблица1[[#This Row],[Дата отчета]])</f>
        <v>2024</v>
      </c>
    </row>
    <row r="3536" spans="1:13" x14ac:dyDescent="0.25">
      <c r="A3536" t="s">
        <v>12</v>
      </c>
      <c r="B3536" t="s">
        <v>3123</v>
      </c>
      <c r="C3536" t="s">
        <v>3124</v>
      </c>
      <c r="D3536" t="s">
        <v>3125</v>
      </c>
      <c r="E3536" t="s">
        <v>3126</v>
      </c>
      <c r="F3536" s="20">
        <v>1700000</v>
      </c>
      <c r="I3536" s="11">
        <f t="shared" si="148"/>
        <v>45352</v>
      </c>
      <c r="J3536" s="12">
        <f t="shared" si="149"/>
        <v>31</v>
      </c>
      <c r="K3536" t="str">
        <f t="shared" si="150"/>
        <v>31-90</v>
      </c>
      <c r="L3536" s="11">
        <v>45383</v>
      </c>
      <c r="M3536" s="23">
        <f>YEAR(Таблица1[[#This Row],[Дата отчета]])</f>
        <v>2024</v>
      </c>
    </row>
    <row r="3537" spans="1:13" x14ac:dyDescent="0.25">
      <c r="A3537" t="s">
        <v>12</v>
      </c>
      <c r="B3537" t="s">
        <v>3837</v>
      </c>
      <c r="C3537" t="s">
        <v>3838</v>
      </c>
      <c r="D3537" t="s">
        <v>3839</v>
      </c>
      <c r="E3537" t="s">
        <v>3049</v>
      </c>
      <c r="F3537" s="20">
        <v>3375000</v>
      </c>
      <c r="I3537" s="11">
        <f t="shared" si="148"/>
        <v>45348</v>
      </c>
      <c r="J3537" s="12">
        <f t="shared" si="149"/>
        <v>35</v>
      </c>
      <c r="K3537" t="str">
        <f t="shared" si="150"/>
        <v>31-90</v>
      </c>
      <c r="L3537" s="11">
        <v>45383</v>
      </c>
      <c r="M3537" s="23">
        <f>YEAR(Таблица1[[#This Row],[Дата отчета]])</f>
        <v>2024</v>
      </c>
    </row>
    <row r="3538" spans="1:13" x14ac:dyDescent="0.25">
      <c r="A3538" t="s">
        <v>12</v>
      </c>
      <c r="B3538" t="s">
        <v>3840</v>
      </c>
      <c r="C3538" t="s">
        <v>3841</v>
      </c>
      <c r="D3538" t="s">
        <v>3842</v>
      </c>
      <c r="E3538" t="s">
        <v>3843</v>
      </c>
      <c r="F3538" s="20">
        <v>7168371</v>
      </c>
      <c r="I3538" s="11">
        <f t="shared" si="148"/>
        <v>45300</v>
      </c>
      <c r="J3538" s="12">
        <f t="shared" si="149"/>
        <v>83</v>
      </c>
      <c r="K3538" t="str">
        <f t="shared" si="150"/>
        <v>31-90</v>
      </c>
      <c r="L3538" s="11">
        <v>45383</v>
      </c>
      <c r="M3538" s="23">
        <f>YEAR(Таблица1[[#This Row],[Дата отчета]])</f>
        <v>2024</v>
      </c>
    </row>
    <row r="3539" spans="1:13" x14ac:dyDescent="0.25">
      <c r="A3539" t="s">
        <v>12</v>
      </c>
      <c r="B3539" t="s">
        <v>3840</v>
      </c>
      <c r="C3539" t="s">
        <v>3841</v>
      </c>
      <c r="D3539" t="s">
        <v>3844</v>
      </c>
      <c r="E3539" t="s">
        <v>3292</v>
      </c>
      <c r="F3539" s="20">
        <v>3584185.5</v>
      </c>
      <c r="I3539" s="11">
        <f t="shared" si="148"/>
        <v>45358</v>
      </c>
      <c r="J3539" s="12">
        <f t="shared" si="149"/>
        <v>25</v>
      </c>
      <c r="K3539" t="str">
        <f t="shared" si="150"/>
        <v>0-30</v>
      </c>
      <c r="L3539" s="11">
        <v>45383</v>
      </c>
      <c r="M3539" s="23">
        <f>YEAR(Таблица1[[#This Row],[Дата отчета]])</f>
        <v>2024</v>
      </c>
    </row>
    <row r="3540" spans="1:13" x14ac:dyDescent="0.25">
      <c r="A3540" t="s">
        <v>12</v>
      </c>
      <c r="B3540" t="s">
        <v>3840</v>
      </c>
      <c r="C3540" t="s">
        <v>3845</v>
      </c>
      <c r="D3540" t="s">
        <v>3846</v>
      </c>
      <c r="E3540" t="s">
        <v>3847</v>
      </c>
      <c r="F3540" s="20">
        <v>1230000</v>
      </c>
      <c r="I3540" s="11">
        <f t="shared" si="148"/>
        <v>45310</v>
      </c>
      <c r="J3540" s="12">
        <f t="shared" si="149"/>
        <v>73</v>
      </c>
      <c r="K3540" t="str">
        <f t="shared" si="150"/>
        <v>31-90</v>
      </c>
      <c r="L3540" s="11">
        <v>45383</v>
      </c>
      <c r="M3540" s="23">
        <f>YEAR(Таблица1[[#This Row],[Дата отчета]])</f>
        <v>2024</v>
      </c>
    </row>
    <row r="3541" spans="1:13" x14ac:dyDescent="0.25">
      <c r="A3541" t="s">
        <v>12</v>
      </c>
      <c r="B3541" t="s">
        <v>3840</v>
      </c>
      <c r="C3541" t="s">
        <v>3845</v>
      </c>
      <c r="D3541" t="s">
        <v>3848</v>
      </c>
      <c r="E3541" t="s">
        <v>3292</v>
      </c>
      <c r="F3541" s="20">
        <v>615000</v>
      </c>
      <c r="I3541" s="11">
        <f t="shared" si="148"/>
        <v>45358</v>
      </c>
      <c r="J3541" s="12">
        <f t="shared" si="149"/>
        <v>25</v>
      </c>
      <c r="K3541" t="str">
        <f t="shared" si="150"/>
        <v>0-30</v>
      </c>
      <c r="L3541" s="11">
        <v>45383</v>
      </c>
      <c r="M3541" s="23">
        <f>YEAR(Таблица1[[#This Row],[Дата отчета]])</f>
        <v>2024</v>
      </c>
    </row>
    <row r="3542" spans="1:13" x14ac:dyDescent="0.25">
      <c r="A3542" t="s">
        <v>12</v>
      </c>
      <c r="B3542" t="s">
        <v>3840</v>
      </c>
      <c r="C3542" t="s">
        <v>3849</v>
      </c>
      <c r="D3542" t="s">
        <v>3850</v>
      </c>
      <c r="E3542" t="s">
        <v>3847</v>
      </c>
      <c r="F3542" s="20">
        <v>1200000</v>
      </c>
      <c r="I3542" s="11">
        <f t="shared" si="148"/>
        <v>45310</v>
      </c>
      <c r="J3542" s="12">
        <f t="shared" si="149"/>
        <v>73</v>
      </c>
      <c r="K3542" t="str">
        <f t="shared" si="150"/>
        <v>31-90</v>
      </c>
      <c r="L3542" s="11">
        <v>45383</v>
      </c>
      <c r="M3542" s="23">
        <f>YEAR(Таблица1[[#This Row],[Дата отчета]])</f>
        <v>2024</v>
      </c>
    </row>
    <row r="3543" spans="1:13" x14ac:dyDescent="0.25">
      <c r="A3543" t="s">
        <v>12</v>
      </c>
      <c r="B3543" t="s">
        <v>3840</v>
      </c>
      <c r="C3543" t="s">
        <v>3849</v>
      </c>
      <c r="D3543" t="s">
        <v>3851</v>
      </c>
      <c r="E3543" t="s">
        <v>3292</v>
      </c>
      <c r="F3543" s="20">
        <v>600000</v>
      </c>
      <c r="I3543" s="11">
        <f t="shared" si="148"/>
        <v>45358</v>
      </c>
      <c r="J3543" s="12">
        <f t="shared" si="149"/>
        <v>25</v>
      </c>
      <c r="K3543" t="str">
        <f t="shared" si="150"/>
        <v>0-30</v>
      </c>
      <c r="L3543" s="11">
        <v>45383</v>
      </c>
      <c r="M3543" s="23">
        <f>YEAR(Таблица1[[#This Row],[Дата отчета]])</f>
        <v>2024</v>
      </c>
    </row>
    <row r="3544" spans="1:13" x14ac:dyDescent="0.25">
      <c r="A3544" t="s">
        <v>12</v>
      </c>
      <c r="B3544" t="s">
        <v>3437</v>
      </c>
      <c r="C3544" t="s">
        <v>3852</v>
      </c>
      <c r="D3544" t="s">
        <v>3853</v>
      </c>
      <c r="E3544" t="s">
        <v>2965</v>
      </c>
      <c r="F3544" s="20">
        <v>162017</v>
      </c>
      <c r="I3544" s="11">
        <f t="shared" si="148"/>
        <v>45377</v>
      </c>
      <c r="J3544" s="12">
        <f t="shared" si="149"/>
        <v>6</v>
      </c>
      <c r="K3544" t="str">
        <f t="shared" si="150"/>
        <v>0-30</v>
      </c>
      <c r="L3544" s="11">
        <v>45383</v>
      </c>
      <c r="M3544" s="23">
        <f>YEAR(Таблица1[[#This Row],[Дата отчета]])</f>
        <v>2024</v>
      </c>
    </row>
    <row r="3545" spans="1:13" x14ac:dyDescent="0.25">
      <c r="A3545" t="s">
        <v>12</v>
      </c>
      <c r="B3545" t="s">
        <v>248</v>
      </c>
      <c r="C3545" t="s">
        <v>3440</v>
      </c>
      <c r="D3545" t="s">
        <v>3441</v>
      </c>
      <c r="E3545" t="s">
        <v>3442</v>
      </c>
      <c r="F3545" s="20">
        <v>2324.42</v>
      </c>
      <c r="I3545" s="11">
        <f t="shared" si="148"/>
        <v>44180</v>
      </c>
      <c r="J3545" s="12">
        <f t="shared" si="149"/>
        <v>1203</v>
      </c>
      <c r="K3545" t="str">
        <f t="shared" si="150"/>
        <v>&gt;360</v>
      </c>
      <c r="L3545" s="11">
        <v>45383</v>
      </c>
      <c r="M3545" s="23">
        <f>YEAR(Таблица1[[#This Row],[Дата отчета]])</f>
        <v>2024</v>
      </c>
    </row>
    <row r="3546" spans="1:13" x14ac:dyDescent="0.25">
      <c r="A3546" t="s">
        <v>12</v>
      </c>
      <c r="B3546" t="s">
        <v>248</v>
      </c>
      <c r="C3546" t="s">
        <v>3443</v>
      </c>
      <c r="D3546" t="s">
        <v>3444</v>
      </c>
      <c r="E3546" t="s">
        <v>3445</v>
      </c>
      <c r="F3546" s="20">
        <v>16260</v>
      </c>
      <c r="I3546" s="11">
        <f t="shared" si="148"/>
        <v>45321</v>
      </c>
      <c r="J3546" s="12">
        <f t="shared" si="149"/>
        <v>62</v>
      </c>
      <c r="K3546" t="str">
        <f t="shared" si="150"/>
        <v>31-90</v>
      </c>
      <c r="L3546" s="11">
        <v>45383</v>
      </c>
      <c r="M3546" s="23">
        <f>YEAR(Таблица1[[#This Row],[Дата отчета]])</f>
        <v>2024</v>
      </c>
    </row>
    <row r="3547" spans="1:13" x14ac:dyDescent="0.25">
      <c r="A3547" t="s">
        <v>12</v>
      </c>
      <c r="B3547" t="s">
        <v>248</v>
      </c>
      <c r="C3547" t="s">
        <v>3446</v>
      </c>
      <c r="D3547" t="s">
        <v>3447</v>
      </c>
      <c r="E3547" t="s">
        <v>3448</v>
      </c>
      <c r="F3547" s="20">
        <v>8393433.7400000002</v>
      </c>
      <c r="I3547" s="11">
        <f t="shared" si="148"/>
        <v>45362</v>
      </c>
      <c r="J3547" s="12">
        <f t="shared" si="149"/>
        <v>21</v>
      </c>
      <c r="K3547" t="str">
        <f t="shared" si="150"/>
        <v>0-30</v>
      </c>
      <c r="L3547" s="11">
        <v>45383</v>
      </c>
      <c r="M3547" s="23">
        <f>YEAR(Таблица1[[#This Row],[Дата отчета]])</f>
        <v>2024</v>
      </c>
    </row>
    <row r="3548" spans="1:13" x14ac:dyDescent="0.25">
      <c r="A3548" t="s">
        <v>12</v>
      </c>
      <c r="B3548" t="s">
        <v>248</v>
      </c>
      <c r="C3548" t="s">
        <v>3854</v>
      </c>
      <c r="D3548" t="s">
        <v>3855</v>
      </c>
      <c r="E3548" t="s">
        <v>3453</v>
      </c>
      <c r="F3548" s="20">
        <v>2817154.92</v>
      </c>
      <c r="I3548" s="11">
        <f t="shared" si="148"/>
        <v>45369</v>
      </c>
      <c r="J3548" s="12">
        <f t="shared" si="149"/>
        <v>14</v>
      </c>
      <c r="K3548" t="str">
        <f t="shared" si="150"/>
        <v>0-30</v>
      </c>
      <c r="L3548" s="11">
        <v>45383</v>
      </c>
      <c r="M3548" s="23">
        <f>YEAR(Таблица1[[#This Row],[Дата отчета]])</f>
        <v>2024</v>
      </c>
    </row>
    <row r="3549" spans="1:13" x14ac:dyDescent="0.25">
      <c r="A3549" t="s">
        <v>12</v>
      </c>
      <c r="B3549" t="s">
        <v>248</v>
      </c>
      <c r="C3549" t="s">
        <v>3856</v>
      </c>
      <c r="D3549" t="s">
        <v>3857</v>
      </c>
      <c r="E3549" t="s">
        <v>3336</v>
      </c>
      <c r="F3549" s="20">
        <v>577124.5</v>
      </c>
      <c r="I3549" s="11">
        <f t="shared" si="148"/>
        <v>45338</v>
      </c>
      <c r="J3549" s="12">
        <f t="shared" si="149"/>
        <v>45</v>
      </c>
      <c r="K3549" t="str">
        <f t="shared" si="150"/>
        <v>31-90</v>
      </c>
      <c r="L3549" s="11">
        <v>45383</v>
      </c>
      <c r="M3549" s="23">
        <f>YEAR(Таблица1[[#This Row],[Дата отчета]])</f>
        <v>2024</v>
      </c>
    </row>
    <row r="3550" spans="1:13" x14ac:dyDescent="0.25">
      <c r="A3550" t="s">
        <v>12</v>
      </c>
      <c r="B3550" t="s">
        <v>248</v>
      </c>
      <c r="C3550" t="s">
        <v>3858</v>
      </c>
      <c r="D3550" t="s">
        <v>3859</v>
      </c>
      <c r="E3550" t="s">
        <v>3336</v>
      </c>
      <c r="F3550" s="20">
        <v>876825</v>
      </c>
      <c r="I3550" s="11">
        <f t="shared" si="148"/>
        <v>45338</v>
      </c>
      <c r="J3550" s="12">
        <f t="shared" si="149"/>
        <v>45</v>
      </c>
      <c r="K3550" t="str">
        <f t="shared" si="150"/>
        <v>31-90</v>
      </c>
      <c r="L3550" s="11">
        <v>45383</v>
      </c>
      <c r="M3550" s="23">
        <f>YEAR(Таблица1[[#This Row],[Дата отчета]])</f>
        <v>2024</v>
      </c>
    </row>
    <row r="3551" spans="1:13" x14ac:dyDescent="0.25">
      <c r="A3551" t="s">
        <v>12</v>
      </c>
      <c r="B3551" t="s">
        <v>248</v>
      </c>
      <c r="C3551" t="s">
        <v>3449</v>
      </c>
      <c r="D3551" t="s">
        <v>3860</v>
      </c>
      <c r="E3551" t="s">
        <v>3336</v>
      </c>
      <c r="F3551" s="20">
        <v>265474</v>
      </c>
      <c r="I3551" s="11">
        <f t="shared" si="148"/>
        <v>45338</v>
      </c>
      <c r="J3551" s="12">
        <f t="shared" si="149"/>
        <v>45</v>
      </c>
      <c r="K3551" t="str">
        <f t="shared" si="150"/>
        <v>31-90</v>
      </c>
      <c r="L3551" s="11">
        <v>45383</v>
      </c>
      <c r="M3551" s="23">
        <f>YEAR(Таблица1[[#This Row],[Дата отчета]])</f>
        <v>2024</v>
      </c>
    </row>
    <row r="3552" spans="1:13" x14ac:dyDescent="0.25">
      <c r="A3552" t="s">
        <v>12</v>
      </c>
      <c r="B3552" t="s">
        <v>248</v>
      </c>
      <c r="C3552" t="s">
        <v>1973</v>
      </c>
      <c r="D3552" t="s">
        <v>3861</v>
      </c>
      <c r="E3552" t="s">
        <v>3862</v>
      </c>
      <c r="F3552" s="20">
        <v>8096035.8600000003</v>
      </c>
      <c r="I3552" s="11">
        <f t="shared" si="148"/>
        <v>45320</v>
      </c>
      <c r="J3552" s="12">
        <f t="shared" si="149"/>
        <v>63</v>
      </c>
      <c r="K3552" t="str">
        <f t="shared" si="150"/>
        <v>31-90</v>
      </c>
      <c r="L3552" s="11">
        <v>45383</v>
      </c>
      <c r="M3552" s="23">
        <f>YEAR(Таблица1[[#This Row],[Дата отчета]])</f>
        <v>2024</v>
      </c>
    </row>
    <row r="3553" spans="1:13" x14ac:dyDescent="0.25">
      <c r="A3553" t="s">
        <v>12</v>
      </c>
      <c r="B3553" t="s">
        <v>248</v>
      </c>
      <c r="C3553" t="s">
        <v>3863</v>
      </c>
      <c r="D3553" t="s">
        <v>3864</v>
      </c>
      <c r="E3553" t="s">
        <v>3453</v>
      </c>
      <c r="F3553" s="20">
        <v>1950000</v>
      </c>
      <c r="I3553" s="11">
        <f t="shared" si="148"/>
        <v>45369</v>
      </c>
      <c r="J3553" s="12">
        <f t="shared" si="149"/>
        <v>14</v>
      </c>
      <c r="K3553" t="str">
        <f t="shared" si="150"/>
        <v>0-30</v>
      </c>
      <c r="L3553" s="11">
        <v>45383</v>
      </c>
      <c r="M3553" s="23">
        <f>YEAR(Таблица1[[#This Row],[Дата отчета]])</f>
        <v>2024</v>
      </c>
    </row>
    <row r="3554" spans="1:13" x14ac:dyDescent="0.25">
      <c r="A3554" t="s">
        <v>12</v>
      </c>
      <c r="B3554" t="s">
        <v>248</v>
      </c>
      <c r="C3554" t="s">
        <v>3451</v>
      </c>
      <c r="D3554" t="s">
        <v>3452</v>
      </c>
      <c r="E3554" t="s">
        <v>3453</v>
      </c>
      <c r="F3554" s="20">
        <v>1950000</v>
      </c>
      <c r="I3554" s="11">
        <f t="shared" si="148"/>
        <v>45369</v>
      </c>
      <c r="J3554" s="12">
        <f t="shared" si="149"/>
        <v>14</v>
      </c>
      <c r="K3554" t="str">
        <f t="shared" si="150"/>
        <v>0-30</v>
      </c>
      <c r="L3554" s="11">
        <v>45383</v>
      </c>
      <c r="M3554" s="23">
        <f>YEAR(Таблица1[[#This Row],[Дата отчета]])</f>
        <v>2024</v>
      </c>
    </row>
    <row r="3555" spans="1:13" x14ac:dyDescent="0.25">
      <c r="A3555" t="s">
        <v>12</v>
      </c>
      <c r="B3555" t="s">
        <v>1364</v>
      </c>
      <c r="C3555" t="s">
        <v>775</v>
      </c>
      <c r="D3555" t="s">
        <v>1365</v>
      </c>
      <c r="E3555" t="s">
        <v>1778</v>
      </c>
      <c r="F3555" s="20">
        <v>5433.05</v>
      </c>
      <c r="I3555" s="11">
        <f t="shared" si="148"/>
        <v>44403</v>
      </c>
      <c r="J3555" s="12">
        <f t="shared" si="149"/>
        <v>980</v>
      </c>
      <c r="K3555" t="str">
        <f t="shared" si="150"/>
        <v>&gt;360</v>
      </c>
      <c r="L3555" s="11">
        <v>45383</v>
      </c>
      <c r="M3555" s="23">
        <f>YEAR(Таблица1[[#This Row],[Дата отчета]])</f>
        <v>2024</v>
      </c>
    </row>
    <row r="3556" spans="1:13" x14ac:dyDescent="0.25">
      <c r="A3556" t="s">
        <v>12</v>
      </c>
      <c r="B3556" t="s">
        <v>271</v>
      </c>
      <c r="C3556" t="s">
        <v>282</v>
      </c>
      <c r="D3556" t="s">
        <v>3865</v>
      </c>
      <c r="E3556" t="s">
        <v>3394</v>
      </c>
      <c r="F3556" s="20">
        <v>236857.5</v>
      </c>
      <c r="I3556" s="11">
        <f t="shared" si="148"/>
        <v>45379</v>
      </c>
      <c r="J3556" s="12">
        <f t="shared" si="149"/>
        <v>4</v>
      </c>
      <c r="K3556" t="str">
        <f t="shared" si="150"/>
        <v>0-30</v>
      </c>
      <c r="L3556" s="11">
        <v>45383</v>
      </c>
      <c r="M3556" s="23">
        <f>YEAR(Таблица1[[#This Row],[Дата отчета]])</f>
        <v>2024</v>
      </c>
    </row>
    <row r="3557" spans="1:13" x14ac:dyDescent="0.25">
      <c r="A3557" t="s">
        <v>12</v>
      </c>
      <c r="B3557" t="s">
        <v>271</v>
      </c>
      <c r="C3557" t="s">
        <v>3866</v>
      </c>
      <c r="D3557" t="s">
        <v>3867</v>
      </c>
      <c r="E3557" t="s">
        <v>3339</v>
      </c>
      <c r="F3557" s="20">
        <v>1648497</v>
      </c>
      <c r="I3557" s="11">
        <f t="shared" si="148"/>
        <v>45323</v>
      </c>
      <c r="J3557" s="12">
        <f t="shared" si="149"/>
        <v>60</v>
      </c>
      <c r="K3557" t="str">
        <f t="shared" si="150"/>
        <v>31-90</v>
      </c>
      <c r="L3557" s="11">
        <v>45383</v>
      </c>
      <c r="M3557" s="23">
        <f>YEAR(Таблица1[[#This Row],[Дата отчета]])</f>
        <v>2024</v>
      </c>
    </row>
    <row r="3558" spans="1:13" x14ac:dyDescent="0.25">
      <c r="A3558" t="s">
        <v>12</v>
      </c>
      <c r="B3558" t="s">
        <v>271</v>
      </c>
      <c r="C3558" t="s">
        <v>3130</v>
      </c>
      <c r="D3558" t="s">
        <v>3868</v>
      </c>
      <c r="E3558" t="s">
        <v>3869</v>
      </c>
      <c r="F3558" s="20">
        <v>677356.8</v>
      </c>
      <c r="I3558" s="11">
        <f t="shared" si="148"/>
        <v>45289</v>
      </c>
      <c r="J3558" s="12">
        <f t="shared" si="149"/>
        <v>94</v>
      </c>
      <c r="K3558" t="str">
        <f t="shared" si="150"/>
        <v>91-120</v>
      </c>
      <c r="L3558" s="11">
        <v>45383</v>
      </c>
      <c r="M3558" s="23">
        <f>YEAR(Таблица1[[#This Row],[Дата отчета]])</f>
        <v>2024</v>
      </c>
    </row>
    <row r="3559" spans="1:13" x14ac:dyDescent="0.25">
      <c r="A3559" t="s">
        <v>12</v>
      </c>
      <c r="B3559" t="s">
        <v>3870</v>
      </c>
      <c r="C3559" t="s">
        <v>3871</v>
      </c>
      <c r="D3559" t="s">
        <v>3872</v>
      </c>
      <c r="E3559" t="s">
        <v>3394</v>
      </c>
      <c r="F3559" s="20">
        <v>503270.98</v>
      </c>
      <c r="I3559" s="11">
        <f t="shared" si="148"/>
        <v>45379</v>
      </c>
      <c r="J3559" s="12">
        <f t="shared" si="149"/>
        <v>4</v>
      </c>
      <c r="K3559" t="str">
        <f t="shared" si="150"/>
        <v>0-30</v>
      </c>
      <c r="L3559" s="11">
        <v>45383</v>
      </c>
      <c r="M3559" s="23">
        <f>YEAR(Таблица1[[#This Row],[Дата отчета]])</f>
        <v>2024</v>
      </c>
    </row>
    <row r="3560" spans="1:13" x14ac:dyDescent="0.25">
      <c r="A3560" t="s">
        <v>12</v>
      </c>
      <c r="B3560" t="s">
        <v>2525</v>
      </c>
      <c r="C3560" t="s">
        <v>3873</v>
      </c>
      <c r="D3560" t="s">
        <v>3874</v>
      </c>
      <c r="E3560" t="s">
        <v>3875</v>
      </c>
      <c r="F3560" s="20">
        <v>2390300</v>
      </c>
      <c r="I3560" s="11">
        <f t="shared" ref="I3560:I3623" si="151">E3560*1</f>
        <v>45373</v>
      </c>
      <c r="J3560" s="12">
        <f t="shared" ref="J3560:J3623" si="152">L3560-I3560</f>
        <v>10</v>
      </c>
      <c r="K3560" t="str">
        <f t="shared" si="150"/>
        <v>0-30</v>
      </c>
      <c r="L3560" s="11">
        <v>45383</v>
      </c>
      <c r="M3560" s="23">
        <f>YEAR(Таблица1[[#This Row],[Дата отчета]])</f>
        <v>2024</v>
      </c>
    </row>
    <row r="3561" spans="1:13" x14ac:dyDescent="0.25">
      <c r="A3561" t="s">
        <v>12</v>
      </c>
      <c r="B3561" t="s">
        <v>3136</v>
      </c>
      <c r="C3561" t="s">
        <v>3876</v>
      </c>
      <c r="D3561" t="s">
        <v>3877</v>
      </c>
      <c r="E3561" t="s">
        <v>3690</v>
      </c>
      <c r="F3561" s="20">
        <v>267500</v>
      </c>
      <c r="I3561" s="11">
        <f t="shared" si="151"/>
        <v>45378</v>
      </c>
      <c r="J3561" s="12">
        <f t="shared" si="152"/>
        <v>5</v>
      </c>
      <c r="K3561" t="str">
        <f t="shared" si="150"/>
        <v>0-30</v>
      </c>
      <c r="L3561" s="11">
        <v>45383</v>
      </c>
      <c r="M3561" s="23">
        <f>YEAR(Таблица1[[#This Row],[Дата отчета]])</f>
        <v>2024</v>
      </c>
    </row>
    <row r="3562" spans="1:13" x14ac:dyDescent="0.25">
      <c r="A3562" t="s">
        <v>12</v>
      </c>
      <c r="B3562" t="s">
        <v>297</v>
      </c>
      <c r="C3562" t="s">
        <v>775</v>
      </c>
      <c r="D3562" t="s">
        <v>3878</v>
      </c>
      <c r="E3562" t="s">
        <v>897</v>
      </c>
      <c r="F3562" s="20">
        <v>266</v>
      </c>
      <c r="I3562" s="11">
        <f t="shared" si="151"/>
        <v>45022</v>
      </c>
      <c r="J3562" s="12">
        <f t="shared" si="152"/>
        <v>361</v>
      </c>
      <c r="K3562" t="str">
        <f t="shared" si="150"/>
        <v>&gt;360</v>
      </c>
      <c r="L3562" s="11">
        <v>45383</v>
      </c>
      <c r="M3562" s="23">
        <f>YEAR(Таблица1[[#This Row],[Дата отчета]])</f>
        <v>2024</v>
      </c>
    </row>
    <row r="3563" spans="1:13" x14ac:dyDescent="0.25">
      <c r="A3563" t="s">
        <v>12</v>
      </c>
      <c r="B3563" t="s">
        <v>297</v>
      </c>
      <c r="C3563" t="s">
        <v>775</v>
      </c>
      <c r="D3563" t="s">
        <v>3879</v>
      </c>
      <c r="E3563" t="s">
        <v>3880</v>
      </c>
      <c r="F3563" s="20">
        <v>1480</v>
      </c>
      <c r="I3563" s="11">
        <f t="shared" si="151"/>
        <v>45030</v>
      </c>
      <c r="J3563" s="12">
        <f t="shared" si="152"/>
        <v>353</v>
      </c>
      <c r="K3563" t="str">
        <f t="shared" si="150"/>
        <v>271-360</v>
      </c>
      <c r="L3563" s="11">
        <v>45383</v>
      </c>
      <c r="M3563" s="23">
        <f>YEAR(Таблица1[[#This Row],[Дата отчета]])</f>
        <v>2024</v>
      </c>
    </row>
    <row r="3564" spans="1:13" x14ac:dyDescent="0.25">
      <c r="A3564" t="s">
        <v>12</v>
      </c>
      <c r="B3564" t="s">
        <v>297</v>
      </c>
      <c r="C3564" t="s">
        <v>775</v>
      </c>
      <c r="D3564" t="s">
        <v>3881</v>
      </c>
      <c r="E3564" t="s">
        <v>3882</v>
      </c>
      <c r="F3564" s="20">
        <v>1220</v>
      </c>
      <c r="I3564" s="11">
        <f t="shared" si="151"/>
        <v>45062</v>
      </c>
      <c r="J3564" s="12">
        <f t="shared" si="152"/>
        <v>321</v>
      </c>
      <c r="K3564" t="str">
        <f t="shared" si="150"/>
        <v>271-360</v>
      </c>
      <c r="L3564" s="11">
        <v>45383</v>
      </c>
      <c r="M3564" s="23">
        <f>YEAR(Таблица1[[#This Row],[Дата отчета]])</f>
        <v>2024</v>
      </c>
    </row>
    <row r="3565" spans="1:13" x14ac:dyDescent="0.25">
      <c r="A3565" t="s">
        <v>12</v>
      </c>
      <c r="B3565" t="s">
        <v>297</v>
      </c>
      <c r="C3565" t="s">
        <v>775</v>
      </c>
      <c r="D3565" t="s">
        <v>3883</v>
      </c>
      <c r="E3565" t="s">
        <v>3884</v>
      </c>
      <c r="F3565" s="20">
        <v>790</v>
      </c>
      <c r="I3565" s="11">
        <f t="shared" si="151"/>
        <v>45071</v>
      </c>
      <c r="J3565" s="12">
        <f t="shared" si="152"/>
        <v>312</v>
      </c>
      <c r="K3565" t="str">
        <f t="shared" si="150"/>
        <v>271-360</v>
      </c>
      <c r="L3565" s="11">
        <v>45383</v>
      </c>
      <c r="M3565" s="23">
        <f>YEAR(Таблица1[[#This Row],[Дата отчета]])</f>
        <v>2024</v>
      </c>
    </row>
    <row r="3566" spans="1:13" x14ac:dyDescent="0.25">
      <c r="A3566" t="s">
        <v>12</v>
      </c>
      <c r="B3566" t="s">
        <v>297</v>
      </c>
      <c r="C3566" t="s">
        <v>775</v>
      </c>
      <c r="D3566" t="s">
        <v>3477</v>
      </c>
      <c r="E3566" t="s">
        <v>3478</v>
      </c>
      <c r="F3566" s="20">
        <v>840</v>
      </c>
      <c r="I3566" s="11">
        <f t="shared" si="151"/>
        <v>45086</v>
      </c>
      <c r="J3566" s="12">
        <f t="shared" si="152"/>
        <v>297</v>
      </c>
      <c r="K3566" t="str">
        <f t="shared" si="150"/>
        <v>271-360</v>
      </c>
      <c r="L3566" s="11">
        <v>45383</v>
      </c>
      <c r="M3566" s="23">
        <f>YEAR(Таблица1[[#This Row],[Дата отчета]])</f>
        <v>2024</v>
      </c>
    </row>
    <row r="3567" spans="1:13" x14ac:dyDescent="0.25">
      <c r="A3567" t="s">
        <v>12</v>
      </c>
      <c r="B3567" t="s">
        <v>297</v>
      </c>
      <c r="C3567" t="s">
        <v>775</v>
      </c>
      <c r="D3567" t="s">
        <v>3479</v>
      </c>
      <c r="E3567" t="s">
        <v>3480</v>
      </c>
      <c r="F3567" s="20">
        <v>1060</v>
      </c>
      <c r="I3567" s="11">
        <f t="shared" si="151"/>
        <v>45118</v>
      </c>
      <c r="J3567" s="12">
        <f t="shared" si="152"/>
        <v>265</v>
      </c>
      <c r="K3567" t="str">
        <f t="shared" si="150"/>
        <v>181-270</v>
      </c>
      <c r="L3567" s="11">
        <v>45383</v>
      </c>
      <c r="M3567" s="23">
        <f>YEAR(Таблица1[[#This Row],[Дата отчета]])</f>
        <v>2024</v>
      </c>
    </row>
    <row r="3568" spans="1:13" x14ac:dyDescent="0.25">
      <c r="A3568" t="s">
        <v>12</v>
      </c>
      <c r="B3568" t="s">
        <v>297</v>
      </c>
      <c r="C3568" t="s">
        <v>775</v>
      </c>
      <c r="D3568" t="s">
        <v>3481</v>
      </c>
      <c r="E3568" t="s">
        <v>3482</v>
      </c>
      <c r="F3568" s="20">
        <v>260</v>
      </c>
      <c r="I3568" s="11">
        <f t="shared" si="151"/>
        <v>45153</v>
      </c>
      <c r="J3568" s="12">
        <f t="shared" si="152"/>
        <v>230</v>
      </c>
      <c r="K3568" t="str">
        <f t="shared" si="150"/>
        <v>181-270</v>
      </c>
      <c r="L3568" s="11">
        <v>45383</v>
      </c>
      <c r="M3568" s="23">
        <f>YEAR(Таблица1[[#This Row],[Дата отчета]])</f>
        <v>2024</v>
      </c>
    </row>
    <row r="3569" spans="1:14" x14ac:dyDescent="0.25">
      <c r="A3569" t="s">
        <v>12</v>
      </c>
      <c r="B3569" t="s">
        <v>297</v>
      </c>
      <c r="C3569" t="s">
        <v>775</v>
      </c>
      <c r="D3569" t="s">
        <v>3483</v>
      </c>
      <c r="E3569" t="s">
        <v>3484</v>
      </c>
      <c r="F3569" s="20">
        <v>740</v>
      </c>
      <c r="I3569" s="11">
        <f t="shared" si="151"/>
        <v>45190</v>
      </c>
      <c r="J3569" s="12">
        <f t="shared" si="152"/>
        <v>193</v>
      </c>
      <c r="K3569" t="str">
        <f t="shared" si="150"/>
        <v>181-270</v>
      </c>
      <c r="L3569" s="11">
        <v>45383</v>
      </c>
      <c r="M3569" s="23">
        <f>YEAR(Таблица1[[#This Row],[Дата отчета]])</f>
        <v>2024</v>
      </c>
    </row>
    <row r="3570" spans="1:14" x14ac:dyDescent="0.25">
      <c r="A3570" t="s">
        <v>12</v>
      </c>
      <c r="B3570" t="s">
        <v>297</v>
      </c>
      <c r="C3570" t="s">
        <v>775</v>
      </c>
      <c r="D3570" t="s">
        <v>3485</v>
      </c>
      <c r="E3570" t="s">
        <v>3486</v>
      </c>
      <c r="F3570" s="20">
        <v>1050</v>
      </c>
      <c r="I3570" s="11">
        <f t="shared" si="151"/>
        <v>45196</v>
      </c>
      <c r="J3570" s="12">
        <f t="shared" si="152"/>
        <v>187</v>
      </c>
      <c r="K3570" t="str">
        <f t="shared" si="150"/>
        <v>181-270</v>
      </c>
      <c r="L3570" s="11">
        <v>45383</v>
      </c>
      <c r="M3570" s="23">
        <f>YEAR(Таблица1[[#This Row],[Дата отчета]])</f>
        <v>2024</v>
      </c>
    </row>
    <row r="3571" spans="1:14" x14ac:dyDescent="0.25">
      <c r="A3571" t="s">
        <v>12</v>
      </c>
      <c r="B3571" t="s">
        <v>297</v>
      </c>
      <c r="C3571" t="s">
        <v>3487</v>
      </c>
      <c r="D3571" t="s">
        <v>3488</v>
      </c>
      <c r="E3571" t="s">
        <v>3453</v>
      </c>
      <c r="F3571" s="20">
        <v>104686</v>
      </c>
      <c r="I3571" s="11">
        <f t="shared" si="151"/>
        <v>45369</v>
      </c>
      <c r="J3571" s="12">
        <f t="shared" si="152"/>
        <v>14</v>
      </c>
      <c r="K3571" t="str">
        <f t="shared" si="150"/>
        <v>0-30</v>
      </c>
      <c r="L3571" s="11">
        <v>45383</v>
      </c>
      <c r="M3571" s="23">
        <f>YEAR(Таблица1[[#This Row],[Дата отчета]])</f>
        <v>2024</v>
      </c>
    </row>
    <row r="3572" spans="1:14" x14ac:dyDescent="0.25">
      <c r="A3572" t="s">
        <v>12</v>
      </c>
      <c r="B3572" t="s">
        <v>378</v>
      </c>
      <c r="C3572" t="s">
        <v>3885</v>
      </c>
      <c r="D3572" t="s">
        <v>3886</v>
      </c>
      <c r="E3572" t="s">
        <v>3336</v>
      </c>
      <c r="F3572" s="20">
        <v>2849000</v>
      </c>
      <c r="I3572" s="11">
        <f t="shared" si="151"/>
        <v>45338</v>
      </c>
      <c r="J3572" s="12">
        <f t="shared" si="152"/>
        <v>45</v>
      </c>
      <c r="K3572" t="str">
        <f t="shared" si="150"/>
        <v>31-90</v>
      </c>
      <c r="L3572" s="11">
        <v>45383</v>
      </c>
      <c r="M3572" s="23">
        <f>YEAR(Таблица1[[#This Row],[Дата отчета]])</f>
        <v>2024</v>
      </c>
    </row>
    <row r="3573" spans="1:14" x14ac:dyDescent="0.25">
      <c r="A3573" t="s">
        <v>12</v>
      </c>
      <c r="B3573" t="s">
        <v>378</v>
      </c>
      <c r="C3573" t="s">
        <v>3885</v>
      </c>
      <c r="D3573" t="s">
        <v>3887</v>
      </c>
      <c r="E3573" t="s">
        <v>3888</v>
      </c>
      <c r="F3573" s="20">
        <v>500000</v>
      </c>
      <c r="I3573" s="11">
        <f t="shared" si="151"/>
        <v>45380</v>
      </c>
      <c r="J3573" s="12">
        <f t="shared" si="152"/>
        <v>3</v>
      </c>
      <c r="K3573" t="str">
        <f t="shared" si="150"/>
        <v>0-30</v>
      </c>
      <c r="L3573" s="11">
        <v>45383</v>
      </c>
      <c r="M3573" s="23">
        <f>YEAR(Таблица1[[#This Row],[Дата отчета]])</f>
        <v>2024</v>
      </c>
    </row>
    <row r="3574" spans="1:14" x14ac:dyDescent="0.25">
      <c r="A3574" t="s">
        <v>12</v>
      </c>
      <c r="B3574" t="s">
        <v>383</v>
      </c>
      <c r="C3574" t="s">
        <v>3889</v>
      </c>
      <c r="D3574" t="s">
        <v>3890</v>
      </c>
      <c r="E3574" t="s">
        <v>3394</v>
      </c>
      <c r="F3574" s="20">
        <v>70797</v>
      </c>
      <c r="I3574" s="11">
        <f t="shared" si="151"/>
        <v>45379</v>
      </c>
      <c r="J3574" s="12">
        <f t="shared" si="152"/>
        <v>4</v>
      </c>
      <c r="K3574" t="str">
        <f t="shared" si="150"/>
        <v>0-30</v>
      </c>
      <c r="L3574" s="11">
        <v>45383</v>
      </c>
      <c r="M3574" s="23">
        <f>YEAR(Таблица1[[#This Row],[Дата отчета]])</f>
        <v>2024</v>
      </c>
    </row>
    <row r="3575" spans="1:14" x14ac:dyDescent="0.25">
      <c r="A3575" t="s">
        <v>12</v>
      </c>
      <c r="B3575" t="s">
        <v>3147</v>
      </c>
      <c r="C3575" t="s">
        <v>3148</v>
      </c>
      <c r="D3575" t="s">
        <v>3149</v>
      </c>
      <c r="E3575" t="s">
        <v>3150</v>
      </c>
      <c r="F3575" s="20">
        <v>127.61</v>
      </c>
      <c r="I3575" s="11">
        <f t="shared" si="151"/>
        <v>45182</v>
      </c>
      <c r="J3575" s="12">
        <f t="shared" si="152"/>
        <v>201</v>
      </c>
      <c r="K3575" t="str">
        <f t="shared" si="150"/>
        <v>181-270</v>
      </c>
      <c r="L3575" s="11">
        <v>45383</v>
      </c>
      <c r="M3575" s="23">
        <f>YEAR(Таблица1[[#This Row],[Дата отчета]])</f>
        <v>2024</v>
      </c>
    </row>
    <row r="3576" spans="1:14" x14ac:dyDescent="0.25">
      <c r="A3576" t="s">
        <v>12</v>
      </c>
      <c r="B3576" t="s">
        <v>389</v>
      </c>
      <c r="C3576" t="s">
        <v>3891</v>
      </c>
      <c r="D3576" t="s">
        <v>3892</v>
      </c>
      <c r="E3576" t="s">
        <v>3049</v>
      </c>
      <c r="F3576" s="20">
        <v>24620</v>
      </c>
      <c r="I3576" s="11">
        <f t="shared" si="151"/>
        <v>45348</v>
      </c>
      <c r="J3576" s="12">
        <f t="shared" si="152"/>
        <v>35</v>
      </c>
      <c r="K3576" t="str">
        <f t="shared" si="150"/>
        <v>31-90</v>
      </c>
      <c r="L3576" s="11">
        <v>45383</v>
      </c>
      <c r="M3576" s="23">
        <f>YEAR(Таблица1[[#This Row],[Дата отчета]])</f>
        <v>2024</v>
      </c>
    </row>
    <row r="3577" spans="1:14" x14ac:dyDescent="0.25">
      <c r="A3577" t="s">
        <v>12</v>
      </c>
      <c r="B3577" t="s">
        <v>389</v>
      </c>
      <c r="C3577" t="s">
        <v>3893</v>
      </c>
      <c r="D3577" t="s">
        <v>3892</v>
      </c>
      <c r="E3577" t="s">
        <v>3049</v>
      </c>
      <c r="F3577" s="20">
        <v>16859</v>
      </c>
      <c r="I3577" s="11">
        <f t="shared" si="151"/>
        <v>45348</v>
      </c>
      <c r="J3577" s="12">
        <f t="shared" si="152"/>
        <v>35</v>
      </c>
      <c r="K3577" t="str">
        <f t="shared" si="150"/>
        <v>31-90</v>
      </c>
      <c r="L3577" s="11">
        <v>45383</v>
      </c>
      <c r="M3577" s="23">
        <f>YEAR(Таблица1[[#This Row],[Дата отчета]])</f>
        <v>2024</v>
      </c>
    </row>
    <row r="3578" spans="1:14" x14ac:dyDescent="0.25">
      <c r="A3578" t="s">
        <v>12</v>
      </c>
      <c r="B3578" t="s">
        <v>389</v>
      </c>
      <c r="C3578" t="s">
        <v>3894</v>
      </c>
      <c r="D3578" t="s">
        <v>3892</v>
      </c>
      <c r="E3578" t="s">
        <v>3049</v>
      </c>
      <c r="F3578" s="20">
        <v>1550</v>
      </c>
      <c r="I3578" s="11">
        <f t="shared" si="151"/>
        <v>45348</v>
      </c>
      <c r="J3578" s="12">
        <f t="shared" si="152"/>
        <v>35</v>
      </c>
      <c r="K3578" t="str">
        <f t="shared" si="150"/>
        <v>31-90</v>
      </c>
      <c r="L3578" s="11">
        <v>45383</v>
      </c>
      <c r="M3578" s="23">
        <f>YEAR(Таблица1[[#This Row],[Дата отчета]])</f>
        <v>2024</v>
      </c>
    </row>
    <row r="3579" spans="1:14" x14ac:dyDescent="0.25">
      <c r="A3579" t="s">
        <v>12</v>
      </c>
      <c r="B3579" t="s">
        <v>389</v>
      </c>
      <c r="C3579" t="s">
        <v>3895</v>
      </c>
      <c r="D3579" t="s">
        <v>3892</v>
      </c>
      <c r="E3579" t="s">
        <v>3049</v>
      </c>
      <c r="F3579" s="20">
        <v>900</v>
      </c>
      <c r="I3579" s="11">
        <f t="shared" si="151"/>
        <v>45348</v>
      </c>
      <c r="J3579" s="12">
        <f t="shared" si="152"/>
        <v>35</v>
      </c>
      <c r="K3579" t="str">
        <f t="shared" si="150"/>
        <v>31-90</v>
      </c>
      <c r="L3579" s="11">
        <v>45383</v>
      </c>
      <c r="M3579" s="23">
        <f>YEAR(Таблица1[[#This Row],[Дата отчета]])</f>
        <v>2024</v>
      </c>
    </row>
    <row r="3580" spans="1:14" x14ac:dyDescent="0.25">
      <c r="A3580" t="s">
        <v>12</v>
      </c>
      <c r="B3580" t="s">
        <v>389</v>
      </c>
      <c r="C3580" t="s">
        <v>3896</v>
      </c>
      <c r="D3580" t="s">
        <v>3892</v>
      </c>
      <c r="E3580" t="s">
        <v>3049</v>
      </c>
      <c r="F3580" s="20">
        <v>1300</v>
      </c>
      <c r="I3580" s="11">
        <f t="shared" si="151"/>
        <v>45348</v>
      </c>
      <c r="J3580" s="12">
        <f t="shared" si="152"/>
        <v>35</v>
      </c>
      <c r="K3580" t="str">
        <f t="shared" si="150"/>
        <v>31-90</v>
      </c>
      <c r="L3580" s="11">
        <v>45383</v>
      </c>
      <c r="M3580" s="23">
        <f>YEAR(Таблица1[[#This Row],[Дата отчета]])</f>
        <v>2024</v>
      </c>
    </row>
    <row r="3581" spans="1:14" x14ac:dyDescent="0.25">
      <c r="A3581" t="s">
        <v>12</v>
      </c>
      <c r="B3581" t="s">
        <v>389</v>
      </c>
      <c r="C3581" t="s">
        <v>3897</v>
      </c>
      <c r="D3581" t="s">
        <v>3892</v>
      </c>
      <c r="E3581" t="s">
        <v>3049</v>
      </c>
      <c r="F3581" s="20">
        <v>600</v>
      </c>
      <c r="I3581" s="11">
        <f t="shared" si="151"/>
        <v>45348</v>
      </c>
      <c r="J3581" s="12">
        <f t="shared" si="152"/>
        <v>35</v>
      </c>
      <c r="K3581" t="str">
        <f t="shared" si="150"/>
        <v>31-90</v>
      </c>
      <c r="L3581" s="11">
        <v>45383</v>
      </c>
      <c r="M3581" s="23">
        <f>YEAR(Таблица1[[#This Row],[Дата отчета]])</f>
        <v>2024</v>
      </c>
    </row>
    <row r="3582" spans="1:14" x14ac:dyDescent="0.25">
      <c r="A3582" t="s">
        <v>12</v>
      </c>
      <c r="B3582" t="s">
        <v>3151</v>
      </c>
      <c r="C3582" t="s">
        <v>269</v>
      </c>
      <c r="D3582" t="s">
        <v>3152</v>
      </c>
      <c r="E3582" t="s">
        <v>3153</v>
      </c>
      <c r="F3582" s="20">
        <v>7800</v>
      </c>
      <c r="I3582" s="11">
        <f t="shared" si="151"/>
        <v>45357</v>
      </c>
      <c r="J3582" s="12">
        <f t="shared" si="152"/>
        <v>26</v>
      </c>
      <c r="K3582" t="str">
        <f t="shared" si="150"/>
        <v>0-30</v>
      </c>
      <c r="L3582" s="11">
        <v>45383</v>
      </c>
      <c r="M3582" s="23">
        <f>YEAR(Таблица1[[#This Row],[Дата отчета]])</f>
        <v>2024</v>
      </c>
    </row>
    <row r="3583" spans="1:14" x14ac:dyDescent="0.25">
      <c r="A3583" t="s">
        <v>12</v>
      </c>
      <c r="B3583" t="s">
        <v>1434</v>
      </c>
      <c r="C3583" t="s">
        <v>1435</v>
      </c>
      <c r="D3583" t="s">
        <v>1436</v>
      </c>
      <c r="E3583" t="s">
        <v>1784</v>
      </c>
      <c r="F3583" s="20">
        <v>4583.33</v>
      </c>
      <c r="I3583" s="11">
        <f t="shared" si="151"/>
        <v>44600</v>
      </c>
      <c r="J3583" s="12">
        <f t="shared" si="152"/>
        <v>783</v>
      </c>
      <c r="K3583" t="str">
        <f t="shared" ref="K3583:K3646" si="153">IF(J3583&lt;=30,"0-30",IF(J3583&lt;=90,"31-90",IF(J3583&lt;=120,"91-120",IF(J3583&lt;=180,"121-180",IF(J3583&lt;=270,"181-270",IF(J3583&lt;=360,"271-360","&gt;360"))))))</f>
        <v>&gt;360</v>
      </c>
      <c r="L3583" s="11">
        <v>45383</v>
      </c>
      <c r="M3583" s="23">
        <f>YEAR(Таблица1[[#This Row],[Дата отчета]])</f>
        <v>2024</v>
      </c>
      <c r="N3583" s="2" t="s">
        <v>807</v>
      </c>
    </row>
    <row r="3584" spans="1:14" x14ac:dyDescent="0.25">
      <c r="A3584" t="s">
        <v>12</v>
      </c>
      <c r="B3584" t="s">
        <v>3519</v>
      </c>
      <c r="C3584" t="s">
        <v>3520</v>
      </c>
      <c r="D3584" t="s">
        <v>3898</v>
      </c>
      <c r="E3584" t="s">
        <v>3394</v>
      </c>
      <c r="F3584" s="20">
        <v>35000</v>
      </c>
      <c r="I3584" s="11">
        <f t="shared" si="151"/>
        <v>45379</v>
      </c>
      <c r="J3584" s="12">
        <f t="shared" si="152"/>
        <v>4</v>
      </c>
      <c r="K3584" t="str">
        <f t="shared" si="153"/>
        <v>0-30</v>
      </c>
      <c r="L3584" s="11">
        <v>45383</v>
      </c>
      <c r="M3584" s="23">
        <f>YEAR(Таблица1[[#This Row],[Дата отчета]])</f>
        <v>2024</v>
      </c>
    </row>
    <row r="3585" spans="1:13" x14ac:dyDescent="0.25">
      <c r="A3585" t="s">
        <v>12</v>
      </c>
      <c r="B3585" t="s">
        <v>402</v>
      </c>
      <c r="C3585" t="s">
        <v>403</v>
      </c>
      <c r="D3585" t="s">
        <v>404</v>
      </c>
      <c r="E3585" t="s">
        <v>405</v>
      </c>
      <c r="F3585" s="20">
        <v>14913.96</v>
      </c>
      <c r="I3585" s="11">
        <f t="shared" si="151"/>
        <v>44773</v>
      </c>
      <c r="J3585" s="12">
        <f t="shared" si="152"/>
        <v>610</v>
      </c>
      <c r="K3585" t="str">
        <f t="shared" si="153"/>
        <v>&gt;360</v>
      </c>
      <c r="L3585" s="11">
        <v>45383</v>
      </c>
      <c r="M3585" s="23">
        <f>YEAR(Таблица1[[#This Row],[Дата отчета]])</f>
        <v>2024</v>
      </c>
    </row>
    <row r="3586" spans="1:13" x14ac:dyDescent="0.25">
      <c r="A3586" t="s">
        <v>12</v>
      </c>
      <c r="B3586" t="s">
        <v>402</v>
      </c>
      <c r="C3586" t="s">
        <v>3899</v>
      </c>
      <c r="D3586" t="s">
        <v>3900</v>
      </c>
      <c r="E3586" t="s">
        <v>3328</v>
      </c>
      <c r="F3586" s="20">
        <v>1781.77</v>
      </c>
      <c r="I3586" s="11">
        <f t="shared" si="151"/>
        <v>45328</v>
      </c>
      <c r="J3586" s="12">
        <f t="shared" si="152"/>
        <v>55</v>
      </c>
      <c r="K3586" t="str">
        <f t="shared" si="153"/>
        <v>31-90</v>
      </c>
      <c r="L3586" s="11">
        <v>45383</v>
      </c>
      <c r="M3586" s="23">
        <f>YEAR(Таблица1[[#This Row],[Дата отчета]])</f>
        <v>2024</v>
      </c>
    </row>
    <row r="3587" spans="1:13" x14ac:dyDescent="0.25">
      <c r="A3587" t="s">
        <v>12</v>
      </c>
      <c r="B3587" t="s">
        <v>402</v>
      </c>
      <c r="C3587" t="s">
        <v>3901</v>
      </c>
      <c r="D3587" t="s">
        <v>3902</v>
      </c>
      <c r="E3587" t="s">
        <v>3357</v>
      </c>
      <c r="F3587" s="20">
        <v>995032.3</v>
      </c>
      <c r="I3587" s="11">
        <f t="shared" si="151"/>
        <v>45370</v>
      </c>
      <c r="J3587" s="12">
        <f t="shared" si="152"/>
        <v>13</v>
      </c>
      <c r="K3587" t="str">
        <f t="shared" si="153"/>
        <v>0-30</v>
      </c>
      <c r="L3587" s="11">
        <v>45383</v>
      </c>
      <c r="M3587" s="23">
        <f>YEAR(Таблица1[[#This Row],[Дата отчета]])</f>
        <v>2024</v>
      </c>
    </row>
    <row r="3588" spans="1:13" x14ac:dyDescent="0.25">
      <c r="A3588" t="s">
        <v>12</v>
      </c>
      <c r="B3588" t="s">
        <v>402</v>
      </c>
      <c r="C3588" t="s">
        <v>3157</v>
      </c>
      <c r="D3588" t="s">
        <v>3903</v>
      </c>
      <c r="E3588" t="s">
        <v>3328</v>
      </c>
      <c r="F3588" s="20">
        <v>4858535.07</v>
      </c>
      <c r="I3588" s="11">
        <f t="shared" si="151"/>
        <v>45328</v>
      </c>
      <c r="J3588" s="12">
        <f t="shared" si="152"/>
        <v>55</v>
      </c>
      <c r="K3588" t="str">
        <f t="shared" si="153"/>
        <v>31-90</v>
      </c>
      <c r="L3588" s="11">
        <v>45383</v>
      </c>
      <c r="M3588" s="23">
        <f>YEAR(Таблица1[[#This Row],[Дата отчета]])</f>
        <v>2024</v>
      </c>
    </row>
    <row r="3589" spans="1:13" x14ac:dyDescent="0.25">
      <c r="A3589" t="s">
        <v>12</v>
      </c>
      <c r="B3589" t="s">
        <v>402</v>
      </c>
      <c r="C3589" t="s">
        <v>3904</v>
      </c>
      <c r="D3589" t="s">
        <v>3905</v>
      </c>
      <c r="E3589" t="s">
        <v>3328</v>
      </c>
      <c r="F3589" s="20">
        <v>380000</v>
      </c>
      <c r="I3589" s="11">
        <f t="shared" si="151"/>
        <v>45328</v>
      </c>
      <c r="J3589" s="12">
        <f t="shared" si="152"/>
        <v>55</v>
      </c>
      <c r="K3589" t="str">
        <f t="shared" si="153"/>
        <v>31-90</v>
      </c>
      <c r="L3589" s="11">
        <v>45383</v>
      </c>
      <c r="M3589" s="23">
        <f>YEAR(Таблица1[[#This Row],[Дата отчета]])</f>
        <v>2024</v>
      </c>
    </row>
    <row r="3590" spans="1:13" x14ac:dyDescent="0.25">
      <c r="A3590" t="s">
        <v>12</v>
      </c>
      <c r="B3590" t="s">
        <v>1469</v>
      </c>
      <c r="C3590" t="s">
        <v>3906</v>
      </c>
      <c r="D3590" t="s">
        <v>3907</v>
      </c>
      <c r="E3590" t="s">
        <v>3908</v>
      </c>
      <c r="F3590" s="20">
        <v>7250000</v>
      </c>
      <c r="I3590" s="11">
        <f t="shared" si="151"/>
        <v>45238</v>
      </c>
      <c r="J3590" s="12">
        <f t="shared" si="152"/>
        <v>145</v>
      </c>
      <c r="K3590" t="str">
        <f t="shared" si="153"/>
        <v>121-180</v>
      </c>
      <c r="L3590" s="11">
        <v>45383</v>
      </c>
      <c r="M3590" s="23">
        <f>YEAR(Таблица1[[#This Row],[Дата отчета]])</f>
        <v>2024</v>
      </c>
    </row>
    <row r="3591" spans="1:13" x14ac:dyDescent="0.25">
      <c r="A3591" t="s">
        <v>12</v>
      </c>
      <c r="B3591" t="s">
        <v>1469</v>
      </c>
      <c r="C3591" t="s">
        <v>3906</v>
      </c>
      <c r="D3591" t="s">
        <v>3909</v>
      </c>
      <c r="E3591" t="s">
        <v>3276</v>
      </c>
      <c r="F3591" s="20">
        <v>2900000</v>
      </c>
      <c r="I3591" s="11">
        <f t="shared" si="151"/>
        <v>45364</v>
      </c>
      <c r="J3591" s="12">
        <f t="shared" si="152"/>
        <v>19</v>
      </c>
      <c r="K3591" t="str">
        <f t="shared" si="153"/>
        <v>0-30</v>
      </c>
      <c r="L3591" s="11">
        <v>45383</v>
      </c>
      <c r="M3591" s="23">
        <f>YEAR(Таблица1[[#This Row],[Дата отчета]])</f>
        <v>2024</v>
      </c>
    </row>
    <row r="3592" spans="1:13" x14ac:dyDescent="0.25">
      <c r="A3592" t="s">
        <v>12</v>
      </c>
      <c r="B3592" t="s">
        <v>1469</v>
      </c>
      <c r="C3592" t="s">
        <v>3910</v>
      </c>
      <c r="D3592" t="s">
        <v>3911</v>
      </c>
      <c r="E3592" t="s">
        <v>3066</v>
      </c>
      <c r="F3592" s="20">
        <v>15190000</v>
      </c>
      <c r="I3592" s="11">
        <f t="shared" si="151"/>
        <v>45240</v>
      </c>
      <c r="J3592" s="12">
        <f t="shared" si="152"/>
        <v>143</v>
      </c>
      <c r="K3592" t="str">
        <f t="shared" si="153"/>
        <v>121-180</v>
      </c>
      <c r="L3592" s="11">
        <v>45383</v>
      </c>
      <c r="M3592" s="23">
        <f>YEAR(Таблица1[[#This Row],[Дата отчета]])</f>
        <v>2024</v>
      </c>
    </row>
    <row r="3593" spans="1:13" x14ac:dyDescent="0.25">
      <c r="A3593" t="s">
        <v>12</v>
      </c>
      <c r="B3593" t="s">
        <v>1469</v>
      </c>
      <c r="C3593" t="s">
        <v>3910</v>
      </c>
      <c r="D3593" t="s">
        <v>3912</v>
      </c>
      <c r="E3593" t="s">
        <v>3913</v>
      </c>
      <c r="F3593" s="20">
        <v>3255000</v>
      </c>
      <c r="I3593" s="11">
        <f t="shared" si="151"/>
        <v>45322</v>
      </c>
      <c r="J3593" s="12">
        <f t="shared" si="152"/>
        <v>61</v>
      </c>
      <c r="K3593" t="str">
        <f t="shared" si="153"/>
        <v>31-90</v>
      </c>
      <c r="L3593" s="11">
        <v>45383</v>
      </c>
      <c r="M3593" s="23">
        <f>YEAR(Таблица1[[#This Row],[Дата отчета]])</f>
        <v>2024</v>
      </c>
    </row>
    <row r="3594" spans="1:13" x14ac:dyDescent="0.25">
      <c r="A3594" t="s">
        <v>12</v>
      </c>
      <c r="B3594" t="s">
        <v>1469</v>
      </c>
      <c r="C3594" t="s">
        <v>3527</v>
      </c>
      <c r="D3594" t="s">
        <v>3528</v>
      </c>
      <c r="E3594" t="s">
        <v>3529</v>
      </c>
      <c r="F3594" s="20">
        <v>10500000</v>
      </c>
      <c r="I3594" s="11">
        <f t="shared" si="151"/>
        <v>45246</v>
      </c>
      <c r="J3594" s="12">
        <f t="shared" si="152"/>
        <v>137</v>
      </c>
      <c r="K3594" t="str">
        <f t="shared" si="153"/>
        <v>121-180</v>
      </c>
      <c r="L3594" s="11">
        <v>45383</v>
      </c>
      <c r="M3594" s="23">
        <f>YEAR(Таблица1[[#This Row],[Дата отчета]])</f>
        <v>2024</v>
      </c>
    </row>
    <row r="3595" spans="1:13" x14ac:dyDescent="0.25">
      <c r="A3595" t="s">
        <v>12</v>
      </c>
      <c r="B3595" t="s">
        <v>1469</v>
      </c>
      <c r="C3595" t="s">
        <v>3914</v>
      </c>
      <c r="D3595" t="s">
        <v>3915</v>
      </c>
      <c r="E3595" t="s">
        <v>3791</v>
      </c>
      <c r="F3595" s="20">
        <v>2700000</v>
      </c>
      <c r="I3595" s="11">
        <f t="shared" si="151"/>
        <v>45251</v>
      </c>
      <c r="J3595" s="12">
        <f t="shared" si="152"/>
        <v>132</v>
      </c>
      <c r="K3595" t="str">
        <f t="shared" si="153"/>
        <v>121-180</v>
      </c>
      <c r="L3595" s="11">
        <v>45383</v>
      </c>
      <c r="M3595" s="23">
        <f>YEAR(Таблица1[[#This Row],[Дата отчета]])</f>
        <v>2024</v>
      </c>
    </row>
    <row r="3596" spans="1:13" x14ac:dyDescent="0.25">
      <c r="A3596" t="s">
        <v>12</v>
      </c>
      <c r="B3596" t="s">
        <v>1469</v>
      </c>
      <c r="C3596" t="s">
        <v>3914</v>
      </c>
      <c r="D3596" t="s">
        <v>3916</v>
      </c>
      <c r="E3596" t="s">
        <v>3276</v>
      </c>
      <c r="F3596" s="20">
        <v>900000</v>
      </c>
      <c r="I3596" s="11">
        <f t="shared" si="151"/>
        <v>45364</v>
      </c>
      <c r="J3596" s="12">
        <f t="shared" si="152"/>
        <v>19</v>
      </c>
      <c r="K3596" t="str">
        <f t="shared" si="153"/>
        <v>0-30</v>
      </c>
      <c r="L3596" s="11">
        <v>45383</v>
      </c>
      <c r="M3596" s="23">
        <f>YEAR(Таблица1[[#This Row],[Дата отчета]])</f>
        <v>2024</v>
      </c>
    </row>
    <row r="3597" spans="1:13" x14ac:dyDescent="0.25">
      <c r="A3597" t="s">
        <v>12</v>
      </c>
      <c r="B3597" t="s">
        <v>1469</v>
      </c>
      <c r="C3597" t="s">
        <v>1472</v>
      </c>
      <c r="D3597" t="s">
        <v>1473</v>
      </c>
      <c r="E3597" t="s">
        <v>1258</v>
      </c>
      <c r="F3597" s="20">
        <v>12772710.16</v>
      </c>
      <c r="I3597" s="11">
        <f t="shared" si="151"/>
        <v>45288</v>
      </c>
      <c r="J3597" s="12">
        <f t="shared" si="152"/>
        <v>95</v>
      </c>
      <c r="K3597" t="str">
        <f t="shared" si="153"/>
        <v>91-120</v>
      </c>
      <c r="L3597" s="11">
        <v>45383</v>
      </c>
      <c r="M3597" s="23">
        <f>YEAR(Таблица1[[#This Row],[Дата отчета]])</f>
        <v>2024</v>
      </c>
    </row>
    <row r="3598" spans="1:13" x14ac:dyDescent="0.25">
      <c r="A3598" t="s">
        <v>12</v>
      </c>
      <c r="B3598" t="s">
        <v>3165</v>
      </c>
      <c r="C3598" t="s">
        <v>3166</v>
      </c>
      <c r="D3598" t="s">
        <v>3167</v>
      </c>
      <c r="E3598" t="s">
        <v>3168</v>
      </c>
      <c r="F3598" s="20">
        <v>340.4</v>
      </c>
      <c r="I3598" s="11">
        <f t="shared" si="151"/>
        <v>44371</v>
      </c>
      <c r="J3598" s="12">
        <f t="shared" si="152"/>
        <v>1012</v>
      </c>
      <c r="K3598" t="str">
        <f t="shared" si="153"/>
        <v>&gt;360</v>
      </c>
      <c r="L3598" s="11">
        <v>45383</v>
      </c>
      <c r="M3598" s="23">
        <f>YEAR(Таблица1[[#This Row],[Дата отчета]])</f>
        <v>2024</v>
      </c>
    </row>
    <row r="3599" spans="1:13" x14ac:dyDescent="0.25">
      <c r="A3599" t="s">
        <v>12</v>
      </c>
      <c r="B3599" t="s">
        <v>3917</v>
      </c>
      <c r="C3599" t="s">
        <v>3918</v>
      </c>
      <c r="D3599" t="s">
        <v>3919</v>
      </c>
      <c r="E3599" t="s">
        <v>3802</v>
      </c>
      <c r="F3599" s="20">
        <v>792000</v>
      </c>
      <c r="I3599" s="11">
        <f t="shared" si="151"/>
        <v>45371</v>
      </c>
      <c r="J3599" s="12">
        <f t="shared" si="152"/>
        <v>12</v>
      </c>
      <c r="K3599" t="str">
        <f t="shared" si="153"/>
        <v>0-30</v>
      </c>
      <c r="L3599" s="11">
        <v>45383</v>
      </c>
      <c r="M3599" s="23">
        <f>YEAR(Таблица1[[#This Row],[Дата отчета]])</f>
        <v>2024</v>
      </c>
    </row>
    <row r="3600" spans="1:13" x14ac:dyDescent="0.25">
      <c r="A3600" t="s">
        <v>12</v>
      </c>
      <c r="B3600" t="s">
        <v>3917</v>
      </c>
      <c r="C3600" t="s">
        <v>3918</v>
      </c>
      <c r="D3600" t="s">
        <v>3920</v>
      </c>
      <c r="E3600" t="s">
        <v>3888</v>
      </c>
      <c r="F3600" s="20">
        <v>600000</v>
      </c>
      <c r="I3600" s="11">
        <f t="shared" si="151"/>
        <v>45380</v>
      </c>
      <c r="J3600" s="12">
        <f t="shared" si="152"/>
        <v>3</v>
      </c>
      <c r="K3600" t="str">
        <f t="shared" si="153"/>
        <v>0-30</v>
      </c>
      <c r="L3600" s="11">
        <v>45383</v>
      </c>
      <c r="M3600" s="23">
        <f>YEAR(Таблица1[[#This Row],[Дата отчета]])</f>
        <v>2024</v>
      </c>
    </row>
    <row r="3601" spans="1:13" x14ac:dyDescent="0.25">
      <c r="A3601" t="s">
        <v>12</v>
      </c>
      <c r="B3601" t="s">
        <v>3917</v>
      </c>
      <c r="C3601" t="s">
        <v>3918</v>
      </c>
      <c r="D3601" t="s">
        <v>3921</v>
      </c>
      <c r="E3601" t="s">
        <v>3888</v>
      </c>
      <c r="F3601" s="20">
        <v>672000</v>
      </c>
      <c r="I3601" s="11">
        <f t="shared" si="151"/>
        <v>45380</v>
      </c>
      <c r="J3601" s="12">
        <f t="shared" si="152"/>
        <v>3</v>
      </c>
      <c r="K3601" t="str">
        <f t="shared" si="153"/>
        <v>0-30</v>
      </c>
      <c r="L3601" s="11">
        <v>45383</v>
      </c>
      <c r="M3601" s="23">
        <f>YEAR(Таблица1[[#This Row],[Дата отчета]])</f>
        <v>2024</v>
      </c>
    </row>
    <row r="3602" spans="1:13" x14ac:dyDescent="0.25">
      <c r="A3602" t="s">
        <v>12</v>
      </c>
      <c r="B3602" t="s">
        <v>456</v>
      </c>
      <c r="C3602" t="s">
        <v>457</v>
      </c>
      <c r="D3602" t="s">
        <v>458</v>
      </c>
      <c r="E3602" t="s">
        <v>459</v>
      </c>
      <c r="F3602" s="20">
        <v>33500</v>
      </c>
      <c r="I3602" s="11">
        <f t="shared" si="151"/>
        <v>45195</v>
      </c>
      <c r="J3602" s="12">
        <f t="shared" si="152"/>
        <v>188</v>
      </c>
      <c r="K3602" t="str">
        <f t="shared" si="153"/>
        <v>181-270</v>
      </c>
      <c r="L3602" s="11">
        <v>45383</v>
      </c>
      <c r="M3602" s="23">
        <f>YEAR(Таблица1[[#This Row],[Дата отчета]])</f>
        <v>2024</v>
      </c>
    </row>
    <row r="3603" spans="1:13" x14ac:dyDescent="0.25">
      <c r="A3603" t="s">
        <v>12</v>
      </c>
      <c r="B3603" t="s">
        <v>3922</v>
      </c>
      <c r="C3603" t="s">
        <v>3923</v>
      </c>
      <c r="D3603" t="s">
        <v>3924</v>
      </c>
      <c r="E3603" t="s">
        <v>3826</v>
      </c>
      <c r="F3603" s="20">
        <v>97200</v>
      </c>
      <c r="I3603" s="11">
        <f t="shared" si="151"/>
        <v>45376</v>
      </c>
      <c r="J3603" s="12">
        <f t="shared" si="152"/>
        <v>7</v>
      </c>
      <c r="K3603" t="str">
        <f t="shared" si="153"/>
        <v>0-30</v>
      </c>
      <c r="L3603" s="11">
        <v>45383</v>
      </c>
      <c r="M3603" s="23">
        <f>YEAR(Таблица1[[#This Row],[Дата отчета]])</f>
        <v>2024</v>
      </c>
    </row>
    <row r="3604" spans="1:13" x14ac:dyDescent="0.25">
      <c r="A3604" t="s">
        <v>12</v>
      </c>
      <c r="B3604" t="s">
        <v>467</v>
      </c>
      <c r="C3604" t="s">
        <v>468</v>
      </c>
      <c r="D3604" t="s">
        <v>469</v>
      </c>
      <c r="E3604" t="s">
        <v>470</v>
      </c>
      <c r="F3604" s="20">
        <v>2000</v>
      </c>
      <c r="I3604" s="11">
        <f t="shared" si="151"/>
        <v>44551</v>
      </c>
      <c r="J3604" s="12">
        <f t="shared" si="152"/>
        <v>832</v>
      </c>
      <c r="K3604" t="str">
        <f t="shared" si="153"/>
        <v>&gt;360</v>
      </c>
      <c r="L3604" s="11">
        <v>45383</v>
      </c>
      <c r="M3604" s="23">
        <f>YEAR(Таблица1[[#This Row],[Дата отчета]])</f>
        <v>2024</v>
      </c>
    </row>
    <row r="3605" spans="1:13" x14ac:dyDescent="0.25">
      <c r="A3605" t="s">
        <v>12</v>
      </c>
      <c r="B3605" t="s">
        <v>467</v>
      </c>
      <c r="C3605" t="s">
        <v>3925</v>
      </c>
      <c r="D3605" t="s">
        <v>3926</v>
      </c>
      <c r="E3605" t="s">
        <v>3816</v>
      </c>
      <c r="F3605" s="20">
        <v>35200</v>
      </c>
      <c r="I3605" s="11">
        <f t="shared" si="151"/>
        <v>45366</v>
      </c>
      <c r="J3605" s="12">
        <f t="shared" si="152"/>
        <v>17</v>
      </c>
      <c r="K3605" t="str">
        <f t="shared" si="153"/>
        <v>0-30</v>
      </c>
      <c r="L3605" s="11">
        <v>45383</v>
      </c>
      <c r="M3605" s="23">
        <f>YEAR(Таблица1[[#This Row],[Дата отчета]])</f>
        <v>2024</v>
      </c>
    </row>
    <row r="3606" spans="1:13" x14ac:dyDescent="0.25">
      <c r="A3606" t="s">
        <v>12</v>
      </c>
      <c r="B3606" t="s">
        <v>478</v>
      </c>
      <c r="C3606" t="s">
        <v>3546</v>
      </c>
      <c r="D3606" t="s">
        <v>3547</v>
      </c>
      <c r="E3606" t="s">
        <v>3445</v>
      </c>
      <c r="F3606" s="20">
        <v>12000</v>
      </c>
      <c r="I3606" s="11">
        <f t="shared" si="151"/>
        <v>45321</v>
      </c>
      <c r="J3606" s="12">
        <f t="shared" si="152"/>
        <v>62</v>
      </c>
      <c r="K3606" t="str">
        <f t="shared" si="153"/>
        <v>31-90</v>
      </c>
      <c r="L3606" s="11">
        <v>45383</v>
      </c>
      <c r="M3606" s="23">
        <f>YEAR(Таблица1[[#This Row],[Дата отчета]])</f>
        <v>2024</v>
      </c>
    </row>
    <row r="3607" spans="1:13" x14ac:dyDescent="0.25">
      <c r="A3607" t="s">
        <v>12</v>
      </c>
      <c r="B3607" t="s">
        <v>3927</v>
      </c>
      <c r="C3607" t="s">
        <v>3928</v>
      </c>
      <c r="D3607" t="s">
        <v>3929</v>
      </c>
      <c r="E3607" t="s">
        <v>2965</v>
      </c>
      <c r="F3607" s="20">
        <v>126000</v>
      </c>
      <c r="I3607" s="11">
        <f t="shared" si="151"/>
        <v>45377</v>
      </c>
      <c r="J3607" s="12">
        <f t="shared" si="152"/>
        <v>6</v>
      </c>
      <c r="K3607" t="str">
        <f t="shared" si="153"/>
        <v>0-30</v>
      </c>
      <c r="L3607" s="11">
        <v>45383</v>
      </c>
      <c r="M3607" s="23">
        <f>YEAR(Таблица1[[#This Row],[Дата отчета]])</f>
        <v>2024</v>
      </c>
    </row>
    <row r="3608" spans="1:13" x14ac:dyDescent="0.25">
      <c r="A3608" t="s">
        <v>12</v>
      </c>
      <c r="B3608" t="s">
        <v>487</v>
      </c>
      <c r="C3608" t="s">
        <v>3930</v>
      </c>
      <c r="D3608" t="s">
        <v>3931</v>
      </c>
      <c r="E3608" t="s">
        <v>3798</v>
      </c>
      <c r="F3608" s="20">
        <v>1763834.07</v>
      </c>
      <c r="I3608" s="11">
        <f t="shared" si="151"/>
        <v>45271</v>
      </c>
      <c r="J3608" s="12">
        <f t="shared" si="152"/>
        <v>112</v>
      </c>
      <c r="K3608" t="str">
        <f t="shared" si="153"/>
        <v>91-120</v>
      </c>
      <c r="L3608" s="11">
        <v>45383</v>
      </c>
      <c r="M3608" s="23">
        <f>YEAR(Таблица1[[#This Row],[Дата отчета]])</f>
        <v>2024</v>
      </c>
    </row>
    <row r="3609" spans="1:13" x14ac:dyDescent="0.25">
      <c r="A3609" t="s">
        <v>12</v>
      </c>
      <c r="B3609" t="s">
        <v>3932</v>
      </c>
      <c r="C3609" t="s">
        <v>3933</v>
      </c>
      <c r="D3609" t="s">
        <v>3934</v>
      </c>
      <c r="E3609" t="s">
        <v>3394</v>
      </c>
      <c r="F3609" s="20">
        <v>302942.58</v>
      </c>
      <c r="I3609" s="11">
        <f t="shared" si="151"/>
        <v>45379</v>
      </c>
      <c r="J3609" s="12">
        <f t="shared" si="152"/>
        <v>4</v>
      </c>
      <c r="K3609" t="str">
        <f t="shared" si="153"/>
        <v>0-30</v>
      </c>
      <c r="L3609" s="11">
        <v>45383</v>
      </c>
      <c r="M3609" s="23">
        <f>YEAR(Таблица1[[#This Row],[Дата отчета]])</f>
        <v>2024</v>
      </c>
    </row>
    <row r="3610" spans="1:13" x14ac:dyDescent="0.25">
      <c r="A3610" t="s">
        <v>12</v>
      </c>
      <c r="B3610" t="s">
        <v>3548</v>
      </c>
      <c r="C3610" t="s">
        <v>3552</v>
      </c>
      <c r="D3610" t="s">
        <v>3553</v>
      </c>
      <c r="E3610" t="s">
        <v>3554</v>
      </c>
      <c r="F3610" s="20">
        <v>3800</v>
      </c>
      <c r="I3610" s="11">
        <f t="shared" si="151"/>
        <v>45268</v>
      </c>
      <c r="J3610" s="12">
        <f t="shared" si="152"/>
        <v>115</v>
      </c>
      <c r="K3610" t="str">
        <f t="shared" si="153"/>
        <v>91-120</v>
      </c>
      <c r="L3610" s="11">
        <v>45383</v>
      </c>
      <c r="M3610" s="23">
        <f>YEAR(Таблица1[[#This Row],[Дата отчета]])</f>
        <v>2024</v>
      </c>
    </row>
    <row r="3611" spans="1:13" x14ac:dyDescent="0.25">
      <c r="A3611" t="s">
        <v>12</v>
      </c>
      <c r="B3611" t="s">
        <v>2150</v>
      </c>
      <c r="C3611" t="s">
        <v>3173</v>
      </c>
      <c r="D3611" t="s">
        <v>3174</v>
      </c>
      <c r="E3611" t="s">
        <v>3175</v>
      </c>
      <c r="F3611" s="20">
        <v>28572</v>
      </c>
      <c r="I3611" s="11">
        <f t="shared" si="151"/>
        <v>44755</v>
      </c>
      <c r="J3611" s="12">
        <f t="shared" si="152"/>
        <v>628</v>
      </c>
      <c r="K3611" t="str">
        <f t="shared" si="153"/>
        <v>&gt;360</v>
      </c>
      <c r="L3611" s="11">
        <v>45383</v>
      </c>
      <c r="M3611" s="23">
        <f>YEAR(Таблица1[[#This Row],[Дата отчета]])</f>
        <v>2024</v>
      </c>
    </row>
    <row r="3612" spans="1:13" x14ac:dyDescent="0.25">
      <c r="A3612" t="s">
        <v>12</v>
      </c>
      <c r="B3612" t="s">
        <v>2150</v>
      </c>
      <c r="C3612" t="s">
        <v>3176</v>
      </c>
      <c r="D3612" t="s">
        <v>3177</v>
      </c>
      <c r="E3612" t="s">
        <v>3175</v>
      </c>
      <c r="F3612" s="20">
        <v>5520</v>
      </c>
      <c r="I3612" s="11">
        <f t="shared" si="151"/>
        <v>44755</v>
      </c>
      <c r="J3612" s="12">
        <f t="shared" si="152"/>
        <v>628</v>
      </c>
      <c r="K3612" t="str">
        <f t="shared" si="153"/>
        <v>&gt;360</v>
      </c>
      <c r="L3612" s="11">
        <v>45383</v>
      </c>
      <c r="M3612" s="23">
        <f>YEAR(Таблица1[[#This Row],[Дата отчета]])</f>
        <v>2024</v>
      </c>
    </row>
    <row r="3613" spans="1:13" x14ac:dyDescent="0.25">
      <c r="A3613" t="s">
        <v>12</v>
      </c>
      <c r="B3613" t="s">
        <v>2150</v>
      </c>
      <c r="C3613" t="s">
        <v>3555</v>
      </c>
      <c r="D3613" t="s">
        <v>3556</v>
      </c>
      <c r="E3613" t="s">
        <v>1258</v>
      </c>
      <c r="F3613" s="20">
        <v>11490964.939999999</v>
      </c>
      <c r="I3613" s="11">
        <f t="shared" si="151"/>
        <v>45288</v>
      </c>
      <c r="J3613" s="12">
        <f t="shared" si="152"/>
        <v>95</v>
      </c>
      <c r="K3613" t="str">
        <f t="shared" si="153"/>
        <v>91-120</v>
      </c>
      <c r="L3613" s="11">
        <v>45383</v>
      </c>
      <c r="M3613" s="23">
        <f>YEAR(Таблица1[[#This Row],[Дата отчета]])</f>
        <v>2024</v>
      </c>
    </row>
    <row r="3614" spans="1:13" x14ac:dyDescent="0.25">
      <c r="A3614" t="s">
        <v>12</v>
      </c>
      <c r="B3614" t="s">
        <v>2150</v>
      </c>
      <c r="C3614" t="s">
        <v>3178</v>
      </c>
      <c r="D3614" t="s">
        <v>3179</v>
      </c>
      <c r="E3614" t="s">
        <v>3180</v>
      </c>
      <c r="F3614" s="20">
        <v>4600</v>
      </c>
      <c r="I3614" s="11">
        <f t="shared" si="151"/>
        <v>44988</v>
      </c>
      <c r="J3614" s="12">
        <f t="shared" si="152"/>
        <v>395</v>
      </c>
      <c r="K3614" t="str">
        <f t="shared" si="153"/>
        <v>&gt;360</v>
      </c>
      <c r="L3614" s="11">
        <v>45383</v>
      </c>
      <c r="M3614" s="23">
        <f>YEAR(Таблица1[[#This Row],[Дата отчета]])</f>
        <v>2024</v>
      </c>
    </row>
    <row r="3615" spans="1:13" x14ac:dyDescent="0.25">
      <c r="A3615" t="s">
        <v>12</v>
      </c>
      <c r="B3615" t="s">
        <v>2150</v>
      </c>
      <c r="C3615" t="s">
        <v>3181</v>
      </c>
      <c r="D3615" t="s">
        <v>3182</v>
      </c>
      <c r="E3615" t="s">
        <v>3183</v>
      </c>
      <c r="F3615" s="20">
        <v>27200</v>
      </c>
      <c r="I3615" s="11">
        <f t="shared" si="151"/>
        <v>45013</v>
      </c>
      <c r="J3615" s="12">
        <f t="shared" si="152"/>
        <v>370</v>
      </c>
      <c r="K3615" t="str">
        <f t="shared" si="153"/>
        <v>&gt;360</v>
      </c>
      <c r="L3615" s="11">
        <v>45383</v>
      </c>
      <c r="M3615" s="23">
        <f>YEAR(Таблица1[[#This Row],[Дата отчета]])</f>
        <v>2024</v>
      </c>
    </row>
    <row r="3616" spans="1:13" x14ac:dyDescent="0.25">
      <c r="A3616" t="s">
        <v>12</v>
      </c>
      <c r="B3616" t="s">
        <v>526</v>
      </c>
      <c r="C3616" t="s">
        <v>269</v>
      </c>
      <c r="D3616" t="s">
        <v>3935</v>
      </c>
      <c r="E3616" t="s">
        <v>2965</v>
      </c>
      <c r="F3616" s="20">
        <v>2736436.96</v>
      </c>
      <c r="I3616" s="11">
        <f t="shared" si="151"/>
        <v>45377</v>
      </c>
      <c r="J3616" s="12">
        <f t="shared" si="152"/>
        <v>6</v>
      </c>
      <c r="K3616" t="str">
        <f t="shared" si="153"/>
        <v>0-30</v>
      </c>
      <c r="L3616" s="11">
        <v>45383</v>
      </c>
      <c r="M3616" s="23">
        <f>YEAR(Таблица1[[#This Row],[Дата отчета]])</f>
        <v>2024</v>
      </c>
    </row>
    <row r="3617" spans="1:13" x14ac:dyDescent="0.25">
      <c r="A3617" t="s">
        <v>12</v>
      </c>
      <c r="B3617" t="s">
        <v>3567</v>
      </c>
      <c r="C3617" t="s">
        <v>3568</v>
      </c>
      <c r="D3617" t="s">
        <v>3569</v>
      </c>
      <c r="E3617" t="s">
        <v>3570</v>
      </c>
      <c r="F3617" s="20">
        <v>250000</v>
      </c>
      <c r="I3617" s="11">
        <f t="shared" si="151"/>
        <v>45372</v>
      </c>
      <c r="J3617" s="12">
        <f t="shared" si="152"/>
        <v>11</v>
      </c>
      <c r="K3617" t="str">
        <f t="shared" si="153"/>
        <v>0-30</v>
      </c>
      <c r="L3617" s="11">
        <v>45383</v>
      </c>
      <c r="M3617" s="23">
        <f>YEAR(Таблица1[[#This Row],[Дата отчета]])</f>
        <v>2024</v>
      </c>
    </row>
    <row r="3618" spans="1:13" x14ac:dyDescent="0.25">
      <c r="A3618" t="s">
        <v>12</v>
      </c>
      <c r="B3618" t="s">
        <v>3189</v>
      </c>
      <c r="C3618" t="s">
        <v>3190</v>
      </c>
      <c r="D3618" t="s">
        <v>3191</v>
      </c>
      <c r="E3618" t="s">
        <v>3192</v>
      </c>
      <c r="F3618" s="20">
        <v>32600</v>
      </c>
      <c r="I3618" s="11">
        <f t="shared" si="151"/>
        <v>45331</v>
      </c>
      <c r="J3618" s="12">
        <f t="shared" si="152"/>
        <v>52</v>
      </c>
      <c r="K3618" t="str">
        <f t="shared" si="153"/>
        <v>31-90</v>
      </c>
      <c r="L3618" s="11">
        <v>45383</v>
      </c>
      <c r="M3618" s="23">
        <f>YEAR(Таблица1[[#This Row],[Дата отчета]])</f>
        <v>2024</v>
      </c>
    </row>
    <row r="3619" spans="1:13" x14ac:dyDescent="0.25">
      <c r="A3619" t="s">
        <v>12</v>
      </c>
      <c r="B3619" t="s">
        <v>3575</v>
      </c>
      <c r="C3619" t="s">
        <v>970</v>
      </c>
      <c r="D3619" t="s">
        <v>3576</v>
      </c>
      <c r="E3619" t="s">
        <v>3577</v>
      </c>
      <c r="F3619" s="20">
        <v>6000</v>
      </c>
      <c r="I3619" s="11">
        <f t="shared" si="151"/>
        <v>45351</v>
      </c>
      <c r="J3619" s="12">
        <f t="shared" si="152"/>
        <v>32</v>
      </c>
      <c r="K3619" t="str">
        <f t="shared" si="153"/>
        <v>31-90</v>
      </c>
      <c r="L3619" s="11">
        <v>45383</v>
      </c>
      <c r="M3619" s="23">
        <f>YEAR(Таблица1[[#This Row],[Дата отчета]])</f>
        <v>2024</v>
      </c>
    </row>
    <row r="3620" spans="1:13" x14ac:dyDescent="0.25">
      <c r="A3620" t="s">
        <v>12</v>
      </c>
      <c r="B3620" t="s">
        <v>544</v>
      </c>
      <c r="C3620" t="s">
        <v>3936</v>
      </c>
      <c r="D3620" t="s">
        <v>3937</v>
      </c>
      <c r="E3620" t="s">
        <v>3843</v>
      </c>
      <c r="F3620" s="20">
        <v>1067220</v>
      </c>
      <c r="I3620" s="11">
        <f t="shared" si="151"/>
        <v>45300</v>
      </c>
      <c r="J3620" s="12">
        <f t="shared" si="152"/>
        <v>83</v>
      </c>
      <c r="K3620" t="str">
        <f t="shared" si="153"/>
        <v>31-90</v>
      </c>
      <c r="L3620" s="11">
        <v>45383</v>
      </c>
      <c r="M3620" s="23">
        <f>YEAR(Таблица1[[#This Row],[Дата отчета]])</f>
        <v>2024</v>
      </c>
    </row>
    <row r="3621" spans="1:13" x14ac:dyDescent="0.25">
      <c r="A3621" t="s">
        <v>12</v>
      </c>
      <c r="B3621" t="s">
        <v>557</v>
      </c>
      <c r="C3621" t="s">
        <v>970</v>
      </c>
      <c r="D3621" t="s">
        <v>3578</v>
      </c>
      <c r="E3621" t="s">
        <v>3579</v>
      </c>
      <c r="F3621" s="20">
        <v>20239.61</v>
      </c>
      <c r="I3621" s="11">
        <f t="shared" si="151"/>
        <v>45083</v>
      </c>
      <c r="J3621" s="12">
        <f t="shared" si="152"/>
        <v>300</v>
      </c>
      <c r="K3621" t="str">
        <f t="shared" si="153"/>
        <v>271-360</v>
      </c>
      <c r="L3621" s="11">
        <v>45383</v>
      </c>
      <c r="M3621" s="23">
        <f>YEAR(Таблица1[[#This Row],[Дата отчета]])</f>
        <v>2024</v>
      </c>
    </row>
    <row r="3622" spans="1:13" x14ac:dyDescent="0.25">
      <c r="A3622" t="s">
        <v>12</v>
      </c>
      <c r="B3622" t="s">
        <v>561</v>
      </c>
      <c r="C3622" t="s">
        <v>1527</v>
      </c>
      <c r="D3622" t="s">
        <v>1528</v>
      </c>
      <c r="E3622" t="s">
        <v>1794</v>
      </c>
      <c r="F3622" s="20">
        <v>1695324.05</v>
      </c>
      <c r="I3622" s="11">
        <f t="shared" si="151"/>
        <v>45069</v>
      </c>
      <c r="J3622" s="12">
        <f t="shared" si="152"/>
        <v>314</v>
      </c>
      <c r="K3622" t="str">
        <f t="shared" si="153"/>
        <v>271-360</v>
      </c>
      <c r="L3622" s="11">
        <v>45383</v>
      </c>
      <c r="M3622" s="23">
        <f>YEAR(Таблица1[[#This Row],[Дата отчета]])</f>
        <v>2024</v>
      </c>
    </row>
    <row r="3623" spans="1:13" x14ac:dyDescent="0.25">
      <c r="A3623" t="s">
        <v>12</v>
      </c>
      <c r="B3623" t="s">
        <v>589</v>
      </c>
      <c r="C3623" t="s">
        <v>590</v>
      </c>
      <c r="D3623" t="s">
        <v>3938</v>
      </c>
      <c r="E3623" t="s">
        <v>611</v>
      </c>
      <c r="F3623" s="20">
        <v>862.02</v>
      </c>
      <c r="I3623" s="11">
        <f t="shared" si="151"/>
        <v>45335</v>
      </c>
      <c r="J3623" s="12">
        <f t="shared" si="152"/>
        <v>48</v>
      </c>
      <c r="K3623" t="str">
        <f t="shared" si="153"/>
        <v>31-90</v>
      </c>
      <c r="L3623" s="11">
        <v>45383</v>
      </c>
      <c r="M3623" s="23">
        <f>YEAR(Таблица1[[#This Row],[Дата отчета]])</f>
        <v>2024</v>
      </c>
    </row>
    <row r="3624" spans="1:13" x14ac:dyDescent="0.25">
      <c r="A3624" t="s">
        <v>12</v>
      </c>
      <c r="B3624" t="s">
        <v>589</v>
      </c>
      <c r="C3624" t="s">
        <v>594</v>
      </c>
      <c r="D3624" t="s">
        <v>3939</v>
      </c>
      <c r="E3624" t="s">
        <v>611</v>
      </c>
      <c r="F3624" s="20">
        <v>353.34</v>
      </c>
      <c r="I3624" s="11">
        <f t="shared" ref="I3624:I3687" si="154">E3624*1</f>
        <v>45335</v>
      </c>
      <c r="J3624" s="12">
        <f t="shared" ref="J3624:J3687" si="155">L3624-I3624</f>
        <v>48</v>
      </c>
      <c r="K3624" t="str">
        <f t="shared" si="153"/>
        <v>31-90</v>
      </c>
      <c r="L3624" s="11">
        <v>45383</v>
      </c>
      <c r="M3624" s="23">
        <f>YEAR(Таблица1[[#This Row],[Дата отчета]])</f>
        <v>2024</v>
      </c>
    </row>
    <row r="3625" spans="1:13" x14ac:dyDescent="0.25">
      <c r="A3625" t="s">
        <v>12</v>
      </c>
      <c r="B3625" t="s">
        <v>589</v>
      </c>
      <c r="C3625" t="s">
        <v>594</v>
      </c>
      <c r="D3625" t="s">
        <v>3940</v>
      </c>
      <c r="E3625" t="s">
        <v>3153</v>
      </c>
      <c r="F3625" s="20">
        <v>2000</v>
      </c>
      <c r="I3625" s="11">
        <f t="shared" si="154"/>
        <v>45357</v>
      </c>
      <c r="J3625" s="12">
        <f t="shared" si="155"/>
        <v>26</v>
      </c>
      <c r="K3625" t="str">
        <f t="shared" si="153"/>
        <v>0-30</v>
      </c>
      <c r="L3625" s="11">
        <v>45383</v>
      </c>
      <c r="M3625" s="23">
        <f>YEAR(Таблица1[[#This Row],[Дата отчета]])</f>
        <v>2024</v>
      </c>
    </row>
    <row r="3626" spans="1:13" x14ac:dyDescent="0.25">
      <c r="A3626" t="s">
        <v>12</v>
      </c>
      <c r="B3626" t="s">
        <v>589</v>
      </c>
      <c r="C3626" t="s">
        <v>596</v>
      </c>
      <c r="D3626" t="s">
        <v>3941</v>
      </c>
      <c r="E3626" t="s">
        <v>3942</v>
      </c>
      <c r="F3626" s="20">
        <v>2212.65</v>
      </c>
      <c r="I3626" s="11">
        <f t="shared" si="154"/>
        <v>45257</v>
      </c>
      <c r="J3626" s="12">
        <f t="shared" si="155"/>
        <v>126</v>
      </c>
      <c r="K3626" t="str">
        <f t="shared" si="153"/>
        <v>121-180</v>
      </c>
      <c r="L3626" s="11">
        <v>45383</v>
      </c>
      <c r="M3626" s="23">
        <f>YEAR(Таблица1[[#This Row],[Дата отчета]])</f>
        <v>2024</v>
      </c>
    </row>
    <row r="3627" spans="1:13" x14ac:dyDescent="0.25">
      <c r="A3627" t="s">
        <v>12</v>
      </c>
      <c r="B3627" t="s">
        <v>589</v>
      </c>
      <c r="C3627" t="s">
        <v>596</v>
      </c>
      <c r="D3627" t="s">
        <v>3943</v>
      </c>
      <c r="E3627" t="s">
        <v>611</v>
      </c>
      <c r="F3627" s="20">
        <v>2000</v>
      </c>
      <c r="I3627" s="11">
        <f t="shared" si="154"/>
        <v>45335</v>
      </c>
      <c r="J3627" s="12">
        <f t="shared" si="155"/>
        <v>48</v>
      </c>
      <c r="K3627" t="str">
        <f t="shared" si="153"/>
        <v>31-90</v>
      </c>
      <c r="L3627" s="11">
        <v>45383</v>
      </c>
      <c r="M3627" s="23">
        <f>YEAR(Таблица1[[#This Row],[Дата отчета]])</f>
        <v>2024</v>
      </c>
    </row>
    <row r="3628" spans="1:13" x14ac:dyDescent="0.25">
      <c r="A3628" t="s">
        <v>12</v>
      </c>
      <c r="B3628" t="s">
        <v>589</v>
      </c>
      <c r="C3628" t="s">
        <v>596</v>
      </c>
      <c r="D3628" t="s">
        <v>3944</v>
      </c>
      <c r="E3628" t="s">
        <v>3153</v>
      </c>
      <c r="F3628" s="20">
        <v>3000</v>
      </c>
      <c r="I3628" s="11">
        <f t="shared" si="154"/>
        <v>45357</v>
      </c>
      <c r="J3628" s="12">
        <f t="shared" si="155"/>
        <v>26</v>
      </c>
      <c r="K3628" t="str">
        <f t="shared" si="153"/>
        <v>0-30</v>
      </c>
      <c r="L3628" s="11">
        <v>45383</v>
      </c>
      <c r="M3628" s="23">
        <f>YEAR(Таблица1[[#This Row],[Дата отчета]])</f>
        <v>2024</v>
      </c>
    </row>
    <row r="3629" spans="1:13" x14ac:dyDescent="0.25">
      <c r="A3629" t="s">
        <v>12</v>
      </c>
      <c r="B3629" t="s">
        <v>589</v>
      </c>
      <c r="C3629" t="s">
        <v>598</v>
      </c>
      <c r="D3629" t="s">
        <v>599</v>
      </c>
      <c r="E3629" t="s">
        <v>600</v>
      </c>
      <c r="F3629" s="20">
        <v>45.91</v>
      </c>
      <c r="I3629" s="11">
        <f t="shared" si="154"/>
        <v>43560</v>
      </c>
      <c r="J3629" s="12">
        <f t="shared" si="155"/>
        <v>1823</v>
      </c>
      <c r="K3629" t="str">
        <f t="shared" si="153"/>
        <v>&gt;360</v>
      </c>
      <c r="L3629" s="11">
        <v>45383</v>
      </c>
      <c r="M3629" s="23">
        <f>YEAR(Таблица1[[#This Row],[Дата отчета]])</f>
        <v>2024</v>
      </c>
    </row>
    <row r="3630" spans="1:13" x14ac:dyDescent="0.25">
      <c r="A3630" t="s">
        <v>12</v>
      </c>
      <c r="B3630" t="s">
        <v>589</v>
      </c>
      <c r="C3630" t="s">
        <v>601</v>
      </c>
      <c r="D3630" t="s">
        <v>3945</v>
      </c>
      <c r="E3630" t="s">
        <v>3153</v>
      </c>
      <c r="F3630" s="20">
        <v>1993.46</v>
      </c>
      <c r="I3630" s="11">
        <f t="shared" si="154"/>
        <v>45357</v>
      </c>
      <c r="J3630" s="12">
        <f t="shared" si="155"/>
        <v>26</v>
      </c>
      <c r="K3630" t="str">
        <f t="shared" si="153"/>
        <v>0-30</v>
      </c>
      <c r="L3630" s="11">
        <v>45383</v>
      </c>
      <c r="M3630" s="23">
        <f>YEAR(Таблица1[[#This Row],[Дата отчета]])</f>
        <v>2024</v>
      </c>
    </row>
    <row r="3631" spans="1:13" x14ac:dyDescent="0.25">
      <c r="A3631" t="s">
        <v>12</v>
      </c>
      <c r="B3631" t="s">
        <v>589</v>
      </c>
      <c r="C3631" t="s">
        <v>604</v>
      </c>
      <c r="D3631" t="s">
        <v>3592</v>
      </c>
      <c r="E3631" t="s">
        <v>3593</v>
      </c>
      <c r="F3631" s="20">
        <v>175.13</v>
      </c>
      <c r="I3631" s="11">
        <f t="shared" si="154"/>
        <v>44897</v>
      </c>
      <c r="J3631" s="12">
        <f t="shared" si="155"/>
        <v>486</v>
      </c>
      <c r="K3631" t="str">
        <f t="shared" si="153"/>
        <v>&gt;360</v>
      </c>
      <c r="L3631" s="11">
        <v>45383</v>
      </c>
      <c r="M3631" s="23">
        <f>YEAR(Таблица1[[#This Row],[Дата отчета]])</f>
        <v>2024</v>
      </c>
    </row>
    <row r="3632" spans="1:13" x14ac:dyDescent="0.25">
      <c r="A3632" t="s">
        <v>12</v>
      </c>
      <c r="B3632" t="s">
        <v>589</v>
      </c>
      <c r="C3632" t="s">
        <v>607</v>
      </c>
      <c r="D3632" t="s">
        <v>608</v>
      </c>
      <c r="E3632" t="s">
        <v>609</v>
      </c>
      <c r="F3632" s="20">
        <v>771.25</v>
      </c>
      <c r="I3632" s="11">
        <f t="shared" si="154"/>
        <v>45233</v>
      </c>
      <c r="J3632" s="12">
        <f t="shared" si="155"/>
        <v>150</v>
      </c>
      <c r="K3632" t="str">
        <f t="shared" si="153"/>
        <v>121-180</v>
      </c>
      <c r="L3632" s="11">
        <v>45383</v>
      </c>
      <c r="M3632" s="23">
        <f>YEAR(Таблица1[[#This Row],[Дата отчета]])</f>
        <v>2024</v>
      </c>
    </row>
    <row r="3633" spans="1:13" x14ac:dyDescent="0.25">
      <c r="A3633" t="s">
        <v>12</v>
      </c>
      <c r="B3633" t="s">
        <v>589</v>
      </c>
      <c r="C3633" t="s">
        <v>607</v>
      </c>
      <c r="D3633" t="s">
        <v>610</v>
      </c>
      <c r="E3633" t="s">
        <v>611</v>
      </c>
      <c r="F3633" s="20">
        <v>500</v>
      </c>
      <c r="I3633" s="11">
        <f t="shared" si="154"/>
        <v>45335</v>
      </c>
      <c r="J3633" s="12">
        <f t="shared" si="155"/>
        <v>48</v>
      </c>
      <c r="K3633" t="str">
        <f t="shared" si="153"/>
        <v>31-90</v>
      </c>
      <c r="L3633" s="11">
        <v>45383</v>
      </c>
      <c r="M3633" s="23">
        <f>YEAR(Таблица1[[#This Row],[Дата отчета]])</f>
        <v>2024</v>
      </c>
    </row>
    <row r="3634" spans="1:13" x14ac:dyDescent="0.25">
      <c r="A3634" t="s">
        <v>12</v>
      </c>
      <c r="B3634" t="s">
        <v>589</v>
      </c>
      <c r="C3634" t="s">
        <v>612</v>
      </c>
      <c r="D3634" t="s">
        <v>3946</v>
      </c>
      <c r="E3634" t="s">
        <v>3847</v>
      </c>
      <c r="F3634" s="20">
        <v>126.57</v>
      </c>
      <c r="I3634" s="11">
        <f t="shared" si="154"/>
        <v>45310</v>
      </c>
      <c r="J3634" s="12">
        <f t="shared" si="155"/>
        <v>73</v>
      </c>
      <c r="K3634" t="str">
        <f t="shared" si="153"/>
        <v>31-90</v>
      </c>
      <c r="L3634" s="11">
        <v>45383</v>
      </c>
      <c r="M3634" s="23">
        <f>YEAR(Таблица1[[#This Row],[Дата отчета]])</f>
        <v>2024</v>
      </c>
    </row>
    <row r="3635" spans="1:13" x14ac:dyDescent="0.25">
      <c r="A3635" t="s">
        <v>12</v>
      </c>
      <c r="B3635" t="s">
        <v>589</v>
      </c>
      <c r="C3635" t="s">
        <v>612</v>
      </c>
      <c r="D3635" t="s">
        <v>3947</v>
      </c>
      <c r="E3635" t="s">
        <v>611</v>
      </c>
      <c r="F3635" s="20">
        <v>1000</v>
      </c>
      <c r="I3635" s="11">
        <f t="shared" si="154"/>
        <v>45335</v>
      </c>
      <c r="J3635" s="12">
        <f t="shared" si="155"/>
        <v>48</v>
      </c>
      <c r="K3635" t="str">
        <f t="shared" si="153"/>
        <v>31-90</v>
      </c>
      <c r="L3635" s="11">
        <v>45383</v>
      </c>
      <c r="M3635" s="23">
        <f>YEAR(Таблица1[[#This Row],[Дата отчета]])</f>
        <v>2024</v>
      </c>
    </row>
    <row r="3636" spans="1:13" x14ac:dyDescent="0.25">
      <c r="A3636" t="s">
        <v>12</v>
      </c>
      <c r="B3636" t="s">
        <v>589</v>
      </c>
      <c r="C3636" t="s">
        <v>612</v>
      </c>
      <c r="D3636" t="s">
        <v>3948</v>
      </c>
      <c r="E3636" t="s">
        <v>3153</v>
      </c>
      <c r="F3636" s="20">
        <v>2000</v>
      </c>
      <c r="I3636" s="11">
        <f t="shared" si="154"/>
        <v>45357</v>
      </c>
      <c r="J3636" s="12">
        <f t="shared" si="155"/>
        <v>26</v>
      </c>
      <c r="K3636" t="str">
        <f t="shared" si="153"/>
        <v>0-30</v>
      </c>
      <c r="L3636" s="11">
        <v>45383</v>
      </c>
      <c r="M3636" s="23">
        <f>YEAR(Таблица1[[#This Row],[Дата отчета]])</f>
        <v>2024</v>
      </c>
    </row>
    <row r="3637" spans="1:13" x14ac:dyDescent="0.25">
      <c r="A3637" t="s">
        <v>12</v>
      </c>
      <c r="B3637" t="s">
        <v>589</v>
      </c>
      <c r="C3637" t="s">
        <v>615</v>
      </c>
      <c r="D3637" t="s">
        <v>616</v>
      </c>
      <c r="E3637" t="s">
        <v>617</v>
      </c>
      <c r="F3637" s="20">
        <v>127.6</v>
      </c>
      <c r="I3637" s="11">
        <f t="shared" si="154"/>
        <v>42468</v>
      </c>
      <c r="J3637" s="12">
        <f t="shared" si="155"/>
        <v>2915</v>
      </c>
      <c r="K3637" t="str">
        <f t="shared" si="153"/>
        <v>&gt;360</v>
      </c>
      <c r="L3637" s="11">
        <v>45383</v>
      </c>
      <c r="M3637" s="23">
        <f>YEAR(Таблица1[[#This Row],[Дата отчета]])</f>
        <v>2024</v>
      </c>
    </row>
    <row r="3638" spans="1:13" x14ac:dyDescent="0.25">
      <c r="A3638" t="s">
        <v>12</v>
      </c>
      <c r="B3638" t="s">
        <v>589</v>
      </c>
      <c r="C3638" t="s">
        <v>615</v>
      </c>
      <c r="D3638" t="s">
        <v>618</v>
      </c>
      <c r="E3638" t="s">
        <v>619</v>
      </c>
      <c r="F3638" s="20">
        <v>430</v>
      </c>
      <c r="I3638" s="11">
        <f t="shared" si="154"/>
        <v>42501</v>
      </c>
      <c r="J3638" s="12">
        <f t="shared" si="155"/>
        <v>2882</v>
      </c>
      <c r="K3638" t="str">
        <f t="shared" si="153"/>
        <v>&gt;360</v>
      </c>
      <c r="L3638" s="11">
        <v>45383</v>
      </c>
      <c r="M3638" s="23">
        <f>YEAR(Таблица1[[#This Row],[Дата отчета]])</f>
        <v>2024</v>
      </c>
    </row>
    <row r="3639" spans="1:13" x14ac:dyDescent="0.25">
      <c r="A3639" t="s">
        <v>12</v>
      </c>
      <c r="B3639" t="s">
        <v>589</v>
      </c>
      <c r="C3639" t="s">
        <v>615</v>
      </c>
      <c r="D3639" t="s">
        <v>620</v>
      </c>
      <c r="E3639" t="s">
        <v>621</v>
      </c>
      <c r="F3639" s="20">
        <v>0.01</v>
      </c>
      <c r="I3639" s="11">
        <f t="shared" si="154"/>
        <v>43817</v>
      </c>
      <c r="J3639" s="12">
        <f t="shared" si="155"/>
        <v>1566</v>
      </c>
      <c r="K3639" t="str">
        <f t="shared" si="153"/>
        <v>&gt;360</v>
      </c>
      <c r="L3639" s="11">
        <v>45383</v>
      </c>
      <c r="M3639" s="23">
        <f>YEAR(Таблица1[[#This Row],[Дата отчета]])</f>
        <v>2024</v>
      </c>
    </row>
    <row r="3640" spans="1:13" x14ac:dyDescent="0.25">
      <c r="A3640" t="s">
        <v>12</v>
      </c>
      <c r="B3640" t="s">
        <v>589</v>
      </c>
      <c r="C3640" t="s">
        <v>622</v>
      </c>
      <c r="F3640" s="20">
        <v>68.27</v>
      </c>
      <c r="I3640" s="11">
        <f t="shared" si="154"/>
        <v>0</v>
      </c>
      <c r="J3640" s="12">
        <f t="shared" si="155"/>
        <v>45383</v>
      </c>
      <c r="K3640" t="str">
        <f t="shared" si="153"/>
        <v>&gt;360</v>
      </c>
      <c r="L3640" s="11">
        <v>45383</v>
      </c>
      <c r="M3640" s="23">
        <f>YEAR(Таблица1[[#This Row],[Дата отчета]])</f>
        <v>2024</v>
      </c>
    </row>
    <row r="3641" spans="1:13" x14ac:dyDescent="0.25">
      <c r="A3641" t="s">
        <v>12</v>
      </c>
      <c r="B3641" t="s">
        <v>589</v>
      </c>
      <c r="C3641" t="s">
        <v>623</v>
      </c>
      <c r="D3641" t="s">
        <v>624</v>
      </c>
      <c r="E3641" t="s">
        <v>625</v>
      </c>
      <c r="F3641" s="20">
        <v>799.94</v>
      </c>
      <c r="I3641" s="11">
        <f t="shared" si="154"/>
        <v>42429</v>
      </c>
      <c r="J3641" s="12">
        <f t="shared" si="155"/>
        <v>2954</v>
      </c>
      <c r="K3641" t="str">
        <f t="shared" si="153"/>
        <v>&gt;360</v>
      </c>
      <c r="L3641" s="11">
        <v>45383</v>
      </c>
      <c r="M3641" s="23">
        <f>YEAR(Таблица1[[#This Row],[Дата отчета]])</f>
        <v>2024</v>
      </c>
    </row>
    <row r="3642" spans="1:13" x14ac:dyDescent="0.25">
      <c r="A3642" t="s">
        <v>12</v>
      </c>
      <c r="B3642" t="s">
        <v>589</v>
      </c>
      <c r="C3642" t="s">
        <v>626</v>
      </c>
      <c r="D3642" t="s">
        <v>3949</v>
      </c>
      <c r="E3642" t="s">
        <v>3153</v>
      </c>
      <c r="F3642" s="20">
        <v>4847.3599999999997</v>
      </c>
      <c r="I3642" s="11">
        <f t="shared" si="154"/>
        <v>45357</v>
      </c>
      <c r="J3642" s="12">
        <f t="shared" si="155"/>
        <v>26</v>
      </c>
      <c r="K3642" t="str">
        <f t="shared" si="153"/>
        <v>0-30</v>
      </c>
      <c r="L3642" s="11">
        <v>45383</v>
      </c>
      <c r="M3642" s="23">
        <f>YEAR(Таблица1[[#This Row],[Дата отчета]])</f>
        <v>2024</v>
      </c>
    </row>
    <row r="3643" spans="1:13" x14ac:dyDescent="0.25">
      <c r="A3643" t="s">
        <v>12</v>
      </c>
      <c r="B3643" t="s">
        <v>589</v>
      </c>
      <c r="C3643" t="s">
        <v>3950</v>
      </c>
      <c r="D3643" t="s">
        <v>3951</v>
      </c>
      <c r="E3643" t="s">
        <v>609</v>
      </c>
      <c r="F3643" s="20">
        <v>381.15</v>
      </c>
      <c r="I3643" s="11">
        <f t="shared" si="154"/>
        <v>45233</v>
      </c>
      <c r="J3643" s="12">
        <f t="shared" si="155"/>
        <v>150</v>
      </c>
      <c r="K3643" t="str">
        <f t="shared" si="153"/>
        <v>121-180</v>
      </c>
      <c r="L3643" s="11">
        <v>45383</v>
      </c>
      <c r="M3643" s="23">
        <f>YEAR(Таблица1[[#This Row],[Дата отчета]])</f>
        <v>2024</v>
      </c>
    </row>
    <row r="3644" spans="1:13" x14ac:dyDescent="0.25">
      <c r="A3644" t="s">
        <v>12</v>
      </c>
      <c r="B3644" t="s">
        <v>3597</v>
      </c>
      <c r="C3644" t="s">
        <v>3952</v>
      </c>
      <c r="D3644" t="s">
        <v>3953</v>
      </c>
      <c r="E3644" t="s">
        <v>3954</v>
      </c>
      <c r="F3644" s="20">
        <v>0.14000000000000001</v>
      </c>
      <c r="I3644" s="11">
        <f t="shared" si="154"/>
        <v>45382</v>
      </c>
      <c r="J3644" s="12">
        <f t="shared" si="155"/>
        <v>1</v>
      </c>
      <c r="K3644" t="str">
        <f t="shared" si="153"/>
        <v>0-30</v>
      </c>
      <c r="L3644" s="11">
        <v>45383</v>
      </c>
      <c r="M3644" s="23">
        <f>YEAR(Таблица1[[#This Row],[Дата отчета]])</f>
        <v>2024</v>
      </c>
    </row>
    <row r="3645" spans="1:13" x14ac:dyDescent="0.25">
      <c r="A3645" t="s">
        <v>12</v>
      </c>
      <c r="B3645" t="s">
        <v>3597</v>
      </c>
      <c r="C3645" t="s">
        <v>3955</v>
      </c>
      <c r="D3645" t="s">
        <v>3956</v>
      </c>
      <c r="E3645" t="s">
        <v>3957</v>
      </c>
      <c r="F3645" s="20">
        <v>23053906.75</v>
      </c>
      <c r="I3645" s="11">
        <f t="shared" si="154"/>
        <v>45301</v>
      </c>
      <c r="J3645" s="12">
        <f t="shared" si="155"/>
        <v>82</v>
      </c>
      <c r="K3645" t="str">
        <f t="shared" si="153"/>
        <v>31-90</v>
      </c>
      <c r="L3645" s="11">
        <v>45383</v>
      </c>
      <c r="M3645" s="23">
        <f>YEAR(Таблица1[[#This Row],[Дата отчета]])</f>
        <v>2024</v>
      </c>
    </row>
    <row r="3646" spans="1:13" x14ac:dyDescent="0.25">
      <c r="A3646" t="s">
        <v>12</v>
      </c>
      <c r="B3646" t="s">
        <v>3597</v>
      </c>
      <c r="C3646" t="s">
        <v>3955</v>
      </c>
      <c r="D3646" t="s">
        <v>3958</v>
      </c>
      <c r="E3646" t="s">
        <v>3577</v>
      </c>
      <c r="F3646" s="20">
        <v>258396.6</v>
      </c>
      <c r="I3646" s="11">
        <f t="shared" si="154"/>
        <v>45351</v>
      </c>
      <c r="J3646" s="12">
        <f t="shared" si="155"/>
        <v>32</v>
      </c>
      <c r="K3646" t="str">
        <f t="shared" si="153"/>
        <v>31-90</v>
      </c>
      <c r="L3646" s="11">
        <v>45383</v>
      </c>
      <c r="M3646" s="23">
        <f>YEAR(Таблица1[[#This Row],[Дата отчета]])</f>
        <v>2024</v>
      </c>
    </row>
    <row r="3647" spans="1:13" x14ac:dyDescent="0.25">
      <c r="A3647" t="s">
        <v>12</v>
      </c>
      <c r="B3647" t="s">
        <v>3597</v>
      </c>
      <c r="C3647" t="s">
        <v>3955</v>
      </c>
      <c r="D3647" t="s">
        <v>3959</v>
      </c>
      <c r="E3647" t="s">
        <v>3577</v>
      </c>
      <c r="F3647" s="20">
        <v>1223938.8</v>
      </c>
      <c r="I3647" s="11">
        <f t="shared" si="154"/>
        <v>45351</v>
      </c>
      <c r="J3647" s="12">
        <f t="shared" si="155"/>
        <v>32</v>
      </c>
      <c r="K3647" t="str">
        <f t="shared" ref="K3647:K3710" si="156">IF(J3647&lt;=30,"0-30",IF(J3647&lt;=90,"31-90",IF(J3647&lt;=120,"91-120",IF(J3647&lt;=180,"121-180",IF(J3647&lt;=270,"181-270",IF(J3647&lt;=360,"271-360","&gt;360"))))))</f>
        <v>31-90</v>
      </c>
      <c r="L3647" s="11">
        <v>45383</v>
      </c>
      <c r="M3647" s="23">
        <f>YEAR(Таблица1[[#This Row],[Дата отчета]])</f>
        <v>2024</v>
      </c>
    </row>
    <row r="3648" spans="1:13" x14ac:dyDescent="0.25">
      <c r="A3648" t="s">
        <v>12</v>
      </c>
      <c r="B3648" t="s">
        <v>3597</v>
      </c>
      <c r="C3648" t="s">
        <v>3955</v>
      </c>
      <c r="D3648" t="s">
        <v>3960</v>
      </c>
      <c r="E3648" t="s">
        <v>3577</v>
      </c>
      <c r="F3648" s="20">
        <v>1253105.7</v>
      </c>
      <c r="I3648" s="11">
        <f t="shared" si="154"/>
        <v>45351</v>
      </c>
      <c r="J3648" s="12">
        <f t="shared" si="155"/>
        <v>32</v>
      </c>
      <c r="K3648" t="str">
        <f t="shared" si="156"/>
        <v>31-90</v>
      </c>
      <c r="L3648" s="11">
        <v>45383</v>
      </c>
      <c r="M3648" s="23">
        <f>YEAR(Таблица1[[#This Row],[Дата отчета]])</f>
        <v>2024</v>
      </c>
    </row>
    <row r="3649" spans="1:13" x14ac:dyDescent="0.25">
      <c r="A3649" t="s">
        <v>12</v>
      </c>
      <c r="B3649" t="s">
        <v>3597</v>
      </c>
      <c r="C3649" t="s">
        <v>3955</v>
      </c>
      <c r="D3649" t="s">
        <v>3961</v>
      </c>
      <c r="E3649" t="s">
        <v>3577</v>
      </c>
      <c r="F3649" s="20">
        <v>1270741.5</v>
      </c>
      <c r="I3649" s="11">
        <f t="shared" si="154"/>
        <v>45351</v>
      </c>
      <c r="J3649" s="12">
        <f t="shared" si="155"/>
        <v>32</v>
      </c>
      <c r="K3649" t="str">
        <f t="shared" si="156"/>
        <v>31-90</v>
      </c>
      <c r="L3649" s="11">
        <v>45383</v>
      </c>
      <c r="M3649" s="23">
        <f>YEAR(Таблица1[[#This Row],[Дата отчета]])</f>
        <v>2024</v>
      </c>
    </row>
    <row r="3650" spans="1:13" x14ac:dyDescent="0.25">
      <c r="A3650" t="s">
        <v>12</v>
      </c>
      <c r="B3650" t="s">
        <v>3597</v>
      </c>
      <c r="C3650" t="s">
        <v>3955</v>
      </c>
      <c r="D3650" t="s">
        <v>3962</v>
      </c>
      <c r="E3650" t="s">
        <v>3577</v>
      </c>
      <c r="F3650" s="20">
        <v>1276989</v>
      </c>
      <c r="I3650" s="11">
        <f t="shared" si="154"/>
        <v>45351</v>
      </c>
      <c r="J3650" s="12">
        <f t="shared" si="155"/>
        <v>32</v>
      </c>
      <c r="K3650" t="str">
        <f t="shared" si="156"/>
        <v>31-90</v>
      </c>
      <c r="L3650" s="11">
        <v>45383</v>
      </c>
      <c r="M3650" s="23">
        <f>YEAR(Таблица1[[#This Row],[Дата отчета]])</f>
        <v>2024</v>
      </c>
    </row>
    <row r="3651" spans="1:13" x14ac:dyDescent="0.25">
      <c r="A3651" t="s">
        <v>12</v>
      </c>
      <c r="B3651" t="s">
        <v>3597</v>
      </c>
      <c r="C3651" t="s">
        <v>3955</v>
      </c>
      <c r="D3651" t="s">
        <v>3963</v>
      </c>
      <c r="E3651" t="s">
        <v>3126</v>
      </c>
      <c r="F3651" s="20">
        <v>855376.2</v>
      </c>
      <c r="I3651" s="11">
        <f t="shared" si="154"/>
        <v>45352</v>
      </c>
      <c r="J3651" s="12">
        <f t="shared" si="155"/>
        <v>31</v>
      </c>
      <c r="K3651" t="str">
        <f t="shared" si="156"/>
        <v>31-90</v>
      </c>
      <c r="L3651" s="11">
        <v>45383</v>
      </c>
      <c r="M3651" s="23">
        <f>YEAR(Таблица1[[#This Row],[Дата отчета]])</f>
        <v>2024</v>
      </c>
    </row>
    <row r="3652" spans="1:13" x14ac:dyDescent="0.25">
      <c r="A3652" t="s">
        <v>12</v>
      </c>
      <c r="B3652" t="s">
        <v>3597</v>
      </c>
      <c r="C3652" t="s">
        <v>3955</v>
      </c>
      <c r="D3652" t="s">
        <v>3964</v>
      </c>
      <c r="E3652" t="s">
        <v>3126</v>
      </c>
      <c r="F3652" s="20">
        <v>1061529.53</v>
      </c>
      <c r="I3652" s="11">
        <f t="shared" si="154"/>
        <v>45352</v>
      </c>
      <c r="J3652" s="12">
        <f t="shared" si="155"/>
        <v>31</v>
      </c>
      <c r="K3652" t="str">
        <f t="shared" si="156"/>
        <v>31-90</v>
      </c>
      <c r="L3652" s="11">
        <v>45383</v>
      </c>
      <c r="M3652" s="23">
        <f>YEAR(Таблица1[[#This Row],[Дата отчета]])</f>
        <v>2024</v>
      </c>
    </row>
    <row r="3653" spans="1:13" x14ac:dyDescent="0.25">
      <c r="A3653" t="s">
        <v>12</v>
      </c>
      <c r="B3653" t="s">
        <v>3597</v>
      </c>
      <c r="C3653" t="s">
        <v>3955</v>
      </c>
      <c r="D3653" t="s">
        <v>3965</v>
      </c>
      <c r="E3653" t="s">
        <v>3126</v>
      </c>
      <c r="F3653" s="20">
        <v>1068502.05</v>
      </c>
      <c r="I3653" s="11">
        <f t="shared" si="154"/>
        <v>45352</v>
      </c>
      <c r="J3653" s="12">
        <f t="shared" si="155"/>
        <v>31</v>
      </c>
      <c r="K3653" t="str">
        <f t="shared" si="156"/>
        <v>31-90</v>
      </c>
      <c r="L3653" s="11">
        <v>45383</v>
      </c>
      <c r="M3653" s="23">
        <f>YEAR(Таблица1[[#This Row],[Дата отчета]])</f>
        <v>2024</v>
      </c>
    </row>
    <row r="3654" spans="1:13" x14ac:dyDescent="0.25">
      <c r="A3654" t="s">
        <v>12</v>
      </c>
      <c r="B3654" t="s">
        <v>3597</v>
      </c>
      <c r="C3654" t="s">
        <v>3955</v>
      </c>
      <c r="D3654" t="s">
        <v>3966</v>
      </c>
      <c r="E3654" t="s">
        <v>3967</v>
      </c>
      <c r="F3654" s="20">
        <v>909570.38</v>
      </c>
      <c r="I3654" s="11">
        <f t="shared" si="154"/>
        <v>45355</v>
      </c>
      <c r="J3654" s="12">
        <f t="shared" si="155"/>
        <v>28</v>
      </c>
      <c r="K3654" t="str">
        <f t="shared" si="156"/>
        <v>0-30</v>
      </c>
      <c r="L3654" s="11">
        <v>45383</v>
      </c>
      <c r="M3654" s="23">
        <f>YEAR(Таблица1[[#This Row],[Дата отчета]])</f>
        <v>2024</v>
      </c>
    </row>
    <row r="3655" spans="1:13" x14ac:dyDescent="0.25">
      <c r="A3655" t="s">
        <v>12</v>
      </c>
      <c r="B3655" t="s">
        <v>3597</v>
      </c>
      <c r="C3655" t="s">
        <v>3955</v>
      </c>
      <c r="D3655" t="s">
        <v>3968</v>
      </c>
      <c r="E3655" t="s">
        <v>3967</v>
      </c>
      <c r="F3655" s="20">
        <v>961101.23</v>
      </c>
      <c r="I3655" s="11">
        <f t="shared" si="154"/>
        <v>45355</v>
      </c>
      <c r="J3655" s="12">
        <f t="shared" si="155"/>
        <v>28</v>
      </c>
      <c r="K3655" t="str">
        <f t="shared" si="156"/>
        <v>0-30</v>
      </c>
      <c r="L3655" s="11">
        <v>45383</v>
      </c>
      <c r="M3655" s="23">
        <f>YEAR(Таблица1[[#This Row],[Дата отчета]])</f>
        <v>2024</v>
      </c>
    </row>
    <row r="3656" spans="1:13" x14ac:dyDescent="0.25">
      <c r="A3656" t="s">
        <v>12</v>
      </c>
      <c r="B3656" t="s">
        <v>3597</v>
      </c>
      <c r="C3656" t="s">
        <v>3955</v>
      </c>
      <c r="D3656" t="s">
        <v>3969</v>
      </c>
      <c r="E3656" t="s">
        <v>3967</v>
      </c>
      <c r="F3656" s="20">
        <v>1061709.08</v>
      </c>
      <c r="I3656" s="11">
        <f t="shared" si="154"/>
        <v>45355</v>
      </c>
      <c r="J3656" s="12">
        <f t="shared" si="155"/>
        <v>28</v>
      </c>
      <c r="K3656" t="str">
        <f t="shared" si="156"/>
        <v>0-30</v>
      </c>
      <c r="L3656" s="11">
        <v>45383</v>
      </c>
      <c r="M3656" s="23">
        <f>YEAR(Таблица1[[#This Row],[Дата отчета]])</f>
        <v>2024</v>
      </c>
    </row>
    <row r="3657" spans="1:13" x14ac:dyDescent="0.25">
      <c r="A3657" t="s">
        <v>12</v>
      </c>
      <c r="B3657" t="s">
        <v>3597</v>
      </c>
      <c r="C3657" t="s">
        <v>3955</v>
      </c>
      <c r="D3657" t="s">
        <v>3970</v>
      </c>
      <c r="E3657" t="s">
        <v>3967</v>
      </c>
      <c r="F3657" s="20">
        <v>1181170.2</v>
      </c>
      <c r="I3657" s="11">
        <f t="shared" si="154"/>
        <v>45355</v>
      </c>
      <c r="J3657" s="12">
        <f t="shared" si="155"/>
        <v>28</v>
      </c>
      <c r="K3657" t="str">
        <f t="shared" si="156"/>
        <v>0-30</v>
      </c>
      <c r="L3657" s="11">
        <v>45383</v>
      </c>
      <c r="M3657" s="23">
        <f>YEAR(Таблица1[[#This Row],[Дата отчета]])</f>
        <v>2024</v>
      </c>
    </row>
    <row r="3658" spans="1:13" x14ac:dyDescent="0.25">
      <c r="A3658" t="s">
        <v>12</v>
      </c>
      <c r="B3658" t="s">
        <v>3597</v>
      </c>
      <c r="C3658" t="s">
        <v>3955</v>
      </c>
      <c r="D3658" t="s">
        <v>3971</v>
      </c>
      <c r="E3658" t="s">
        <v>3967</v>
      </c>
      <c r="F3658" s="20">
        <v>1211586.6000000001</v>
      </c>
      <c r="I3658" s="11">
        <f t="shared" si="154"/>
        <v>45355</v>
      </c>
      <c r="J3658" s="12">
        <f t="shared" si="155"/>
        <v>28</v>
      </c>
      <c r="K3658" t="str">
        <f t="shared" si="156"/>
        <v>0-30</v>
      </c>
      <c r="L3658" s="11">
        <v>45383</v>
      </c>
      <c r="M3658" s="23">
        <f>YEAR(Таблица1[[#This Row],[Дата отчета]])</f>
        <v>2024</v>
      </c>
    </row>
    <row r="3659" spans="1:13" x14ac:dyDescent="0.25">
      <c r="A3659" t="s">
        <v>12</v>
      </c>
      <c r="B3659" t="s">
        <v>3597</v>
      </c>
      <c r="C3659" t="s">
        <v>3955</v>
      </c>
      <c r="D3659" t="s">
        <v>3972</v>
      </c>
      <c r="E3659" t="s">
        <v>3967</v>
      </c>
      <c r="F3659" s="20">
        <v>1220904.3</v>
      </c>
      <c r="I3659" s="11">
        <f t="shared" si="154"/>
        <v>45355</v>
      </c>
      <c r="J3659" s="12">
        <f t="shared" si="155"/>
        <v>28</v>
      </c>
      <c r="K3659" t="str">
        <f t="shared" si="156"/>
        <v>0-30</v>
      </c>
      <c r="L3659" s="11">
        <v>45383</v>
      </c>
      <c r="M3659" s="23">
        <f>YEAR(Таблица1[[#This Row],[Дата отчета]])</f>
        <v>2024</v>
      </c>
    </row>
    <row r="3660" spans="1:13" x14ac:dyDescent="0.25">
      <c r="A3660" t="s">
        <v>12</v>
      </c>
      <c r="B3660" t="s">
        <v>3597</v>
      </c>
      <c r="C3660" t="s">
        <v>3955</v>
      </c>
      <c r="D3660" t="s">
        <v>3973</v>
      </c>
      <c r="E3660" t="s">
        <v>3967</v>
      </c>
      <c r="F3660" s="20">
        <v>1221618.3</v>
      </c>
      <c r="I3660" s="11">
        <f t="shared" si="154"/>
        <v>45355</v>
      </c>
      <c r="J3660" s="12">
        <f t="shared" si="155"/>
        <v>28</v>
      </c>
      <c r="K3660" t="str">
        <f t="shared" si="156"/>
        <v>0-30</v>
      </c>
      <c r="L3660" s="11">
        <v>45383</v>
      </c>
      <c r="M3660" s="23">
        <f>YEAR(Таблица1[[#This Row],[Дата отчета]])</f>
        <v>2024</v>
      </c>
    </row>
    <row r="3661" spans="1:13" x14ac:dyDescent="0.25">
      <c r="A3661" t="s">
        <v>12</v>
      </c>
      <c r="B3661" t="s">
        <v>3597</v>
      </c>
      <c r="C3661" t="s">
        <v>3955</v>
      </c>
      <c r="D3661" t="s">
        <v>3974</v>
      </c>
      <c r="E3661" t="s">
        <v>3967</v>
      </c>
      <c r="F3661" s="20">
        <v>1225224</v>
      </c>
      <c r="I3661" s="11">
        <f t="shared" si="154"/>
        <v>45355</v>
      </c>
      <c r="J3661" s="12">
        <f t="shared" si="155"/>
        <v>28</v>
      </c>
      <c r="K3661" t="str">
        <f t="shared" si="156"/>
        <v>0-30</v>
      </c>
      <c r="L3661" s="11">
        <v>45383</v>
      </c>
      <c r="M3661" s="23">
        <f>YEAR(Таблица1[[#This Row],[Дата отчета]])</f>
        <v>2024</v>
      </c>
    </row>
    <row r="3662" spans="1:13" x14ac:dyDescent="0.25">
      <c r="A3662" t="s">
        <v>12</v>
      </c>
      <c r="B3662" t="s">
        <v>3597</v>
      </c>
      <c r="C3662" t="s">
        <v>3955</v>
      </c>
      <c r="D3662" t="s">
        <v>3975</v>
      </c>
      <c r="E3662" t="s">
        <v>3967</v>
      </c>
      <c r="F3662" s="20">
        <v>1228044.3</v>
      </c>
      <c r="I3662" s="11">
        <f t="shared" si="154"/>
        <v>45355</v>
      </c>
      <c r="J3662" s="12">
        <f t="shared" si="155"/>
        <v>28</v>
      </c>
      <c r="K3662" t="str">
        <f t="shared" si="156"/>
        <v>0-30</v>
      </c>
      <c r="L3662" s="11">
        <v>45383</v>
      </c>
      <c r="M3662" s="23">
        <f>YEAR(Таблица1[[#This Row],[Дата отчета]])</f>
        <v>2024</v>
      </c>
    </row>
    <row r="3663" spans="1:13" x14ac:dyDescent="0.25">
      <c r="A3663" t="s">
        <v>12</v>
      </c>
      <c r="B3663" t="s">
        <v>3597</v>
      </c>
      <c r="C3663" t="s">
        <v>3955</v>
      </c>
      <c r="D3663" t="s">
        <v>3976</v>
      </c>
      <c r="E3663" t="s">
        <v>3967</v>
      </c>
      <c r="F3663" s="20">
        <v>1228187.1000000001</v>
      </c>
      <c r="I3663" s="11">
        <f t="shared" si="154"/>
        <v>45355</v>
      </c>
      <c r="J3663" s="12">
        <f t="shared" si="155"/>
        <v>28</v>
      </c>
      <c r="K3663" t="str">
        <f t="shared" si="156"/>
        <v>0-30</v>
      </c>
      <c r="L3663" s="11">
        <v>45383</v>
      </c>
      <c r="M3663" s="23">
        <f>YEAR(Таблица1[[#This Row],[Дата отчета]])</f>
        <v>2024</v>
      </c>
    </row>
    <row r="3664" spans="1:13" x14ac:dyDescent="0.25">
      <c r="A3664" t="s">
        <v>12</v>
      </c>
      <c r="B3664" t="s">
        <v>3597</v>
      </c>
      <c r="C3664" t="s">
        <v>3955</v>
      </c>
      <c r="D3664" t="s">
        <v>3977</v>
      </c>
      <c r="E3664" t="s">
        <v>3967</v>
      </c>
      <c r="F3664" s="20">
        <v>1236398.1000000001</v>
      </c>
      <c r="I3664" s="11">
        <f t="shared" si="154"/>
        <v>45355</v>
      </c>
      <c r="J3664" s="12">
        <f t="shared" si="155"/>
        <v>28</v>
      </c>
      <c r="K3664" t="str">
        <f t="shared" si="156"/>
        <v>0-30</v>
      </c>
      <c r="L3664" s="11">
        <v>45383</v>
      </c>
      <c r="M3664" s="23">
        <f>YEAR(Таблица1[[#This Row],[Дата отчета]])</f>
        <v>2024</v>
      </c>
    </row>
    <row r="3665" spans="1:13" x14ac:dyDescent="0.25">
      <c r="A3665" t="s">
        <v>12</v>
      </c>
      <c r="B3665" t="s">
        <v>3597</v>
      </c>
      <c r="C3665" t="s">
        <v>3955</v>
      </c>
      <c r="D3665" t="s">
        <v>3978</v>
      </c>
      <c r="E3665" t="s">
        <v>3967</v>
      </c>
      <c r="F3665" s="20">
        <v>1241003.3999999999</v>
      </c>
      <c r="I3665" s="11">
        <f t="shared" si="154"/>
        <v>45355</v>
      </c>
      <c r="J3665" s="12">
        <f t="shared" si="155"/>
        <v>28</v>
      </c>
      <c r="K3665" t="str">
        <f t="shared" si="156"/>
        <v>0-30</v>
      </c>
      <c r="L3665" s="11">
        <v>45383</v>
      </c>
      <c r="M3665" s="23">
        <f>YEAR(Таблица1[[#This Row],[Дата отчета]])</f>
        <v>2024</v>
      </c>
    </row>
    <row r="3666" spans="1:13" x14ac:dyDescent="0.25">
      <c r="A3666" t="s">
        <v>12</v>
      </c>
      <c r="B3666" t="s">
        <v>3597</v>
      </c>
      <c r="C3666" t="s">
        <v>3955</v>
      </c>
      <c r="D3666" t="s">
        <v>3979</v>
      </c>
      <c r="E3666" t="s">
        <v>3967</v>
      </c>
      <c r="F3666" s="20">
        <v>1249500</v>
      </c>
      <c r="I3666" s="11">
        <f t="shared" si="154"/>
        <v>45355</v>
      </c>
      <c r="J3666" s="12">
        <f t="shared" si="155"/>
        <v>28</v>
      </c>
      <c r="K3666" t="str">
        <f t="shared" si="156"/>
        <v>0-30</v>
      </c>
      <c r="L3666" s="11">
        <v>45383</v>
      </c>
      <c r="M3666" s="23">
        <f>YEAR(Таблица1[[#This Row],[Дата отчета]])</f>
        <v>2024</v>
      </c>
    </row>
    <row r="3667" spans="1:13" x14ac:dyDescent="0.25">
      <c r="A3667" t="s">
        <v>12</v>
      </c>
      <c r="B3667" t="s">
        <v>3597</v>
      </c>
      <c r="C3667" t="s">
        <v>3955</v>
      </c>
      <c r="D3667" t="s">
        <v>3980</v>
      </c>
      <c r="E3667" t="s">
        <v>3967</v>
      </c>
      <c r="F3667" s="20">
        <v>1258068</v>
      </c>
      <c r="I3667" s="11">
        <f t="shared" si="154"/>
        <v>45355</v>
      </c>
      <c r="J3667" s="12">
        <f t="shared" si="155"/>
        <v>28</v>
      </c>
      <c r="K3667" t="str">
        <f t="shared" si="156"/>
        <v>0-30</v>
      </c>
      <c r="L3667" s="11">
        <v>45383</v>
      </c>
      <c r="M3667" s="23">
        <f>YEAR(Таблица1[[#This Row],[Дата отчета]])</f>
        <v>2024</v>
      </c>
    </row>
    <row r="3668" spans="1:13" x14ac:dyDescent="0.25">
      <c r="A3668" t="s">
        <v>12</v>
      </c>
      <c r="B3668" t="s">
        <v>3597</v>
      </c>
      <c r="C3668" t="s">
        <v>3955</v>
      </c>
      <c r="D3668" t="s">
        <v>3981</v>
      </c>
      <c r="E3668" t="s">
        <v>3967</v>
      </c>
      <c r="F3668" s="20">
        <v>1265779.2</v>
      </c>
      <c r="I3668" s="11">
        <f t="shared" si="154"/>
        <v>45355</v>
      </c>
      <c r="J3668" s="12">
        <f t="shared" si="155"/>
        <v>28</v>
      </c>
      <c r="K3668" t="str">
        <f t="shared" si="156"/>
        <v>0-30</v>
      </c>
      <c r="L3668" s="11">
        <v>45383</v>
      </c>
      <c r="M3668" s="23">
        <f>YEAR(Таблица1[[#This Row],[Дата отчета]])</f>
        <v>2024</v>
      </c>
    </row>
    <row r="3669" spans="1:13" x14ac:dyDescent="0.25">
      <c r="A3669" t="s">
        <v>12</v>
      </c>
      <c r="B3669" t="s">
        <v>3597</v>
      </c>
      <c r="C3669" t="s">
        <v>3955</v>
      </c>
      <c r="D3669" t="s">
        <v>3982</v>
      </c>
      <c r="E3669" t="s">
        <v>3026</v>
      </c>
      <c r="F3669" s="20">
        <v>1050547.05</v>
      </c>
      <c r="I3669" s="11">
        <f t="shared" si="154"/>
        <v>45356</v>
      </c>
      <c r="J3669" s="12">
        <f t="shared" si="155"/>
        <v>27</v>
      </c>
      <c r="K3669" t="str">
        <f t="shared" si="156"/>
        <v>0-30</v>
      </c>
      <c r="L3669" s="11">
        <v>45383</v>
      </c>
      <c r="M3669" s="23">
        <f>YEAR(Таблица1[[#This Row],[Дата отчета]])</f>
        <v>2024</v>
      </c>
    </row>
    <row r="3670" spans="1:13" x14ac:dyDescent="0.25">
      <c r="A3670" t="s">
        <v>12</v>
      </c>
      <c r="B3670" t="s">
        <v>3597</v>
      </c>
      <c r="C3670" t="s">
        <v>3955</v>
      </c>
      <c r="D3670" t="s">
        <v>3983</v>
      </c>
      <c r="E3670" t="s">
        <v>3026</v>
      </c>
      <c r="F3670" s="20">
        <v>1069489.58</v>
      </c>
      <c r="I3670" s="11">
        <f t="shared" si="154"/>
        <v>45356</v>
      </c>
      <c r="J3670" s="12">
        <f t="shared" si="155"/>
        <v>27</v>
      </c>
      <c r="K3670" t="str">
        <f t="shared" si="156"/>
        <v>0-30</v>
      </c>
      <c r="L3670" s="11">
        <v>45383</v>
      </c>
      <c r="M3670" s="23">
        <f>YEAR(Таблица1[[#This Row],[Дата отчета]])</f>
        <v>2024</v>
      </c>
    </row>
    <row r="3671" spans="1:13" x14ac:dyDescent="0.25">
      <c r="A3671" t="s">
        <v>12</v>
      </c>
      <c r="B3671" t="s">
        <v>3597</v>
      </c>
      <c r="C3671" t="s">
        <v>3955</v>
      </c>
      <c r="D3671" t="s">
        <v>3984</v>
      </c>
      <c r="E3671" t="s">
        <v>3292</v>
      </c>
      <c r="F3671" s="20">
        <v>1137402</v>
      </c>
      <c r="I3671" s="11">
        <f t="shared" si="154"/>
        <v>45358</v>
      </c>
      <c r="J3671" s="12">
        <f t="shared" si="155"/>
        <v>25</v>
      </c>
      <c r="K3671" t="str">
        <f t="shared" si="156"/>
        <v>0-30</v>
      </c>
      <c r="L3671" s="11">
        <v>45383</v>
      </c>
      <c r="M3671" s="23">
        <f>YEAR(Таблица1[[#This Row],[Дата отчета]])</f>
        <v>2024</v>
      </c>
    </row>
    <row r="3672" spans="1:13" x14ac:dyDescent="0.25">
      <c r="A3672" t="s">
        <v>12</v>
      </c>
      <c r="B3672" t="s">
        <v>3597</v>
      </c>
      <c r="C3672" t="s">
        <v>3955</v>
      </c>
      <c r="D3672" t="s">
        <v>3985</v>
      </c>
      <c r="E3672" t="s">
        <v>3292</v>
      </c>
      <c r="F3672" s="20">
        <v>1181241.6000000001</v>
      </c>
      <c r="I3672" s="11">
        <f t="shared" si="154"/>
        <v>45358</v>
      </c>
      <c r="J3672" s="12">
        <f t="shared" si="155"/>
        <v>25</v>
      </c>
      <c r="K3672" t="str">
        <f t="shared" si="156"/>
        <v>0-30</v>
      </c>
      <c r="L3672" s="11">
        <v>45383</v>
      </c>
      <c r="M3672" s="23">
        <f>YEAR(Таблица1[[#This Row],[Дата отчета]])</f>
        <v>2024</v>
      </c>
    </row>
    <row r="3673" spans="1:13" x14ac:dyDescent="0.25">
      <c r="A3673" t="s">
        <v>12</v>
      </c>
      <c r="B3673" t="s">
        <v>3597</v>
      </c>
      <c r="C3673" t="s">
        <v>3955</v>
      </c>
      <c r="D3673" t="s">
        <v>3986</v>
      </c>
      <c r="E3673" t="s">
        <v>3292</v>
      </c>
      <c r="F3673" s="20">
        <v>1244287.8</v>
      </c>
      <c r="I3673" s="11">
        <f t="shared" si="154"/>
        <v>45358</v>
      </c>
      <c r="J3673" s="12">
        <f t="shared" si="155"/>
        <v>25</v>
      </c>
      <c r="K3673" t="str">
        <f t="shared" si="156"/>
        <v>0-30</v>
      </c>
      <c r="L3673" s="11">
        <v>45383</v>
      </c>
      <c r="M3673" s="23">
        <f>YEAR(Таблица1[[#This Row],[Дата отчета]])</f>
        <v>2024</v>
      </c>
    </row>
    <row r="3674" spans="1:13" x14ac:dyDescent="0.25">
      <c r="A3674" t="s">
        <v>12</v>
      </c>
      <c r="B3674" t="s">
        <v>3597</v>
      </c>
      <c r="C3674" t="s">
        <v>3955</v>
      </c>
      <c r="D3674" t="s">
        <v>3987</v>
      </c>
      <c r="E3674" t="s">
        <v>3292</v>
      </c>
      <c r="F3674" s="20">
        <v>1252820.1000000001</v>
      </c>
      <c r="I3674" s="11">
        <f t="shared" si="154"/>
        <v>45358</v>
      </c>
      <c r="J3674" s="12">
        <f t="shared" si="155"/>
        <v>25</v>
      </c>
      <c r="K3674" t="str">
        <f t="shared" si="156"/>
        <v>0-30</v>
      </c>
      <c r="L3674" s="11">
        <v>45383</v>
      </c>
      <c r="M3674" s="23">
        <f>YEAR(Таблица1[[#This Row],[Дата отчета]])</f>
        <v>2024</v>
      </c>
    </row>
    <row r="3675" spans="1:13" x14ac:dyDescent="0.25">
      <c r="A3675" t="s">
        <v>12</v>
      </c>
      <c r="B3675" t="s">
        <v>3597</v>
      </c>
      <c r="C3675" t="s">
        <v>3955</v>
      </c>
      <c r="D3675" t="s">
        <v>3988</v>
      </c>
      <c r="E3675" t="s">
        <v>3448</v>
      </c>
      <c r="F3675" s="20">
        <v>266452.2</v>
      </c>
      <c r="I3675" s="11">
        <f t="shared" si="154"/>
        <v>45362</v>
      </c>
      <c r="J3675" s="12">
        <f t="shared" si="155"/>
        <v>21</v>
      </c>
      <c r="K3675" t="str">
        <f t="shared" si="156"/>
        <v>0-30</v>
      </c>
      <c r="L3675" s="11">
        <v>45383</v>
      </c>
      <c r="M3675" s="23">
        <f>YEAR(Таблица1[[#This Row],[Дата отчета]])</f>
        <v>2024</v>
      </c>
    </row>
    <row r="3676" spans="1:13" x14ac:dyDescent="0.25">
      <c r="A3676" t="s">
        <v>12</v>
      </c>
      <c r="B3676" t="s">
        <v>3597</v>
      </c>
      <c r="C3676" t="s">
        <v>3955</v>
      </c>
      <c r="D3676" t="s">
        <v>3989</v>
      </c>
      <c r="E3676" t="s">
        <v>3448</v>
      </c>
      <c r="F3676" s="20">
        <v>918989.4</v>
      </c>
      <c r="I3676" s="11">
        <f t="shared" si="154"/>
        <v>45362</v>
      </c>
      <c r="J3676" s="12">
        <f t="shared" si="155"/>
        <v>21</v>
      </c>
      <c r="K3676" t="str">
        <f t="shared" si="156"/>
        <v>0-30</v>
      </c>
      <c r="L3676" s="11">
        <v>45383</v>
      </c>
      <c r="M3676" s="23">
        <f>YEAR(Таблица1[[#This Row],[Дата отчета]])</f>
        <v>2024</v>
      </c>
    </row>
    <row r="3677" spans="1:13" x14ac:dyDescent="0.25">
      <c r="A3677" t="s">
        <v>12</v>
      </c>
      <c r="B3677" t="s">
        <v>3597</v>
      </c>
      <c r="C3677" t="s">
        <v>3955</v>
      </c>
      <c r="D3677" t="s">
        <v>3990</v>
      </c>
      <c r="E3677" t="s">
        <v>3448</v>
      </c>
      <c r="F3677" s="20">
        <v>1217548.5</v>
      </c>
      <c r="I3677" s="11">
        <f t="shared" si="154"/>
        <v>45362</v>
      </c>
      <c r="J3677" s="12">
        <f t="shared" si="155"/>
        <v>21</v>
      </c>
      <c r="K3677" t="str">
        <f t="shared" si="156"/>
        <v>0-30</v>
      </c>
      <c r="L3677" s="11">
        <v>45383</v>
      </c>
      <c r="M3677" s="23">
        <f>YEAR(Таблица1[[#This Row],[Дата отчета]])</f>
        <v>2024</v>
      </c>
    </row>
    <row r="3678" spans="1:13" x14ac:dyDescent="0.25">
      <c r="A3678" t="s">
        <v>12</v>
      </c>
      <c r="B3678" t="s">
        <v>3597</v>
      </c>
      <c r="C3678" t="s">
        <v>3955</v>
      </c>
      <c r="D3678" t="s">
        <v>3991</v>
      </c>
      <c r="E3678" t="s">
        <v>3448</v>
      </c>
      <c r="F3678" s="20">
        <v>1252106.1000000001</v>
      </c>
      <c r="I3678" s="11">
        <f t="shared" si="154"/>
        <v>45362</v>
      </c>
      <c r="J3678" s="12">
        <f t="shared" si="155"/>
        <v>21</v>
      </c>
      <c r="K3678" t="str">
        <f t="shared" si="156"/>
        <v>0-30</v>
      </c>
      <c r="L3678" s="11">
        <v>45383</v>
      </c>
      <c r="M3678" s="23">
        <f>YEAR(Таблица1[[#This Row],[Дата отчета]])</f>
        <v>2024</v>
      </c>
    </row>
    <row r="3679" spans="1:13" x14ac:dyDescent="0.25">
      <c r="A3679" t="s">
        <v>12</v>
      </c>
      <c r="B3679" t="s">
        <v>3597</v>
      </c>
      <c r="C3679" t="s">
        <v>3955</v>
      </c>
      <c r="D3679" t="s">
        <v>3992</v>
      </c>
      <c r="E3679" t="s">
        <v>3448</v>
      </c>
      <c r="F3679" s="20">
        <v>1294482</v>
      </c>
      <c r="I3679" s="11">
        <f t="shared" si="154"/>
        <v>45362</v>
      </c>
      <c r="J3679" s="12">
        <f t="shared" si="155"/>
        <v>21</v>
      </c>
      <c r="K3679" t="str">
        <f t="shared" si="156"/>
        <v>0-30</v>
      </c>
      <c r="L3679" s="11">
        <v>45383</v>
      </c>
      <c r="M3679" s="23">
        <f>YEAR(Таблица1[[#This Row],[Дата отчета]])</f>
        <v>2024</v>
      </c>
    </row>
    <row r="3680" spans="1:13" x14ac:dyDescent="0.25">
      <c r="A3680" t="s">
        <v>12</v>
      </c>
      <c r="B3680" t="s">
        <v>3597</v>
      </c>
      <c r="C3680" t="s">
        <v>3955</v>
      </c>
      <c r="D3680" t="s">
        <v>3993</v>
      </c>
      <c r="E3680" t="s">
        <v>3276</v>
      </c>
      <c r="F3680" s="20">
        <v>136368.23000000001</v>
      </c>
      <c r="I3680" s="11">
        <f t="shared" si="154"/>
        <v>45364</v>
      </c>
      <c r="J3680" s="12">
        <f t="shared" si="155"/>
        <v>19</v>
      </c>
      <c r="K3680" t="str">
        <f t="shared" si="156"/>
        <v>0-30</v>
      </c>
      <c r="L3680" s="11">
        <v>45383</v>
      </c>
      <c r="M3680" s="23">
        <f>YEAR(Таблица1[[#This Row],[Дата отчета]])</f>
        <v>2024</v>
      </c>
    </row>
    <row r="3681" spans="1:13" x14ac:dyDescent="0.25">
      <c r="A3681" t="s">
        <v>12</v>
      </c>
      <c r="B3681" t="s">
        <v>3597</v>
      </c>
      <c r="C3681" t="s">
        <v>3955</v>
      </c>
      <c r="D3681" t="s">
        <v>3994</v>
      </c>
      <c r="E3681" t="s">
        <v>3276</v>
      </c>
      <c r="F3681" s="20">
        <v>531946.80000000005</v>
      </c>
      <c r="I3681" s="11">
        <f t="shared" si="154"/>
        <v>45364</v>
      </c>
      <c r="J3681" s="12">
        <f t="shared" si="155"/>
        <v>19</v>
      </c>
      <c r="K3681" t="str">
        <f t="shared" si="156"/>
        <v>0-30</v>
      </c>
      <c r="L3681" s="11">
        <v>45383</v>
      </c>
      <c r="M3681" s="23">
        <f>YEAR(Таблица1[[#This Row],[Дата отчета]])</f>
        <v>2024</v>
      </c>
    </row>
    <row r="3682" spans="1:13" x14ac:dyDescent="0.25">
      <c r="A3682" t="s">
        <v>12</v>
      </c>
      <c r="B3682" t="s">
        <v>3597</v>
      </c>
      <c r="C3682" t="s">
        <v>3955</v>
      </c>
      <c r="D3682" t="s">
        <v>3995</v>
      </c>
      <c r="E3682" t="s">
        <v>3276</v>
      </c>
      <c r="F3682" s="20">
        <v>671802.6</v>
      </c>
      <c r="I3682" s="11">
        <f t="shared" si="154"/>
        <v>45364</v>
      </c>
      <c r="J3682" s="12">
        <f t="shared" si="155"/>
        <v>19</v>
      </c>
      <c r="K3682" t="str">
        <f t="shared" si="156"/>
        <v>0-30</v>
      </c>
      <c r="L3682" s="11">
        <v>45383</v>
      </c>
      <c r="M3682" s="23">
        <f>YEAR(Таблица1[[#This Row],[Дата отчета]])</f>
        <v>2024</v>
      </c>
    </row>
    <row r="3683" spans="1:13" x14ac:dyDescent="0.25">
      <c r="A3683" t="s">
        <v>12</v>
      </c>
      <c r="B3683" t="s">
        <v>3597</v>
      </c>
      <c r="C3683" t="s">
        <v>3955</v>
      </c>
      <c r="D3683" t="s">
        <v>3996</v>
      </c>
      <c r="E3683" t="s">
        <v>3276</v>
      </c>
      <c r="F3683" s="20">
        <v>1004731.88</v>
      </c>
      <c r="I3683" s="11">
        <f t="shared" si="154"/>
        <v>45364</v>
      </c>
      <c r="J3683" s="12">
        <f t="shared" si="155"/>
        <v>19</v>
      </c>
      <c r="K3683" t="str">
        <f t="shared" si="156"/>
        <v>0-30</v>
      </c>
      <c r="L3683" s="11">
        <v>45383</v>
      </c>
      <c r="M3683" s="23">
        <f>YEAR(Таблица1[[#This Row],[Дата отчета]])</f>
        <v>2024</v>
      </c>
    </row>
    <row r="3684" spans="1:13" x14ac:dyDescent="0.25">
      <c r="A3684" t="s">
        <v>12</v>
      </c>
      <c r="B3684" t="s">
        <v>3597</v>
      </c>
      <c r="C3684" t="s">
        <v>3955</v>
      </c>
      <c r="D3684" t="s">
        <v>3997</v>
      </c>
      <c r="E3684" t="s">
        <v>3276</v>
      </c>
      <c r="F3684" s="20">
        <v>1032336.9</v>
      </c>
      <c r="I3684" s="11">
        <f t="shared" si="154"/>
        <v>45364</v>
      </c>
      <c r="J3684" s="12">
        <f t="shared" si="155"/>
        <v>19</v>
      </c>
      <c r="K3684" t="str">
        <f t="shared" si="156"/>
        <v>0-30</v>
      </c>
      <c r="L3684" s="11">
        <v>45383</v>
      </c>
      <c r="M3684" s="23">
        <f>YEAR(Таблица1[[#This Row],[Дата отчета]])</f>
        <v>2024</v>
      </c>
    </row>
    <row r="3685" spans="1:13" x14ac:dyDescent="0.25">
      <c r="A3685" t="s">
        <v>12</v>
      </c>
      <c r="B3685" t="s">
        <v>3597</v>
      </c>
      <c r="C3685" t="s">
        <v>3955</v>
      </c>
      <c r="D3685" t="s">
        <v>3998</v>
      </c>
      <c r="E3685" t="s">
        <v>3276</v>
      </c>
      <c r="F3685" s="20">
        <v>1051444.8</v>
      </c>
      <c r="I3685" s="11">
        <f t="shared" si="154"/>
        <v>45364</v>
      </c>
      <c r="J3685" s="12">
        <f t="shared" si="155"/>
        <v>19</v>
      </c>
      <c r="K3685" t="str">
        <f t="shared" si="156"/>
        <v>0-30</v>
      </c>
      <c r="L3685" s="11">
        <v>45383</v>
      </c>
      <c r="M3685" s="23">
        <f>YEAR(Таблица1[[#This Row],[Дата отчета]])</f>
        <v>2024</v>
      </c>
    </row>
    <row r="3686" spans="1:13" x14ac:dyDescent="0.25">
      <c r="A3686" t="s">
        <v>12</v>
      </c>
      <c r="B3686" t="s">
        <v>3597</v>
      </c>
      <c r="C3686" t="s">
        <v>3955</v>
      </c>
      <c r="D3686" t="s">
        <v>3999</v>
      </c>
      <c r="E3686" t="s">
        <v>3276</v>
      </c>
      <c r="F3686" s="20">
        <v>1054467.23</v>
      </c>
      <c r="I3686" s="11">
        <f t="shared" si="154"/>
        <v>45364</v>
      </c>
      <c r="J3686" s="12">
        <f t="shared" si="155"/>
        <v>19</v>
      </c>
      <c r="K3686" t="str">
        <f t="shared" si="156"/>
        <v>0-30</v>
      </c>
      <c r="L3686" s="11">
        <v>45383</v>
      </c>
      <c r="M3686" s="23">
        <f>YEAR(Таблица1[[#This Row],[Дата отчета]])</f>
        <v>2024</v>
      </c>
    </row>
    <row r="3687" spans="1:13" x14ac:dyDescent="0.25">
      <c r="A3687" t="s">
        <v>12</v>
      </c>
      <c r="B3687" t="s">
        <v>3597</v>
      </c>
      <c r="C3687" t="s">
        <v>3955</v>
      </c>
      <c r="D3687" t="s">
        <v>4000</v>
      </c>
      <c r="E3687" t="s">
        <v>3276</v>
      </c>
      <c r="F3687" s="20">
        <v>1068771.3799999999</v>
      </c>
      <c r="I3687" s="11">
        <f t="shared" si="154"/>
        <v>45364</v>
      </c>
      <c r="J3687" s="12">
        <f t="shared" si="155"/>
        <v>19</v>
      </c>
      <c r="K3687" t="str">
        <f t="shared" si="156"/>
        <v>0-30</v>
      </c>
      <c r="L3687" s="11">
        <v>45383</v>
      </c>
      <c r="M3687" s="23">
        <f>YEAR(Таблица1[[#This Row],[Дата отчета]])</f>
        <v>2024</v>
      </c>
    </row>
    <row r="3688" spans="1:13" x14ac:dyDescent="0.25">
      <c r="A3688" t="s">
        <v>12</v>
      </c>
      <c r="B3688" t="s">
        <v>3597</v>
      </c>
      <c r="C3688" t="s">
        <v>3955</v>
      </c>
      <c r="D3688" t="s">
        <v>4001</v>
      </c>
      <c r="E3688" t="s">
        <v>3276</v>
      </c>
      <c r="F3688" s="20">
        <v>1087136.3999999999</v>
      </c>
      <c r="I3688" s="11">
        <f t="shared" ref="I3688:I3751" si="157">E3688*1</f>
        <v>45364</v>
      </c>
      <c r="J3688" s="12">
        <f t="shared" ref="J3688:J3751" si="158">L3688-I3688</f>
        <v>19</v>
      </c>
      <c r="K3688" t="str">
        <f t="shared" si="156"/>
        <v>0-30</v>
      </c>
      <c r="L3688" s="11">
        <v>45383</v>
      </c>
      <c r="M3688" s="23">
        <f>YEAR(Таблица1[[#This Row],[Дата отчета]])</f>
        <v>2024</v>
      </c>
    </row>
    <row r="3689" spans="1:13" x14ac:dyDescent="0.25">
      <c r="A3689" t="s">
        <v>12</v>
      </c>
      <c r="B3689" t="s">
        <v>3597</v>
      </c>
      <c r="C3689" t="s">
        <v>3955</v>
      </c>
      <c r="D3689" t="s">
        <v>4002</v>
      </c>
      <c r="E3689" t="s">
        <v>3276</v>
      </c>
      <c r="F3689" s="20">
        <v>1210801.2</v>
      </c>
      <c r="I3689" s="11">
        <f t="shared" si="157"/>
        <v>45364</v>
      </c>
      <c r="J3689" s="12">
        <f t="shared" si="158"/>
        <v>19</v>
      </c>
      <c r="K3689" t="str">
        <f t="shared" si="156"/>
        <v>0-30</v>
      </c>
      <c r="L3689" s="11">
        <v>45383</v>
      </c>
      <c r="M3689" s="23">
        <f>YEAR(Таблица1[[#This Row],[Дата отчета]])</f>
        <v>2024</v>
      </c>
    </row>
    <row r="3690" spans="1:13" x14ac:dyDescent="0.25">
      <c r="A3690" t="s">
        <v>12</v>
      </c>
      <c r="B3690" t="s">
        <v>3597</v>
      </c>
      <c r="C3690" t="s">
        <v>3955</v>
      </c>
      <c r="D3690" t="s">
        <v>4003</v>
      </c>
      <c r="E3690" t="s">
        <v>3276</v>
      </c>
      <c r="F3690" s="20">
        <v>1221618.3</v>
      </c>
      <c r="I3690" s="11">
        <f t="shared" si="157"/>
        <v>45364</v>
      </c>
      <c r="J3690" s="12">
        <f t="shared" si="158"/>
        <v>19</v>
      </c>
      <c r="K3690" t="str">
        <f t="shared" si="156"/>
        <v>0-30</v>
      </c>
      <c r="L3690" s="11">
        <v>45383</v>
      </c>
      <c r="M3690" s="23">
        <f>YEAR(Таблица1[[#This Row],[Дата отчета]])</f>
        <v>2024</v>
      </c>
    </row>
    <row r="3691" spans="1:13" x14ac:dyDescent="0.25">
      <c r="A3691" t="s">
        <v>12</v>
      </c>
      <c r="B3691" t="s">
        <v>3597</v>
      </c>
      <c r="C3691" t="s">
        <v>3955</v>
      </c>
      <c r="D3691" t="s">
        <v>4004</v>
      </c>
      <c r="E3691" t="s">
        <v>3276</v>
      </c>
      <c r="F3691" s="20">
        <v>1223974.5</v>
      </c>
      <c r="I3691" s="11">
        <f t="shared" si="157"/>
        <v>45364</v>
      </c>
      <c r="J3691" s="12">
        <f t="shared" si="158"/>
        <v>19</v>
      </c>
      <c r="K3691" t="str">
        <f t="shared" si="156"/>
        <v>0-30</v>
      </c>
      <c r="L3691" s="11">
        <v>45383</v>
      </c>
      <c r="M3691" s="23">
        <f>YEAR(Таблица1[[#This Row],[Дата отчета]])</f>
        <v>2024</v>
      </c>
    </row>
    <row r="3692" spans="1:13" x14ac:dyDescent="0.25">
      <c r="A3692" t="s">
        <v>12</v>
      </c>
      <c r="B3692" t="s">
        <v>3597</v>
      </c>
      <c r="C3692" t="s">
        <v>3955</v>
      </c>
      <c r="D3692" t="s">
        <v>4005</v>
      </c>
      <c r="E3692" t="s">
        <v>3276</v>
      </c>
      <c r="F3692" s="20">
        <v>1229293.8</v>
      </c>
      <c r="I3692" s="11">
        <f t="shared" si="157"/>
        <v>45364</v>
      </c>
      <c r="J3692" s="12">
        <f t="shared" si="158"/>
        <v>19</v>
      </c>
      <c r="K3692" t="str">
        <f t="shared" si="156"/>
        <v>0-30</v>
      </c>
      <c r="L3692" s="11">
        <v>45383</v>
      </c>
      <c r="M3692" s="23">
        <f>YEAR(Таблица1[[#This Row],[Дата отчета]])</f>
        <v>2024</v>
      </c>
    </row>
    <row r="3693" spans="1:13" x14ac:dyDescent="0.25">
      <c r="A3693" t="s">
        <v>12</v>
      </c>
      <c r="B3693" t="s">
        <v>3597</v>
      </c>
      <c r="C3693" t="s">
        <v>3955</v>
      </c>
      <c r="D3693" t="s">
        <v>4006</v>
      </c>
      <c r="E3693" t="s">
        <v>3276</v>
      </c>
      <c r="F3693" s="20">
        <v>1282843.8</v>
      </c>
      <c r="I3693" s="11">
        <f t="shared" si="157"/>
        <v>45364</v>
      </c>
      <c r="J3693" s="12">
        <f t="shared" si="158"/>
        <v>19</v>
      </c>
      <c r="K3693" t="str">
        <f t="shared" si="156"/>
        <v>0-30</v>
      </c>
      <c r="L3693" s="11">
        <v>45383</v>
      </c>
      <c r="M3693" s="23">
        <f>YEAR(Таблица1[[#This Row],[Дата отчета]])</f>
        <v>2024</v>
      </c>
    </row>
    <row r="3694" spans="1:13" x14ac:dyDescent="0.25">
      <c r="A3694" t="s">
        <v>12</v>
      </c>
      <c r="B3694" t="s">
        <v>3597</v>
      </c>
      <c r="C3694" t="s">
        <v>3955</v>
      </c>
      <c r="D3694" t="s">
        <v>4007</v>
      </c>
      <c r="E3694" t="s">
        <v>3816</v>
      </c>
      <c r="F3694" s="20">
        <v>1205696.1000000001</v>
      </c>
      <c r="I3694" s="11">
        <f t="shared" si="157"/>
        <v>45366</v>
      </c>
      <c r="J3694" s="12">
        <f t="shared" si="158"/>
        <v>17</v>
      </c>
      <c r="K3694" t="str">
        <f t="shared" si="156"/>
        <v>0-30</v>
      </c>
      <c r="L3694" s="11">
        <v>45383</v>
      </c>
      <c r="M3694" s="23">
        <f>YEAR(Таблица1[[#This Row],[Дата отчета]])</f>
        <v>2024</v>
      </c>
    </row>
    <row r="3695" spans="1:13" x14ac:dyDescent="0.25">
      <c r="A3695" t="s">
        <v>12</v>
      </c>
      <c r="B3695" t="s">
        <v>3597</v>
      </c>
      <c r="C3695" t="s">
        <v>3955</v>
      </c>
      <c r="D3695" t="s">
        <v>4008</v>
      </c>
      <c r="E3695" t="s">
        <v>3816</v>
      </c>
      <c r="F3695" s="20">
        <v>1226616.3</v>
      </c>
      <c r="I3695" s="11">
        <f t="shared" si="157"/>
        <v>45366</v>
      </c>
      <c r="J3695" s="12">
        <f t="shared" si="158"/>
        <v>17</v>
      </c>
      <c r="K3695" t="str">
        <f t="shared" si="156"/>
        <v>0-30</v>
      </c>
      <c r="L3695" s="11">
        <v>45383</v>
      </c>
      <c r="M3695" s="23">
        <f>YEAR(Таблица1[[#This Row],[Дата отчета]])</f>
        <v>2024</v>
      </c>
    </row>
    <row r="3696" spans="1:13" x14ac:dyDescent="0.25">
      <c r="A3696" t="s">
        <v>12</v>
      </c>
      <c r="B3696" t="s">
        <v>3597</v>
      </c>
      <c r="C3696" t="s">
        <v>3955</v>
      </c>
      <c r="D3696" t="s">
        <v>4009</v>
      </c>
      <c r="E3696" t="s">
        <v>3453</v>
      </c>
      <c r="F3696" s="20">
        <v>456206.63</v>
      </c>
      <c r="I3696" s="11">
        <f t="shared" si="157"/>
        <v>45369</v>
      </c>
      <c r="J3696" s="12">
        <f t="shared" si="158"/>
        <v>14</v>
      </c>
      <c r="K3696" t="str">
        <f t="shared" si="156"/>
        <v>0-30</v>
      </c>
      <c r="L3696" s="11">
        <v>45383</v>
      </c>
      <c r="M3696" s="23">
        <f>YEAR(Таблица1[[#This Row],[Дата отчета]])</f>
        <v>2024</v>
      </c>
    </row>
    <row r="3697" spans="1:13" x14ac:dyDescent="0.25">
      <c r="A3697" t="s">
        <v>12</v>
      </c>
      <c r="B3697" t="s">
        <v>3597</v>
      </c>
      <c r="C3697" t="s">
        <v>3955</v>
      </c>
      <c r="D3697" t="s">
        <v>4010</v>
      </c>
      <c r="E3697" t="s">
        <v>3453</v>
      </c>
      <c r="F3697" s="20">
        <v>645348.9</v>
      </c>
      <c r="I3697" s="11">
        <f t="shared" si="157"/>
        <v>45369</v>
      </c>
      <c r="J3697" s="12">
        <f t="shared" si="158"/>
        <v>14</v>
      </c>
      <c r="K3697" t="str">
        <f t="shared" si="156"/>
        <v>0-30</v>
      </c>
      <c r="L3697" s="11">
        <v>45383</v>
      </c>
      <c r="M3697" s="23">
        <f>YEAR(Таблица1[[#This Row],[Дата отчета]])</f>
        <v>2024</v>
      </c>
    </row>
    <row r="3698" spans="1:13" x14ac:dyDescent="0.25">
      <c r="A3698" t="s">
        <v>12</v>
      </c>
      <c r="B3698" t="s">
        <v>3597</v>
      </c>
      <c r="C3698" t="s">
        <v>3955</v>
      </c>
      <c r="D3698" t="s">
        <v>4011</v>
      </c>
      <c r="E3698" t="s">
        <v>3453</v>
      </c>
      <c r="F3698" s="20">
        <v>1245680.1000000001</v>
      </c>
      <c r="I3698" s="11">
        <f t="shared" si="157"/>
        <v>45369</v>
      </c>
      <c r="J3698" s="12">
        <f t="shared" si="158"/>
        <v>14</v>
      </c>
      <c r="K3698" t="str">
        <f t="shared" si="156"/>
        <v>0-30</v>
      </c>
      <c r="L3698" s="11">
        <v>45383</v>
      </c>
      <c r="M3698" s="23">
        <f>YEAR(Таблица1[[#This Row],[Дата отчета]])</f>
        <v>2024</v>
      </c>
    </row>
    <row r="3699" spans="1:13" x14ac:dyDescent="0.25">
      <c r="A3699" t="s">
        <v>12</v>
      </c>
      <c r="B3699" t="s">
        <v>3597</v>
      </c>
      <c r="C3699" t="s">
        <v>3955</v>
      </c>
      <c r="D3699" t="s">
        <v>4012</v>
      </c>
      <c r="E3699" t="s">
        <v>3357</v>
      </c>
      <c r="F3699" s="20">
        <v>1007754.3</v>
      </c>
      <c r="I3699" s="11">
        <f t="shared" si="157"/>
        <v>45370</v>
      </c>
      <c r="J3699" s="12">
        <f t="shared" si="158"/>
        <v>13</v>
      </c>
      <c r="K3699" t="str">
        <f t="shared" si="156"/>
        <v>0-30</v>
      </c>
      <c r="L3699" s="11">
        <v>45383</v>
      </c>
      <c r="M3699" s="23">
        <f>YEAR(Таблица1[[#This Row],[Дата отчета]])</f>
        <v>2024</v>
      </c>
    </row>
    <row r="3700" spans="1:13" x14ac:dyDescent="0.25">
      <c r="A3700" t="s">
        <v>12</v>
      </c>
      <c r="B3700" t="s">
        <v>3597</v>
      </c>
      <c r="C3700" t="s">
        <v>3955</v>
      </c>
      <c r="D3700" t="s">
        <v>4013</v>
      </c>
      <c r="E3700" t="s">
        <v>3357</v>
      </c>
      <c r="F3700" s="20">
        <v>1049200.43</v>
      </c>
      <c r="I3700" s="11">
        <f t="shared" si="157"/>
        <v>45370</v>
      </c>
      <c r="J3700" s="12">
        <f t="shared" si="158"/>
        <v>13</v>
      </c>
      <c r="K3700" t="str">
        <f t="shared" si="156"/>
        <v>0-30</v>
      </c>
      <c r="L3700" s="11">
        <v>45383</v>
      </c>
      <c r="M3700" s="23">
        <f>YEAR(Таблица1[[#This Row],[Дата отчета]])</f>
        <v>2024</v>
      </c>
    </row>
    <row r="3701" spans="1:13" x14ac:dyDescent="0.25">
      <c r="A3701" t="s">
        <v>12</v>
      </c>
      <c r="B3701" t="s">
        <v>3597</v>
      </c>
      <c r="C3701" t="s">
        <v>3955</v>
      </c>
      <c r="D3701" t="s">
        <v>4014</v>
      </c>
      <c r="E3701" t="s">
        <v>3357</v>
      </c>
      <c r="F3701" s="20">
        <v>1050756.53</v>
      </c>
      <c r="I3701" s="11">
        <f t="shared" si="157"/>
        <v>45370</v>
      </c>
      <c r="J3701" s="12">
        <f t="shared" si="158"/>
        <v>13</v>
      </c>
      <c r="K3701" t="str">
        <f t="shared" si="156"/>
        <v>0-30</v>
      </c>
      <c r="L3701" s="11">
        <v>45383</v>
      </c>
      <c r="M3701" s="23">
        <f>YEAR(Таблица1[[#This Row],[Дата отчета]])</f>
        <v>2024</v>
      </c>
    </row>
    <row r="3702" spans="1:13" x14ac:dyDescent="0.25">
      <c r="A3702" t="s">
        <v>12</v>
      </c>
      <c r="B3702" t="s">
        <v>3597</v>
      </c>
      <c r="C3702" t="s">
        <v>3955</v>
      </c>
      <c r="D3702" t="s">
        <v>4015</v>
      </c>
      <c r="E3702" t="s">
        <v>3357</v>
      </c>
      <c r="F3702" s="20">
        <v>1053988.43</v>
      </c>
      <c r="I3702" s="11">
        <f t="shared" si="157"/>
        <v>45370</v>
      </c>
      <c r="J3702" s="12">
        <f t="shared" si="158"/>
        <v>13</v>
      </c>
      <c r="K3702" t="str">
        <f t="shared" si="156"/>
        <v>0-30</v>
      </c>
      <c r="L3702" s="11">
        <v>45383</v>
      </c>
      <c r="M3702" s="23">
        <f>YEAR(Таблица1[[#This Row],[Дата отчета]])</f>
        <v>2024</v>
      </c>
    </row>
    <row r="3703" spans="1:13" x14ac:dyDescent="0.25">
      <c r="A3703" t="s">
        <v>12</v>
      </c>
      <c r="B3703" t="s">
        <v>3597</v>
      </c>
      <c r="C3703" t="s">
        <v>3955</v>
      </c>
      <c r="D3703" t="s">
        <v>4016</v>
      </c>
      <c r="E3703" t="s">
        <v>3357</v>
      </c>
      <c r="F3703" s="20">
        <v>1120961.25</v>
      </c>
      <c r="I3703" s="11">
        <f t="shared" si="157"/>
        <v>45370</v>
      </c>
      <c r="J3703" s="12">
        <f t="shared" si="158"/>
        <v>13</v>
      </c>
      <c r="K3703" t="str">
        <f t="shared" si="156"/>
        <v>0-30</v>
      </c>
      <c r="L3703" s="11">
        <v>45383</v>
      </c>
      <c r="M3703" s="23">
        <f>YEAR(Таблица1[[#This Row],[Дата отчета]])</f>
        <v>2024</v>
      </c>
    </row>
    <row r="3704" spans="1:13" x14ac:dyDescent="0.25">
      <c r="A3704" t="s">
        <v>12</v>
      </c>
      <c r="B3704" t="s">
        <v>3597</v>
      </c>
      <c r="C3704" t="s">
        <v>3955</v>
      </c>
      <c r="D3704" t="s">
        <v>4017</v>
      </c>
      <c r="E3704" t="s">
        <v>3802</v>
      </c>
      <c r="F3704" s="20">
        <v>1057639.28</v>
      </c>
      <c r="I3704" s="11">
        <f t="shared" si="157"/>
        <v>45371</v>
      </c>
      <c r="J3704" s="12">
        <f t="shared" si="158"/>
        <v>12</v>
      </c>
      <c r="K3704" t="str">
        <f t="shared" si="156"/>
        <v>0-30</v>
      </c>
      <c r="L3704" s="11">
        <v>45383</v>
      </c>
      <c r="M3704" s="23">
        <f>YEAR(Таблица1[[#This Row],[Дата отчета]])</f>
        <v>2024</v>
      </c>
    </row>
    <row r="3705" spans="1:13" x14ac:dyDescent="0.25">
      <c r="A3705" t="s">
        <v>12</v>
      </c>
      <c r="B3705" t="s">
        <v>3597</v>
      </c>
      <c r="C3705" t="s">
        <v>3955</v>
      </c>
      <c r="D3705" t="s">
        <v>4018</v>
      </c>
      <c r="E3705" t="s">
        <v>3875</v>
      </c>
      <c r="F3705" s="20">
        <v>1033250.4</v>
      </c>
      <c r="I3705" s="11">
        <f t="shared" si="157"/>
        <v>45373</v>
      </c>
      <c r="J3705" s="12">
        <f t="shared" si="158"/>
        <v>10</v>
      </c>
      <c r="K3705" t="str">
        <f t="shared" si="156"/>
        <v>0-30</v>
      </c>
      <c r="L3705" s="11">
        <v>45383</v>
      </c>
      <c r="M3705" s="23">
        <f>YEAR(Таблица1[[#This Row],[Дата отчета]])</f>
        <v>2024</v>
      </c>
    </row>
    <row r="3706" spans="1:13" x14ac:dyDescent="0.25">
      <c r="A3706" t="s">
        <v>12</v>
      </c>
      <c r="B3706" t="s">
        <v>3597</v>
      </c>
      <c r="C3706" t="s">
        <v>3955</v>
      </c>
      <c r="D3706" t="s">
        <v>4019</v>
      </c>
      <c r="E3706" t="s">
        <v>3875</v>
      </c>
      <c r="F3706" s="20">
        <v>1044472.28</v>
      </c>
      <c r="I3706" s="11">
        <f t="shared" si="157"/>
        <v>45373</v>
      </c>
      <c r="J3706" s="12">
        <f t="shared" si="158"/>
        <v>10</v>
      </c>
      <c r="K3706" t="str">
        <f t="shared" si="156"/>
        <v>0-30</v>
      </c>
      <c r="L3706" s="11">
        <v>45383</v>
      </c>
      <c r="M3706" s="23">
        <f>YEAR(Таблица1[[#This Row],[Дата отчета]])</f>
        <v>2024</v>
      </c>
    </row>
    <row r="3707" spans="1:13" x14ac:dyDescent="0.25">
      <c r="A3707" t="s">
        <v>12</v>
      </c>
      <c r="B3707" t="s">
        <v>3597</v>
      </c>
      <c r="C3707" t="s">
        <v>3955</v>
      </c>
      <c r="D3707" t="s">
        <v>4020</v>
      </c>
      <c r="E3707" t="s">
        <v>2965</v>
      </c>
      <c r="F3707" s="20">
        <v>370494.6</v>
      </c>
      <c r="I3707" s="11">
        <f t="shared" si="157"/>
        <v>45377</v>
      </c>
      <c r="J3707" s="12">
        <f t="shared" si="158"/>
        <v>6</v>
      </c>
      <c r="K3707" t="str">
        <f t="shared" si="156"/>
        <v>0-30</v>
      </c>
      <c r="L3707" s="11">
        <v>45383</v>
      </c>
      <c r="M3707" s="23">
        <f>YEAR(Таблица1[[#This Row],[Дата отчета]])</f>
        <v>2024</v>
      </c>
    </row>
    <row r="3708" spans="1:13" x14ac:dyDescent="0.25">
      <c r="A3708" t="s">
        <v>12</v>
      </c>
      <c r="B3708" t="s">
        <v>3597</v>
      </c>
      <c r="C3708" t="s">
        <v>3955</v>
      </c>
      <c r="D3708" t="s">
        <v>4021</v>
      </c>
      <c r="E3708" t="s">
        <v>2965</v>
      </c>
      <c r="F3708" s="20">
        <v>1035105.75</v>
      </c>
      <c r="I3708" s="11">
        <f t="shared" si="157"/>
        <v>45377</v>
      </c>
      <c r="J3708" s="12">
        <f t="shared" si="158"/>
        <v>6</v>
      </c>
      <c r="K3708" t="str">
        <f t="shared" si="156"/>
        <v>0-30</v>
      </c>
      <c r="L3708" s="11">
        <v>45383</v>
      </c>
      <c r="M3708" s="23">
        <f>YEAR(Таблица1[[#This Row],[Дата отчета]])</f>
        <v>2024</v>
      </c>
    </row>
    <row r="3709" spans="1:13" x14ac:dyDescent="0.25">
      <c r="A3709" t="s">
        <v>12</v>
      </c>
      <c r="B3709" t="s">
        <v>3597</v>
      </c>
      <c r="C3709" t="s">
        <v>3955</v>
      </c>
      <c r="D3709" t="s">
        <v>4022</v>
      </c>
      <c r="E3709" t="s">
        <v>2965</v>
      </c>
      <c r="F3709" s="20">
        <v>1051534.58</v>
      </c>
      <c r="I3709" s="11">
        <f t="shared" si="157"/>
        <v>45377</v>
      </c>
      <c r="J3709" s="12">
        <f t="shared" si="158"/>
        <v>6</v>
      </c>
      <c r="K3709" t="str">
        <f t="shared" si="156"/>
        <v>0-30</v>
      </c>
      <c r="L3709" s="11">
        <v>45383</v>
      </c>
      <c r="M3709" s="23">
        <f>YEAR(Таблица1[[#This Row],[Дата отчета]])</f>
        <v>2024</v>
      </c>
    </row>
    <row r="3710" spans="1:13" x14ac:dyDescent="0.25">
      <c r="A3710" t="s">
        <v>12</v>
      </c>
      <c r="B3710" t="s">
        <v>3597</v>
      </c>
      <c r="C3710" t="s">
        <v>3955</v>
      </c>
      <c r="D3710" t="s">
        <v>4023</v>
      </c>
      <c r="E3710" t="s">
        <v>2965</v>
      </c>
      <c r="F3710" s="20">
        <v>1053210.3799999999</v>
      </c>
      <c r="I3710" s="11">
        <f t="shared" si="157"/>
        <v>45377</v>
      </c>
      <c r="J3710" s="12">
        <f t="shared" si="158"/>
        <v>6</v>
      </c>
      <c r="K3710" t="str">
        <f t="shared" si="156"/>
        <v>0-30</v>
      </c>
      <c r="L3710" s="11">
        <v>45383</v>
      </c>
      <c r="M3710" s="23">
        <f>YEAR(Таблица1[[#This Row],[Дата отчета]])</f>
        <v>2024</v>
      </c>
    </row>
    <row r="3711" spans="1:13" x14ac:dyDescent="0.25">
      <c r="A3711" t="s">
        <v>12</v>
      </c>
      <c r="B3711" t="s">
        <v>3597</v>
      </c>
      <c r="C3711" t="s">
        <v>3955</v>
      </c>
      <c r="D3711" t="s">
        <v>4024</v>
      </c>
      <c r="E3711" t="s">
        <v>2965</v>
      </c>
      <c r="F3711" s="20">
        <v>1195378.8</v>
      </c>
      <c r="I3711" s="11">
        <f t="shared" si="157"/>
        <v>45377</v>
      </c>
      <c r="J3711" s="12">
        <f t="shared" si="158"/>
        <v>6</v>
      </c>
      <c r="K3711" t="str">
        <f t="shared" ref="K3711:K3774" si="159">IF(J3711&lt;=30,"0-30",IF(J3711&lt;=90,"31-90",IF(J3711&lt;=120,"91-120",IF(J3711&lt;=180,"121-180",IF(J3711&lt;=270,"181-270",IF(J3711&lt;=360,"271-360","&gt;360"))))))</f>
        <v>0-30</v>
      </c>
      <c r="L3711" s="11">
        <v>45383</v>
      </c>
      <c r="M3711" s="23">
        <f>YEAR(Таблица1[[#This Row],[Дата отчета]])</f>
        <v>2024</v>
      </c>
    </row>
    <row r="3712" spans="1:13" x14ac:dyDescent="0.25">
      <c r="A3712" t="s">
        <v>12</v>
      </c>
      <c r="B3712" t="s">
        <v>3597</v>
      </c>
      <c r="C3712" t="s">
        <v>3955</v>
      </c>
      <c r="D3712" t="s">
        <v>4025</v>
      </c>
      <c r="E3712" t="s">
        <v>2965</v>
      </c>
      <c r="F3712" s="20">
        <v>1220261.7</v>
      </c>
      <c r="I3712" s="11">
        <f t="shared" si="157"/>
        <v>45377</v>
      </c>
      <c r="J3712" s="12">
        <f t="shared" si="158"/>
        <v>6</v>
      </c>
      <c r="K3712" t="str">
        <f t="shared" si="159"/>
        <v>0-30</v>
      </c>
      <c r="L3712" s="11">
        <v>45383</v>
      </c>
      <c r="M3712" s="23">
        <f>YEAR(Таблица1[[#This Row],[Дата отчета]])</f>
        <v>2024</v>
      </c>
    </row>
    <row r="3713" spans="1:13" x14ac:dyDescent="0.25">
      <c r="A3713" t="s">
        <v>12</v>
      </c>
      <c r="B3713" t="s">
        <v>3597</v>
      </c>
      <c r="C3713" t="s">
        <v>3955</v>
      </c>
      <c r="D3713" t="s">
        <v>4026</v>
      </c>
      <c r="E3713" t="s">
        <v>2965</v>
      </c>
      <c r="F3713" s="20">
        <v>1243930.8</v>
      </c>
      <c r="I3713" s="11">
        <f t="shared" si="157"/>
        <v>45377</v>
      </c>
      <c r="J3713" s="12">
        <f t="shared" si="158"/>
        <v>6</v>
      </c>
      <c r="K3713" t="str">
        <f t="shared" si="159"/>
        <v>0-30</v>
      </c>
      <c r="L3713" s="11">
        <v>45383</v>
      </c>
      <c r="M3713" s="23">
        <f>YEAR(Таблица1[[#This Row],[Дата отчета]])</f>
        <v>2024</v>
      </c>
    </row>
    <row r="3714" spans="1:13" x14ac:dyDescent="0.25">
      <c r="A3714" t="s">
        <v>12</v>
      </c>
      <c r="B3714" t="s">
        <v>3597</v>
      </c>
      <c r="C3714" t="s">
        <v>3955</v>
      </c>
      <c r="D3714" t="s">
        <v>4027</v>
      </c>
      <c r="E3714" t="s">
        <v>2965</v>
      </c>
      <c r="F3714" s="20">
        <v>1247108.1000000001</v>
      </c>
      <c r="I3714" s="11">
        <f t="shared" si="157"/>
        <v>45377</v>
      </c>
      <c r="J3714" s="12">
        <f t="shared" si="158"/>
        <v>6</v>
      </c>
      <c r="K3714" t="str">
        <f t="shared" si="159"/>
        <v>0-30</v>
      </c>
      <c r="L3714" s="11">
        <v>45383</v>
      </c>
      <c r="M3714" s="23">
        <f>YEAR(Таблица1[[#This Row],[Дата отчета]])</f>
        <v>2024</v>
      </c>
    </row>
    <row r="3715" spans="1:13" x14ac:dyDescent="0.25">
      <c r="A3715" t="s">
        <v>12</v>
      </c>
      <c r="B3715" t="s">
        <v>3597</v>
      </c>
      <c r="C3715" t="s">
        <v>3955</v>
      </c>
      <c r="D3715" t="s">
        <v>4028</v>
      </c>
      <c r="E3715" t="s">
        <v>3394</v>
      </c>
      <c r="F3715" s="20">
        <v>1156353</v>
      </c>
      <c r="I3715" s="11">
        <f t="shared" si="157"/>
        <v>45379</v>
      </c>
      <c r="J3715" s="12">
        <f t="shared" si="158"/>
        <v>4</v>
      </c>
      <c r="K3715" t="str">
        <f t="shared" si="159"/>
        <v>0-30</v>
      </c>
      <c r="L3715" s="11">
        <v>45383</v>
      </c>
      <c r="M3715" s="23">
        <f>YEAR(Таблица1[[#This Row],[Дата отчета]])</f>
        <v>2024</v>
      </c>
    </row>
    <row r="3716" spans="1:13" x14ac:dyDescent="0.25">
      <c r="A3716" t="s">
        <v>12</v>
      </c>
      <c r="B3716" t="s">
        <v>4029</v>
      </c>
      <c r="C3716" t="s">
        <v>4030</v>
      </c>
      <c r="D3716" t="s">
        <v>4031</v>
      </c>
      <c r="E3716" t="s">
        <v>3830</v>
      </c>
      <c r="F3716" s="20">
        <v>222341</v>
      </c>
      <c r="I3716" s="11">
        <f t="shared" si="157"/>
        <v>45349</v>
      </c>
      <c r="J3716" s="12">
        <f t="shared" si="158"/>
        <v>34</v>
      </c>
      <c r="K3716" t="str">
        <f t="shared" si="159"/>
        <v>31-90</v>
      </c>
      <c r="L3716" s="11">
        <v>45383</v>
      </c>
      <c r="M3716" s="23">
        <f>YEAR(Таблица1[[#This Row],[Дата отчета]])</f>
        <v>2024</v>
      </c>
    </row>
    <row r="3717" spans="1:13" x14ac:dyDescent="0.25">
      <c r="A3717" t="s">
        <v>12</v>
      </c>
      <c r="B3717" t="s">
        <v>2218</v>
      </c>
      <c r="C3717" t="s">
        <v>4032</v>
      </c>
      <c r="D3717" t="s">
        <v>4033</v>
      </c>
      <c r="E3717" t="s">
        <v>3816</v>
      </c>
      <c r="F3717" s="20">
        <v>746087.88</v>
      </c>
      <c r="I3717" s="11">
        <f t="shared" si="157"/>
        <v>45366</v>
      </c>
      <c r="J3717" s="12">
        <f t="shared" si="158"/>
        <v>17</v>
      </c>
      <c r="K3717" t="str">
        <f t="shared" si="159"/>
        <v>0-30</v>
      </c>
      <c r="L3717" s="11">
        <v>45383</v>
      </c>
      <c r="M3717" s="23">
        <f>YEAR(Таблица1[[#This Row],[Дата отчета]])</f>
        <v>2024</v>
      </c>
    </row>
    <row r="3718" spans="1:13" x14ac:dyDescent="0.25">
      <c r="A3718" t="s">
        <v>12</v>
      </c>
      <c r="B3718" t="s">
        <v>4034</v>
      </c>
      <c r="C3718" t="s">
        <v>4035</v>
      </c>
      <c r="D3718" t="s">
        <v>4036</v>
      </c>
      <c r="E3718" t="s">
        <v>3830</v>
      </c>
      <c r="F3718" s="20">
        <v>156600</v>
      </c>
      <c r="I3718" s="11">
        <f t="shared" si="157"/>
        <v>45349</v>
      </c>
      <c r="J3718" s="12">
        <f t="shared" si="158"/>
        <v>34</v>
      </c>
      <c r="K3718" t="str">
        <f t="shared" si="159"/>
        <v>31-90</v>
      </c>
      <c r="L3718" s="11">
        <v>45383</v>
      </c>
      <c r="M3718" s="23">
        <f>YEAR(Таблица1[[#This Row],[Дата отчета]])</f>
        <v>2024</v>
      </c>
    </row>
    <row r="3719" spans="1:13" x14ac:dyDescent="0.25">
      <c r="A3719" t="s">
        <v>12</v>
      </c>
      <c r="B3719" t="s">
        <v>4034</v>
      </c>
      <c r="C3719" t="s">
        <v>4037</v>
      </c>
      <c r="D3719" t="s">
        <v>4038</v>
      </c>
      <c r="E3719" t="s">
        <v>3153</v>
      </c>
      <c r="F3719" s="20">
        <v>42000</v>
      </c>
      <c r="I3719" s="11">
        <f t="shared" si="157"/>
        <v>45357</v>
      </c>
      <c r="J3719" s="12">
        <f t="shared" si="158"/>
        <v>26</v>
      </c>
      <c r="K3719" t="str">
        <f t="shared" si="159"/>
        <v>0-30</v>
      </c>
      <c r="L3719" s="11">
        <v>45383</v>
      </c>
      <c r="M3719" s="23">
        <f>YEAR(Таблица1[[#This Row],[Дата отчета]])</f>
        <v>2024</v>
      </c>
    </row>
    <row r="3720" spans="1:13" x14ac:dyDescent="0.25">
      <c r="A3720" t="s">
        <v>12</v>
      </c>
      <c r="B3720" t="s">
        <v>4039</v>
      </c>
      <c r="C3720" t="s">
        <v>4040</v>
      </c>
      <c r="D3720" t="s">
        <v>4041</v>
      </c>
      <c r="E3720" t="s">
        <v>4042</v>
      </c>
      <c r="F3720" s="20">
        <v>2100000</v>
      </c>
      <c r="I3720" s="11">
        <f t="shared" si="157"/>
        <v>45217</v>
      </c>
      <c r="J3720" s="12">
        <f t="shared" si="158"/>
        <v>166</v>
      </c>
      <c r="K3720" t="str">
        <f t="shared" si="159"/>
        <v>121-180</v>
      </c>
      <c r="L3720" s="11">
        <v>45383</v>
      </c>
      <c r="M3720" s="23">
        <f>YEAR(Таблица1[[#This Row],[Дата отчета]])</f>
        <v>2024</v>
      </c>
    </row>
    <row r="3721" spans="1:13" x14ac:dyDescent="0.25">
      <c r="A3721" t="s">
        <v>12</v>
      </c>
      <c r="B3721" t="s">
        <v>4043</v>
      </c>
      <c r="C3721" t="s">
        <v>4044</v>
      </c>
      <c r="D3721" t="s">
        <v>4045</v>
      </c>
      <c r="E3721" t="s">
        <v>4046</v>
      </c>
      <c r="F3721" s="20">
        <v>1062000</v>
      </c>
      <c r="I3721" s="11">
        <f t="shared" si="157"/>
        <v>45266</v>
      </c>
      <c r="J3721" s="12">
        <f t="shared" si="158"/>
        <v>117</v>
      </c>
      <c r="K3721" t="str">
        <f t="shared" si="159"/>
        <v>91-120</v>
      </c>
      <c r="L3721" s="11">
        <v>45383</v>
      </c>
      <c r="M3721" s="23">
        <f>YEAR(Таблица1[[#This Row],[Дата отчета]])</f>
        <v>2024</v>
      </c>
    </row>
    <row r="3722" spans="1:13" x14ac:dyDescent="0.25">
      <c r="A3722" t="s">
        <v>12</v>
      </c>
      <c r="B3722" t="s">
        <v>670</v>
      </c>
      <c r="C3722" t="s">
        <v>3634</v>
      </c>
      <c r="D3722" t="s">
        <v>3635</v>
      </c>
      <c r="E3722" t="s">
        <v>3636</v>
      </c>
      <c r="F3722" s="20">
        <v>0.01</v>
      </c>
      <c r="I3722" s="11">
        <f t="shared" si="157"/>
        <v>44722</v>
      </c>
      <c r="J3722" s="12">
        <f t="shared" si="158"/>
        <v>661</v>
      </c>
      <c r="K3722" t="str">
        <f t="shared" si="159"/>
        <v>&gt;360</v>
      </c>
      <c r="L3722" s="11">
        <v>45383</v>
      </c>
      <c r="M3722" s="23">
        <f>YEAR(Таблица1[[#This Row],[Дата отчета]])</f>
        <v>2024</v>
      </c>
    </row>
    <row r="3723" spans="1:13" x14ac:dyDescent="0.25">
      <c r="A3723" t="s">
        <v>12</v>
      </c>
      <c r="B3723" t="s">
        <v>670</v>
      </c>
      <c r="C3723" t="s">
        <v>4047</v>
      </c>
      <c r="D3723" t="s">
        <v>4048</v>
      </c>
      <c r="E3723" t="s">
        <v>3802</v>
      </c>
      <c r="F3723" s="20">
        <v>368532.87</v>
      </c>
      <c r="I3723" s="11">
        <f t="shared" si="157"/>
        <v>45371</v>
      </c>
      <c r="J3723" s="12">
        <f t="shared" si="158"/>
        <v>12</v>
      </c>
      <c r="K3723" t="str">
        <f t="shared" si="159"/>
        <v>0-30</v>
      </c>
      <c r="L3723" s="11">
        <v>45383</v>
      </c>
      <c r="M3723" s="23">
        <f>YEAR(Таблица1[[#This Row],[Дата отчета]])</f>
        <v>2024</v>
      </c>
    </row>
    <row r="3724" spans="1:13" x14ac:dyDescent="0.25">
      <c r="A3724" t="s">
        <v>12</v>
      </c>
      <c r="B3724" t="s">
        <v>670</v>
      </c>
      <c r="C3724" t="s">
        <v>4049</v>
      </c>
      <c r="D3724" t="s">
        <v>4050</v>
      </c>
      <c r="E3724" t="s">
        <v>3802</v>
      </c>
      <c r="F3724" s="20">
        <v>91044.6</v>
      </c>
      <c r="I3724" s="11">
        <f t="shared" si="157"/>
        <v>45371</v>
      </c>
      <c r="J3724" s="12">
        <f t="shared" si="158"/>
        <v>12</v>
      </c>
      <c r="K3724" t="str">
        <f t="shared" si="159"/>
        <v>0-30</v>
      </c>
      <c r="L3724" s="11">
        <v>45383</v>
      </c>
      <c r="M3724" s="23">
        <f>YEAR(Таблица1[[#This Row],[Дата отчета]])</f>
        <v>2024</v>
      </c>
    </row>
    <row r="3725" spans="1:13" x14ac:dyDescent="0.25">
      <c r="A3725" t="s">
        <v>12</v>
      </c>
      <c r="B3725" t="s">
        <v>670</v>
      </c>
      <c r="C3725" t="s">
        <v>4051</v>
      </c>
      <c r="D3725" t="s">
        <v>4052</v>
      </c>
      <c r="E3725" t="s">
        <v>3816</v>
      </c>
      <c r="F3725" s="20">
        <v>954597</v>
      </c>
      <c r="I3725" s="11">
        <f t="shared" si="157"/>
        <v>45366</v>
      </c>
      <c r="J3725" s="12">
        <f t="shared" si="158"/>
        <v>17</v>
      </c>
      <c r="K3725" t="str">
        <f t="shared" si="159"/>
        <v>0-30</v>
      </c>
      <c r="L3725" s="11">
        <v>45383</v>
      </c>
      <c r="M3725" s="23">
        <f>YEAR(Таблица1[[#This Row],[Дата отчета]])</f>
        <v>2024</v>
      </c>
    </row>
    <row r="3726" spans="1:13" x14ac:dyDescent="0.25">
      <c r="A3726" t="s">
        <v>12</v>
      </c>
      <c r="B3726" t="s">
        <v>4053</v>
      </c>
      <c r="C3726" t="s">
        <v>4054</v>
      </c>
      <c r="D3726" t="s">
        <v>4055</v>
      </c>
      <c r="E3726" t="s">
        <v>3049</v>
      </c>
      <c r="F3726" s="20">
        <v>1305800</v>
      </c>
      <c r="I3726" s="11">
        <f t="shared" si="157"/>
        <v>45348</v>
      </c>
      <c r="J3726" s="12">
        <f t="shared" si="158"/>
        <v>35</v>
      </c>
      <c r="K3726" t="str">
        <f t="shared" si="159"/>
        <v>31-90</v>
      </c>
      <c r="L3726" s="11">
        <v>45383</v>
      </c>
      <c r="M3726" s="23">
        <f>YEAR(Таблица1[[#This Row],[Дата отчета]])</f>
        <v>2024</v>
      </c>
    </row>
    <row r="3727" spans="1:13" x14ac:dyDescent="0.25">
      <c r="A3727" t="s">
        <v>12</v>
      </c>
      <c r="B3727" t="s">
        <v>677</v>
      </c>
      <c r="C3727" t="s">
        <v>4056</v>
      </c>
      <c r="D3727" t="s">
        <v>4057</v>
      </c>
      <c r="E3727" t="s">
        <v>1258</v>
      </c>
      <c r="F3727" s="20">
        <v>26.67</v>
      </c>
      <c r="I3727" s="11">
        <f t="shared" si="157"/>
        <v>45288</v>
      </c>
      <c r="J3727" s="12">
        <f t="shared" si="158"/>
        <v>95</v>
      </c>
      <c r="K3727" t="str">
        <f t="shared" si="159"/>
        <v>91-120</v>
      </c>
      <c r="L3727" s="11">
        <v>45383</v>
      </c>
      <c r="M3727" s="23">
        <f>YEAR(Таблица1[[#This Row],[Дата отчета]])</f>
        <v>2024</v>
      </c>
    </row>
    <row r="3728" spans="1:13" x14ac:dyDescent="0.25">
      <c r="A3728" t="s">
        <v>12</v>
      </c>
      <c r="B3728" t="s">
        <v>4058</v>
      </c>
      <c r="C3728" t="s">
        <v>4059</v>
      </c>
      <c r="D3728" t="s">
        <v>4060</v>
      </c>
      <c r="E3728" t="s">
        <v>2438</v>
      </c>
      <c r="F3728" s="20">
        <v>7860</v>
      </c>
      <c r="I3728" s="11">
        <f t="shared" si="157"/>
        <v>45365</v>
      </c>
      <c r="J3728" s="12">
        <f t="shared" si="158"/>
        <v>18</v>
      </c>
      <c r="K3728" t="str">
        <f t="shared" si="159"/>
        <v>0-30</v>
      </c>
      <c r="L3728" s="11">
        <v>45383</v>
      </c>
      <c r="M3728" s="23">
        <f>YEAR(Таблица1[[#This Row],[Дата отчета]])</f>
        <v>2024</v>
      </c>
    </row>
    <row r="3729" spans="1:14" x14ac:dyDescent="0.25">
      <c r="A3729" t="s">
        <v>12</v>
      </c>
      <c r="B3729" t="s">
        <v>680</v>
      </c>
      <c r="C3729" t="s">
        <v>2963</v>
      </c>
      <c r="D3729" t="s">
        <v>2964</v>
      </c>
      <c r="E3729" t="s">
        <v>2965</v>
      </c>
      <c r="F3729" s="20">
        <v>258746.95</v>
      </c>
      <c r="I3729" s="11">
        <f t="shared" si="157"/>
        <v>45377</v>
      </c>
      <c r="J3729" s="12">
        <f t="shared" si="158"/>
        <v>6</v>
      </c>
      <c r="K3729" t="str">
        <f t="shared" si="159"/>
        <v>0-30</v>
      </c>
      <c r="L3729" s="11">
        <v>45383</v>
      </c>
      <c r="M3729" s="23">
        <f>YEAR(Таблица1[[#This Row],[Дата отчета]])</f>
        <v>2024</v>
      </c>
    </row>
    <row r="3730" spans="1:14" x14ac:dyDescent="0.25">
      <c r="A3730" t="s">
        <v>12</v>
      </c>
      <c r="B3730" t="s">
        <v>684</v>
      </c>
      <c r="C3730" t="s">
        <v>685</v>
      </c>
      <c r="D3730" t="s">
        <v>4061</v>
      </c>
      <c r="E3730" t="s">
        <v>3836</v>
      </c>
      <c r="F3730" s="20">
        <v>11590</v>
      </c>
      <c r="I3730" s="11">
        <f t="shared" si="157"/>
        <v>45254</v>
      </c>
      <c r="J3730" s="12">
        <f t="shared" si="158"/>
        <v>129</v>
      </c>
      <c r="K3730" t="str">
        <f t="shared" si="159"/>
        <v>121-180</v>
      </c>
      <c r="L3730" s="11">
        <v>45383</v>
      </c>
      <c r="M3730" s="23">
        <f>YEAR(Таблица1[[#This Row],[Дата отчета]])</f>
        <v>2024</v>
      </c>
    </row>
    <row r="3731" spans="1:14" x14ac:dyDescent="0.25">
      <c r="A3731" t="s">
        <v>12</v>
      </c>
      <c r="B3731" t="s">
        <v>684</v>
      </c>
      <c r="C3731" t="s">
        <v>685</v>
      </c>
      <c r="D3731" t="s">
        <v>4062</v>
      </c>
      <c r="E3731" t="s">
        <v>3282</v>
      </c>
      <c r="F3731" s="20">
        <v>5510992.4800000004</v>
      </c>
      <c r="I3731" s="11">
        <f t="shared" si="157"/>
        <v>45313</v>
      </c>
      <c r="J3731" s="12">
        <f t="shared" si="158"/>
        <v>70</v>
      </c>
      <c r="K3731" t="str">
        <f t="shared" si="159"/>
        <v>31-90</v>
      </c>
      <c r="L3731" s="11">
        <v>45383</v>
      </c>
      <c r="M3731" s="23">
        <f>YEAR(Таблица1[[#This Row],[Дата отчета]])</f>
        <v>2024</v>
      </c>
    </row>
    <row r="3732" spans="1:14" x14ac:dyDescent="0.25">
      <c r="A3732" t="s">
        <v>12</v>
      </c>
      <c r="B3732" t="s">
        <v>684</v>
      </c>
      <c r="C3732" t="s">
        <v>697</v>
      </c>
      <c r="D3732" t="s">
        <v>698</v>
      </c>
      <c r="E3732" t="s">
        <v>699</v>
      </c>
      <c r="F3732" s="20">
        <v>321728</v>
      </c>
      <c r="I3732" s="11">
        <f t="shared" si="157"/>
        <v>45218</v>
      </c>
      <c r="J3732" s="12">
        <f t="shared" si="158"/>
        <v>165</v>
      </c>
      <c r="K3732" t="str">
        <f t="shared" si="159"/>
        <v>121-180</v>
      </c>
      <c r="L3732" s="11">
        <v>45383</v>
      </c>
      <c r="M3732" s="23">
        <f>YEAR(Таблица1[[#This Row],[Дата отчета]])</f>
        <v>2024</v>
      </c>
      <c r="N3732" s="2"/>
    </row>
    <row r="3733" spans="1:14" x14ac:dyDescent="0.25">
      <c r="A3733" t="s">
        <v>12</v>
      </c>
      <c r="B3733" t="s">
        <v>4063</v>
      </c>
      <c r="C3733" t="s">
        <v>4064</v>
      </c>
      <c r="D3733" t="s">
        <v>4065</v>
      </c>
      <c r="E3733" t="s">
        <v>3830</v>
      </c>
      <c r="F3733" s="20">
        <v>217869.2</v>
      </c>
      <c r="I3733" s="11">
        <f t="shared" si="157"/>
        <v>45349</v>
      </c>
      <c r="J3733" s="12">
        <f t="shared" si="158"/>
        <v>34</v>
      </c>
      <c r="K3733" t="str">
        <f t="shared" si="159"/>
        <v>31-90</v>
      </c>
      <c r="L3733" s="11">
        <v>45383</v>
      </c>
      <c r="M3733" s="23">
        <f>YEAR(Таблица1[[#This Row],[Дата отчета]])</f>
        <v>2024</v>
      </c>
    </row>
    <row r="3734" spans="1:14" x14ac:dyDescent="0.25">
      <c r="A3734" t="s">
        <v>12</v>
      </c>
      <c r="B3734" t="s">
        <v>4066</v>
      </c>
      <c r="C3734" t="s">
        <v>4067</v>
      </c>
      <c r="D3734" t="s">
        <v>4068</v>
      </c>
      <c r="E3734" t="s">
        <v>3875</v>
      </c>
      <c r="F3734" s="20">
        <v>80000</v>
      </c>
      <c r="I3734" s="11">
        <f t="shared" si="157"/>
        <v>45373</v>
      </c>
      <c r="J3734" s="12">
        <f t="shared" si="158"/>
        <v>10</v>
      </c>
      <c r="K3734" t="str">
        <f t="shared" si="159"/>
        <v>0-30</v>
      </c>
      <c r="L3734" s="11">
        <v>45383</v>
      </c>
      <c r="M3734" s="23">
        <f>YEAR(Таблица1[[#This Row],[Дата отчета]])</f>
        <v>2024</v>
      </c>
    </row>
    <row r="3735" spans="1:14" x14ac:dyDescent="0.25">
      <c r="A3735" t="s">
        <v>12</v>
      </c>
      <c r="B3735" t="s">
        <v>745</v>
      </c>
      <c r="C3735" t="s">
        <v>269</v>
      </c>
      <c r="D3735" t="s">
        <v>2975</v>
      </c>
      <c r="E3735" t="s">
        <v>2976</v>
      </c>
      <c r="F3735" s="20">
        <v>4658.83</v>
      </c>
      <c r="I3735" s="11">
        <f t="shared" si="157"/>
        <v>45139</v>
      </c>
      <c r="J3735" s="12">
        <f t="shared" si="158"/>
        <v>244</v>
      </c>
      <c r="K3735" t="str">
        <f t="shared" si="159"/>
        <v>181-270</v>
      </c>
      <c r="L3735" s="11">
        <v>45383</v>
      </c>
      <c r="M3735" s="23">
        <f>YEAR(Таблица1[[#This Row],[Дата отчета]])</f>
        <v>2024</v>
      </c>
    </row>
    <row r="3736" spans="1:14" x14ac:dyDescent="0.25">
      <c r="A3736" t="s">
        <v>12</v>
      </c>
      <c r="B3736" t="s">
        <v>3648</v>
      </c>
      <c r="C3736" t="s">
        <v>3651</v>
      </c>
      <c r="D3736" t="s">
        <v>4069</v>
      </c>
      <c r="E3736" t="s">
        <v>3802</v>
      </c>
      <c r="F3736" s="20">
        <v>386342.04</v>
      </c>
      <c r="I3736" s="11">
        <f t="shared" si="157"/>
        <v>45371</v>
      </c>
      <c r="J3736" s="12">
        <f t="shared" si="158"/>
        <v>12</v>
      </c>
      <c r="K3736" t="str">
        <f t="shared" si="159"/>
        <v>0-30</v>
      </c>
      <c r="L3736" s="11">
        <v>45383</v>
      </c>
      <c r="M3736" s="23">
        <f>YEAR(Таблица1[[#This Row],[Дата отчета]])</f>
        <v>2024</v>
      </c>
    </row>
    <row r="3737" spans="1:14" x14ac:dyDescent="0.25">
      <c r="A3737" t="s">
        <v>12</v>
      </c>
      <c r="B3737" t="s">
        <v>3648</v>
      </c>
      <c r="C3737" t="s">
        <v>4070</v>
      </c>
      <c r="D3737" t="s">
        <v>4071</v>
      </c>
      <c r="E3737" t="s">
        <v>2965</v>
      </c>
      <c r="F3737" s="20">
        <v>189864.47</v>
      </c>
      <c r="I3737" s="11">
        <f t="shared" si="157"/>
        <v>45377</v>
      </c>
      <c r="J3737" s="12">
        <f t="shared" si="158"/>
        <v>6</v>
      </c>
      <c r="K3737" t="str">
        <f t="shared" si="159"/>
        <v>0-30</v>
      </c>
      <c r="L3737" s="11">
        <v>45383</v>
      </c>
      <c r="M3737" s="23">
        <f>YEAR(Таблица1[[#This Row],[Дата отчета]])</f>
        <v>2024</v>
      </c>
    </row>
    <row r="3738" spans="1:14" x14ac:dyDescent="0.25">
      <c r="A3738" t="s">
        <v>12</v>
      </c>
      <c r="B3738" t="s">
        <v>3648</v>
      </c>
      <c r="C3738" t="s">
        <v>4072</v>
      </c>
      <c r="D3738" t="s">
        <v>4073</v>
      </c>
      <c r="E3738" t="s">
        <v>2965</v>
      </c>
      <c r="F3738" s="20">
        <v>252548.46</v>
      </c>
      <c r="I3738" s="11">
        <f t="shared" si="157"/>
        <v>45377</v>
      </c>
      <c r="J3738" s="12">
        <f t="shared" si="158"/>
        <v>6</v>
      </c>
      <c r="K3738" t="str">
        <f t="shared" si="159"/>
        <v>0-30</v>
      </c>
      <c r="L3738" s="11">
        <v>45383</v>
      </c>
      <c r="M3738" s="23">
        <f>YEAR(Таблица1[[#This Row],[Дата отчета]])</f>
        <v>2024</v>
      </c>
    </row>
    <row r="3739" spans="1:14" x14ac:dyDescent="0.25">
      <c r="A3739" t="s">
        <v>12</v>
      </c>
      <c r="B3739" t="s">
        <v>3661</v>
      </c>
      <c r="C3739" t="s">
        <v>3662</v>
      </c>
      <c r="D3739" t="s">
        <v>3663</v>
      </c>
      <c r="E3739" t="s">
        <v>2965</v>
      </c>
      <c r="F3739" s="20">
        <v>28800</v>
      </c>
      <c r="I3739" s="11">
        <f t="shared" si="157"/>
        <v>45377</v>
      </c>
      <c r="J3739" s="12">
        <f t="shared" si="158"/>
        <v>6</v>
      </c>
      <c r="K3739" t="str">
        <f t="shared" si="159"/>
        <v>0-30</v>
      </c>
      <c r="L3739" s="11">
        <v>45383</v>
      </c>
      <c r="M3739" s="23">
        <f>YEAR(Таблица1[[#This Row],[Дата отчета]])</f>
        <v>2024</v>
      </c>
    </row>
    <row r="3740" spans="1:14" x14ac:dyDescent="0.25">
      <c r="A3740" t="s">
        <v>12</v>
      </c>
      <c r="B3740" t="s">
        <v>3664</v>
      </c>
      <c r="C3740" t="s">
        <v>3665</v>
      </c>
      <c r="D3740" t="s">
        <v>3666</v>
      </c>
      <c r="E3740" t="s">
        <v>796</v>
      </c>
      <c r="F3740" s="20">
        <v>1889400</v>
      </c>
      <c r="I3740" s="11">
        <f t="shared" si="157"/>
        <v>44889</v>
      </c>
      <c r="J3740" s="12">
        <f t="shared" si="158"/>
        <v>494</v>
      </c>
      <c r="K3740" t="str">
        <f t="shared" si="159"/>
        <v>&gt;360</v>
      </c>
      <c r="L3740" s="11">
        <v>45383</v>
      </c>
      <c r="M3740" s="23">
        <f>YEAR(Таблица1[[#This Row],[Дата отчета]])</f>
        <v>2024</v>
      </c>
    </row>
    <row r="3741" spans="1:14" x14ac:dyDescent="0.25">
      <c r="A3741" t="s">
        <v>12</v>
      </c>
      <c r="B3741" t="s">
        <v>752</v>
      </c>
      <c r="C3741" t="s">
        <v>4074</v>
      </c>
      <c r="D3741" t="s">
        <v>4075</v>
      </c>
      <c r="E3741" t="s">
        <v>3448</v>
      </c>
      <c r="F3741" s="20">
        <v>170000</v>
      </c>
      <c r="I3741" s="11">
        <f t="shared" si="157"/>
        <v>45362</v>
      </c>
      <c r="J3741" s="12">
        <f t="shared" si="158"/>
        <v>21</v>
      </c>
      <c r="K3741" t="str">
        <f t="shared" si="159"/>
        <v>0-30</v>
      </c>
      <c r="L3741" s="11">
        <v>45383</v>
      </c>
      <c r="M3741" s="23">
        <f>YEAR(Таблица1[[#This Row],[Дата отчета]])</f>
        <v>2024</v>
      </c>
    </row>
    <row r="3742" spans="1:14" x14ac:dyDescent="0.25">
      <c r="A3742" t="s">
        <v>12</v>
      </c>
      <c r="B3742" t="s">
        <v>752</v>
      </c>
      <c r="C3742" t="s">
        <v>4076</v>
      </c>
      <c r="D3742" t="s">
        <v>4077</v>
      </c>
      <c r="E3742" t="s">
        <v>3448</v>
      </c>
      <c r="F3742" s="20">
        <v>110000</v>
      </c>
      <c r="I3742" s="11">
        <f t="shared" si="157"/>
        <v>45362</v>
      </c>
      <c r="J3742" s="12">
        <f t="shared" si="158"/>
        <v>21</v>
      </c>
      <c r="K3742" t="str">
        <f t="shared" si="159"/>
        <v>0-30</v>
      </c>
      <c r="L3742" s="11">
        <v>45383</v>
      </c>
      <c r="M3742" s="23">
        <f>YEAR(Таблица1[[#This Row],[Дата отчета]])</f>
        <v>2024</v>
      </c>
    </row>
    <row r="3743" spans="1:14" x14ac:dyDescent="0.25">
      <c r="A3743" t="s">
        <v>12</v>
      </c>
      <c r="B3743" t="s">
        <v>752</v>
      </c>
      <c r="C3743" t="s">
        <v>4078</v>
      </c>
      <c r="D3743" t="s">
        <v>4079</v>
      </c>
      <c r="E3743" t="s">
        <v>3448</v>
      </c>
      <c r="F3743" s="20">
        <v>140000</v>
      </c>
      <c r="I3743" s="11">
        <f t="shared" si="157"/>
        <v>45362</v>
      </c>
      <c r="J3743" s="12">
        <f t="shared" si="158"/>
        <v>21</v>
      </c>
      <c r="K3743" t="str">
        <f t="shared" si="159"/>
        <v>0-30</v>
      </c>
      <c r="L3743" s="11">
        <v>45383</v>
      </c>
      <c r="M3743" s="23">
        <f>YEAR(Таблица1[[#This Row],[Дата отчета]])</f>
        <v>2024</v>
      </c>
    </row>
    <row r="3744" spans="1:14" x14ac:dyDescent="0.25">
      <c r="A3744" t="s">
        <v>12</v>
      </c>
      <c r="B3744" t="s">
        <v>752</v>
      </c>
      <c r="C3744" t="s">
        <v>4080</v>
      </c>
      <c r="D3744" t="s">
        <v>4081</v>
      </c>
      <c r="E3744" t="s">
        <v>3448</v>
      </c>
      <c r="F3744" s="20">
        <v>110000</v>
      </c>
      <c r="I3744" s="11">
        <f t="shared" si="157"/>
        <v>45362</v>
      </c>
      <c r="J3744" s="12">
        <f t="shared" si="158"/>
        <v>21</v>
      </c>
      <c r="K3744" t="str">
        <f t="shared" si="159"/>
        <v>0-30</v>
      </c>
      <c r="L3744" s="11">
        <v>45383</v>
      </c>
      <c r="M3744" s="23">
        <f>YEAR(Таблица1[[#This Row],[Дата отчета]])</f>
        <v>2024</v>
      </c>
    </row>
    <row r="3745" spans="1:14" x14ac:dyDescent="0.25">
      <c r="A3745" t="s">
        <v>12</v>
      </c>
      <c r="B3745" t="s">
        <v>752</v>
      </c>
      <c r="C3745" t="s">
        <v>4082</v>
      </c>
      <c r="D3745" t="s">
        <v>4083</v>
      </c>
      <c r="E3745" t="s">
        <v>3448</v>
      </c>
      <c r="F3745" s="20">
        <v>170000</v>
      </c>
      <c r="I3745" s="11">
        <f t="shared" si="157"/>
        <v>45362</v>
      </c>
      <c r="J3745" s="12">
        <f t="shared" si="158"/>
        <v>21</v>
      </c>
      <c r="K3745" t="str">
        <f t="shared" si="159"/>
        <v>0-30</v>
      </c>
      <c r="L3745" s="11">
        <v>45383</v>
      </c>
      <c r="M3745" s="23">
        <f>YEAR(Таблица1[[#This Row],[Дата отчета]])</f>
        <v>2024</v>
      </c>
    </row>
    <row r="3746" spans="1:14" x14ac:dyDescent="0.25">
      <c r="A3746" t="s">
        <v>12</v>
      </c>
      <c r="B3746" t="s">
        <v>752</v>
      </c>
      <c r="C3746" t="s">
        <v>4084</v>
      </c>
      <c r="D3746" t="s">
        <v>4085</v>
      </c>
      <c r="E3746" t="s">
        <v>3448</v>
      </c>
      <c r="F3746" s="20">
        <v>110000</v>
      </c>
      <c r="I3746" s="11">
        <f t="shared" si="157"/>
        <v>45362</v>
      </c>
      <c r="J3746" s="12">
        <f t="shared" si="158"/>
        <v>21</v>
      </c>
      <c r="K3746" t="str">
        <f t="shared" si="159"/>
        <v>0-30</v>
      </c>
      <c r="L3746" s="11">
        <v>45383</v>
      </c>
      <c r="M3746" s="23">
        <f>YEAR(Таблица1[[#This Row],[Дата отчета]])</f>
        <v>2024</v>
      </c>
    </row>
    <row r="3747" spans="1:14" x14ac:dyDescent="0.25">
      <c r="A3747" t="s">
        <v>12</v>
      </c>
      <c r="B3747" t="s">
        <v>752</v>
      </c>
      <c r="C3747" t="s">
        <v>4086</v>
      </c>
      <c r="D3747" t="s">
        <v>4087</v>
      </c>
      <c r="E3747" t="s">
        <v>4088</v>
      </c>
      <c r="F3747" s="20">
        <v>60000</v>
      </c>
      <c r="I3747" s="11">
        <f t="shared" si="157"/>
        <v>45117</v>
      </c>
      <c r="J3747" s="12">
        <f t="shared" si="158"/>
        <v>266</v>
      </c>
      <c r="K3747" t="str">
        <f t="shared" si="159"/>
        <v>181-270</v>
      </c>
      <c r="L3747" s="11">
        <v>45383</v>
      </c>
      <c r="M3747" s="23">
        <f>YEAR(Таблица1[[#This Row],[Дата отчета]])</f>
        <v>2024</v>
      </c>
    </row>
    <row r="3748" spans="1:14" x14ac:dyDescent="0.25">
      <c r="A3748" t="s">
        <v>12</v>
      </c>
      <c r="B3748" t="s">
        <v>2263</v>
      </c>
      <c r="C3748" t="s">
        <v>4089</v>
      </c>
      <c r="D3748" t="s">
        <v>4090</v>
      </c>
      <c r="E3748" t="s">
        <v>3357</v>
      </c>
      <c r="F3748" s="20">
        <v>678200</v>
      </c>
      <c r="I3748" s="11">
        <f t="shared" si="157"/>
        <v>45370</v>
      </c>
      <c r="J3748" s="12">
        <f t="shared" si="158"/>
        <v>13</v>
      </c>
      <c r="K3748" t="str">
        <f t="shared" si="159"/>
        <v>0-30</v>
      </c>
      <c r="L3748" s="11">
        <v>45383</v>
      </c>
      <c r="M3748" s="23">
        <f>YEAR(Таблица1[[#This Row],[Дата отчета]])</f>
        <v>2024</v>
      </c>
    </row>
    <row r="3749" spans="1:14" x14ac:dyDescent="0.25">
      <c r="A3749" t="s">
        <v>12</v>
      </c>
      <c r="B3749" t="s">
        <v>4091</v>
      </c>
      <c r="C3749" t="s">
        <v>4092</v>
      </c>
      <c r="D3749" t="s">
        <v>4093</v>
      </c>
      <c r="E3749" t="s">
        <v>4094</v>
      </c>
      <c r="F3749" s="20">
        <v>408186.9</v>
      </c>
      <c r="I3749" s="11">
        <f t="shared" si="157"/>
        <v>45342</v>
      </c>
      <c r="J3749" s="12">
        <f t="shared" si="158"/>
        <v>41</v>
      </c>
      <c r="K3749" t="str">
        <f t="shared" si="159"/>
        <v>31-90</v>
      </c>
      <c r="L3749" s="11">
        <v>45383</v>
      </c>
      <c r="M3749" s="23">
        <f>YEAR(Таблица1[[#This Row],[Дата отчета]])</f>
        <v>2024</v>
      </c>
    </row>
    <row r="3750" spans="1:14" x14ac:dyDescent="0.25">
      <c r="A3750" t="s">
        <v>12</v>
      </c>
      <c r="B3750" t="s">
        <v>777</v>
      </c>
      <c r="C3750" t="s">
        <v>778</v>
      </c>
      <c r="D3750" t="s">
        <v>779</v>
      </c>
      <c r="E3750" t="s">
        <v>780</v>
      </c>
      <c r="F3750" s="20">
        <v>196.02</v>
      </c>
      <c r="I3750" s="11">
        <f t="shared" si="157"/>
        <v>44868</v>
      </c>
      <c r="J3750" s="12">
        <f t="shared" si="158"/>
        <v>515</v>
      </c>
      <c r="K3750" t="str">
        <f t="shared" si="159"/>
        <v>&gt;360</v>
      </c>
      <c r="L3750" s="11">
        <v>45383</v>
      </c>
      <c r="M3750" s="23">
        <f>YEAR(Таблица1[[#This Row],[Дата отчета]])</f>
        <v>2024</v>
      </c>
      <c r="N3750" s="2" t="s">
        <v>807</v>
      </c>
    </row>
    <row r="3751" spans="1:14" x14ac:dyDescent="0.25">
      <c r="A3751" t="s">
        <v>12</v>
      </c>
      <c r="B3751" t="s">
        <v>781</v>
      </c>
      <c r="C3751" t="s">
        <v>4095</v>
      </c>
      <c r="D3751" t="s">
        <v>4096</v>
      </c>
      <c r="E3751" t="s">
        <v>3339</v>
      </c>
      <c r="F3751" s="20">
        <v>54446.34</v>
      </c>
      <c r="I3751" s="11">
        <f t="shared" si="157"/>
        <v>45323</v>
      </c>
      <c r="J3751" s="12">
        <f t="shared" si="158"/>
        <v>60</v>
      </c>
      <c r="K3751" t="str">
        <f t="shared" si="159"/>
        <v>31-90</v>
      </c>
      <c r="L3751" s="11">
        <v>45383</v>
      </c>
      <c r="M3751" s="23">
        <f>YEAR(Таблица1[[#This Row],[Дата отчета]])</f>
        <v>2024</v>
      </c>
    </row>
    <row r="3752" spans="1:14" x14ac:dyDescent="0.25">
      <c r="A3752" t="s">
        <v>12</v>
      </c>
      <c r="B3752" t="s">
        <v>781</v>
      </c>
      <c r="C3752" t="s">
        <v>4095</v>
      </c>
      <c r="D3752" t="s">
        <v>4097</v>
      </c>
      <c r="E3752" t="s">
        <v>3339</v>
      </c>
      <c r="F3752" s="20">
        <v>116977.31</v>
      </c>
      <c r="I3752" s="11">
        <f t="shared" ref="I3752:I3815" si="160">E3752*1</f>
        <v>45323</v>
      </c>
      <c r="J3752" s="12">
        <f t="shared" ref="J3752:J3815" si="161">L3752-I3752</f>
        <v>60</v>
      </c>
      <c r="K3752" t="str">
        <f t="shared" si="159"/>
        <v>31-90</v>
      </c>
      <c r="L3752" s="11">
        <v>45383</v>
      </c>
      <c r="M3752" s="23">
        <f>YEAR(Таблица1[[#This Row],[Дата отчета]])</f>
        <v>2024</v>
      </c>
    </row>
    <row r="3753" spans="1:14" x14ac:dyDescent="0.25">
      <c r="A3753" t="s">
        <v>12</v>
      </c>
      <c r="B3753" t="s">
        <v>1676</v>
      </c>
      <c r="C3753" t="s">
        <v>3252</v>
      </c>
      <c r="D3753" t="s">
        <v>3253</v>
      </c>
      <c r="E3753" t="s">
        <v>3254</v>
      </c>
      <c r="F3753" s="20">
        <v>36897.74</v>
      </c>
      <c r="I3753" s="11">
        <f t="shared" si="160"/>
        <v>45219</v>
      </c>
      <c r="J3753" s="12">
        <f t="shared" si="161"/>
        <v>164</v>
      </c>
      <c r="K3753" t="str">
        <f t="shared" si="159"/>
        <v>121-180</v>
      </c>
      <c r="L3753" s="11">
        <v>45383</v>
      </c>
      <c r="M3753" s="23">
        <f>YEAR(Таблица1[[#This Row],[Дата отчета]])</f>
        <v>2024</v>
      </c>
    </row>
    <row r="3754" spans="1:14" x14ac:dyDescent="0.25">
      <c r="A3754" t="s">
        <v>12</v>
      </c>
      <c r="B3754" t="s">
        <v>784</v>
      </c>
      <c r="C3754" t="s">
        <v>4098</v>
      </c>
      <c r="D3754" t="s">
        <v>4099</v>
      </c>
      <c r="E3754" t="s">
        <v>4100</v>
      </c>
      <c r="F3754" s="20">
        <v>2587944.5</v>
      </c>
      <c r="I3754" s="11">
        <f t="shared" si="160"/>
        <v>45324</v>
      </c>
      <c r="J3754" s="12">
        <f t="shared" si="161"/>
        <v>59</v>
      </c>
      <c r="K3754" t="str">
        <f t="shared" si="159"/>
        <v>31-90</v>
      </c>
      <c r="L3754" s="11">
        <v>45383</v>
      </c>
      <c r="M3754" s="23">
        <f>YEAR(Таблица1[[#This Row],[Дата отчета]])</f>
        <v>2024</v>
      </c>
    </row>
    <row r="3755" spans="1:14" x14ac:dyDescent="0.25">
      <c r="A3755" t="s">
        <v>12</v>
      </c>
      <c r="B3755" t="s">
        <v>784</v>
      </c>
      <c r="C3755" t="s">
        <v>4098</v>
      </c>
      <c r="D3755" t="s">
        <v>4101</v>
      </c>
      <c r="E3755" t="s">
        <v>4100</v>
      </c>
      <c r="F3755" s="20">
        <v>10391500</v>
      </c>
      <c r="I3755" s="11">
        <f t="shared" si="160"/>
        <v>45324</v>
      </c>
      <c r="J3755" s="12">
        <f t="shared" si="161"/>
        <v>59</v>
      </c>
      <c r="K3755" t="str">
        <f t="shared" si="159"/>
        <v>31-90</v>
      </c>
      <c r="L3755" s="11">
        <v>45383</v>
      </c>
      <c r="M3755" s="23">
        <f>YEAR(Таблица1[[#This Row],[Дата отчета]])</f>
        <v>2024</v>
      </c>
    </row>
    <row r="3756" spans="1:14" x14ac:dyDescent="0.25">
      <c r="A3756" t="s">
        <v>12</v>
      </c>
      <c r="B3756" t="s">
        <v>784</v>
      </c>
      <c r="C3756" t="s">
        <v>4102</v>
      </c>
      <c r="D3756" t="s">
        <v>4103</v>
      </c>
      <c r="E3756" t="s">
        <v>3301</v>
      </c>
      <c r="F3756" s="20">
        <v>157500</v>
      </c>
      <c r="I3756" s="11">
        <f t="shared" si="160"/>
        <v>45329</v>
      </c>
      <c r="J3756" s="12">
        <f t="shared" si="161"/>
        <v>54</v>
      </c>
      <c r="K3756" t="str">
        <f t="shared" si="159"/>
        <v>31-90</v>
      </c>
      <c r="L3756" s="11">
        <v>45383</v>
      </c>
      <c r="M3756" s="23">
        <f>YEAR(Таблица1[[#This Row],[Дата отчета]])</f>
        <v>2024</v>
      </c>
    </row>
    <row r="3757" spans="1:14" x14ac:dyDescent="0.25">
      <c r="A3757" t="s">
        <v>12</v>
      </c>
      <c r="B3757" t="s">
        <v>793</v>
      </c>
      <c r="C3757" t="s">
        <v>794</v>
      </c>
      <c r="D3757" t="s">
        <v>795</v>
      </c>
      <c r="E3757" t="s">
        <v>796</v>
      </c>
      <c r="F3757" s="20">
        <v>650</v>
      </c>
      <c r="I3757" s="11">
        <f t="shared" si="160"/>
        <v>44889</v>
      </c>
      <c r="J3757" s="12">
        <f t="shared" si="161"/>
        <v>494</v>
      </c>
      <c r="K3757" t="str">
        <f t="shared" si="159"/>
        <v>&gt;360</v>
      </c>
      <c r="L3757" s="11">
        <v>45383</v>
      </c>
      <c r="M3757" s="23">
        <f>YEAR(Таблица1[[#This Row],[Дата отчета]])</f>
        <v>2024</v>
      </c>
      <c r="N3757" s="2" t="s">
        <v>807</v>
      </c>
    </row>
    <row r="3758" spans="1:14" x14ac:dyDescent="0.25">
      <c r="A3758" t="s">
        <v>12</v>
      </c>
      <c r="B3758" t="s">
        <v>1224</v>
      </c>
      <c r="C3758" t="s">
        <v>1234</v>
      </c>
      <c r="D3758" t="s">
        <v>1251</v>
      </c>
      <c r="E3758" t="s">
        <v>1258</v>
      </c>
      <c r="F3758" s="20">
        <v>12</v>
      </c>
      <c r="I3758" s="11">
        <f t="shared" si="160"/>
        <v>45288</v>
      </c>
      <c r="J3758" s="12">
        <f t="shared" si="161"/>
        <v>95</v>
      </c>
      <c r="K3758" t="str">
        <f t="shared" si="159"/>
        <v>91-120</v>
      </c>
      <c r="L3758" s="11">
        <v>45383</v>
      </c>
      <c r="M3758" s="23">
        <f>YEAR(Таблица1[[#This Row],[Дата отчета]])</f>
        <v>2024</v>
      </c>
    </row>
    <row r="3759" spans="1:14" x14ac:dyDescent="0.25">
      <c r="A3759" t="s">
        <v>12</v>
      </c>
      <c r="B3759" t="s">
        <v>797</v>
      </c>
      <c r="C3759" t="s">
        <v>2282</v>
      </c>
      <c r="D3759" t="s">
        <v>4104</v>
      </c>
      <c r="E3759" t="s">
        <v>3357</v>
      </c>
      <c r="F3759" s="20">
        <v>116269.91</v>
      </c>
      <c r="I3759" s="11">
        <f t="shared" si="160"/>
        <v>45370</v>
      </c>
      <c r="J3759" s="12">
        <f t="shared" si="161"/>
        <v>13</v>
      </c>
      <c r="K3759" t="str">
        <f t="shared" si="159"/>
        <v>0-30</v>
      </c>
      <c r="L3759" s="11">
        <v>45383</v>
      </c>
      <c r="M3759" s="23">
        <f>YEAR(Таблица1[[#This Row],[Дата отчета]])</f>
        <v>2024</v>
      </c>
    </row>
    <row r="3760" spans="1:14" x14ac:dyDescent="0.25">
      <c r="A3760" t="s">
        <v>12</v>
      </c>
      <c r="B3760" t="s">
        <v>804</v>
      </c>
      <c r="C3760" t="s">
        <v>4105</v>
      </c>
      <c r="D3760" t="s">
        <v>4106</v>
      </c>
      <c r="E3760" t="s">
        <v>3328</v>
      </c>
      <c r="F3760" s="20">
        <v>840000</v>
      </c>
      <c r="I3760" s="11">
        <f t="shared" si="160"/>
        <v>45328</v>
      </c>
      <c r="J3760" s="12">
        <f t="shared" si="161"/>
        <v>55</v>
      </c>
      <c r="K3760" t="str">
        <f t="shared" si="159"/>
        <v>31-90</v>
      </c>
      <c r="L3760" s="11">
        <v>45383</v>
      </c>
      <c r="M3760" s="23">
        <f>YEAR(Таблица1[[#This Row],[Дата отчета]])</f>
        <v>2024</v>
      </c>
    </row>
    <row r="3761" spans="1:14" x14ac:dyDescent="0.25">
      <c r="A3761" t="s">
        <v>12</v>
      </c>
      <c r="B3761" t="s">
        <v>804</v>
      </c>
      <c r="C3761" t="s">
        <v>4107</v>
      </c>
      <c r="D3761" t="s">
        <v>4108</v>
      </c>
      <c r="E3761" t="s">
        <v>3328</v>
      </c>
      <c r="F3761" s="20">
        <v>840000</v>
      </c>
      <c r="I3761" s="11">
        <f t="shared" si="160"/>
        <v>45328</v>
      </c>
      <c r="J3761" s="12">
        <f t="shared" si="161"/>
        <v>55</v>
      </c>
      <c r="K3761" t="str">
        <f t="shared" si="159"/>
        <v>31-90</v>
      </c>
      <c r="L3761" s="11">
        <v>45383</v>
      </c>
      <c r="M3761" s="23">
        <f>YEAR(Таблица1[[#This Row],[Дата отчета]])</f>
        <v>2024</v>
      </c>
    </row>
    <row r="3762" spans="1:14" x14ac:dyDescent="0.25">
      <c r="A3762" t="s">
        <v>12</v>
      </c>
      <c r="B3762" t="s">
        <v>804</v>
      </c>
      <c r="C3762" t="s">
        <v>4109</v>
      </c>
      <c r="D3762" t="s">
        <v>4110</v>
      </c>
      <c r="E3762" t="s">
        <v>3328</v>
      </c>
      <c r="F3762" s="20">
        <v>840000</v>
      </c>
      <c r="I3762" s="11">
        <f t="shared" si="160"/>
        <v>45328</v>
      </c>
      <c r="J3762" s="12">
        <f t="shared" si="161"/>
        <v>55</v>
      </c>
      <c r="K3762" t="str">
        <f t="shared" si="159"/>
        <v>31-90</v>
      </c>
      <c r="L3762" s="11">
        <v>45383</v>
      </c>
      <c r="M3762" s="23">
        <f>YEAR(Таблица1[[#This Row],[Дата отчета]])</f>
        <v>2024</v>
      </c>
    </row>
    <row r="3763" spans="1:14" x14ac:dyDescent="0.25">
      <c r="A3763" t="s">
        <v>12</v>
      </c>
      <c r="B3763" t="s">
        <v>804</v>
      </c>
      <c r="C3763" t="s">
        <v>4111</v>
      </c>
      <c r="D3763" t="s">
        <v>4112</v>
      </c>
      <c r="E3763" t="s">
        <v>3328</v>
      </c>
      <c r="F3763" s="20">
        <v>1065000</v>
      </c>
      <c r="I3763" s="11">
        <f t="shared" si="160"/>
        <v>45328</v>
      </c>
      <c r="J3763" s="12">
        <f t="shared" si="161"/>
        <v>55</v>
      </c>
      <c r="K3763" t="str">
        <f t="shared" si="159"/>
        <v>31-90</v>
      </c>
      <c r="L3763" s="11">
        <v>45383</v>
      </c>
      <c r="M3763" s="23">
        <f>YEAR(Таблица1[[#This Row],[Дата отчета]])</f>
        <v>2024</v>
      </c>
    </row>
    <row r="3764" spans="1:14" x14ac:dyDescent="0.25">
      <c r="A3764" t="s">
        <v>12</v>
      </c>
      <c r="B3764" t="s">
        <v>804</v>
      </c>
      <c r="C3764" t="s">
        <v>4113</v>
      </c>
      <c r="D3764" t="s">
        <v>4114</v>
      </c>
      <c r="E3764" t="s">
        <v>3832</v>
      </c>
      <c r="F3764" s="20">
        <v>33200</v>
      </c>
      <c r="I3764" s="11">
        <f t="shared" si="160"/>
        <v>45350</v>
      </c>
      <c r="J3764" s="12">
        <f t="shared" si="161"/>
        <v>33</v>
      </c>
      <c r="K3764" t="str">
        <f t="shared" si="159"/>
        <v>31-90</v>
      </c>
      <c r="L3764" s="11">
        <v>45383</v>
      </c>
      <c r="M3764" s="23">
        <f>YEAR(Таблица1[[#This Row],[Дата отчета]])</f>
        <v>2024</v>
      </c>
    </row>
    <row r="3765" spans="1:14" x14ac:dyDescent="0.25">
      <c r="A3765" t="s">
        <v>12</v>
      </c>
      <c r="B3765" t="s">
        <v>804</v>
      </c>
      <c r="C3765" t="s">
        <v>4115</v>
      </c>
      <c r="D3765" t="s">
        <v>4116</v>
      </c>
      <c r="E3765" t="s">
        <v>3832</v>
      </c>
      <c r="F3765" s="20">
        <v>102000</v>
      </c>
      <c r="I3765" s="11">
        <f t="shared" si="160"/>
        <v>45350</v>
      </c>
      <c r="J3765" s="12">
        <f t="shared" si="161"/>
        <v>33</v>
      </c>
      <c r="K3765" t="str">
        <f t="shared" si="159"/>
        <v>31-90</v>
      </c>
      <c r="L3765" s="11">
        <v>45383</v>
      </c>
      <c r="M3765" s="23">
        <f>YEAR(Таблица1[[#This Row],[Дата отчета]])</f>
        <v>2024</v>
      </c>
    </row>
    <row r="3766" spans="1:14" x14ac:dyDescent="0.25">
      <c r="A3766" t="s">
        <v>12</v>
      </c>
      <c r="B3766" t="s">
        <v>804</v>
      </c>
      <c r="C3766" t="s">
        <v>4117</v>
      </c>
      <c r="D3766" t="s">
        <v>4118</v>
      </c>
      <c r="E3766" t="s">
        <v>3875</v>
      </c>
      <c r="F3766" s="20">
        <v>102000</v>
      </c>
      <c r="I3766" s="11">
        <f t="shared" si="160"/>
        <v>45373</v>
      </c>
      <c r="J3766" s="12">
        <f t="shared" si="161"/>
        <v>10</v>
      </c>
      <c r="K3766" t="str">
        <f t="shared" si="159"/>
        <v>0-30</v>
      </c>
      <c r="L3766" s="11">
        <v>45383</v>
      </c>
      <c r="M3766" s="23">
        <f>YEAR(Таблица1[[#This Row],[Дата отчета]])</f>
        <v>2024</v>
      </c>
    </row>
    <row r="3767" spans="1:14" x14ac:dyDescent="0.25">
      <c r="A3767" t="s">
        <v>12</v>
      </c>
      <c r="B3767" t="s">
        <v>804</v>
      </c>
      <c r="C3767" t="s">
        <v>4119</v>
      </c>
      <c r="D3767" t="s">
        <v>4120</v>
      </c>
      <c r="E3767" t="s">
        <v>3875</v>
      </c>
      <c r="F3767" s="20">
        <v>34100</v>
      </c>
      <c r="I3767" s="11">
        <f t="shared" si="160"/>
        <v>45373</v>
      </c>
      <c r="J3767" s="12">
        <f t="shared" si="161"/>
        <v>10</v>
      </c>
      <c r="K3767" t="str">
        <f t="shared" si="159"/>
        <v>0-30</v>
      </c>
      <c r="L3767" s="11">
        <v>45383</v>
      </c>
      <c r="M3767" s="23">
        <f>YEAR(Таблица1[[#This Row],[Дата отчета]])</f>
        <v>2024</v>
      </c>
    </row>
    <row r="3768" spans="1:14" x14ac:dyDescent="0.25">
      <c r="A3768" t="s">
        <v>12</v>
      </c>
      <c r="B3768" t="s">
        <v>2318</v>
      </c>
      <c r="C3768" t="s">
        <v>3688</v>
      </c>
      <c r="D3768" t="s">
        <v>3689</v>
      </c>
      <c r="E3768" t="s">
        <v>3690</v>
      </c>
      <c r="F3768" s="20">
        <v>16897</v>
      </c>
      <c r="I3768" s="11">
        <f t="shared" si="160"/>
        <v>45378</v>
      </c>
      <c r="J3768" s="12">
        <f t="shared" si="161"/>
        <v>5</v>
      </c>
      <c r="K3768" t="str">
        <f t="shared" si="159"/>
        <v>0-30</v>
      </c>
      <c r="L3768" s="11">
        <v>45383</v>
      </c>
      <c r="M3768" s="23">
        <f>YEAR(Таблица1[[#This Row],[Дата отчета]])</f>
        <v>2024</v>
      </c>
    </row>
    <row r="3769" spans="1:14" x14ac:dyDescent="0.25">
      <c r="A3769" t="s">
        <v>12</v>
      </c>
      <c r="B3769" t="s">
        <v>844</v>
      </c>
      <c r="C3769" t="s">
        <v>845</v>
      </c>
      <c r="D3769" t="s">
        <v>846</v>
      </c>
      <c r="E3769" t="s">
        <v>847</v>
      </c>
      <c r="F3769" s="20">
        <v>11834</v>
      </c>
      <c r="I3769" s="11">
        <f t="shared" si="160"/>
        <v>45200</v>
      </c>
      <c r="J3769" s="12">
        <f t="shared" si="161"/>
        <v>183</v>
      </c>
      <c r="K3769" t="str">
        <f t="shared" si="159"/>
        <v>181-270</v>
      </c>
      <c r="L3769" s="11">
        <v>45383</v>
      </c>
      <c r="M3769" s="23">
        <f>YEAR(Таблица1[[#This Row],[Дата отчета]])</f>
        <v>2024</v>
      </c>
      <c r="N3769" s="2" t="s">
        <v>807</v>
      </c>
    </row>
    <row r="3770" spans="1:14" x14ac:dyDescent="0.25">
      <c r="A3770" t="s">
        <v>12</v>
      </c>
      <c r="B3770" t="s">
        <v>4121</v>
      </c>
      <c r="C3770" t="s">
        <v>4122</v>
      </c>
      <c r="D3770" t="s">
        <v>4123</v>
      </c>
      <c r="E3770" t="s">
        <v>3875</v>
      </c>
      <c r="F3770" s="20">
        <v>56400</v>
      </c>
      <c r="I3770" s="11">
        <f t="shared" si="160"/>
        <v>45373</v>
      </c>
      <c r="J3770" s="12">
        <f t="shared" si="161"/>
        <v>10</v>
      </c>
      <c r="K3770" t="str">
        <f t="shared" si="159"/>
        <v>0-30</v>
      </c>
      <c r="L3770" s="11">
        <v>45383</v>
      </c>
      <c r="M3770" s="23">
        <f>YEAR(Таблица1[[#This Row],[Дата отчета]])</f>
        <v>2024</v>
      </c>
    </row>
    <row r="3771" spans="1:14" x14ac:dyDescent="0.25">
      <c r="A3771" t="s">
        <v>12</v>
      </c>
      <c r="B3771" t="s">
        <v>3693</v>
      </c>
      <c r="C3771" t="s">
        <v>269</v>
      </c>
      <c r="D3771" t="s">
        <v>3152</v>
      </c>
      <c r="E3771" t="s">
        <v>3153</v>
      </c>
      <c r="F3771" s="20">
        <v>1287</v>
      </c>
      <c r="I3771" s="11">
        <f t="shared" si="160"/>
        <v>45357</v>
      </c>
      <c r="J3771" s="12">
        <f t="shared" si="161"/>
        <v>26</v>
      </c>
      <c r="K3771" t="str">
        <f t="shared" si="159"/>
        <v>0-30</v>
      </c>
      <c r="L3771" s="11">
        <v>45383</v>
      </c>
      <c r="M3771" s="23">
        <f>YEAR(Таблица1[[#This Row],[Дата отчета]])</f>
        <v>2024</v>
      </c>
    </row>
    <row r="3772" spans="1:14" x14ac:dyDescent="0.25">
      <c r="A3772" t="s">
        <v>12</v>
      </c>
      <c r="B3772" t="s">
        <v>4124</v>
      </c>
      <c r="C3772" t="s">
        <v>4125</v>
      </c>
      <c r="D3772" t="s">
        <v>4126</v>
      </c>
      <c r="E3772" t="s">
        <v>3453</v>
      </c>
      <c r="F3772" s="20">
        <v>25490000</v>
      </c>
      <c r="I3772" s="11">
        <f t="shared" si="160"/>
        <v>45369</v>
      </c>
      <c r="J3772" s="12">
        <f t="shared" si="161"/>
        <v>14</v>
      </c>
      <c r="K3772" t="str">
        <f t="shared" si="159"/>
        <v>0-30</v>
      </c>
      <c r="L3772" s="11">
        <v>45383</v>
      </c>
      <c r="M3772" s="23">
        <f>YEAR(Таблица1[[#This Row],[Дата отчета]])</f>
        <v>2024</v>
      </c>
    </row>
    <row r="3773" spans="1:14" x14ac:dyDescent="0.25">
      <c r="A3773" t="s">
        <v>12</v>
      </c>
      <c r="B3773" t="s">
        <v>854</v>
      </c>
      <c r="C3773" t="s">
        <v>4127</v>
      </c>
      <c r="D3773" t="s">
        <v>4128</v>
      </c>
      <c r="E3773" t="s">
        <v>3192</v>
      </c>
      <c r="F3773" s="20">
        <v>41580</v>
      </c>
      <c r="I3773" s="11">
        <f t="shared" si="160"/>
        <v>45331</v>
      </c>
      <c r="J3773" s="12">
        <f t="shared" si="161"/>
        <v>52</v>
      </c>
      <c r="K3773" t="str">
        <f t="shared" si="159"/>
        <v>31-90</v>
      </c>
      <c r="L3773" s="11">
        <v>45383</v>
      </c>
      <c r="M3773" s="23">
        <f>YEAR(Таблица1[[#This Row],[Дата отчета]])</f>
        <v>2024</v>
      </c>
    </row>
    <row r="3774" spans="1:14" x14ac:dyDescent="0.25">
      <c r="A3774" t="s">
        <v>12</v>
      </c>
      <c r="B3774" t="s">
        <v>854</v>
      </c>
      <c r="C3774" t="s">
        <v>857</v>
      </c>
      <c r="D3774" t="s">
        <v>858</v>
      </c>
      <c r="E3774" t="s">
        <v>859</v>
      </c>
      <c r="F3774" s="20">
        <v>9250</v>
      </c>
      <c r="I3774" s="11">
        <f t="shared" si="160"/>
        <v>45110</v>
      </c>
      <c r="J3774" s="12">
        <f t="shared" si="161"/>
        <v>273</v>
      </c>
      <c r="K3774" t="str">
        <f t="shared" si="159"/>
        <v>271-360</v>
      </c>
      <c r="L3774" s="11">
        <v>45383</v>
      </c>
      <c r="M3774" s="23">
        <f>YEAR(Таблица1[[#This Row],[Дата отчета]])</f>
        <v>2024</v>
      </c>
      <c r="N3774" s="2" t="s">
        <v>807</v>
      </c>
    </row>
    <row r="3775" spans="1:14" x14ac:dyDescent="0.25">
      <c r="A3775" t="s">
        <v>12</v>
      </c>
      <c r="B3775" t="s">
        <v>854</v>
      </c>
      <c r="C3775" t="s">
        <v>4129</v>
      </c>
      <c r="D3775" t="s">
        <v>4130</v>
      </c>
      <c r="E3775" t="s">
        <v>3453</v>
      </c>
      <c r="F3775" s="20">
        <v>1650000</v>
      </c>
      <c r="I3775" s="11">
        <f t="shared" si="160"/>
        <v>45369</v>
      </c>
      <c r="J3775" s="12">
        <f t="shared" si="161"/>
        <v>14</v>
      </c>
      <c r="K3775" t="str">
        <f t="shared" ref="K3775:K3840" si="162">IF(J3775&lt;=30,"0-30",IF(J3775&lt;=90,"31-90",IF(J3775&lt;=120,"91-120",IF(J3775&lt;=180,"121-180",IF(J3775&lt;=270,"181-270",IF(J3775&lt;=360,"271-360","&gt;360"))))))</f>
        <v>0-30</v>
      </c>
      <c r="L3775" s="11">
        <v>45383</v>
      </c>
      <c r="M3775" s="23">
        <f>YEAR(Таблица1[[#This Row],[Дата отчета]])</f>
        <v>2024</v>
      </c>
    </row>
    <row r="3776" spans="1:14" x14ac:dyDescent="0.25">
      <c r="A3776" t="s">
        <v>12</v>
      </c>
      <c r="B3776" t="s">
        <v>854</v>
      </c>
      <c r="C3776" t="s">
        <v>4131</v>
      </c>
      <c r="D3776" t="s">
        <v>4132</v>
      </c>
      <c r="E3776" t="s">
        <v>3802</v>
      </c>
      <c r="F3776" s="20">
        <v>1700000</v>
      </c>
      <c r="I3776" s="11">
        <f t="shared" si="160"/>
        <v>45371</v>
      </c>
      <c r="J3776" s="12">
        <f t="shared" si="161"/>
        <v>12</v>
      </c>
      <c r="K3776" t="str">
        <f t="shared" si="162"/>
        <v>0-30</v>
      </c>
      <c r="L3776" s="11">
        <v>45383</v>
      </c>
      <c r="M3776" s="23">
        <f>YEAR(Таблица1[[#This Row],[Дата отчета]])</f>
        <v>2024</v>
      </c>
    </row>
    <row r="3777" spans="1:14" x14ac:dyDescent="0.25">
      <c r="A3777" t="s">
        <v>12</v>
      </c>
      <c r="B3777" t="s">
        <v>854</v>
      </c>
      <c r="C3777" t="s">
        <v>4133</v>
      </c>
      <c r="D3777" t="s">
        <v>4134</v>
      </c>
      <c r="E3777" t="s">
        <v>3802</v>
      </c>
      <c r="F3777" s="20">
        <v>1650000</v>
      </c>
      <c r="I3777" s="11">
        <f t="shared" si="160"/>
        <v>45371</v>
      </c>
      <c r="J3777" s="12">
        <f t="shared" si="161"/>
        <v>12</v>
      </c>
      <c r="K3777" t="str">
        <f t="shared" si="162"/>
        <v>0-30</v>
      </c>
      <c r="L3777" s="11">
        <v>45383</v>
      </c>
      <c r="M3777" s="23">
        <f>YEAR(Таблица1[[#This Row],[Дата отчета]])</f>
        <v>2024</v>
      </c>
    </row>
    <row r="3778" spans="1:14" x14ac:dyDescent="0.25">
      <c r="A3778" t="s">
        <v>12</v>
      </c>
      <c r="B3778" t="s">
        <v>854</v>
      </c>
      <c r="C3778" t="s">
        <v>4135</v>
      </c>
      <c r="D3778" t="s">
        <v>4136</v>
      </c>
      <c r="E3778" t="s">
        <v>3875</v>
      </c>
      <c r="F3778" s="20">
        <v>1550000</v>
      </c>
      <c r="I3778" s="11">
        <f t="shared" si="160"/>
        <v>45373</v>
      </c>
      <c r="J3778" s="12">
        <f t="shared" si="161"/>
        <v>10</v>
      </c>
      <c r="K3778" t="str">
        <f t="shared" si="162"/>
        <v>0-30</v>
      </c>
      <c r="L3778" s="11">
        <v>45383</v>
      </c>
      <c r="M3778" s="23">
        <f>YEAR(Таблица1[[#This Row],[Дата отчета]])</f>
        <v>2024</v>
      </c>
    </row>
    <row r="3779" spans="1:14" x14ac:dyDescent="0.25">
      <c r="A3779" t="s">
        <v>12</v>
      </c>
      <c r="B3779" t="s">
        <v>854</v>
      </c>
      <c r="C3779" t="s">
        <v>4137</v>
      </c>
      <c r="D3779" t="s">
        <v>4138</v>
      </c>
      <c r="E3779" t="s">
        <v>3875</v>
      </c>
      <c r="F3779" s="20">
        <v>17826</v>
      </c>
      <c r="I3779" s="11">
        <f t="shared" si="160"/>
        <v>45373</v>
      </c>
      <c r="J3779" s="12">
        <f t="shared" si="161"/>
        <v>10</v>
      </c>
      <c r="K3779" t="str">
        <f t="shared" si="162"/>
        <v>0-30</v>
      </c>
      <c r="L3779" s="11">
        <v>45383</v>
      </c>
      <c r="M3779" s="23">
        <f>YEAR(Таблица1[[#This Row],[Дата отчета]])</f>
        <v>2024</v>
      </c>
    </row>
    <row r="3780" spans="1:14" x14ac:dyDescent="0.25">
      <c r="A3780" t="s">
        <v>12</v>
      </c>
      <c r="B3780" t="s">
        <v>854</v>
      </c>
      <c r="C3780" t="s">
        <v>4139</v>
      </c>
      <c r="D3780" t="s">
        <v>4140</v>
      </c>
      <c r="E3780" t="s">
        <v>3690</v>
      </c>
      <c r="F3780" s="20">
        <v>13595</v>
      </c>
      <c r="I3780" s="11">
        <f t="shared" si="160"/>
        <v>45378</v>
      </c>
      <c r="J3780" s="12">
        <f t="shared" si="161"/>
        <v>5</v>
      </c>
      <c r="K3780" t="str">
        <f t="shared" si="162"/>
        <v>0-30</v>
      </c>
      <c r="L3780" s="11">
        <v>45383</v>
      </c>
      <c r="M3780" s="23">
        <f>YEAR(Таблица1[[#This Row],[Дата отчета]])</f>
        <v>2024</v>
      </c>
    </row>
    <row r="3781" spans="1:14" x14ac:dyDescent="0.25">
      <c r="A3781" t="s">
        <v>12</v>
      </c>
      <c r="B3781" t="s">
        <v>854</v>
      </c>
      <c r="C3781" t="s">
        <v>860</v>
      </c>
      <c r="D3781" t="s">
        <v>861</v>
      </c>
      <c r="E3781" t="s">
        <v>862</v>
      </c>
      <c r="F3781" s="20">
        <v>4996</v>
      </c>
      <c r="I3781" s="11">
        <f t="shared" si="160"/>
        <v>45187</v>
      </c>
      <c r="J3781" s="12">
        <f t="shared" si="161"/>
        <v>196</v>
      </c>
      <c r="K3781" t="str">
        <f t="shared" si="162"/>
        <v>181-270</v>
      </c>
      <c r="L3781" s="11">
        <v>45383</v>
      </c>
      <c r="M3781" s="23">
        <f>YEAR(Таблица1[[#This Row],[Дата отчета]])</f>
        <v>2024</v>
      </c>
      <c r="N3781" s="2" t="s">
        <v>807</v>
      </c>
    </row>
    <row r="3782" spans="1:14" x14ac:dyDescent="0.25">
      <c r="A3782" t="s">
        <v>12</v>
      </c>
      <c r="B3782" t="s">
        <v>854</v>
      </c>
      <c r="C3782" t="s">
        <v>866</v>
      </c>
      <c r="D3782" t="s">
        <v>867</v>
      </c>
      <c r="E3782" t="s">
        <v>868</v>
      </c>
      <c r="F3782" s="20">
        <v>2640</v>
      </c>
      <c r="I3782" s="11">
        <f t="shared" si="160"/>
        <v>45252</v>
      </c>
      <c r="J3782" s="12">
        <f t="shared" si="161"/>
        <v>131</v>
      </c>
      <c r="K3782" t="str">
        <f t="shared" si="162"/>
        <v>121-180</v>
      </c>
      <c r="L3782" s="11">
        <v>45383</v>
      </c>
      <c r="M3782" s="23">
        <f>YEAR(Таблица1[[#This Row],[Дата отчета]])</f>
        <v>2024</v>
      </c>
      <c r="N3782" s="2" t="s">
        <v>807</v>
      </c>
    </row>
    <row r="3783" spans="1:14" x14ac:dyDescent="0.25">
      <c r="A3783" t="s">
        <v>12</v>
      </c>
      <c r="B3783" t="s">
        <v>894</v>
      </c>
      <c r="C3783" t="s">
        <v>895</v>
      </c>
      <c r="D3783" t="s">
        <v>896</v>
      </c>
      <c r="E3783" t="s">
        <v>897</v>
      </c>
      <c r="F3783" s="20">
        <v>2400</v>
      </c>
      <c r="I3783" s="11">
        <f t="shared" si="160"/>
        <v>45022</v>
      </c>
      <c r="J3783" s="12">
        <f t="shared" si="161"/>
        <v>361</v>
      </c>
      <c r="K3783" t="str">
        <f t="shared" si="162"/>
        <v>&gt;360</v>
      </c>
      <c r="L3783" s="11">
        <v>45383</v>
      </c>
      <c r="M3783" s="23">
        <f>YEAR(Таблица1[[#This Row],[Дата отчета]])</f>
        <v>2024</v>
      </c>
      <c r="N3783" s="2" t="s">
        <v>807</v>
      </c>
    </row>
    <row r="3784" spans="1:14" x14ac:dyDescent="0.25">
      <c r="A3784" t="s">
        <v>12</v>
      </c>
      <c r="B3784" t="s">
        <v>894</v>
      </c>
      <c r="C3784" t="s">
        <v>898</v>
      </c>
      <c r="D3784" t="s">
        <v>899</v>
      </c>
      <c r="E3784" t="s">
        <v>900</v>
      </c>
      <c r="F3784" s="20">
        <v>22029</v>
      </c>
      <c r="I3784" s="11">
        <f t="shared" si="160"/>
        <v>45203</v>
      </c>
      <c r="J3784" s="12">
        <f t="shared" si="161"/>
        <v>180</v>
      </c>
      <c r="K3784" t="str">
        <f t="shared" si="162"/>
        <v>121-180</v>
      </c>
      <c r="L3784" s="11">
        <v>45383</v>
      </c>
      <c r="M3784" s="23">
        <f>YEAR(Таблица1[[#This Row],[Дата отчета]])</f>
        <v>2024</v>
      </c>
      <c r="N3784" s="2" t="s">
        <v>807</v>
      </c>
    </row>
    <row r="3785" spans="1:14" x14ac:dyDescent="0.25">
      <c r="A3785" t="s">
        <v>12</v>
      </c>
      <c r="B3785" t="s">
        <v>901</v>
      </c>
      <c r="C3785" t="s">
        <v>775</v>
      </c>
      <c r="D3785" t="s">
        <v>902</v>
      </c>
      <c r="E3785" t="s">
        <v>903</v>
      </c>
      <c r="F3785" s="20">
        <v>270</v>
      </c>
      <c r="I3785" s="11">
        <f t="shared" si="160"/>
        <v>43679</v>
      </c>
      <c r="J3785" s="12">
        <f t="shared" si="161"/>
        <v>1704</v>
      </c>
      <c r="K3785" t="str">
        <f t="shared" si="162"/>
        <v>&gt;360</v>
      </c>
      <c r="L3785" s="11">
        <v>45383</v>
      </c>
      <c r="M3785" s="23">
        <f>YEAR(Таблица1[[#This Row],[Дата отчета]])</f>
        <v>2024</v>
      </c>
      <c r="N3785" s="2" t="s">
        <v>807</v>
      </c>
    </row>
    <row r="3786" spans="1:14" x14ac:dyDescent="0.25">
      <c r="A3786" t="s">
        <v>12</v>
      </c>
      <c r="B3786" t="s">
        <v>4141</v>
      </c>
      <c r="C3786" t="s">
        <v>4142</v>
      </c>
      <c r="D3786" t="s">
        <v>4143</v>
      </c>
      <c r="E3786" t="s">
        <v>3802</v>
      </c>
      <c r="F3786" s="20">
        <v>751446.96</v>
      </c>
      <c r="I3786" s="11">
        <f t="shared" si="160"/>
        <v>45371</v>
      </c>
      <c r="J3786" s="12">
        <f t="shared" si="161"/>
        <v>12</v>
      </c>
      <c r="K3786" t="str">
        <f t="shared" si="162"/>
        <v>0-30</v>
      </c>
      <c r="L3786" s="11">
        <v>45383</v>
      </c>
      <c r="M3786" s="23">
        <f>YEAR(Таблица1[[#This Row],[Дата отчета]])</f>
        <v>2024</v>
      </c>
    </row>
    <row r="3787" spans="1:14" x14ac:dyDescent="0.25">
      <c r="A3787" t="s">
        <v>12</v>
      </c>
      <c r="B3787" t="s">
        <v>915</v>
      </c>
      <c r="C3787" t="s">
        <v>4144</v>
      </c>
      <c r="D3787" t="s">
        <v>4145</v>
      </c>
      <c r="E3787" t="s">
        <v>3819</v>
      </c>
      <c r="F3787" s="20">
        <v>5626879.7999999998</v>
      </c>
      <c r="I3787" s="11">
        <f t="shared" si="160"/>
        <v>45337</v>
      </c>
      <c r="J3787" s="12">
        <f t="shared" si="161"/>
        <v>46</v>
      </c>
      <c r="K3787" t="str">
        <f t="shared" si="162"/>
        <v>31-90</v>
      </c>
      <c r="L3787" s="11">
        <v>45383</v>
      </c>
      <c r="M3787" s="23">
        <f>YEAR(Таблица1[[#This Row],[Дата отчета]])</f>
        <v>2024</v>
      </c>
    </row>
    <row r="3788" spans="1:14" x14ac:dyDescent="0.25">
      <c r="A3788" t="s">
        <v>12</v>
      </c>
      <c r="B3788" t="s">
        <v>4146</v>
      </c>
      <c r="C3788" t="s">
        <v>4147</v>
      </c>
      <c r="D3788" t="s">
        <v>4148</v>
      </c>
      <c r="E3788" t="s">
        <v>3279</v>
      </c>
      <c r="F3788" s="20">
        <v>171720</v>
      </c>
      <c r="I3788" s="11">
        <f t="shared" si="160"/>
        <v>45267</v>
      </c>
      <c r="J3788" s="12">
        <f t="shared" si="161"/>
        <v>116</v>
      </c>
      <c r="K3788" t="str">
        <f t="shared" si="162"/>
        <v>91-120</v>
      </c>
      <c r="L3788" s="11">
        <v>45383</v>
      </c>
      <c r="M3788" s="23">
        <f>YEAR(Таблица1[[#This Row],[Дата отчета]])</f>
        <v>2024</v>
      </c>
    </row>
    <row r="3789" spans="1:14" x14ac:dyDescent="0.25">
      <c r="A3789" t="s">
        <v>12</v>
      </c>
      <c r="B3789" t="s">
        <v>4146</v>
      </c>
      <c r="C3789" t="s">
        <v>4147</v>
      </c>
      <c r="D3789" t="s">
        <v>4149</v>
      </c>
      <c r="E3789" t="s">
        <v>4150</v>
      </c>
      <c r="F3789" s="20">
        <v>171720</v>
      </c>
      <c r="I3789" s="11">
        <f t="shared" si="160"/>
        <v>45285</v>
      </c>
      <c r="J3789" s="12">
        <f t="shared" si="161"/>
        <v>98</v>
      </c>
      <c r="K3789" t="str">
        <f t="shared" si="162"/>
        <v>91-120</v>
      </c>
      <c r="L3789" s="11">
        <v>45383</v>
      </c>
      <c r="M3789" s="23">
        <f>YEAR(Таблица1[[#This Row],[Дата отчета]])</f>
        <v>2024</v>
      </c>
    </row>
    <row r="3790" spans="1:14" x14ac:dyDescent="0.25">
      <c r="A3790" t="s">
        <v>12</v>
      </c>
      <c r="B3790" t="s">
        <v>2349</v>
      </c>
      <c r="C3790" t="s">
        <v>3734</v>
      </c>
      <c r="D3790" t="s">
        <v>4151</v>
      </c>
      <c r="E3790" t="s">
        <v>3328</v>
      </c>
      <c r="F3790" s="20">
        <v>50635.199999999997</v>
      </c>
      <c r="I3790" s="11">
        <f t="shared" si="160"/>
        <v>45328</v>
      </c>
      <c r="J3790" s="12">
        <f t="shared" si="161"/>
        <v>55</v>
      </c>
      <c r="K3790" t="str">
        <f t="shared" si="162"/>
        <v>31-90</v>
      </c>
      <c r="L3790" s="11">
        <v>45383</v>
      </c>
      <c r="M3790" s="23">
        <f>YEAR(Таблица1[[#This Row],[Дата отчета]])</f>
        <v>2024</v>
      </c>
    </row>
    <row r="3791" spans="1:14" x14ac:dyDescent="0.25">
      <c r="A3791" t="s">
        <v>12</v>
      </c>
      <c r="B3791" t="s">
        <v>2827</v>
      </c>
      <c r="C3791" t="s">
        <v>3274</v>
      </c>
      <c r="D3791" t="s">
        <v>3275</v>
      </c>
      <c r="E3791" t="s">
        <v>3276</v>
      </c>
      <c r="F3791" s="20">
        <v>1425656</v>
      </c>
      <c r="I3791" s="11">
        <f t="shared" si="160"/>
        <v>45364</v>
      </c>
      <c r="J3791" s="12">
        <f t="shared" si="161"/>
        <v>19</v>
      </c>
      <c r="K3791" t="str">
        <f t="shared" si="162"/>
        <v>0-30</v>
      </c>
      <c r="L3791" s="11">
        <v>45383</v>
      </c>
      <c r="M3791" s="23">
        <f>YEAR(Таблица1[[#This Row],[Дата отчета]])</f>
        <v>2024</v>
      </c>
    </row>
    <row r="3792" spans="1:14" x14ac:dyDescent="0.25">
      <c r="A3792" t="s">
        <v>12</v>
      </c>
      <c r="B3792" t="s">
        <v>2827</v>
      </c>
      <c r="C3792" t="s">
        <v>3277</v>
      </c>
      <c r="D3792" t="s">
        <v>3278</v>
      </c>
      <c r="E3792" t="s">
        <v>3279</v>
      </c>
      <c r="F3792" s="20">
        <v>6050</v>
      </c>
      <c r="I3792" s="11">
        <f t="shared" si="160"/>
        <v>45267</v>
      </c>
      <c r="J3792" s="12">
        <f t="shared" si="161"/>
        <v>116</v>
      </c>
      <c r="K3792" t="str">
        <f t="shared" si="162"/>
        <v>91-120</v>
      </c>
      <c r="L3792" s="11">
        <v>45383</v>
      </c>
      <c r="M3792" s="23">
        <f>YEAR(Таблица1[[#This Row],[Дата отчета]])</f>
        <v>2024</v>
      </c>
    </row>
    <row r="3793" spans="1:14" x14ac:dyDescent="0.25">
      <c r="A3793" t="s">
        <v>12</v>
      </c>
      <c r="B3793" t="s">
        <v>2827</v>
      </c>
      <c r="C3793" t="s">
        <v>3280</v>
      </c>
      <c r="D3793" t="s">
        <v>3281</v>
      </c>
      <c r="E3793" t="s">
        <v>3282</v>
      </c>
      <c r="F3793" s="20">
        <v>11000</v>
      </c>
      <c r="I3793" s="11">
        <f t="shared" si="160"/>
        <v>45313</v>
      </c>
      <c r="J3793" s="12">
        <f t="shared" si="161"/>
        <v>70</v>
      </c>
      <c r="K3793" t="str">
        <f t="shared" si="162"/>
        <v>31-90</v>
      </c>
      <c r="L3793" s="11">
        <v>45383</v>
      </c>
      <c r="M3793" s="23">
        <f>YEAR(Таблица1[[#This Row],[Дата отчета]])</f>
        <v>2024</v>
      </c>
    </row>
    <row r="3794" spans="1:14" x14ac:dyDescent="0.25">
      <c r="A3794" t="s">
        <v>12</v>
      </c>
      <c r="B3794" t="s">
        <v>3283</v>
      </c>
      <c r="C3794" t="s">
        <v>3284</v>
      </c>
      <c r="D3794" t="s">
        <v>3285</v>
      </c>
      <c r="E3794" t="s">
        <v>3286</v>
      </c>
      <c r="F3794" s="20">
        <v>50000</v>
      </c>
      <c r="I3794" s="11">
        <f t="shared" si="160"/>
        <v>44405</v>
      </c>
      <c r="J3794" s="12">
        <f t="shared" si="161"/>
        <v>978</v>
      </c>
      <c r="K3794" t="str">
        <f t="shared" si="162"/>
        <v>&gt;360</v>
      </c>
      <c r="L3794" s="11">
        <v>45383</v>
      </c>
      <c r="M3794" s="23">
        <f>YEAR(Таблица1[[#This Row],[Дата отчета]])</f>
        <v>2024</v>
      </c>
    </row>
    <row r="3795" spans="1:14" x14ac:dyDescent="0.25">
      <c r="A3795" t="s">
        <v>12</v>
      </c>
      <c r="B3795" t="s">
        <v>965</v>
      </c>
      <c r="C3795" t="s">
        <v>966</v>
      </c>
      <c r="D3795" t="s">
        <v>4152</v>
      </c>
      <c r="E3795" t="s">
        <v>3394</v>
      </c>
      <c r="F3795" s="20">
        <v>235000</v>
      </c>
      <c r="I3795" s="11">
        <f t="shared" si="160"/>
        <v>45379</v>
      </c>
      <c r="J3795" s="12">
        <f t="shared" si="161"/>
        <v>4</v>
      </c>
      <c r="K3795" t="str">
        <f t="shared" si="162"/>
        <v>0-30</v>
      </c>
      <c r="L3795" s="11">
        <v>45383</v>
      </c>
      <c r="M3795" s="23">
        <f>YEAR(Таблица1[[#This Row],[Дата отчета]])</f>
        <v>2024</v>
      </c>
      <c r="N3795" s="7" t="s">
        <v>4536</v>
      </c>
    </row>
    <row r="3796" spans="1:14" x14ac:dyDescent="0.25">
      <c r="A3796" t="s">
        <v>12</v>
      </c>
      <c r="B3796" t="s">
        <v>965</v>
      </c>
      <c r="C3796" t="s">
        <v>2835</v>
      </c>
      <c r="D3796" t="s">
        <v>4153</v>
      </c>
      <c r="E3796" t="s">
        <v>3394</v>
      </c>
      <c r="F3796" s="20">
        <v>1197</v>
      </c>
      <c r="I3796" s="11">
        <f t="shared" si="160"/>
        <v>45379</v>
      </c>
      <c r="J3796" s="12">
        <f t="shared" si="161"/>
        <v>4</v>
      </c>
      <c r="K3796" t="str">
        <f t="shared" si="162"/>
        <v>0-30</v>
      </c>
      <c r="L3796" s="11">
        <v>45383</v>
      </c>
      <c r="M3796" s="23">
        <f>YEAR(Таблица1[[#This Row],[Дата отчета]])</f>
        <v>2024</v>
      </c>
    </row>
    <row r="3797" spans="1:14" x14ac:dyDescent="0.25">
      <c r="A3797" t="s">
        <v>12</v>
      </c>
      <c r="B3797" t="s">
        <v>965</v>
      </c>
      <c r="C3797" t="s">
        <v>4154</v>
      </c>
      <c r="D3797" t="s">
        <v>4155</v>
      </c>
      <c r="E3797" t="s">
        <v>3394</v>
      </c>
      <c r="F3797" s="20">
        <v>260500</v>
      </c>
      <c r="I3797" s="11">
        <f t="shared" si="160"/>
        <v>45379</v>
      </c>
      <c r="J3797" s="12">
        <f t="shared" si="161"/>
        <v>4</v>
      </c>
      <c r="K3797" t="str">
        <f t="shared" si="162"/>
        <v>0-30</v>
      </c>
      <c r="L3797" s="11">
        <v>45383</v>
      </c>
      <c r="M3797" s="23">
        <f>YEAR(Таблица1[[#This Row],[Дата отчета]])</f>
        <v>2024</v>
      </c>
    </row>
    <row r="3798" spans="1:14" x14ac:dyDescent="0.25">
      <c r="A3798" t="s">
        <v>12</v>
      </c>
      <c r="B3798" t="s">
        <v>2382</v>
      </c>
      <c r="C3798" t="s">
        <v>269</v>
      </c>
      <c r="D3798" t="s">
        <v>3291</v>
      </c>
      <c r="E3798" t="s">
        <v>3292</v>
      </c>
      <c r="F3798" s="20">
        <v>2000</v>
      </c>
      <c r="I3798" s="11">
        <f t="shared" si="160"/>
        <v>45358</v>
      </c>
      <c r="J3798" s="12">
        <f t="shared" si="161"/>
        <v>25</v>
      </c>
      <c r="K3798" t="str">
        <f t="shared" si="162"/>
        <v>0-30</v>
      </c>
      <c r="L3798" s="11">
        <v>45383</v>
      </c>
      <c r="M3798" s="23">
        <f>YEAR(Таблица1[[#This Row],[Дата отчета]])</f>
        <v>2024</v>
      </c>
    </row>
    <row r="3799" spans="1:14" x14ac:dyDescent="0.25">
      <c r="A3799" t="s">
        <v>12</v>
      </c>
      <c r="B3799" t="s">
        <v>2382</v>
      </c>
      <c r="C3799" t="s">
        <v>269</v>
      </c>
      <c r="D3799" t="s">
        <v>3356</v>
      </c>
      <c r="E3799" t="s">
        <v>3357</v>
      </c>
      <c r="F3799" s="20">
        <v>1250</v>
      </c>
      <c r="I3799" s="11">
        <f t="shared" si="160"/>
        <v>45370</v>
      </c>
      <c r="J3799" s="12">
        <f t="shared" si="161"/>
        <v>13</v>
      </c>
      <c r="K3799" t="str">
        <f t="shared" si="162"/>
        <v>0-30</v>
      </c>
      <c r="L3799" s="11">
        <v>45383</v>
      </c>
      <c r="M3799" s="23">
        <f>YEAR(Таблица1[[#This Row],[Дата отчета]])</f>
        <v>2024</v>
      </c>
    </row>
    <row r="3800" spans="1:14" x14ac:dyDescent="0.25">
      <c r="A3800" t="s">
        <v>12</v>
      </c>
      <c r="B3800" t="s">
        <v>4156</v>
      </c>
      <c r="C3800" t="s">
        <v>4157</v>
      </c>
      <c r="D3800" t="s">
        <v>4158</v>
      </c>
      <c r="E3800" t="s">
        <v>3888</v>
      </c>
      <c r="F3800" s="20">
        <v>44064</v>
      </c>
      <c r="I3800" s="11">
        <f t="shared" si="160"/>
        <v>45380</v>
      </c>
      <c r="J3800" s="12">
        <f t="shared" si="161"/>
        <v>3</v>
      </c>
      <c r="K3800" t="str">
        <f t="shared" si="162"/>
        <v>0-30</v>
      </c>
      <c r="L3800" s="11">
        <v>45383</v>
      </c>
      <c r="M3800" s="23">
        <f>YEAR(Таблица1[[#This Row],[Дата отчета]])</f>
        <v>2024</v>
      </c>
    </row>
    <row r="3801" spans="1:14" x14ac:dyDescent="0.25">
      <c r="A3801" t="s">
        <v>12</v>
      </c>
      <c r="B3801" t="s">
        <v>1733</v>
      </c>
      <c r="C3801" t="s">
        <v>3747</v>
      </c>
      <c r="D3801" t="s">
        <v>3356</v>
      </c>
      <c r="E3801" t="s">
        <v>3357</v>
      </c>
      <c r="F3801" s="20">
        <v>3570</v>
      </c>
      <c r="I3801" s="11">
        <f t="shared" si="160"/>
        <v>45370</v>
      </c>
      <c r="J3801" s="12">
        <f t="shared" si="161"/>
        <v>13</v>
      </c>
      <c r="K3801" t="str">
        <f t="shared" si="162"/>
        <v>0-30</v>
      </c>
      <c r="L3801" s="11">
        <v>45383</v>
      </c>
      <c r="M3801" s="23">
        <f>YEAR(Таблица1[[#This Row],[Дата отчета]])</f>
        <v>2024</v>
      </c>
    </row>
    <row r="3802" spans="1:14" x14ac:dyDescent="0.25">
      <c r="A3802" t="s">
        <v>12</v>
      </c>
      <c r="B3802" t="s">
        <v>1736</v>
      </c>
      <c r="C3802" t="s">
        <v>1737</v>
      </c>
      <c r="D3802" t="s">
        <v>1738</v>
      </c>
      <c r="E3802" t="s">
        <v>1816</v>
      </c>
      <c r="F3802" s="20">
        <v>2974.3</v>
      </c>
      <c r="I3802" s="11">
        <f t="shared" si="160"/>
        <v>44594</v>
      </c>
      <c r="J3802" s="12">
        <f t="shared" si="161"/>
        <v>789</v>
      </c>
      <c r="K3802" t="str">
        <f t="shared" si="162"/>
        <v>&gt;360</v>
      </c>
      <c r="L3802" s="11">
        <v>45383</v>
      </c>
      <c r="M3802" s="23">
        <f>YEAR(Таблица1[[#This Row],[Дата отчета]])</f>
        <v>2024</v>
      </c>
      <c r="N3802" t="s">
        <v>4538</v>
      </c>
    </row>
    <row r="3803" spans="1:14" x14ac:dyDescent="0.25">
      <c r="A3803" t="s">
        <v>12</v>
      </c>
      <c r="B3803" t="s">
        <v>1005</v>
      </c>
      <c r="C3803" t="s">
        <v>4159</v>
      </c>
      <c r="D3803" t="s">
        <v>4160</v>
      </c>
      <c r="E3803" t="s">
        <v>3816</v>
      </c>
      <c r="F3803" s="20">
        <v>154969</v>
      </c>
      <c r="I3803" s="11">
        <f t="shared" si="160"/>
        <v>45366</v>
      </c>
      <c r="J3803" s="12">
        <f t="shared" si="161"/>
        <v>17</v>
      </c>
      <c r="K3803" t="str">
        <f t="shared" si="162"/>
        <v>0-30</v>
      </c>
      <c r="L3803" s="11">
        <v>45383</v>
      </c>
      <c r="M3803" s="23">
        <f>YEAR(Таблица1[[#This Row],[Дата отчета]])</f>
        <v>2024</v>
      </c>
    </row>
    <row r="3804" spans="1:14" x14ac:dyDescent="0.25">
      <c r="A3804" t="s">
        <v>12</v>
      </c>
      <c r="B3804" t="s">
        <v>1011</v>
      </c>
      <c r="C3804" t="s">
        <v>1012</v>
      </c>
      <c r="D3804" t="s">
        <v>1013</v>
      </c>
      <c r="E3804" t="s">
        <v>1014</v>
      </c>
      <c r="F3804" s="20">
        <v>0.01</v>
      </c>
      <c r="I3804" s="11">
        <f t="shared" si="160"/>
        <v>45224</v>
      </c>
      <c r="J3804" s="12">
        <f t="shared" si="161"/>
        <v>159</v>
      </c>
      <c r="K3804" t="str">
        <f t="shared" si="162"/>
        <v>121-180</v>
      </c>
      <c r="L3804" s="11">
        <v>45383</v>
      </c>
      <c r="M3804" s="23">
        <f>YEAR(Таблица1[[#This Row],[Дата отчета]])</f>
        <v>2024</v>
      </c>
    </row>
    <row r="3805" spans="1:14" x14ac:dyDescent="0.25">
      <c r="A3805" t="s">
        <v>12</v>
      </c>
      <c r="B3805" t="s">
        <v>1017</v>
      </c>
      <c r="C3805" t="s">
        <v>3299</v>
      </c>
      <c r="D3805" t="s">
        <v>3300</v>
      </c>
      <c r="E3805" t="s">
        <v>3301</v>
      </c>
      <c r="F3805" s="20">
        <v>45900</v>
      </c>
      <c r="I3805" s="11">
        <f t="shared" si="160"/>
        <v>45329</v>
      </c>
      <c r="J3805" s="12">
        <f t="shared" si="161"/>
        <v>54</v>
      </c>
      <c r="K3805" t="str">
        <f t="shared" si="162"/>
        <v>31-90</v>
      </c>
      <c r="L3805" s="11">
        <v>45383</v>
      </c>
      <c r="M3805" s="23">
        <f>YEAR(Таблица1[[#This Row],[Дата отчета]])</f>
        <v>2024</v>
      </c>
    </row>
    <row r="3806" spans="1:14" x14ac:dyDescent="0.25">
      <c r="A3806" t="s">
        <v>12</v>
      </c>
      <c r="B3806" t="s">
        <v>1024</v>
      </c>
      <c r="C3806" t="s">
        <v>3751</v>
      </c>
      <c r="D3806" t="s">
        <v>3752</v>
      </c>
      <c r="E3806" t="s">
        <v>3753</v>
      </c>
      <c r="F3806" s="20">
        <v>15500</v>
      </c>
      <c r="I3806" s="11">
        <f t="shared" si="160"/>
        <v>45197</v>
      </c>
      <c r="J3806" s="12">
        <f t="shared" si="161"/>
        <v>186</v>
      </c>
      <c r="K3806" t="str">
        <f t="shared" si="162"/>
        <v>181-270</v>
      </c>
      <c r="L3806" s="11">
        <v>45383</v>
      </c>
      <c r="M3806" s="23">
        <f>YEAR(Таблица1[[#This Row],[Дата отчета]])</f>
        <v>2024</v>
      </c>
    </row>
    <row r="3807" spans="1:14" x14ac:dyDescent="0.25">
      <c r="A3807" t="s">
        <v>12</v>
      </c>
      <c r="B3807" t="s">
        <v>4161</v>
      </c>
      <c r="C3807" t="s">
        <v>4162</v>
      </c>
      <c r="D3807" t="s">
        <v>4163</v>
      </c>
      <c r="E3807" t="s">
        <v>3888</v>
      </c>
      <c r="F3807" s="20">
        <v>80960</v>
      </c>
      <c r="I3807" s="11">
        <f t="shared" si="160"/>
        <v>45380</v>
      </c>
      <c r="J3807" s="12">
        <f t="shared" si="161"/>
        <v>3</v>
      </c>
      <c r="K3807" t="str">
        <f t="shared" si="162"/>
        <v>0-30</v>
      </c>
      <c r="L3807" s="11">
        <v>45383</v>
      </c>
      <c r="M3807" s="23">
        <f>YEAR(Таблица1[[#This Row],[Дата отчета]])</f>
        <v>2024</v>
      </c>
    </row>
    <row r="3808" spans="1:14" x14ac:dyDescent="0.25">
      <c r="A3808" t="s">
        <v>12</v>
      </c>
      <c r="B3808" t="s">
        <v>1053</v>
      </c>
      <c r="C3808" t="s">
        <v>3314</v>
      </c>
      <c r="D3808" t="s">
        <v>3315</v>
      </c>
      <c r="E3808" t="s">
        <v>3316</v>
      </c>
      <c r="F3808" s="20">
        <v>0.4</v>
      </c>
      <c r="I3808" s="11">
        <f t="shared" si="160"/>
        <v>45078</v>
      </c>
      <c r="J3808" s="12">
        <f t="shared" si="161"/>
        <v>305</v>
      </c>
      <c r="K3808" t="str">
        <f t="shared" si="162"/>
        <v>271-360</v>
      </c>
      <c r="L3808" s="11">
        <v>45383</v>
      </c>
      <c r="M3808" s="23">
        <f>YEAR(Таблица1[[#This Row],[Дата отчета]])</f>
        <v>2024</v>
      </c>
    </row>
    <row r="3809" spans="1:13" x14ac:dyDescent="0.25">
      <c r="A3809" t="s">
        <v>12</v>
      </c>
      <c r="B3809" t="s">
        <v>2417</v>
      </c>
      <c r="C3809" t="s">
        <v>3765</v>
      </c>
      <c r="D3809" t="s">
        <v>3766</v>
      </c>
      <c r="E3809" t="s">
        <v>868</v>
      </c>
      <c r="F3809" s="20">
        <v>313500</v>
      </c>
      <c r="I3809" s="11">
        <f t="shared" si="160"/>
        <v>45252</v>
      </c>
      <c r="J3809" s="12">
        <f t="shared" si="161"/>
        <v>131</v>
      </c>
      <c r="K3809" t="str">
        <f t="shared" si="162"/>
        <v>121-180</v>
      </c>
      <c r="L3809" s="11">
        <v>45383</v>
      </c>
      <c r="M3809" s="23">
        <f>YEAR(Таблица1[[#This Row],[Дата отчета]])</f>
        <v>2024</v>
      </c>
    </row>
    <row r="3810" spans="1:13" x14ac:dyDescent="0.25">
      <c r="A3810" t="s">
        <v>12</v>
      </c>
      <c r="B3810" t="s">
        <v>1068</v>
      </c>
      <c r="C3810" t="s">
        <v>1069</v>
      </c>
      <c r="D3810" t="s">
        <v>1070</v>
      </c>
      <c r="E3810" t="s">
        <v>1071</v>
      </c>
      <c r="F3810" s="20">
        <v>4</v>
      </c>
      <c r="I3810" s="11">
        <f t="shared" si="160"/>
        <v>44860</v>
      </c>
      <c r="J3810" s="12">
        <f t="shared" si="161"/>
        <v>523</v>
      </c>
      <c r="K3810" t="str">
        <f t="shared" si="162"/>
        <v>&gt;360</v>
      </c>
      <c r="L3810" s="11">
        <v>45383</v>
      </c>
      <c r="M3810" s="23">
        <f>YEAR(Таблица1[[#This Row],[Дата отчета]])</f>
        <v>2024</v>
      </c>
    </row>
    <row r="3811" spans="1:13" x14ac:dyDescent="0.25">
      <c r="A3811" t="s">
        <v>12</v>
      </c>
      <c r="B3811" t="s">
        <v>1068</v>
      </c>
      <c r="C3811" t="s">
        <v>3320</v>
      </c>
      <c r="D3811" t="s">
        <v>3321</v>
      </c>
      <c r="E3811" t="s">
        <v>3322</v>
      </c>
      <c r="F3811" s="20">
        <v>2094390</v>
      </c>
      <c r="I3811" s="11">
        <f t="shared" si="160"/>
        <v>45189</v>
      </c>
      <c r="J3811" s="12">
        <f t="shared" si="161"/>
        <v>194</v>
      </c>
      <c r="K3811" t="str">
        <f t="shared" si="162"/>
        <v>181-270</v>
      </c>
      <c r="L3811" s="11">
        <v>45383</v>
      </c>
      <c r="M3811" s="23">
        <f>YEAR(Таблица1[[#This Row],[Дата отчета]])</f>
        <v>2024</v>
      </c>
    </row>
    <row r="3812" spans="1:13" x14ac:dyDescent="0.25">
      <c r="A3812" t="s">
        <v>12</v>
      </c>
      <c r="B3812" t="s">
        <v>2859</v>
      </c>
      <c r="C3812" t="s">
        <v>269</v>
      </c>
      <c r="D3812" t="s">
        <v>4164</v>
      </c>
      <c r="E3812" t="s">
        <v>4165</v>
      </c>
      <c r="F3812" s="20">
        <v>60000</v>
      </c>
      <c r="I3812" s="11">
        <f t="shared" si="160"/>
        <v>45212</v>
      </c>
      <c r="J3812" s="12">
        <f t="shared" si="161"/>
        <v>171</v>
      </c>
      <c r="K3812" t="str">
        <f t="shared" si="162"/>
        <v>121-180</v>
      </c>
      <c r="L3812" s="11">
        <v>45383</v>
      </c>
      <c r="M3812" s="23">
        <f>YEAR(Таблица1[[#This Row],[Дата отчета]])</f>
        <v>2024</v>
      </c>
    </row>
    <row r="3813" spans="1:13" x14ac:dyDescent="0.25">
      <c r="A3813" t="s">
        <v>12</v>
      </c>
      <c r="B3813" t="s">
        <v>2859</v>
      </c>
      <c r="C3813" t="s">
        <v>269</v>
      </c>
      <c r="D3813" t="s">
        <v>4166</v>
      </c>
      <c r="E3813" t="s">
        <v>4165</v>
      </c>
      <c r="F3813" s="20">
        <v>60000</v>
      </c>
      <c r="I3813" s="11">
        <f t="shared" si="160"/>
        <v>45212</v>
      </c>
      <c r="J3813" s="12">
        <f t="shared" si="161"/>
        <v>171</v>
      </c>
      <c r="K3813" t="str">
        <f t="shared" si="162"/>
        <v>121-180</v>
      </c>
      <c r="L3813" s="11">
        <v>45383</v>
      </c>
      <c r="M3813" s="23">
        <f>YEAR(Таблица1[[#This Row],[Дата отчета]])</f>
        <v>2024</v>
      </c>
    </row>
    <row r="3814" spans="1:13" x14ac:dyDescent="0.25">
      <c r="A3814" t="s">
        <v>12</v>
      </c>
      <c r="B3814" t="s">
        <v>3767</v>
      </c>
      <c r="C3814" t="s">
        <v>3768</v>
      </c>
      <c r="D3814" t="s">
        <v>3769</v>
      </c>
      <c r="E3814" t="s">
        <v>3770</v>
      </c>
      <c r="F3814" s="20">
        <v>26485.919999999998</v>
      </c>
      <c r="I3814" s="11">
        <f t="shared" si="160"/>
        <v>45341</v>
      </c>
      <c r="J3814" s="12">
        <f t="shared" si="161"/>
        <v>42</v>
      </c>
      <c r="K3814" t="str">
        <f t="shared" si="162"/>
        <v>31-90</v>
      </c>
      <c r="L3814" s="11">
        <v>45383</v>
      </c>
      <c r="M3814" s="23">
        <f>YEAR(Таблица1[[#This Row],[Дата отчета]])</f>
        <v>2024</v>
      </c>
    </row>
    <row r="3815" spans="1:13" x14ac:dyDescent="0.25">
      <c r="A3815" t="s">
        <v>12</v>
      </c>
      <c r="B3815" t="s">
        <v>2423</v>
      </c>
      <c r="C3815" t="s">
        <v>4167</v>
      </c>
      <c r="D3815" t="s">
        <v>4168</v>
      </c>
      <c r="E3815" t="s">
        <v>4169</v>
      </c>
      <c r="F3815" s="20">
        <v>39488.46</v>
      </c>
      <c r="I3815" s="11">
        <f t="shared" si="160"/>
        <v>45097</v>
      </c>
      <c r="J3815" s="12">
        <f t="shared" si="161"/>
        <v>286</v>
      </c>
      <c r="K3815" t="str">
        <f t="shared" si="162"/>
        <v>271-360</v>
      </c>
      <c r="L3815" s="11">
        <v>45383</v>
      </c>
      <c r="M3815" s="23">
        <f>YEAR(Таблица1[[#This Row],[Дата отчета]])</f>
        <v>2024</v>
      </c>
    </row>
    <row r="3816" spans="1:13" x14ac:dyDescent="0.25">
      <c r="A3816" t="s">
        <v>1082</v>
      </c>
      <c r="B3816" t="s">
        <v>1087</v>
      </c>
      <c r="C3816" t="s">
        <v>1088</v>
      </c>
      <c r="D3816" t="s">
        <v>4170</v>
      </c>
      <c r="E3816" t="s">
        <v>4171</v>
      </c>
      <c r="F3816" s="20">
        <v>1592744.35</v>
      </c>
      <c r="I3816" s="11">
        <f t="shared" ref="I3816:I3838" si="163">E3816*1</f>
        <v>45258</v>
      </c>
      <c r="J3816" s="12">
        <f t="shared" ref="J3816:J3838" si="164">L3816-I3816</f>
        <v>125</v>
      </c>
      <c r="K3816" t="str">
        <f t="shared" si="162"/>
        <v>121-180</v>
      </c>
      <c r="L3816" s="11">
        <v>45383</v>
      </c>
      <c r="M3816" s="23">
        <f>YEAR(Таблица1[[#This Row],[Дата отчета]])</f>
        <v>2024</v>
      </c>
    </row>
    <row r="3817" spans="1:13" x14ac:dyDescent="0.25">
      <c r="A3817" t="s">
        <v>1082</v>
      </c>
      <c r="B3817" t="s">
        <v>4172</v>
      </c>
      <c r="C3817" t="s">
        <v>4173</v>
      </c>
      <c r="D3817" t="s">
        <v>4174</v>
      </c>
      <c r="E3817" t="s">
        <v>4175</v>
      </c>
      <c r="F3817" s="20">
        <v>514292.24</v>
      </c>
      <c r="I3817" s="11">
        <f t="shared" si="163"/>
        <v>45316</v>
      </c>
      <c r="J3817" s="12">
        <f t="shared" si="164"/>
        <v>67</v>
      </c>
      <c r="K3817" t="str">
        <f t="shared" si="162"/>
        <v>31-90</v>
      </c>
      <c r="L3817" s="11">
        <v>45383</v>
      </c>
      <c r="M3817" s="23">
        <f>YEAR(Таблица1[[#This Row],[Дата отчета]])</f>
        <v>2024</v>
      </c>
    </row>
    <row r="3818" spans="1:13" x14ac:dyDescent="0.25">
      <c r="A3818" t="s">
        <v>1082</v>
      </c>
      <c r="B3818" t="s">
        <v>271</v>
      </c>
      <c r="C3818" t="s">
        <v>4176</v>
      </c>
      <c r="D3818" t="s">
        <v>4177</v>
      </c>
      <c r="E3818" t="s">
        <v>4178</v>
      </c>
      <c r="F3818" s="20">
        <v>36356765.060000002</v>
      </c>
      <c r="I3818" s="11">
        <f t="shared" si="163"/>
        <v>45259</v>
      </c>
      <c r="J3818" s="12">
        <f t="shared" si="164"/>
        <v>124</v>
      </c>
      <c r="K3818" t="str">
        <f t="shared" si="162"/>
        <v>121-180</v>
      </c>
      <c r="L3818" s="11">
        <v>45383</v>
      </c>
      <c r="M3818" s="23">
        <f>YEAR(Таблица1[[#This Row],[Дата отчета]])</f>
        <v>2024</v>
      </c>
    </row>
    <row r="3819" spans="1:13" x14ac:dyDescent="0.25">
      <c r="A3819" t="s">
        <v>1082</v>
      </c>
      <c r="B3819" t="s">
        <v>271</v>
      </c>
      <c r="C3819" t="s">
        <v>4176</v>
      </c>
      <c r="D3819" t="s">
        <v>4179</v>
      </c>
      <c r="E3819" t="s">
        <v>3967</v>
      </c>
      <c r="F3819" s="20">
        <v>37474176.079999998</v>
      </c>
      <c r="I3819" s="11">
        <f t="shared" si="163"/>
        <v>45355</v>
      </c>
      <c r="J3819" s="12">
        <f t="shared" si="164"/>
        <v>28</v>
      </c>
      <c r="K3819" t="str">
        <f t="shared" si="162"/>
        <v>0-30</v>
      </c>
      <c r="L3819" s="11">
        <v>45383</v>
      </c>
      <c r="M3819" s="23">
        <f>YEAR(Таблица1[[#This Row],[Дата отчета]])</f>
        <v>2024</v>
      </c>
    </row>
    <row r="3820" spans="1:13" x14ac:dyDescent="0.25">
      <c r="A3820" t="s">
        <v>1082</v>
      </c>
      <c r="B3820" t="s">
        <v>271</v>
      </c>
      <c r="C3820" t="s">
        <v>4180</v>
      </c>
      <c r="D3820" t="s">
        <v>4181</v>
      </c>
      <c r="E3820" t="s">
        <v>2965</v>
      </c>
      <c r="F3820" s="20">
        <v>66984344.200000003</v>
      </c>
      <c r="I3820" s="11">
        <f t="shared" si="163"/>
        <v>45377</v>
      </c>
      <c r="J3820" s="12">
        <f t="shared" si="164"/>
        <v>6</v>
      </c>
      <c r="K3820" t="str">
        <f t="shared" si="162"/>
        <v>0-30</v>
      </c>
      <c r="L3820" s="11">
        <v>45383</v>
      </c>
      <c r="M3820" s="23">
        <f>YEAR(Таблица1[[#This Row],[Дата отчета]])</f>
        <v>2024</v>
      </c>
    </row>
    <row r="3821" spans="1:13" x14ac:dyDescent="0.25">
      <c r="A3821" t="s">
        <v>1082</v>
      </c>
      <c r="B3821" t="s">
        <v>271</v>
      </c>
      <c r="C3821" t="s">
        <v>3013</v>
      </c>
      <c r="D3821" t="s">
        <v>4182</v>
      </c>
      <c r="E3821" t="s">
        <v>3394</v>
      </c>
      <c r="F3821" s="20">
        <v>1937883.65</v>
      </c>
      <c r="I3821" s="11">
        <f t="shared" si="163"/>
        <v>45379</v>
      </c>
      <c r="J3821" s="12">
        <f t="shared" si="164"/>
        <v>4</v>
      </c>
      <c r="K3821" t="str">
        <f t="shared" si="162"/>
        <v>0-30</v>
      </c>
      <c r="L3821" s="11">
        <v>45383</v>
      </c>
      <c r="M3821" s="23">
        <f>YEAR(Таблица1[[#This Row],[Дата отчета]])</f>
        <v>2024</v>
      </c>
    </row>
    <row r="3822" spans="1:13" x14ac:dyDescent="0.25">
      <c r="A3822" t="s">
        <v>1082</v>
      </c>
      <c r="B3822" t="s">
        <v>271</v>
      </c>
      <c r="C3822" t="s">
        <v>3326</v>
      </c>
      <c r="D3822" t="s">
        <v>3327</v>
      </c>
      <c r="E3822" t="s">
        <v>3328</v>
      </c>
      <c r="F3822" s="20">
        <v>59500.57</v>
      </c>
      <c r="I3822" s="11">
        <f t="shared" si="163"/>
        <v>45328</v>
      </c>
      <c r="J3822" s="12">
        <f t="shared" si="164"/>
        <v>55</v>
      </c>
      <c r="K3822" t="str">
        <f t="shared" si="162"/>
        <v>31-90</v>
      </c>
      <c r="L3822" s="11">
        <v>45383</v>
      </c>
      <c r="M3822" s="23">
        <f>YEAR(Таблица1[[#This Row],[Дата отчета]])</f>
        <v>2024</v>
      </c>
    </row>
    <row r="3823" spans="1:13" x14ac:dyDescent="0.25">
      <c r="A3823" t="s">
        <v>1082</v>
      </c>
      <c r="B3823" t="s">
        <v>3333</v>
      </c>
      <c r="C3823" t="s">
        <v>3334</v>
      </c>
      <c r="D3823" t="s">
        <v>3335</v>
      </c>
      <c r="E3823" t="s">
        <v>3336</v>
      </c>
      <c r="F3823" s="20">
        <v>2973019.17</v>
      </c>
      <c r="I3823" s="11">
        <f t="shared" si="163"/>
        <v>45338</v>
      </c>
      <c r="J3823" s="12">
        <f t="shared" si="164"/>
        <v>45</v>
      </c>
      <c r="K3823" t="str">
        <f t="shared" si="162"/>
        <v>31-90</v>
      </c>
      <c r="L3823" s="11">
        <v>45383</v>
      </c>
      <c r="M3823" s="23">
        <f>YEAR(Таблица1[[#This Row],[Дата отчета]])</f>
        <v>2024</v>
      </c>
    </row>
    <row r="3824" spans="1:13" x14ac:dyDescent="0.25">
      <c r="A3824" t="s">
        <v>1082</v>
      </c>
      <c r="B3824" t="s">
        <v>561</v>
      </c>
      <c r="C3824" t="s">
        <v>3771</v>
      </c>
      <c r="D3824" t="s">
        <v>3772</v>
      </c>
      <c r="E3824" t="s">
        <v>699</v>
      </c>
      <c r="F3824" s="20">
        <v>545854.66</v>
      </c>
      <c r="I3824" s="11">
        <f t="shared" si="163"/>
        <v>45218</v>
      </c>
      <c r="J3824" s="12">
        <f t="shared" si="164"/>
        <v>165</v>
      </c>
      <c r="K3824" t="str">
        <f t="shared" si="162"/>
        <v>121-180</v>
      </c>
      <c r="L3824" s="11">
        <v>45383</v>
      </c>
      <c r="M3824" s="23">
        <f>YEAR(Таблица1[[#This Row],[Дата отчета]])</f>
        <v>2024</v>
      </c>
    </row>
    <row r="3825" spans="1:13" x14ac:dyDescent="0.25">
      <c r="A3825" t="s">
        <v>1082</v>
      </c>
      <c r="B3825" t="s">
        <v>561</v>
      </c>
      <c r="C3825" t="s">
        <v>3771</v>
      </c>
      <c r="D3825" t="s">
        <v>3773</v>
      </c>
      <c r="E3825" t="s">
        <v>2438</v>
      </c>
      <c r="F3825" s="20">
        <v>7103821.0700000003</v>
      </c>
      <c r="I3825" s="11">
        <f t="shared" si="163"/>
        <v>45365</v>
      </c>
      <c r="J3825" s="12">
        <f t="shared" si="164"/>
        <v>18</v>
      </c>
      <c r="K3825" t="str">
        <f t="shared" si="162"/>
        <v>0-30</v>
      </c>
      <c r="L3825" s="11">
        <v>45383</v>
      </c>
      <c r="M3825" s="23">
        <f>YEAR(Таблица1[[#This Row],[Дата отчета]])</f>
        <v>2024</v>
      </c>
    </row>
    <row r="3826" spans="1:13" x14ac:dyDescent="0.25">
      <c r="A3826" t="s">
        <v>1082</v>
      </c>
      <c r="B3826" t="s">
        <v>766</v>
      </c>
      <c r="C3826" t="s">
        <v>1762</v>
      </c>
      <c r="D3826" t="s">
        <v>4183</v>
      </c>
      <c r="E3826" t="s">
        <v>3862</v>
      </c>
      <c r="F3826" s="20">
        <v>3161229.84</v>
      </c>
      <c r="I3826" s="11">
        <f t="shared" si="163"/>
        <v>45320</v>
      </c>
      <c r="J3826" s="12">
        <f t="shared" si="164"/>
        <v>63</v>
      </c>
      <c r="K3826" t="str">
        <f t="shared" si="162"/>
        <v>31-90</v>
      </c>
      <c r="L3826" s="11">
        <v>45383</v>
      </c>
      <c r="M3826" s="23">
        <f>YEAR(Таблица1[[#This Row],[Дата отчета]])</f>
        <v>2024</v>
      </c>
    </row>
    <row r="3827" spans="1:13" x14ac:dyDescent="0.25">
      <c r="A3827" t="s">
        <v>1082</v>
      </c>
      <c r="B3827" t="s">
        <v>766</v>
      </c>
      <c r="C3827" t="s">
        <v>3775</v>
      </c>
      <c r="D3827" t="s">
        <v>4184</v>
      </c>
      <c r="E3827" t="s">
        <v>3862</v>
      </c>
      <c r="F3827" s="20">
        <v>1872896.42</v>
      </c>
      <c r="I3827" s="11">
        <f t="shared" si="163"/>
        <v>45320</v>
      </c>
      <c r="J3827" s="12">
        <f t="shared" si="164"/>
        <v>63</v>
      </c>
      <c r="K3827" t="str">
        <f t="shared" si="162"/>
        <v>31-90</v>
      </c>
      <c r="L3827" s="11">
        <v>45383</v>
      </c>
      <c r="M3827" s="23">
        <f>YEAR(Таблица1[[#This Row],[Дата отчета]])</f>
        <v>2024</v>
      </c>
    </row>
    <row r="3828" spans="1:13" x14ac:dyDescent="0.25">
      <c r="A3828" t="s">
        <v>1082</v>
      </c>
      <c r="B3828" t="s">
        <v>1136</v>
      </c>
      <c r="C3828" t="s">
        <v>4185</v>
      </c>
      <c r="D3828" t="s">
        <v>4186</v>
      </c>
      <c r="E3828" t="s">
        <v>4187</v>
      </c>
      <c r="F3828" s="20">
        <v>1593574.46</v>
      </c>
      <c r="I3828" s="11">
        <f t="shared" si="163"/>
        <v>45265</v>
      </c>
      <c r="J3828" s="12">
        <f t="shared" si="164"/>
        <v>118</v>
      </c>
      <c r="K3828" t="str">
        <f t="shared" si="162"/>
        <v>91-120</v>
      </c>
      <c r="L3828" s="11">
        <v>45383</v>
      </c>
      <c r="M3828" s="23">
        <f>YEAR(Таблица1[[#This Row],[Дата отчета]])</f>
        <v>2024</v>
      </c>
    </row>
    <row r="3829" spans="1:13" x14ac:dyDescent="0.25">
      <c r="A3829" t="s">
        <v>1082</v>
      </c>
      <c r="B3829" t="s">
        <v>1136</v>
      </c>
      <c r="C3829" t="s">
        <v>4185</v>
      </c>
      <c r="D3829" t="s">
        <v>4188</v>
      </c>
      <c r="E3829" t="s">
        <v>3292</v>
      </c>
      <c r="F3829" s="20">
        <v>14289719.310000001</v>
      </c>
      <c r="I3829" s="11">
        <f t="shared" si="163"/>
        <v>45358</v>
      </c>
      <c r="J3829" s="12">
        <f t="shared" si="164"/>
        <v>25</v>
      </c>
      <c r="K3829" t="str">
        <f t="shared" si="162"/>
        <v>0-30</v>
      </c>
      <c r="L3829" s="11">
        <v>45383</v>
      </c>
      <c r="M3829" s="23">
        <f>YEAR(Таблица1[[#This Row],[Дата отчета]])</f>
        <v>2024</v>
      </c>
    </row>
    <row r="3830" spans="1:13" x14ac:dyDescent="0.25">
      <c r="A3830" t="s">
        <v>1082</v>
      </c>
      <c r="B3830" t="s">
        <v>1136</v>
      </c>
      <c r="C3830" t="s">
        <v>4189</v>
      </c>
      <c r="D3830" t="s">
        <v>4190</v>
      </c>
      <c r="E3830" t="s">
        <v>4187</v>
      </c>
      <c r="F3830" s="20">
        <v>2266820</v>
      </c>
      <c r="I3830" s="11">
        <f t="shared" si="163"/>
        <v>45265</v>
      </c>
      <c r="J3830" s="12">
        <f t="shared" si="164"/>
        <v>118</v>
      </c>
      <c r="K3830" t="str">
        <f t="shared" si="162"/>
        <v>91-120</v>
      </c>
      <c r="L3830" s="11">
        <v>45383</v>
      </c>
      <c r="M3830" s="23">
        <f>YEAR(Таблица1[[#This Row],[Дата отчета]])</f>
        <v>2024</v>
      </c>
    </row>
    <row r="3831" spans="1:13" x14ac:dyDescent="0.25">
      <c r="A3831" t="s">
        <v>1082</v>
      </c>
      <c r="B3831" t="s">
        <v>1136</v>
      </c>
      <c r="C3831" t="s">
        <v>4189</v>
      </c>
      <c r="D3831" t="s">
        <v>4191</v>
      </c>
      <c r="E3831" t="s">
        <v>3292</v>
      </c>
      <c r="F3831" s="20">
        <v>20326700</v>
      </c>
      <c r="I3831" s="11">
        <f t="shared" si="163"/>
        <v>45358</v>
      </c>
      <c r="J3831" s="12">
        <f t="shared" si="164"/>
        <v>25</v>
      </c>
      <c r="K3831" t="str">
        <f t="shared" si="162"/>
        <v>0-30</v>
      </c>
      <c r="L3831" s="11">
        <v>45383</v>
      </c>
      <c r="M3831" s="23">
        <f>YEAR(Таблица1[[#This Row],[Дата отчета]])</f>
        <v>2024</v>
      </c>
    </row>
    <row r="3832" spans="1:13" x14ac:dyDescent="0.25">
      <c r="A3832" t="s">
        <v>1082</v>
      </c>
      <c r="B3832" t="s">
        <v>1136</v>
      </c>
      <c r="C3832" t="s">
        <v>4192</v>
      </c>
      <c r="D3832" t="s">
        <v>4193</v>
      </c>
      <c r="E3832" t="s">
        <v>4187</v>
      </c>
      <c r="F3832" s="20">
        <v>2266820</v>
      </c>
      <c r="I3832" s="11">
        <f t="shared" si="163"/>
        <v>45265</v>
      </c>
      <c r="J3832" s="12">
        <f t="shared" si="164"/>
        <v>118</v>
      </c>
      <c r="K3832" t="str">
        <f t="shared" si="162"/>
        <v>91-120</v>
      </c>
      <c r="L3832" s="11">
        <v>45383</v>
      </c>
      <c r="M3832" s="23">
        <f>YEAR(Таблица1[[#This Row],[Дата отчета]])</f>
        <v>2024</v>
      </c>
    </row>
    <row r="3833" spans="1:13" x14ac:dyDescent="0.25">
      <c r="A3833" t="s">
        <v>1082</v>
      </c>
      <c r="B3833" t="s">
        <v>1136</v>
      </c>
      <c r="C3833" t="s">
        <v>4192</v>
      </c>
      <c r="D3833" t="s">
        <v>4194</v>
      </c>
      <c r="E3833" t="s">
        <v>3292</v>
      </c>
      <c r="F3833" s="20">
        <v>20326770</v>
      </c>
      <c r="I3833" s="11">
        <f t="shared" si="163"/>
        <v>45358</v>
      </c>
      <c r="J3833" s="12">
        <f t="shared" si="164"/>
        <v>25</v>
      </c>
      <c r="K3833" t="str">
        <f t="shared" si="162"/>
        <v>0-30</v>
      </c>
      <c r="L3833" s="11">
        <v>45383</v>
      </c>
      <c r="M3833" s="23">
        <f>YEAR(Таблица1[[#This Row],[Дата отчета]])</f>
        <v>2024</v>
      </c>
    </row>
    <row r="3834" spans="1:13" x14ac:dyDescent="0.25">
      <c r="A3834" t="s">
        <v>1082</v>
      </c>
      <c r="B3834" t="s">
        <v>915</v>
      </c>
      <c r="C3834" t="s">
        <v>3777</v>
      </c>
      <c r="D3834" t="s">
        <v>3778</v>
      </c>
      <c r="E3834" t="s">
        <v>3357</v>
      </c>
      <c r="F3834" s="20">
        <v>5874261.6299999999</v>
      </c>
      <c r="I3834" s="11">
        <f t="shared" si="163"/>
        <v>45370</v>
      </c>
      <c r="J3834" s="12">
        <f t="shared" si="164"/>
        <v>13</v>
      </c>
      <c r="K3834" t="str">
        <f t="shared" si="162"/>
        <v>0-30</v>
      </c>
      <c r="L3834" s="11">
        <v>45383</v>
      </c>
      <c r="M3834" s="23">
        <f>YEAR(Таблица1[[#This Row],[Дата отчета]])</f>
        <v>2024</v>
      </c>
    </row>
    <row r="3835" spans="1:13" x14ac:dyDescent="0.25">
      <c r="A3835" t="s">
        <v>1082</v>
      </c>
      <c r="B3835" t="s">
        <v>915</v>
      </c>
      <c r="C3835" t="s">
        <v>4195</v>
      </c>
      <c r="D3835" t="s">
        <v>4196</v>
      </c>
      <c r="E3835" t="s">
        <v>3875</v>
      </c>
      <c r="F3835" s="20">
        <v>1584625</v>
      </c>
      <c r="I3835" s="11">
        <f t="shared" si="163"/>
        <v>45373</v>
      </c>
      <c r="J3835" s="12">
        <f t="shared" si="164"/>
        <v>10</v>
      </c>
      <c r="K3835" t="str">
        <f t="shared" si="162"/>
        <v>0-30</v>
      </c>
      <c r="L3835" s="11">
        <v>45383</v>
      </c>
      <c r="M3835" s="23">
        <f>YEAR(Таблица1[[#This Row],[Дата отчета]])</f>
        <v>2024</v>
      </c>
    </row>
    <row r="3836" spans="1:13" x14ac:dyDescent="0.25">
      <c r="A3836" t="s">
        <v>1082</v>
      </c>
      <c r="B3836" t="s">
        <v>915</v>
      </c>
      <c r="C3836" t="s">
        <v>4197</v>
      </c>
      <c r="D3836" t="s">
        <v>4198</v>
      </c>
      <c r="E3836" t="s">
        <v>3913</v>
      </c>
      <c r="F3836" s="20">
        <v>51104856</v>
      </c>
      <c r="I3836" s="11">
        <f t="shared" si="163"/>
        <v>45322</v>
      </c>
      <c r="J3836" s="12">
        <f t="shared" si="164"/>
        <v>61</v>
      </c>
      <c r="K3836" t="str">
        <f t="shared" si="162"/>
        <v>31-90</v>
      </c>
      <c r="L3836" s="11">
        <v>45383</v>
      </c>
      <c r="M3836" s="23">
        <f>YEAR(Таблица1[[#This Row],[Дата отчета]])</f>
        <v>2024</v>
      </c>
    </row>
    <row r="3837" spans="1:13" x14ac:dyDescent="0.25">
      <c r="A3837" t="s">
        <v>1082</v>
      </c>
      <c r="B3837" t="s">
        <v>915</v>
      </c>
      <c r="C3837" t="s">
        <v>4197</v>
      </c>
      <c r="D3837" t="s">
        <v>4199</v>
      </c>
      <c r="E3837" t="s">
        <v>3802</v>
      </c>
      <c r="F3837" s="20">
        <v>13213820.4</v>
      </c>
      <c r="I3837" s="11">
        <f t="shared" si="163"/>
        <v>45371</v>
      </c>
      <c r="J3837" s="12">
        <f t="shared" si="164"/>
        <v>12</v>
      </c>
      <c r="K3837" t="str">
        <f t="shared" si="162"/>
        <v>0-30</v>
      </c>
      <c r="L3837" s="11">
        <v>45383</v>
      </c>
      <c r="M3837" s="23">
        <f>YEAR(Таблица1[[#This Row],[Дата отчета]])</f>
        <v>2024</v>
      </c>
    </row>
    <row r="3838" spans="1:13" x14ac:dyDescent="0.25">
      <c r="A3838" t="s">
        <v>1082</v>
      </c>
      <c r="B3838" t="s">
        <v>2349</v>
      </c>
      <c r="C3838" t="s">
        <v>3337</v>
      </c>
      <c r="D3838" t="s">
        <v>3338</v>
      </c>
      <c r="E3838" t="s">
        <v>3339</v>
      </c>
      <c r="F3838" s="20">
        <v>4569948.12</v>
      </c>
      <c r="I3838" s="11">
        <f t="shared" si="163"/>
        <v>45323</v>
      </c>
      <c r="J3838" s="12">
        <f t="shared" si="164"/>
        <v>60</v>
      </c>
      <c r="K3838" t="str">
        <f t="shared" si="162"/>
        <v>31-90</v>
      </c>
      <c r="L3838" s="11">
        <v>45383</v>
      </c>
      <c r="M3838" s="23">
        <f>YEAR(Таблица1[[#This Row],[Дата отчета]])</f>
        <v>2024</v>
      </c>
    </row>
    <row r="3839" spans="1:13" x14ac:dyDescent="0.25">
      <c r="A3839" t="s">
        <v>12</v>
      </c>
      <c r="B3839" t="s">
        <v>3340</v>
      </c>
      <c r="C3839" t="s">
        <v>3341</v>
      </c>
      <c r="D3839" t="s">
        <v>3342</v>
      </c>
      <c r="E3839" t="s">
        <v>3343</v>
      </c>
      <c r="F3839" s="20">
        <v>440</v>
      </c>
      <c r="I3839" s="11">
        <f t="shared" ref="I3839" si="165">E3839*1</f>
        <v>45148</v>
      </c>
      <c r="J3839" s="12">
        <f t="shared" ref="J3839" si="166">L3839-I3839</f>
        <v>144</v>
      </c>
      <c r="K3839" t="str">
        <f t="shared" si="162"/>
        <v>121-180</v>
      </c>
      <c r="L3839" s="11">
        <v>45292</v>
      </c>
      <c r="M3839" s="23">
        <f>YEAR(Таблица1[[#This Row],[Дата отчета]])</f>
        <v>2024</v>
      </c>
    </row>
    <row r="3840" spans="1:13" x14ac:dyDescent="0.25">
      <c r="A3840" t="s">
        <v>12</v>
      </c>
      <c r="B3840" t="s">
        <v>18</v>
      </c>
      <c r="C3840" t="s">
        <v>2469</v>
      </c>
      <c r="D3840" t="s">
        <v>2470</v>
      </c>
      <c r="E3840" t="s">
        <v>2471</v>
      </c>
      <c r="F3840" s="20">
        <v>6600</v>
      </c>
      <c r="I3840" s="11">
        <f t="shared" ref="I3840:I3903" si="167">E3840*1</f>
        <v>45093</v>
      </c>
      <c r="J3840" s="12">
        <f t="shared" ref="J3840:J3903" si="168">L3840-I3840</f>
        <v>199</v>
      </c>
      <c r="K3840" t="str">
        <f t="shared" si="162"/>
        <v>181-270</v>
      </c>
      <c r="L3840" s="11">
        <v>45292</v>
      </c>
      <c r="M3840" s="23">
        <f>YEAR(Таблица1[[#This Row],[Дата отчета]])</f>
        <v>2024</v>
      </c>
    </row>
    <row r="3841" spans="1:13" x14ac:dyDescent="0.25">
      <c r="A3841" t="s">
        <v>12</v>
      </c>
      <c r="B3841" t="s">
        <v>32</v>
      </c>
      <c r="C3841" t="s">
        <v>3779</v>
      </c>
      <c r="D3841" t="s">
        <v>3780</v>
      </c>
      <c r="E3841" t="s">
        <v>3529</v>
      </c>
      <c r="F3841" s="20">
        <v>5547126.2000000002</v>
      </c>
      <c r="I3841" s="11">
        <f t="shared" si="167"/>
        <v>45246</v>
      </c>
      <c r="J3841" s="12">
        <f t="shared" si="168"/>
        <v>46</v>
      </c>
      <c r="K3841" t="str">
        <f t="shared" ref="K3841:K3904" si="169">IF(J3841&lt;=30,"0-30",IF(J3841&lt;=90,"31-90",IF(J3841&lt;=120,"91-120",IF(J3841&lt;=180,"121-180",IF(J3841&lt;=270,"181-270",IF(J3841&lt;=360,"271-360","&gt;360"))))))</f>
        <v>31-90</v>
      </c>
      <c r="L3841" s="11">
        <v>45292</v>
      </c>
      <c r="M3841" s="23">
        <f>YEAR(Таблица1[[#This Row],[Дата отчета]])</f>
        <v>2024</v>
      </c>
    </row>
    <row r="3842" spans="1:13" x14ac:dyDescent="0.25">
      <c r="A3842" t="s">
        <v>12</v>
      </c>
      <c r="B3842" t="s">
        <v>32</v>
      </c>
      <c r="C3842" t="s">
        <v>3783</v>
      </c>
      <c r="D3842" t="s">
        <v>3784</v>
      </c>
      <c r="E3842" t="s">
        <v>3529</v>
      </c>
      <c r="F3842" s="20">
        <v>5143632.9000000004</v>
      </c>
      <c r="I3842" s="11">
        <f t="shared" si="167"/>
        <v>45246</v>
      </c>
      <c r="J3842" s="12">
        <f t="shared" si="168"/>
        <v>46</v>
      </c>
      <c r="K3842" t="str">
        <f t="shared" si="169"/>
        <v>31-90</v>
      </c>
      <c r="L3842" s="11">
        <v>45292</v>
      </c>
      <c r="M3842" s="23">
        <f>YEAR(Таблица1[[#This Row],[Дата отчета]])</f>
        <v>2024</v>
      </c>
    </row>
    <row r="3843" spans="1:13" x14ac:dyDescent="0.25">
      <c r="A3843" t="s">
        <v>12</v>
      </c>
      <c r="B3843" t="s">
        <v>32</v>
      </c>
      <c r="C3843" t="s">
        <v>3786</v>
      </c>
      <c r="D3843" t="s">
        <v>3787</v>
      </c>
      <c r="E3843" t="s">
        <v>3529</v>
      </c>
      <c r="F3843" s="20">
        <v>4313673</v>
      </c>
      <c r="I3843" s="11">
        <f t="shared" si="167"/>
        <v>45246</v>
      </c>
      <c r="J3843" s="12">
        <f t="shared" si="168"/>
        <v>46</v>
      </c>
      <c r="K3843" t="str">
        <f t="shared" si="169"/>
        <v>31-90</v>
      </c>
      <c r="L3843" s="11">
        <v>45292</v>
      </c>
      <c r="M3843" s="23">
        <f>YEAR(Таблица1[[#This Row],[Дата отчета]])</f>
        <v>2024</v>
      </c>
    </row>
    <row r="3844" spans="1:13" x14ac:dyDescent="0.25">
      <c r="A3844" t="s">
        <v>12</v>
      </c>
      <c r="B3844" t="s">
        <v>32</v>
      </c>
      <c r="C3844" t="s">
        <v>3789</v>
      </c>
      <c r="D3844" t="s">
        <v>3790</v>
      </c>
      <c r="E3844" t="s">
        <v>3791</v>
      </c>
      <c r="F3844" s="20">
        <v>4498242.53</v>
      </c>
      <c r="I3844" s="11">
        <f t="shared" si="167"/>
        <v>45251</v>
      </c>
      <c r="J3844" s="12">
        <f t="shared" si="168"/>
        <v>41</v>
      </c>
      <c r="K3844" t="str">
        <f t="shared" si="169"/>
        <v>31-90</v>
      </c>
      <c r="L3844" s="11">
        <v>45292</v>
      </c>
      <c r="M3844" s="23">
        <f>YEAR(Таблица1[[#This Row],[Дата отчета]])</f>
        <v>2024</v>
      </c>
    </row>
    <row r="3845" spans="1:13" x14ac:dyDescent="0.25">
      <c r="A3845" t="s">
        <v>12</v>
      </c>
      <c r="B3845" t="s">
        <v>32</v>
      </c>
      <c r="C3845" t="s">
        <v>3793</v>
      </c>
      <c r="D3845" t="s">
        <v>3794</v>
      </c>
      <c r="E3845" t="s">
        <v>3529</v>
      </c>
      <c r="F3845" s="20">
        <v>625893.61</v>
      </c>
      <c r="I3845" s="11">
        <f t="shared" si="167"/>
        <v>45246</v>
      </c>
      <c r="J3845" s="12">
        <f t="shared" si="168"/>
        <v>46</v>
      </c>
      <c r="K3845" t="str">
        <f t="shared" si="169"/>
        <v>31-90</v>
      </c>
      <c r="L3845" s="11">
        <v>45292</v>
      </c>
      <c r="M3845" s="23">
        <f>YEAR(Таблица1[[#This Row],[Дата отчета]])</f>
        <v>2024</v>
      </c>
    </row>
    <row r="3846" spans="1:13" x14ac:dyDescent="0.25">
      <c r="A3846" t="s">
        <v>12</v>
      </c>
      <c r="B3846" t="s">
        <v>42</v>
      </c>
      <c r="C3846" t="s">
        <v>4200</v>
      </c>
      <c r="D3846" t="s">
        <v>4201</v>
      </c>
      <c r="E3846" t="s">
        <v>4046</v>
      </c>
      <c r="F3846" s="20">
        <v>10700000</v>
      </c>
      <c r="I3846" s="11">
        <f t="shared" si="167"/>
        <v>45266</v>
      </c>
      <c r="J3846" s="12">
        <f t="shared" si="168"/>
        <v>26</v>
      </c>
      <c r="K3846" t="str">
        <f t="shared" si="169"/>
        <v>0-30</v>
      </c>
      <c r="L3846" s="11">
        <v>45292</v>
      </c>
      <c r="M3846" s="23">
        <f>YEAR(Таблица1[[#This Row],[Дата отчета]])</f>
        <v>2024</v>
      </c>
    </row>
    <row r="3847" spans="1:13" x14ac:dyDescent="0.25">
      <c r="A3847" t="s">
        <v>12</v>
      </c>
      <c r="B3847" t="s">
        <v>42</v>
      </c>
      <c r="C3847" t="s">
        <v>3796</v>
      </c>
      <c r="D3847" t="s">
        <v>3797</v>
      </c>
      <c r="E3847" t="s">
        <v>3798</v>
      </c>
      <c r="F3847" s="20">
        <v>14700000</v>
      </c>
      <c r="I3847" s="11">
        <f t="shared" si="167"/>
        <v>45271</v>
      </c>
      <c r="J3847" s="12">
        <f t="shared" si="168"/>
        <v>21</v>
      </c>
      <c r="K3847" t="str">
        <f t="shared" si="169"/>
        <v>0-30</v>
      </c>
      <c r="L3847" s="11">
        <v>45292</v>
      </c>
      <c r="M3847" s="23">
        <f>YEAR(Таблица1[[#This Row],[Дата отчета]])</f>
        <v>2024</v>
      </c>
    </row>
    <row r="3848" spans="1:13" x14ac:dyDescent="0.25">
      <c r="A3848" t="s">
        <v>12</v>
      </c>
      <c r="B3848" t="s">
        <v>13</v>
      </c>
      <c r="C3848" t="s">
        <v>14</v>
      </c>
      <c r="D3848" t="s">
        <v>15</v>
      </c>
      <c r="E3848" t="s">
        <v>16</v>
      </c>
      <c r="F3848" s="20">
        <v>0.01</v>
      </c>
      <c r="I3848" s="11">
        <f t="shared" si="167"/>
        <v>45051</v>
      </c>
      <c r="J3848" s="12">
        <f t="shared" si="168"/>
        <v>241</v>
      </c>
      <c r="K3848" t="str">
        <f t="shared" si="169"/>
        <v>181-270</v>
      </c>
      <c r="L3848" s="11">
        <v>45292</v>
      </c>
      <c r="M3848" s="23">
        <f>YEAR(Таблица1[[#This Row],[Дата отчета]])</f>
        <v>2024</v>
      </c>
    </row>
    <row r="3849" spans="1:13" x14ac:dyDescent="0.25">
      <c r="A3849" t="s">
        <v>12</v>
      </c>
      <c r="B3849" t="s">
        <v>3803</v>
      </c>
      <c r="C3849" t="s">
        <v>3804</v>
      </c>
      <c r="D3849" t="s">
        <v>3805</v>
      </c>
      <c r="E3849" t="s">
        <v>1258</v>
      </c>
      <c r="F3849" s="20">
        <v>4185400</v>
      </c>
      <c r="I3849" s="11">
        <f t="shared" si="167"/>
        <v>45288</v>
      </c>
      <c r="J3849" s="12">
        <f t="shared" si="168"/>
        <v>4</v>
      </c>
      <c r="K3849" t="str">
        <f t="shared" si="169"/>
        <v>0-30</v>
      </c>
      <c r="L3849" s="11">
        <v>45292</v>
      </c>
      <c r="M3849" s="23">
        <f>YEAR(Таблица1[[#This Row],[Дата отчета]])</f>
        <v>2024</v>
      </c>
    </row>
    <row r="3850" spans="1:13" x14ac:dyDescent="0.25">
      <c r="A3850" t="s">
        <v>12</v>
      </c>
      <c r="B3850" t="s">
        <v>84</v>
      </c>
      <c r="C3850" t="s">
        <v>85</v>
      </c>
      <c r="D3850" t="s">
        <v>3806</v>
      </c>
      <c r="E3850" t="s">
        <v>3807</v>
      </c>
      <c r="F3850" s="20">
        <v>249929856</v>
      </c>
      <c r="I3850" s="11">
        <f t="shared" si="167"/>
        <v>45264</v>
      </c>
      <c r="J3850" s="12">
        <f t="shared" si="168"/>
        <v>28</v>
      </c>
      <c r="K3850" t="str">
        <f t="shared" si="169"/>
        <v>0-30</v>
      </c>
      <c r="L3850" s="11">
        <v>45292</v>
      </c>
      <c r="M3850" s="23">
        <f>YEAR(Таблица1[[#This Row],[Дата отчета]])</f>
        <v>2024</v>
      </c>
    </row>
    <row r="3851" spans="1:13" x14ac:dyDescent="0.25">
      <c r="A3851" t="s">
        <v>12</v>
      </c>
      <c r="B3851" t="s">
        <v>120</v>
      </c>
      <c r="C3851" t="s">
        <v>4202</v>
      </c>
      <c r="D3851" t="s">
        <v>4203</v>
      </c>
      <c r="E3851" t="s">
        <v>459</v>
      </c>
      <c r="F3851" s="20">
        <v>629860</v>
      </c>
      <c r="I3851" s="11">
        <f t="shared" si="167"/>
        <v>45195</v>
      </c>
      <c r="J3851" s="12">
        <f t="shared" si="168"/>
        <v>97</v>
      </c>
      <c r="K3851" t="str">
        <f t="shared" si="169"/>
        <v>91-120</v>
      </c>
      <c r="L3851" s="11">
        <v>45292</v>
      </c>
      <c r="M3851" s="23">
        <f>YEAR(Таблица1[[#This Row],[Дата отчета]])</f>
        <v>2024</v>
      </c>
    </row>
    <row r="3852" spans="1:13" x14ac:dyDescent="0.25">
      <c r="A3852" t="s">
        <v>12</v>
      </c>
      <c r="B3852" t="s">
        <v>124</v>
      </c>
      <c r="C3852" t="s">
        <v>125</v>
      </c>
      <c r="D3852" t="s">
        <v>3036</v>
      </c>
      <c r="E3852" t="s">
        <v>3037</v>
      </c>
      <c r="F3852" s="20">
        <v>66000</v>
      </c>
      <c r="I3852" s="11">
        <f t="shared" si="167"/>
        <v>45282</v>
      </c>
      <c r="J3852" s="12">
        <f t="shared" si="168"/>
        <v>10</v>
      </c>
      <c r="K3852" t="str">
        <f t="shared" si="169"/>
        <v>0-30</v>
      </c>
      <c r="L3852" s="11">
        <v>45292</v>
      </c>
      <c r="M3852" s="23">
        <f>YEAR(Таблица1[[#This Row],[Дата отчета]])</f>
        <v>2024</v>
      </c>
    </row>
    <row r="3853" spans="1:13" x14ac:dyDescent="0.25">
      <c r="A3853" t="s">
        <v>12</v>
      </c>
      <c r="B3853" t="s">
        <v>1891</v>
      </c>
      <c r="C3853" t="s">
        <v>4204</v>
      </c>
      <c r="D3853" t="s">
        <v>4205</v>
      </c>
      <c r="E3853" t="s">
        <v>4206</v>
      </c>
      <c r="F3853" s="20">
        <v>5636</v>
      </c>
      <c r="I3853" s="11">
        <f t="shared" si="167"/>
        <v>43923</v>
      </c>
      <c r="J3853" s="12">
        <f t="shared" si="168"/>
        <v>1369</v>
      </c>
      <c r="K3853" t="str">
        <f t="shared" si="169"/>
        <v>&gt;360</v>
      </c>
      <c r="L3853" s="11">
        <v>45292</v>
      </c>
      <c r="M3853" s="23">
        <f>YEAR(Таблица1[[#This Row],[Дата отчета]])</f>
        <v>2024</v>
      </c>
    </row>
    <row r="3854" spans="1:13" x14ac:dyDescent="0.25">
      <c r="A3854" t="s">
        <v>12</v>
      </c>
      <c r="B3854" t="s">
        <v>1891</v>
      </c>
      <c r="C3854" t="s">
        <v>4207</v>
      </c>
      <c r="D3854" t="s">
        <v>1893</v>
      </c>
      <c r="E3854" t="s">
        <v>2439</v>
      </c>
      <c r="F3854" s="20">
        <v>8965</v>
      </c>
      <c r="I3854" s="11">
        <f t="shared" si="167"/>
        <v>45016</v>
      </c>
      <c r="J3854" s="12">
        <f t="shared" si="168"/>
        <v>276</v>
      </c>
      <c r="K3854" t="str">
        <f t="shared" si="169"/>
        <v>271-360</v>
      </c>
      <c r="L3854" s="11">
        <v>45292</v>
      </c>
      <c r="M3854" s="23">
        <f>YEAR(Таблица1[[#This Row],[Дата отчета]])</f>
        <v>2024</v>
      </c>
    </row>
    <row r="3855" spans="1:13" x14ac:dyDescent="0.25">
      <c r="A3855" t="s">
        <v>12</v>
      </c>
      <c r="B3855" t="s">
        <v>1891</v>
      </c>
      <c r="C3855" t="s">
        <v>4208</v>
      </c>
      <c r="D3855" t="s">
        <v>4209</v>
      </c>
      <c r="E3855" t="s">
        <v>4210</v>
      </c>
      <c r="F3855" s="20">
        <v>400</v>
      </c>
      <c r="I3855" s="11">
        <f t="shared" si="167"/>
        <v>44651</v>
      </c>
      <c r="J3855" s="12">
        <f t="shared" si="168"/>
        <v>641</v>
      </c>
      <c r="K3855" t="str">
        <f t="shared" si="169"/>
        <v>&gt;360</v>
      </c>
      <c r="L3855" s="11">
        <v>45292</v>
      </c>
      <c r="M3855" s="23">
        <f>YEAR(Таблица1[[#This Row],[Дата отчета]])</f>
        <v>2024</v>
      </c>
    </row>
    <row r="3856" spans="1:13" x14ac:dyDescent="0.25">
      <c r="A3856" t="s">
        <v>12</v>
      </c>
      <c r="B3856" t="s">
        <v>1891</v>
      </c>
      <c r="C3856" t="s">
        <v>4211</v>
      </c>
      <c r="D3856" t="s">
        <v>4212</v>
      </c>
      <c r="E3856" t="s">
        <v>4213</v>
      </c>
      <c r="F3856" s="20">
        <v>45600</v>
      </c>
      <c r="I3856" s="11">
        <f t="shared" si="167"/>
        <v>45138</v>
      </c>
      <c r="J3856" s="12">
        <f t="shared" si="168"/>
        <v>154</v>
      </c>
      <c r="K3856" t="str">
        <f t="shared" si="169"/>
        <v>121-180</v>
      </c>
      <c r="L3856" s="11">
        <v>45292</v>
      </c>
      <c r="M3856" s="23">
        <f>YEAR(Таблица1[[#This Row],[Дата отчета]])</f>
        <v>2024</v>
      </c>
    </row>
    <row r="3857" spans="1:13" x14ac:dyDescent="0.25">
      <c r="A3857" t="s">
        <v>12</v>
      </c>
      <c r="B3857" t="s">
        <v>2901</v>
      </c>
      <c r="C3857" t="s">
        <v>4214</v>
      </c>
      <c r="D3857" t="s">
        <v>4215</v>
      </c>
      <c r="E3857" t="s">
        <v>3798</v>
      </c>
      <c r="F3857" s="20">
        <v>160000</v>
      </c>
      <c r="I3857" s="11">
        <f t="shared" si="167"/>
        <v>45271</v>
      </c>
      <c r="J3857" s="12">
        <f t="shared" si="168"/>
        <v>21</v>
      </c>
      <c r="K3857" t="str">
        <f t="shared" si="169"/>
        <v>0-30</v>
      </c>
      <c r="L3857" s="11">
        <v>45292</v>
      </c>
      <c r="M3857" s="23">
        <f>YEAR(Таблица1[[#This Row],[Дата отчета]])</f>
        <v>2024</v>
      </c>
    </row>
    <row r="3858" spans="1:13" x14ac:dyDescent="0.25">
      <c r="A3858" t="s">
        <v>12</v>
      </c>
      <c r="B3858" t="s">
        <v>180</v>
      </c>
      <c r="C3858" t="s">
        <v>4216</v>
      </c>
      <c r="D3858" t="s">
        <v>4217</v>
      </c>
      <c r="E3858" t="s">
        <v>3798</v>
      </c>
      <c r="F3858" s="20">
        <v>443932</v>
      </c>
      <c r="I3858" s="11">
        <f t="shared" si="167"/>
        <v>45271</v>
      </c>
      <c r="J3858" s="12">
        <f t="shared" si="168"/>
        <v>21</v>
      </c>
      <c r="K3858" t="str">
        <f t="shared" si="169"/>
        <v>0-30</v>
      </c>
      <c r="L3858" s="11">
        <v>45292</v>
      </c>
      <c r="M3858" s="23">
        <f>YEAR(Таблица1[[#This Row],[Дата отчета]])</f>
        <v>2024</v>
      </c>
    </row>
    <row r="3859" spans="1:13" x14ac:dyDescent="0.25">
      <c r="A3859" t="s">
        <v>12</v>
      </c>
      <c r="B3859" t="s">
        <v>180</v>
      </c>
      <c r="C3859" t="s">
        <v>3064</v>
      </c>
      <c r="D3859" t="s">
        <v>3065</v>
      </c>
      <c r="E3859" t="s">
        <v>3066</v>
      </c>
      <c r="F3859" s="20">
        <v>240420</v>
      </c>
      <c r="I3859" s="11">
        <f t="shared" si="167"/>
        <v>45240</v>
      </c>
      <c r="J3859" s="12">
        <f t="shared" si="168"/>
        <v>52</v>
      </c>
      <c r="K3859" t="str">
        <f t="shared" si="169"/>
        <v>31-90</v>
      </c>
      <c r="L3859" s="11">
        <v>45292</v>
      </c>
      <c r="M3859" s="23">
        <f>YEAR(Таблица1[[#This Row],[Дата отчета]])</f>
        <v>2024</v>
      </c>
    </row>
    <row r="3860" spans="1:13" x14ac:dyDescent="0.25">
      <c r="A3860" t="s">
        <v>12</v>
      </c>
      <c r="B3860" t="s">
        <v>186</v>
      </c>
      <c r="C3860" t="s">
        <v>190</v>
      </c>
      <c r="D3860" t="s">
        <v>3405</v>
      </c>
      <c r="E3860" t="s">
        <v>3406</v>
      </c>
      <c r="F3860" s="20">
        <v>6600</v>
      </c>
      <c r="I3860" s="11">
        <f t="shared" si="167"/>
        <v>44039</v>
      </c>
      <c r="J3860" s="12">
        <f t="shared" si="168"/>
        <v>1253</v>
      </c>
      <c r="K3860" t="str">
        <f t="shared" si="169"/>
        <v>&gt;360</v>
      </c>
      <c r="L3860" s="11">
        <v>45292</v>
      </c>
      <c r="M3860" s="23">
        <f>YEAR(Таблица1[[#This Row],[Дата отчета]])</f>
        <v>2024</v>
      </c>
    </row>
    <row r="3861" spans="1:13" x14ac:dyDescent="0.25">
      <c r="A3861" t="s">
        <v>12</v>
      </c>
      <c r="B3861" t="s">
        <v>186</v>
      </c>
      <c r="C3861" t="s">
        <v>1346</v>
      </c>
      <c r="D3861" t="s">
        <v>3835</v>
      </c>
      <c r="E3861" t="s">
        <v>3836</v>
      </c>
      <c r="F3861" s="20">
        <v>6600</v>
      </c>
      <c r="I3861" s="11">
        <f t="shared" si="167"/>
        <v>45254</v>
      </c>
      <c r="J3861" s="12">
        <f t="shared" si="168"/>
        <v>38</v>
      </c>
      <c r="K3861" t="str">
        <f t="shared" si="169"/>
        <v>31-90</v>
      </c>
      <c r="L3861" s="11">
        <v>45292</v>
      </c>
      <c r="M3861" s="23">
        <f>YEAR(Таблица1[[#This Row],[Дата отчета]])</f>
        <v>2024</v>
      </c>
    </row>
    <row r="3862" spans="1:13" x14ac:dyDescent="0.25">
      <c r="A3862" t="s">
        <v>12</v>
      </c>
      <c r="B3862" t="s">
        <v>208</v>
      </c>
      <c r="C3862" t="s">
        <v>4218</v>
      </c>
      <c r="D3862" t="s">
        <v>4219</v>
      </c>
      <c r="E3862" t="s">
        <v>4220</v>
      </c>
      <c r="F3862" s="20">
        <v>688160</v>
      </c>
      <c r="I3862" s="11">
        <f t="shared" si="167"/>
        <v>45274</v>
      </c>
      <c r="J3862" s="12">
        <f t="shared" si="168"/>
        <v>18</v>
      </c>
      <c r="K3862" t="str">
        <f t="shared" si="169"/>
        <v>0-30</v>
      </c>
      <c r="L3862" s="11">
        <v>45292</v>
      </c>
      <c r="M3862" s="23">
        <f>YEAR(Таблица1[[#This Row],[Дата отчета]])</f>
        <v>2024</v>
      </c>
    </row>
    <row r="3863" spans="1:13" x14ac:dyDescent="0.25">
      <c r="A3863" t="s">
        <v>12</v>
      </c>
      <c r="B3863" t="s">
        <v>248</v>
      </c>
      <c r="C3863" t="s">
        <v>3440</v>
      </c>
      <c r="D3863" t="s">
        <v>3441</v>
      </c>
      <c r="E3863" t="s">
        <v>3442</v>
      </c>
      <c r="F3863" s="20">
        <v>2324.42</v>
      </c>
      <c r="I3863" s="11">
        <f t="shared" si="167"/>
        <v>44180</v>
      </c>
      <c r="J3863" s="12">
        <f t="shared" si="168"/>
        <v>1112</v>
      </c>
      <c r="K3863" t="str">
        <f t="shared" si="169"/>
        <v>&gt;360</v>
      </c>
      <c r="L3863" s="11">
        <v>45292</v>
      </c>
      <c r="M3863" s="23">
        <f>YEAR(Таблица1[[#This Row],[Дата отчета]])</f>
        <v>2024</v>
      </c>
    </row>
    <row r="3864" spans="1:13" x14ac:dyDescent="0.25">
      <c r="A3864" t="s">
        <v>12</v>
      </c>
      <c r="B3864" t="s">
        <v>248</v>
      </c>
      <c r="C3864" t="s">
        <v>3443</v>
      </c>
      <c r="D3864" t="s">
        <v>4221</v>
      </c>
      <c r="E3864" t="s">
        <v>3869</v>
      </c>
      <c r="F3864" s="20">
        <v>4378181.88</v>
      </c>
      <c r="I3864" s="11">
        <f t="shared" si="167"/>
        <v>45289</v>
      </c>
      <c r="J3864" s="12">
        <f t="shared" si="168"/>
        <v>3</v>
      </c>
      <c r="K3864" t="str">
        <f t="shared" si="169"/>
        <v>0-30</v>
      </c>
      <c r="L3864" s="11">
        <v>45292</v>
      </c>
      <c r="M3864" s="23">
        <f>YEAR(Таблица1[[#This Row],[Дата отчета]])</f>
        <v>2024</v>
      </c>
    </row>
    <row r="3865" spans="1:13" x14ac:dyDescent="0.25">
      <c r="A3865" t="s">
        <v>12</v>
      </c>
      <c r="B3865" t="s">
        <v>1364</v>
      </c>
      <c r="C3865" t="s">
        <v>775</v>
      </c>
      <c r="D3865" t="s">
        <v>1365</v>
      </c>
      <c r="E3865" t="s">
        <v>1778</v>
      </c>
      <c r="F3865" s="20">
        <v>5433.05</v>
      </c>
      <c r="I3865" s="11">
        <f t="shared" si="167"/>
        <v>44403</v>
      </c>
      <c r="J3865" s="12">
        <f t="shared" si="168"/>
        <v>889</v>
      </c>
      <c r="K3865" t="str">
        <f t="shared" si="169"/>
        <v>&gt;360</v>
      </c>
      <c r="L3865" s="11">
        <v>45292</v>
      </c>
      <c r="M3865" s="23">
        <f>YEAR(Таблица1[[#This Row],[Дата отчета]])</f>
        <v>2024</v>
      </c>
    </row>
    <row r="3866" spans="1:13" x14ac:dyDescent="0.25">
      <c r="A3866" t="s">
        <v>12</v>
      </c>
      <c r="B3866" t="s">
        <v>271</v>
      </c>
      <c r="C3866" t="s">
        <v>3130</v>
      </c>
      <c r="D3866" t="s">
        <v>3868</v>
      </c>
      <c r="E3866" t="s">
        <v>3869</v>
      </c>
      <c r="F3866" s="20">
        <v>706643.2</v>
      </c>
      <c r="I3866" s="11">
        <f t="shared" si="167"/>
        <v>45289</v>
      </c>
      <c r="J3866" s="12">
        <f t="shared" si="168"/>
        <v>3</v>
      </c>
      <c r="K3866" t="str">
        <f t="shared" si="169"/>
        <v>0-30</v>
      </c>
      <c r="L3866" s="11">
        <v>45292</v>
      </c>
      <c r="M3866" s="23">
        <f>YEAR(Таблица1[[#This Row],[Дата отчета]])</f>
        <v>2024</v>
      </c>
    </row>
    <row r="3867" spans="1:13" x14ac:dyDescent="0.25">
      <c r="A3867" t="s">
        <v>12</v>
      </c>
      <c r="B3867" t="s">
        <v>293</v>
      </c>
      <c r="C3867" t="s">
        <v>4222</v>
      </c>
      <c r="D3867" t="s">
        <v>4223</v>
      </c>
      <c r="E3867" t="s">
        <v>4150</v>
      </c>
      <c r="F3867" s="20">
        <v>399862</v>
      </c>
      <c r="I3867" s="11">
        <f t="shared" si="167"/>
        <v>45285</v>
      </c>
      <c r="J3867" s="12">
        <f t="shared" si="168"/>
        <v>7</v>
      </c>
      <c r="K3867" t="str">
        <f t="shared" si="169"/>
        <v>0-30</v>
      </c>
      <c r="L3867" s="11">
        <v>45292</v>
      </c>
      <c r="M3867" s="23">
        <f>YEAR(Таблица1[[#This Row],[Дата отчета]])</f>
        <v>2024</v>
      </c>
    </row>
    <row r="3868" spans="1:13" x14ac:dyDescent="0.25">
      <c r="A3868" t="s">
        <v>12</v>
      </c>
      <c r="B3868" t="s">
        <v>297</v>
      </c>
      <c r="C3868" t="s">
        <v>775</v>
      </c>
      <c r="D3868" t="s">
        <v>3878</v>
      </c>
      <c r="E3868" t="s">
        <v>897</v>
      </c>
      <c r="F3868" s="20">
        <v>266</v>
      </c>
      <c r="I3868" s="11">
        <f t="shared" si="167"/>
        <v>45022</v>
      </c>
      <c r="J3868" s="12">
        <f t="shared" si="168"/>
        <v>270</v>
      </c>
      <c r="K3868" t="str">
        <f t="shared" si="169"/>
        <v>181-270</v>
      </c>
      <c r="L3868" s="11">
        <v>45292</v>
      </c>
      <c r="M3868" s="23">
        <f>YEAR(Таблица1[[#This Row],[Дата отчета]])</f>
        <v>2024</v>
      </c>
    </row>
    <row r="3869" spans="1:13" x14ac:dyDescent="0.25">
      <c r="A3869" t="s">
        <v>12</v>
      </c>
      <c r="B3869" t="s">
        <v>297</v>
      </c>
      <c r="C3869" t="s">
        <v>775</v>
      </c>
      <c r="D3869" t="s">
        <v>3879</v>
      </c>
      <c r="E3869" t="s">
        <v>3880</v>
      </c>
      <c r="F3869" s="20">
        <v>1480</v>
      </c>
      <c r="I3869" s="11">
        <f t="shared" si="167"/>
        <v>45030</v>
      </c>
      <c r="J3869" s="12">
        <f t="shared" si="168"/>
        <v>262</v>
      </c>
      <c r="K3869" t="str">
        <f t="shared" si="169"/>
        <v>181-270</v>
      </c>
      <c r="L3869" s="11">
        <v>45292</v>
      </c>
      <c r="M3869" s="23">
        <f>YEAR(Таблица1[[#This Row],[Дата отчета]])</f>
        <v>2024</v>
      </c>
    </row>
    <row r="3870" spans="1:13" x14ac:dyDescent="0.25">
      <c r="A3870" t="s">
        <v>12</v>
      </c>
      <c r="B3870" t="s">
        <v>297</v>
      </c>
      <c r="C3870" t="s">
        <v>775</v>
      </c>
      <c r="D3870" t="s">
        <v>3881</v>
      </c>
      <c r="E3870" t="s">
        <v>3882</v>
      </c>
      <c r="F3870" s="20">
        <v>1220</v>
      </c>
      <c r="I3870" s="11">
        <f t="shared" si="167"/>
        <v>45062</v>
      </c>
      <c r="J3870" s="12">
        <f t="shared" si="168"/>
        <v>230</v>
      </c>
      <c r="K3870" t="str">
        <f t="shared" si="169"/>
        <v>181-270</v>
      </c>
      <c r="L3870" s="11">
        <v>45292</v>
      </c>
      <c r="M3870" s="23">
        <f>YEAR(Таблица1[[#This Row],[Дата отчета]])</f>
        <v>2024</v>
      </c>
    </row>
    <row r="3871" spans="1:13" x14ac:dyDescent="0.25">
      <c r="A3871" t="s">
        <v>12</v>
      </c>
      <c r="B3871" t="s">
        <v>297</v>
      </c>
      <c r="C3871" t="s">
        <v>775</v>
      </c>
      <c r="D3871" t="s">
        <v>3883</v>
      </c>
      <c r="E3871" t="s">
        <v>3884</v>
      </c>
      <c r="F3871" s="20">
        <v>790</v>
      </c>
      <c r="I3871" s="11">
        <f t="shared" si="167"/>
        <v>45071</v>
      </c>
      <c r="J3871" s="12">
        <f t="shared" si="168"/>
        <v>221</v>
      </c>
      <c r="K3871" t="str">
        <f t="shared" si="169"/>
        <v>181-270</v>
      </c>
      <c r="L3871" s="11">
        <v>45292</v>
      </c>
      <c r="M3871" s="23">
        <f>YEAR(Таблица1[[#This Row],[Дата отчета]])</f>
        <v>2024</v>
      </c>
    </row>
    <row r="3872" spans="1:13" x14ac:dyDescent="0.25">
      <c r="A3872" t="s">
        <v>12</v>
      </c>
      <c r="B3872" t="s">
        <v>297</v>
      </c>
      <c r="C3872" t="s">
        <v>775</v>
      </c>
      <c r="D3872" t="s">
        <v>3477</v>
      </c>
      <c r="E3872" t="s">
        <v>3478</v>
      </c>
      <c r="F3872" s="20">
        <v>840</v>
      </c>
      <c r="I3872" s="11">
        <f t="shared" si="167"/>
        <v>45086</v>
      </c>
      <c r="J3872" s="12">
        <f t="shared" si="168"/>
        <v>206</v>
      </c>
      <c r="K3872" t="str">
        <f t="shared" si="169"/>
        <v>181-270</v>
      </c>
      <c r="L3872" s="11">
        <v>45292</v>
      </c>
      <c r="M3872" s="23">
        <f>YEAR(Таблица1[[#This Row],[Дата отчета]])</f>
        <v>2024</v>
      </c>
    </row>
    <row r="3873" spans="1:14" x14ac:dyDescent="0.25">
      <c r="A3873" t="s">
        <v>12</v>
      </c>
      <c r="B3873" t="s">
        <v>297</v>
      </c>
      <c r="C3873" t="s">
        <v>775</v>
      </c>
      <c r="D3873" t="s">
        <v>3479</v>
      </c>
      <c r="E3873" t="s">
        <v>3480</v>
      </c>
      <c r="F3873" s="20">
        <v>1060</v>
      </c>
      <c r="I3873" s="11">
        <f t="shared" si="167"/>
        <v>45118</v>
      </c>
      <c r="J3873" s="12">
        <f t="shared" si="168"/>
        <v>174</v>
      </c>
      <c r="K3873" t="str">
        <f t="shared" si="169"/>
        <v>121-180</v>
      </c>
      <c r="L3873" s="11">
        <v>45292</v>
      </c>
      <c r="M3873" s="23">
        <f>YEAR(Таблица1[[#This Row],[Дата отчета]])</f>
        <v>2024</v>
      </c>
    </row>
    <row r="3874" spans="1:14" x14ac:dyDescent="0.25">
      <c r="A3874" t="s">
        <v>12</v>
      </c>
      <c r="B3874" t="s">
        <v>297</v>
      </c>
      <c r="C3874" t="s">
        <v>775</v>
      </c>
      <c r="D3874" t="s">
        <v>3481</v>
      </c>
      <c r="E3874" t="s">
        <v>3482</v>
      </c>
      <c r="F3874" s="20">
        <v>260</v>
      </c>
      <c r="I3874" s="11">
        <f t="shared" si="167"/>
        <v>45153</v>
      </c>
      <c r="J3874" s="12">
        <f t="shared" si="168"/>
        <v>139</v>
      </c>
      <c r="K3874" t="str">
        <f t="shared" si="169"/>
        <v>121-180</v>
      </c>
      <c r="L3874" s="11">
        <v>45292</v>
      </c>
      <c r="M3874" s="23">
        <f>YEAR(Таблица1[[#This Row],[Дата отчета]])</f>
        <v>2024</v>
      </c>
    </row>
    <row r="3875" spans="1:14" x14ac:dyDescent="0.25">
      <c r="A3875" t="s">
        <v>12</v>
      </c>
      <c r="B3875" t="s">
        <v>297</v>
      </c>
      <c r="C3875" t="s">
        <v>775</v>
      </c>
      <c r="D3875" t="s">
        <v>3483</v>
      </c>
      <c r="E3875" t="s">
        <v>3484</v>
      </c>
      <c r="F3875" s="20">
        <v>740</v>
      </c>
      <c r="I3875" s="11">
        <f t="shared" si="167"/>
        <v>45190</v>
      </c>
      <c r="J3875" s="12">
        <f t="shared" si="168"/>
        <v>102</v>
      </c>
      <c r="K3875" t="str">
        <f t="shared" si="169"/>
        <v>91-120</v>
      </c>
      <c r="L3875" s="11">
        <v>45292</v>
      </c>
      <c r="M3875" s="23">
        <f>YEAR(Таблица1[[#This Row],[Дата отчета]])</f>
        <v>2024</v>
      </c>
    </row>
    <row r="3876" spans="1:14" x14ac:dyDescent="0.25">
      <c r="A3876" t="s">
        <v>12</v>
      </c>
      <c r="B3876" t="s">
        <v>297</v>
      </c>
      <c r="C3876" t="s">
        <v>775</v>
      </c>
      <c r="D3876" t="s">
        <v>3485</v>
      </c>
      <c r="E3876" t="s">
        <v>3486</v>
      </c>
      <c r="F3876" s="20">
        <v>1050</v>
      </c>
      <c r="I3876" s="11">
        <f t="shared" si="167"/>
        <v>45196</v>
      </c>
      <c r="J3876" s="12">
        <f t="shared" si="168"/>
        <v>96</v>
      </c>
      <c r="K3876" t="str">
        <f t="shared" si="169"/>
        <v>91-120</v>
      </c>
      <c r="L3876" s="11">
        <v>45292</v>
      </c>
      <c r="M3876" s="23">
        <f>YEAR(Таблица1[[#This Row],[Дата отчета]])</f>
        <v>2024</v>
      </c>
    </row>
    <row r="3877" spans="1:14" x14ac:dyDescent="0.25">
      <c r="A3877" t="s">
        <v>12</v>
      </c>
      <c r="B3877" t="s">
        <v>297</v>
      </c>
      <c r="C3877" t="s">
        <v>4224</v>
      </c>
      <c r="D3877" t="s">
        <v>4225</v>
      </c>
      <c r="E3877" t="s">
        <v>4220</v>
      </c>
      <c r="F3877" s="20">
        <v>17405</v>
      </c>
      <c r="I3877" s="11">
        <f t="shared" si="167"/>
        <v>45274</v>
      </c>
      <c r="J3877" s="12">
        <f t="shared" si="168"/>
        <v>18</v>
      </c>
      <c r="K3877" t="str">
        <f t="shared" si="169"/>
        <v>0-30</v>
      </c>
      <c r="L3877" s="11">
        <v>45292</v>
      </c>
      <c r="M3877" s="23">
        <f>YEAR(Таблица1[[#This Row],[Дата отчета]])</f>
        <v>2024</v>
      </c>
    </row>
    <row r="3878" spans="1:14" x14ac:dyDescent="0.25">
      <c r="A3878" t="s">
        <v>12</v>
      </c>
      <c r="B3878" t="s">
        <v>4226</v>
      </c>
      <c r="C3878" t="s">
        <v>4227</v>
      </c>
      <c r="D3878" t="s">
        <v>4228</v>
      </c>
      <c r="E3878" t="s">
        <v>4229</v>
      </c>
      <c r="F3878" s="20">
        <v>39444.6</v>
      </c>
      <c r="I3878" s="11">
        <f t="shared" si="167"/>
        <v>45091</v>
      </c>
      <c r="J3878" s="12">
        <f t="shared" si="168"/>
        <v>201</v>
      </c>
      <c r="K3878" t="str">
        <f t="shared" si="169"/>
        <v>181-270</v>
      </c>
      <c r="L3878" s="11">
        <v>45292</v>
      </c>
      <c r="M3878" s="23">
        <f>YEAR(Таблица1[[#This Row],[Дата отчета]])</f>
        <v>2024</v>
      </c>
    </row>
    <row r="3879" spans="1:14" x14ac:dyDescent="0.25">
      <c r="A3879" t="s">
        <v>12</v>
      </c>
      <c r="B3879" t="s">
        <v>383</v>
      </c>
      <c r="C3879" t="s">
        <v>4230</v>
      </c>
      <c r="D3879" t="s">
        <v>4231</v>
      </c>
      <c r="E3879" t="s">
        <v>4187</v>
      </c>
      <c r="F3879" s="20">
        <v>121395</v>
      </c>
      <c r="I3879" s="11">
        <f t="shared" si="167"/>
        <v>45265</v>
      </c>
      <c r="J3879" s="12">
        <f t="shared" si="168"/>
        <v>27</v>
      </c>
      <c r="K3879" t="str">
        <f t="shared" si="169"/>
        <v>0-30</v>
      </c>
      <c r="L3879" s="11">
        <v>45292</v>
      </c>
      <c r="M3879" s="23">
        <f>YEAR(Таблица1[[#This Row],[Дата отчета]])</f>
        <v>2024</v>
      </c>
    </row>
    <row r="3880" spans="1:14" x14ac:dyDescent="0.25">
      <c r="A3880" t="s">
        <v>12</v>
      </c>
      <c r="B3880" t="s">
        <v>3147</v>
      </c>
      <c r="C3880" t="s">
        <v>3148</v>
      </c>
      <c r="D3880" t="s">
        <v>3149</v>
      </c>
      <c r="E3880" t="s">
        <v>3150</v>
      </c>
      <c r="F3880" s="20">
        <v>127.61</v>
      </c>
      <c r="I3880" s="11">
        <f t="shared" si="167"/>
        <v>45182</v>
      </c>
      <c r="J3880" s="12">
        <f t="shared" si="168"/>
        <v>110</v>
      </c>
      <c r="K3880" t="str">
        <f t="shared" si="169"/>
        <v>91-120</v>
      </c>
      <c r="L3880" s="11">
        <v>45292</v>
      </c>
      <c r="M3880" s="23">
        <f>YEAR(Таблица1[[#This Row],[Дата отчета]])</f>
        <v>2024</v>
      </c>
    </row>
    <row r="3881" spans="1:14" x14ac:dyDescent="0.25">
      <c r="A3881" t="s">
        <v>12</v>
      </c>
      <c r="B3881" t="s">
        <v>4232</v>
      </c>
      <c r="C3881" t="s">
        <v>4233</v>
      </c>
      <c r="D3881" t="s">
        <v>4234</v>
      </c>
      <c r="E3881" t="s">
        <v>3807</v>
      </c>
      <c r="F3881" s="20">
        <v>23342</v>
      </c>
      <c r="I3881" s="11">
        <f t="shared" si="167"/>
        <v>45264</v>
      </c>
      <c r="J3881" s="12">
        <f t="shared" si="168"/>
        <v>28</v>
      </c>
      <c r="K3881" t="str">
        <f t="shared" si="169"/>
        <v>0-30</v>
      </c>
      <c r="L3881" s="11">
        <v>45292</v>
      </c>
      <c r="M3881" s="23">
        <f>YEAR(Таблица1[[#This Row],[Дата отчета]])</f>
        <v>2024</v>
      </c>
    </row>
    <row r="3882" spans="1:14" x14ac:dyDescent="0.25">
      <c r="A3882" t="s">
        <v>12</v>
      </c>
      <c r="B3882" t="s">
        <v>4232</v>
      </c>
      <c r="C3882" t="s">
        <v>4235</v>
      </c>
      <c r="D3882" t="s">
        <v>4236</v>
      </c>
      <c r="E3882" t="s">
        <v>3279</v>
      </c>
      <c r="F3882" s="20">
        <v>89789</v>
      </c>
      <c r="I3882" s="11">
        <f t="shared" si="167"/>
        <v>45267</v>
      </c>
      <c r="J3882" s="12">
        <f t="shared" si="168"/>
        <v>25</v>
      </c>
      <c r="K3882" t="str">
        <f t="shared" si="169"/>
        <v>0-30</v>
      </c>
      <c r="L3882" s="11">
        <v>45292</v>
      </c>
      <c r="M3882" s="23">
        <f>YEAR(Таблица1[[#This Row],[Дата отчета]])</f>
        <v>2024</v>
      </c>
    </row>
    <row r="3883" spans="1:14" x14ac:dyDescent="0.25">
      <c r="A3883" t="s">
        <v>12</v>
      </c>
      <c r="B3883" t="s">
        <v>4232</v>
      </c>
      <c r="C3883" t="s">
        <v>4237</v>
      </c>
      <c r="D3883" t="s">
        <v>4238</v>
      </c>
      <c r="E3883" t="s">
        <v>4171</v>
      </c>
      <c r="F3883" s="20">
        <v>8031</v>
      </c>
      <c r="I3883" s="11">
        <f t="shared" si="167"/>
        <v>45258</v>
      </c>
      <c r="J3883" s="12">
        <f t="shared" si="168"/>
        <v>34</v>
      </c>
      <c r="K3883" t="str">
        <f t="shared" si="169"/>
        <v>31-90</v>
      </c>
      <c r="L3883" s="11">
        <v>45292</v>
      </c>
      <c r="M3883" s="23">
        <f>YEAR(Таблица1[[#This Row],[Дата отчета]])</f>
        <v>2024</v>
      </c>
    </row>
    <row r="3884" spans="1:14" x14ac:dyDescent="0.25">
      <c r="A3884" t="s">
        <v>12</v>
      </c>
      <c r="B3884" t="s">
        <v>399</v>
      </c>
      <c r="C3884" t="s">
        <v>4239</v>
      </c>
      <c r="D3884" t="s">
        <v>4240</v>
      </c>
      <c r="E3884" t="s">
        <v>3807</v>
      </c>
      <c r="F3884" s="20">
        <v>2002182</v>
      </c>
      <c r="I3884" s="11">
        <f t="shared" si="167"/>
        <v>45264</v>
      </c>
      <c r="J3884" s="12">
        <f t="shared" si="168"/>
        <v>28</v>
      </c>
      <c r="K3884" t="str">
        <f t="shared" si="169"/>
        <v>0-30</v>
      </c>
      <c r="L3884" s="11">
        <v>45292</v>
      </c>
      <c r="M3884" s="23">
        <f>YEAR(Таблица1[[#This Row],[Дата отчета]])</f>
        <v>2024</v>
      </c>
    </row>
    <row r="3885" spans="1:14" x14ac:dyDescent="0.25">
      <c r="A3885" t="s">
        <v>12</v>
      </c>
      <c r="B3885" t="s">
        <v>2080</v>
      </c>
      <c r="C3885" t="s">
        <v>4241</v>
      </c>
      <c r="D3885" t="s">
        <v>4242</v>
      </c>
      <c r="E3885" t="s">
        <v>4243</v>
      </c>
      <c r="F3885" s="20">
        <v>1060581</v>
      </c>
      <c r="I3885" s="11">
        <f t="shared" si="167"/>
        <v>45280</v>
      </c>
      <c r="J3885" s="12">
        <f t="shared" si="168"/>
        <v>12</v>
      </c>
      <c r="K3885" t="str">
        <f t="shared" si="169"/>
        <v>0-30</v>
      </c>
      <c r="L3885" s="11">
        <v>45292</v>
      </c>
      <c r="M3885" s="23">
        <f>YEAR(Таблица1[[#This Row],[Дата отчета]])</f>
        <v>2024</v>
      </c>
    </row>
    <row r="3886" spans="1:14" x14ac:dyDescent="0.25">
      <c r="A3886" t="s">
        <v>12</v>
      </c>
      <c r="B3886" t="s">
        <v>1434</v>
      </c>
      <c r="C3886" t="s">
        <v>1435</v>
      </c>
      <c r="D3886" t="s">
        <v>1436</v>
      </c>
      <c r="E3886" t="s">
        <v>1784</v>
      </c>
      <c r="F3886" s="20">
        <v>4583.33</v>
      </c>
      <c r="I3886" s="11">
        <f t="shared" si="167"/>
        <v>44600</v>
      </c>
      <c r="J3886" s="12">
        <f t="shared" si="168"/>
        <v>692</v>
      </c>
      <c r="K3886" t="str">
        <f t="shared" si="169"/>
        <v>&gt;360</v>
      </c>
      <c r="L3886" s="11">
        <v>45292</v>
      </c>
      <c r="M3886" s="23">
        <f>YEAR(Таблица1[[#This Row],[Дата отчета]])</f>
        <v>2024</v>
      </c>
      <c r="N3886" s="2" t="s">
        <v>807</v>
      </c>
    </row>
    <row r="3887" spans="1:14" x14ac:dyDescent="0.25">
      <c r="A3887" t="s">
        <v>12</v>
      </c>
      <c r="B3887" t="s">
        <v>3519</v>
      </c>
      <c r="C3887" t="s">
        <v>3520</v>
      </c>
      <c r="D3887" t="s">
        <v>4244</v>
      </c>
      <c r="E3887" t="s">
        <v>3279</v>
      </c>
      <c r="F3887" s="20">
        <v>35000</v>
      </c>
      <c r="I3887" s="11">
        <f t="shared" si="167"/>
        <v>45267</v>
      </c>
      <c r="J3887" s="12">
        <f t="shared" si="168"/>
        <v>25</v>
      </c>
      <c r="K3887" t="str">
        <f t="shared" si="169"/>
        <v>0-30</v>
      </c>
      <c r="L3887" s="11">
        <v>45292</v>
      </c>
      <c r="M3887" s="23">
        <f>YEAR(Таблица1[[#This Row],[Дата отчета]])</f>
        <v>2024</v>
      </c>
    </row>
    <row r="3888" spans="1:14" x14ac:dyDescent="0.25">
      <c r="A3888" t="s">
        <v>12</v>
      </c>
      <c r="B3888" t="s">
        <v>402</v>
      </c>
      <c r="C3888" t="s">
        <v>403</v>
      </c>
      <c r="D3888" t="s">
        <v>404</v>
      </c>
      <c r="E3888" t="s">
        <v>405</v>
      </c>
      <c r="F3888" s="20">
        <v>14913.96</v>
      </c>
      <c r="I3888" s="11">
        <f t="shared" si="167"/>
        <v>44773</v>
      </c>
      <c r="J3888" s="12">
        <f t="shared" si="168"/>
        <v>519</v>
      </c>
      <c r="K3888" t="str">
        <f t="shared" si="169"/>
        <v>&gt;360</v>
      </c>
      <c r="L3888" s="11">
        <v>45292</v>
      </c>
      <c r="M3888" s="23">
        <f>YEAR(Таблица1[[#This Row],[Дата отчета]])</f>
        <v>2024</v>
      </c>
    </row>
    <row r="3889" spans="1:13" x14ac:dyDescent="0.25">
      <c r="A3889" t="s">
        <v>12</v>
      </c>
      <c r="B3889" t="s">
        <v>402</v>
      </c>
      <c r="C3889" t="s">
        <v>4245</v>
      </c>
      <c r="D3889" t="s">
        <v>4246</v>
      </c>
      <c r="E3889" t="s">
        <v>4243</v>
      </c>
      <c r="F3889" s="20">
        <v>86975</v>
      </c>
      <c r="I3889" s="11">
        <f t="shared" si="167"/>
        <v>45280</v>
      </c>
      <c r="J3889" s="12">
        <f t="shared" si="168"/>
        <v>12</v>
      </c>
      <c r="K3889" t="str">
        <f t="shared" si="169"/>
        <v>0-30</v>
      </c>
      <c r="L3889" s="11">
        <v>45292</v>
      </c>
      <c r="M3889" s="23">
        <f>YEAR(Таблица1[[#This Row],[Дата отчета]])</f>
        <v>2024</v>
      </c>
    </row>
    <row r="3890" spans="1:13" x14ac:dyDescent="0.25">
      <c r="A3890" t="s">
        <v>12</v>
      </c>
      <c r="B3890" t="s">
        <v>402</v>
      </c>
      <c r="C3890" t="s">
        <v>4247</v>
      </c>
      <c r="D3890" t="s">
        <v>4248</v>
      </c>
      <c r="E3890" t="s">
        <v>4249</v>
      </c>
      <c r="F3890" s="20">
        <v>6239320</v>
      </c>
      <c r="I3890" s="11">
        <f t="shared" si="167"/>
        <v>45272</v>
      </c>
      <c r="J3890" s="12">
        <f t="shared" si="168"/>
        <v>20</v>
      </c>
      <c r="K3890" t="str">
        <f t="shared" si="169"/>
        <v>0-30</v>
      </c>
      <c r="L3890" s="11">
        <v>45292</v>
      </c>
      <c r="M3890" s="23">
        <f>YEAR(Таблица1[[#This Row],[Дата отчета]])</f>
        <v>2024</v>
      </c>
    </row>
    <row r="3891" spans="1:13" x14ac:dyDescent="0.25">
      <c r="A3891" t="s">
        <v>12</v>
      </c>
      <c r="B3891" t="s">
        <v>402</v>
      </c>
      <c r="C3891" t="s">
        <v>4247</v>
      </c>
      <c r="D3891" t="s">
        <v>4250</v>
      </c>
      <c r="E3891" t="s">
        <v>4251</v>
      </c>
      <c r="F3891" s="20">
        <v>6239320</v>
      </c>
      <c r="I3891" s="11">
        <f t="shared" si="167"/>
        <v>45278</v>
      </c>
      <c r="J3891" s="12">
        <f t="shared" si="168"/>
        <v>14</v>
      </c>
      <c r="K3891" t="str">
        <f t="shared" si="169"/>
        <v>0-30</v>
      </c>
      <c r="L3891" s="11">
        <v>45292</v>
      </c>
      <c r="M3891" s="23">
        <f>YEAR(Таблица1[[#This Row],[Дата отчета]])</f>
        <v>2024</v>
      </c>
    </row>
    <row r="3892" spans="1:13" x14ac:dyDescent="0.25">
      <c r="A3892" t="s">
        <v>12</v>
      </c>
      <c r="B3892" t="s">
        <v>1469</v>
      </c>
      <c r="C3892" t="s">
        <v>4252</v>
      </c>
      <c r="D3892" t="s">
        <v>3911</v>
      </c>
      <c r="E3892" t="s">
        <v>3066</v>
      </c>
      <c r="F3892" s="20">
        <v>15190000</v>
      </c>
      <c r="I3892" s="11">
        <f t="shared" si="167"/>
        <v>45240</v>
      </c>
      <c r="J3892" s="12">
        <f t="shared" si="168"/>
        <v>52</v>
      </c>
      <c r="K3892" t="str">
        <f t="shared" si="169"/>
        <v>31-90</v>
      </c>
      <c r="L3892" s="11">
        <v>45292</v>
      </c>
      <c r="M3892" s="23">
        <f>YEAR(Таблица1[[#This Row],[Дата отчета]])</f>
        <v>2024</v>
      </c>
    </row>
    <row r="3893" spans="1:13" x14ac:dyDescent="0.25">
      <c r="A3893" t="s">
        <v>12</v>
      </c>
      <c r="B3893" t="s">
        <v>1469</v>
      </c>
      <c r="C3893" t="s">
        <v>4252</v>
      </c>
      <c r="D3893" t="s">
        <v>3528</v>
      </c>
      <c r="E3893" t="s">
        <v>3529</v>
      </c>
      <c r="F3893" s="20">
        <v>10500000</v>
      </c>
      <c r="I3893" s="11">
        <f t="shared" si="167"/>
        <v>45246</v>
      </c>
      <c r="J3893" s="12">
        <f t="shared" si="168"/>
        <v>46</v>
      </c>
      <c r="K3893" t="str">
        <f t="shared" si="169"/>
        <v>31-90</v>
      </c>
      <c r="L3893" s="11">
        <v>45292</v>
      </c>
      <c r="M3893" s="23">
        <f>YEAR(Таблица1[[#This Row],[Дата отчета]])</f>
        <v>2024</v>
      </c>
    </row>
    <row r="3894" spans="1:13" x14ac:dyDescent="0.25">
      <c r="A3894" t="s">
        <v>12</v>
      </c>
      <c r="B3894" t="s">
        <v>1469</v>
      </c>
      <c r="C3894" t="s">
        <v>4252</v>
      </c>
      <c r="D3894" t="s">
        <v>3915</v>
      </c>
      <c r="E3894" t="s">
        <v>3791</v>
      </c>
      <c r="F3894" s="20">
        <v>2700000</v>
      </c>
      <c r="I3894" s="11">
        <f t="shared" si="167"/>
        <v>45251</v>
      </c>
      <c r="J3894" s="12">
        <f t="shared" si="168"/>
        <v>41</v>
      </c>
      <c r="K3894" t="str">
        <f t="shared" si="169"/>
        <v>31-90</v>
      </c>
      <c r="L3894" s="11">
        <v>45292</v>
      </c>
      <c r="M3894" s="23">
        <f>YEAR(Таблица1[[#This Row],[Дата отчета]])</f>
        <v>2024</v>
      </c>
    </row>
    <row r="3895" spans="1:13" x14ac:dyDescent="0.25">
      <c r="A3895" t="s">
        <v>12</v>
      </c>
      <c r="B3895" t="s">
        <v>1469</v>
      </c>
      <c r="C3895" t="s">
        <v>4252</v>
      </c>
      <c r="D3895" t="s">
        <v>1473</v>
      </c>
      <c r="E3895" t="s">
        <v>1258</v>
      </c>
      <c r="F3895" s="20">
        <v>12772710.16</v>
      </c>
      <c r="I3895" s="11">
        <f t="shared" si="167"/>
        <v>45288</v>
      </c>
      <c r="J3895" s="12">
        <f t="shared" si="168"/>
        <v>4</v>
      </c>
      <c r="K3895" t="str">
        <f t="shared" si="169"/>
        <v>0-30</v>
      </c>
      <c r="L3895" s="11">
        <v>45292</v>
      </c>
      <c r="M3895" s="23">
        <f>YEAR(Таблица1[[#This Row],[Дата отчета]])</f>
        <v>2024</v>
      </c>
    </row>
    <row r="3896" spans="1:13" x14ac:dyDescent="0.25">
      <c r="A3896" t="s">
        <v>12</v>
      </c>
      <c r="B3896" t="s">
        <v>1469</v>
      </c>
      <c r="C3896" t="s">
        <v>4253</v>
      </c>
      <c r="D3896" t="s">
        <v>3907</v>
      </c>
      <c r="E3896" t="s">
        <v>3908</v>
      </c>
      <c r="F3896" s="20">
        <v>7250000</v>
      </c>
      <c r="I3896" s="11">
        <f t="shared" si="167"/>
        <v>45238</v>
      </c>
      <c r="J3896" s="12">
        <f t="shared" si="168"/>
        <v>54</v>
      </c>
      <c r="K3896" t="str">
        <f t="shared" si="169"/>
        <v>31-90</v>
      </c>
      <c r="L3896" s="11">
        <v>45292</v>
      </c>
      <c r="M3896" s="23">
        <f>YEAR(Таблица1[[#This Row],[Дата отчета]])</f>
        <v>2024</v>
      </c>
    </row>
    <row r="3897" spans="1:13" x14ac:dyDescent="0.25">
      <c r="A3897" t="s">
        <v>12</v>
      </c>
      <c r="B3897" t="s">
        <v>441</v>
      </c>
      <c r="C3897" t="s">
        <v>4254</v>
      </c>
      <c r="D3897" t="s">
        <v>4255</v>
      </c>
      <c r="E3897" t="s">
        <v>4256</v>
      </c>
      <c r="F3897" s="20">
        <v>4900</v>
      </c>
      <c r="I3897" s="11">
        <f t="shared" si="167"/>
        <v>44635</v>
      </c>
      <c r="J3897" s="12">
        <f t="shared" si="168"/>
        <v>657</v>
      </c>
      <c r="K3897" t="str">
        <f t="shared" si="169"/>
        <v>&gt;360</v>
      </c>
      <c r="L3897" s="11">
        <v>45292</v>
      </c>
      <c r="M3897" s="23">
        <f>YEAR(Таблица1[[#This Row],[Дата отчета]])</f>
        <v>2024</v>
      </c>
    </row>
    <row r="3898" spans="1:13" x14ac:dyDescent="0.25">
      <c r="A3898" t="s">
        <v>12</v>
      </c>
      <c r="B3898" t="s">
        <v>441</v>
      </c>
      <c r="C3898" t="s">
        <v>4257</v>
      </c>
      <c r="D3898" t="s">
        <v>4258</v>
      </c>
      <c r="E3898" t="s">
        <v>4259</v>
      </c>
      <c r="F3898" s="20">
        <v>11000</v>
      </c>
      <c r="I3898" s="11">
        <f t="shared" si="167"/>
        <v>44673</v>
      </c>
      <c r="J3898" s="12">
        <f t="shared" si="168"/>
        <v>619</v>
      </c>
      <c r="K3898" t="str">
        <f t="shared" si="169"/>
        <v>&gt;360</v>
      </c>
      <c r="L3898" s="11">
        <v>45292</v>
      </c>
      <c r="M3898" s="23">
        <f>YEAR(Таблица1[[#This Row],[Дата отчета]])</f>
        <v>2024</v>
      </c>
    </row>
    <row r="3899" spans="1:13" x14ac:dyDescent="0.25">
      <c r="A3899" t="s">
        <v>12</v>
      </c>
      <c r="B3899" t="s">
        <v>441</v>
      </c>
      <c r="C3899" t="s">
        <v>4260</v>
      </c>
      <c r="D3899" t="s">
        <v>4261</v>
      </c>
      <c r="E3899" t="s">
        <v>4262</v>
      </c>
      <c r="F3899" s="20">
        <v>5620</v>
      </c>
      <c r="I3899" s="11">
        <f t="shared" si="167"/>
        <v>45161</v>
      </c>
      <c r="J3899" s="12">
        <f t="shared" si="168"/>
        <v>131</v>
      </c>
      <c r="K3899" t="str">
        <f t="shared" si="169"/>
        <v>121-180</v>
      </c>
      <c r="L3899" s="11">
        <v>45292</v>
      </c>
      <c r="M3899" s="23">
        <f>YEAR(Таблица1[[#This Row],[Дата отчета]])</f>
        <v>2024</v>
      </c>
    </row>
    <row r="3900" spans="1:13" x14ac:dyDescent="0.25">
      <c r="A3900" t="s">
        <v>12</v>
      </c>
      <c r="B3900" t="s">
        <v>441</v>
      </c>
      <c r="C3900" t="s">
        <v>4260</v>
      </c>
      <c r="D3900" t="s">
        <v>4263</v>
      </c>
      <c r="E3900" t="s">
        <v>3791</v>
      </c>
      <c r="F3900" s="20">
        <v>3224</v>
      </c>
      <c r="I3900" s="11">
        <f t="shared" si="167"/>
        <v>45251</v>
      </c>
      <c r="J3900" s="12">
        <f t="shared" si="168"/>
        <v>41</v>
      </c>
      <c r="K3900" t="str">
        <f t="shared" si="169"/>
        <v>31-90</v>
      </c>
      <c r="L3900" s="11">
        <v>45292</v>
      </c>
      <c r="M3900" s="23">
        <f>YEAR(Таблица1[[#This Row],[Дата отчета]])</f>
        <v>2024</v>
      </c>
    </row>
    <row r="3901" spans="1:13" x14ac:dyDescent="0.25">
      <c r="A3901" t="s">
        <v>12</v>
      </c>
      <c r="B3901" t="s">
        <v>441</v>
      </c>
      <c r="C3901" t="s">
        <v>4264</v>
      </c>
      <c r="D3901" t="s">
        <v>4265</v>
      </c>
      <c r="E3901" t="s">
        <v>4266</v>
      </c>
      <c r="F3901" s="20">
        <v>29081</v>
      </c>
      <c r="I3901" s="11">
        <f t="shared" si="167"/>
        <v>43987</v>
      </c>
      <c r="J3901" s="12">
        <f t="shared" si="168"/>
        <v>1305</v>
      </c>
      <c r="K3901" t="str">
        <f t="shared" si="169"/>
        <v>&gt;360</v>
      </c>
      <c r="L3901" s="11">
        <v>45292</v>
      </c>
      <c r="M3901" s="23">
        <f>YEAR(Таблица1[[#This Row],[Дата отчета]])</f>
        <v>2024</v>
      </c>
    </row>
    <row r="3902" spans="1:13" x14ac:dyDescent="0.25">
      <c r="A3902" t="s">
        <v>12</v>
      </c>
      <c r="B3902" t="s">
        <v>441</v>
      </c>
      <c r="C3902" t="s">
        <v>4264</v>
      </c>
      <c r="D3902" t="s">
        <v>4267</v>
      </c>
      <c r="E3902" t="s">
        <v>4268</v>
      </c>
      <c r="F3902" s="20">
        <v>825</v>
      </c>
      <c r="I3902" s="11">
        <f t="shared" si="167"/>
        <v>44081</v>
      </c>
      <c r="J3902" s="12">
        <f t="shared" si="168"/>
        <v>1211</v>
      </c>
      <c r="K3902" t="str">
        <f t="shared" si="169"/>
        <v>&gt;360</v>
      </c>
      <c r="L3902" s="11">
        <v>45292</v>
      </c>
      <c r="M3902" s="23">
        <f>YEAR(Таблица1[[#This Row],[Дата отчета]])</f>
        <v>2024</v>
      </c>
    </row>
    <row r="3903" spans="1:13" x14ac:dyDescent="0.25">
      <c r="A3903" t="s">
        <v>12</v>
      </c>
      <c r="B3903" t="s">
        <v>441</v>
      </c>
      <c r="C3903" t="s">
        <v>4264</v>
      </c>
      <c r="D3903" t="s">
        <v>4269</v>
      </c>
      <c r="E3903" t="s">
        <v>4270</v>
      </c>
      <c r="F3903" s="20">
        <v>17200</v>
      </c>
      <c r="I3903" s="11">
        <f t="shared" si="167"/>
        <v>44095</v>
      </c>
      <c r="J3903" s="12">
        <f t="shared" si="168"/>
        <v>1197</v>
      </c>
      <c r="K3903" t="str">
        <f t="shared" si="169"/>
        <v>&gt;360</v>
      </c>
      <c r="L3903" s="11">
        <v>45292</v>
      </c>
      <c r="M3903" s="23">
        <f>YEAR(Таблица1[[#This Row],[Дата отчета]])</f>
        <v>2024</v>
      </c>
    </row>
    <row r="3904" spans="1:13" x14ac:dyDescent="0.25">
      <c r="A3904" t="s">
        <v>12</v>
      </c>
      <c r="B3904" t="s">
        <v>3165</v>
      </c>
      <c r="C3904" t="s">
        <v>3166</v>
      </c>
      <c r="D3904" t="s">
        <v>3167</v>
      </c>
      <c r="E3904" t="s">
        <v>3168</v>
      </c>
      <c r="F3904" s="20">
        <v>340.4</v>
      </c>
      <c r="I3904" s="11">
        <f t="shared" ref="I3904:I3967" si="170">E3904*1</f>
        <v>44371</v>
      </c>
      <c r="J3904" s="12">
        <f t="shared" ref="J3904:J3967" si="171">L3904-I3904</f>
        <v>921</v>
      </c>
      <c r="K3904" t="str">
        <f t="shared" si="169"/>
        <v>&gt;360</v>
      </c>
      <c r="L3904" s="11">
        <v>45292</v>
      </c>
      <c r="M3904" s="23">
        <f>YEAR(Таблица1[[#This Row],[Дата отчета]])</f>
        <v>2024</v>
      </c>
    </row>
    <row r="3905" spans="1:13" x14ac:dyDescent="0.25">
      <c r="A3905" t="s">
        <v>12</v>
      </c>
      <c r="B3905" t="s">
        <v>456</v>
      </c>
      <c r="C3905" t="s">
        <v>457</v>
      </c>
      <c r="D3905" t="s">
        <v>458</v>
      </c>
      <c r="E3905" t="s">
        <v>459</v>
      </c>
      <c r="F3905" s="20">
        <v>33500</v>
      </c>
      <c r="I3905" s="11">
        <f t="shared" si="170"/>
        <v>45195</v>
      </c>
      <c r="J3905" s="12">
        <f t="shared" si="171"/>
        <v>97</v>
      </c>
      <c r="K3905" t="str">
        <f t="shared" ref="K3905:K3968" si="172">IF(J3905&lt;=30,"0-30",IF(J3905&lt;=90,"31-90",IF(J3905&lt;=120,"91-120",IF(J3905&lt;=180,"121-180",IF(J3905&lt;=270,"181-270",IF(J3905&lt;=360,"271-360","&gt;360"))))))</f>
        <v>91-120</v>
      </c>
      <c r="L3905" s="11">
        <v>45292</v>
      </c>
      <c r="M3905" s="23">
        <f>YEAR(Таблица1[[#This Row],[Дата отчета]])</f>
        <v>2024</v>
      </c>
    </row>
    <row r="3906" spans="1:13" x14ac:dyDescent="0.25">
      <c r="A3906" t="s">
        <v>12</v>
      </c>
      <c r="B3906" t="s">
        <v>467</v>
      </c>
      <c r="C3906" t="s">
        <v>468</v>
      </c>
      <c r="D3906" t="s">
        <v>469</v>
      </c>
      <c r="E3906" t="s">
        <v>470</v>
      </c>
      <c r="F3906" s="20">
        <v>2000</v>
      </c>
      <c r="I3906" s="11">
        <f t="shared" si="170"/>
        <v>44551</v>
      </c>
      <c r="J3906" s="12">
        <f t="shared" si="171"/>
        <v>741</v>
      </c>
      <c r="K3906" t="str">
        <f t="shared" si="172"/>
        <v>&gt;360</v>
      </c>
      <c r="L3906" s="11">
        <v>45292</v>
      </c>
      <c r="M3906" s="23">
        <f>YEAR(Таблица1[[#This Row],[Дата отчета]])</f>
        <v>2024</v>
      </c>
    </row>
    <row r="3907" spans="1:13" x14ac:dyDescent="0.25">
      <c r="A3907" t="s">
        <v>12</v>
      </c>
      <c r="B3907" t="s">
        <v>478</v>
      </c>
      <c r="C3907" t="s">
        <v>4271</v>
      </c>
      <c r="D3907" t="s">
        <v>4272</v>
      </c>
      <c r="E3907" t="s">
        <v>3942</v>
      </c>
      <c r="F3907" s="20">
        <v>2622480</v>
      </c>
      <c r="I3907" s="11">
        <f t="shared" si="170"/>
        <v>45257</v>
      </c>
      <c r="J3907" s="12">
        <f t="shared" si="171"/>
        <v>35</v>
      </c>
      <c r="K3907" t="str">
        <f t="shared" si="172"/>
        <v>31-90</v>
      </c>
      <c r="L3907" s="11">
        <v>45292</v>
      </c>
      <c r="M3907" s="23">
        <f>YEAR(Таблица1[[#This Row],[Дата отчета]])</f>
        <v>2024</v>
      </c>
    </row>
    <row r="3908" spans="1:13" x14ac:dyDescent="0.25">
      <c r="A3908" t="s">
        <v>12</v>
      </c>
      <c r="B3908" t="s">
        <v>478</v>
      </c>
      <c r="C3908" t="s">
        <v>2135</v>
      </c>
      <c r="D3908" t="s">
        <v>4273</v>
      </c>
      <c r="E3908" t="s">
        <v>3807</v>
      </c>
      <c r="F3908" s="20">
        <v>302400</v>
      </c>
      <c r="I3908" s="11">
        <f t="shared" si="170"/>
        <v>45264</v>
      </c>
      <c r="J3908" s="12">
        <f t="shared" si="171"/>
        <v>28</v>
      </c>
      <c r="K3908" t="str">
        <f t="shared" si="172"/>
        <v>0-30</v>
      </c>
      <c r="L3908" s="11">
        <v>45292</v>
      </c>
      <c r="M3908" s="23">
        <f>YEAR(Таблица1[[#This Row],[Дата отчета]])</f>
        <v>2024</v>
      </c>
    </row>
    <row r="3909" spans="1:13" x14ac:dyDescent="0.25">
      <c r="A3909" t="s">
        <v>12</v>
      </c>
      <c r="B3909" t="s">
        <v>478</v>
      </c>
      <c r="C3909" t="s">
        <v>2932</v>
      </c>
      <c r="D3909" t="s">
        <v>4274</v>
      </c>
      <c r="E3909" t="s">
        <v>1258</v>
      </c>
      <c r="F3909" s="20">
        <v>60000</v>
      </c>
      <c r="I3909" s="11">
        <f t="shared" si="170"/>
        <v>45288</v>
      </c>
      <c r="J3909" s="12">
        <f t="shared" si="171"/>
        <v>4</v>
      </c>
      <c r="K3909" t="str">
        <f t="shared" si="172"/>
        <v>0-30</v>
      </c>
      <c r="L3909" s="11">
        <v>45292</v>
      </c>
      <c r="M3909" s="23">
        <f>YEAR(Таблица1[[#This Row],[Дата отчета]])</f>
        <v>2024</v>
      </c>
    </row>
    <row r="3910" spans="1:13" x14ac:dyDescent="0.25">
      <c r="A3910" t="s">
        <v>12</v>
      </c>
      <c r="B3910" t="s">
        <v>487</v>
      </c>
      <c r="C3910" t="s">
        <v>3930</v>
      </c>
      <c r="D3910" t="s">
        <v>3931</v>
      </c>
      <c r="E3910" t="s">
        <v>3798</v>
      </c>
      <c r="F3910" s="20">
        <v>1763834.07</v>
      </c>
      <c r="I3910" s="11">
        <f t="shared" si="170"/>
        <v>45271</v>
      </c>
      <c r="J3910" s="12">
        <f t="shared" si="171"/>
        <v>21</v>
      </c>
      <c r="K3910" t="str">
        <f t="shared" si="172"/>
        <v>0-30</v>
      </c>
      <c r="L3910" s="11">
        <v>45292</v>
      </c>
      <c r="M3910" s="23">
        <f>YEAR(Таблица1[[#This Row],[Дата отчета]])</f>
        <v>2024</v>
      </c>
    </row>
    <row r="3911" spans="1:13" x14ac:dyDescent="0.25">
      <c r="A3911" t="s">
        <v>12</v>
      </c>
      <c r="B3911" t="s">
        <v>3548</v>
      </c>
      <c r="C3911" t="s">
        <v>3552</v>
      </c>
      <c r="D3911" t="s">
        <v>3553</v>
      </c>
      <c r="E3911" t="s">
        <v>3554</v>
      </c>
      <c r="F3911" s="20">
        <v>3800</v>
      </c>
      <c r="I3911" s="11">
        <f t="shared" si="170"/>
        <v>45268</v>
      </c>
      <c r="J3911" s="12">
        <f t="shared" si="171"/>
        <v>24</v>
      </c>
      <c r="K3911" t="str">
        <f t="shared" si="172"/>
        <v>0-30</v>
      </c>
      <c r="L3911" s="11">
        <v>45292</v>
      </c>
      <c r="M3911" s="23">
        <f>YEAR(Таблица1[[#This Row],[Дата отчета]])</f>
        <v>2024</v>
      </c>
    </row>
    <row r="3912" spans="1:13" x14ac:dyDescent="0.25">
      <c r="A3912" t="s">
        <v>12</v>
      </c>
      <c r="B3912" t="s">
        <v>2150</v>
      </c>
      <c r="C3912" t="s">
        <v>3173</v>
      </c>
      <c r="D3912" t="s">
        <v>3174</v>
      </c>
      <c r="E3912" t="s">
        <v>3175</v>
      </c>
      <c r="F3912" s="20">
        <v>28572</v>
      </c>
      <c r="I3912" s="11">
        <f t="shared" si="170"/>
        <v>44755</v>
      </c>
      <c r="J3912" s="12">
        <f t="shared" si="171"/>
        <v>537</v>
      </c>
      <c r="K3912" t="str">
        <f t="shared" si="172"/>
        <v>&gt;360</v>
      </c>
      <c r="L3912" s="11">
        <v>45292</v>
      </c>
      <c r="M3912" s="23">
        <f>YEAR(Таблица1[[#This Row],[Дата отчета]])</f>
        <v>2024</v>
      </c>
    </row>
    <row r="3913" spans="1:13" x14ac:dyDescent="0.25">
      <c r="A3913" t="s">
        <v>12</v>
      </c>
      <c r="B3913" t="s">
        <v>2150</v>
      </c>
      <c r="C3913" t="s">
        <v>3176</v>
      </c>
      <c r="D3913" t="s">
        <v>3177</v>
      </c>
      <c r="E3913" t="s">
        <v>3175</v>
      </c>
      <c r="F3913" s="20">
        <v>5520</v>
      </c>
      <c r="I3913" s="11">
        <f t="shared" si="170"/>
        <v>44755</v>
      </c>
      <c r="J3913" s="12">
        <f t="shared" si="171"/>
        <v>537</v>
      </c>
      <c r="K3913" t="str">
        <f t="shared" si="172"/>
        <v>&gt;360</v>
      </c>
      <c r="L3913" s="11">
        <v>45292</v>
      </c>
      <c r="M3913" s="23">
        <f>YEAR(Таблица1[[#This Row],[Дата отчета]])</f>
        <v>2024</v>
      </c>
    </row>
    <row r="3914" spans="1:13" x14ac:dyDescent="0.25">
      <c r="A3914" t="s">
        <v>12</v>
      </c>
      <c r="B3914" t="s">
        <v>2150</v>
      </c>
      <c r="C3914" t="s">
        <v>3555</v>
      </c>
      <c r="D3914" t="s">
        <v>3556</v>
      </c>
      <c r="E3914" t="s">
        <v>1258</v>
      </c>
      <c r="F3914" s="20">
        <v>11490964.939999999</v>
      </c>
      <c r="I3914" s="11">
        <f t="shared" si="170"/>
        <v>45288</v>
      </c>
      <c r="J3914" s="12">
        <f t="shared" si="171"/>
        <v>4</v>
      </c>
      <c r="K3914" t="str">
        <f t="shared" si="172"/>
        <v>0-30</v>
      </c>
      <c r="L3914" s="11">
        <v>45292</v>
      </c>
      <c r="M3914" s="23">
        <f>YEAR(Таблица1[[#This Row],[Дата отчета]])</f>
        <v>2024</v>
      </c>
    </row>
    <row r="3915" spans="1:13" x14ac:dyDescent="0.25">
      <c r="A3915" t="s">
        <v>12</v>
      </c>
      <c r="B3915" t="s">
        <v>2150</v>
      </c>
      <c r="C3915" t="s">
        <v>3178</v>
      </c>
      <c r="D3915" t="s">
        <v>3179</v>
      </c>
      <c r="E3915" t="s">
        <v>3180</v>
      </c>
      <c r="F3915" s="20">
        <v>4600</v>
      </c>
      <c r="I3915" s="11">
        <f t="shared" si="170"/>
        <v>44988</v>
      </c>
      <c r="J3915" s="12">
        <f t="shared" si="171"/>
        <v>304</v>
      </c>
      <c r="K3915" t="str">
        <f t="shared" si="172"/>
        <v>271-360</v>
      </c>
      <c r="L3915" s="11">
        <v>45292</v>
      </c>
      <c r="M3915" s="23">
        <f>YEAR(Таблица1[[#This Row],[Дата отчета]])</f>
        <v>2024</v>
      </c>
    </row>
    <row r="3916" spans="1:13" x14ac:dyDescent="0.25">
      <c r="A3916" t="s">
        <v>12</v>
      </c>
      <c r="B3916" t="s">
        <v>2150</v>
      </c>
      <c r="C3916" t="s">
        <v>3181</v>
      </c>
      <c r="D3916" t="s">
        <v>3182</v>
      </c>
      <c r="E3916" t="s">
        <v>3183</v>
      </c>
      <c r="F3916" s="20">
        <v>27200</v>
      </c>
      <c r="I3916" s="11">
        <f t="shared" si="170"/>
        <v>45013</v>
      </c>
      <c r="J3916" s="12">
        <f t="shared" si="171"/>
        <v>279</v>
      </c>
      <c r="K3916" t="str">
        <f t="shared" si="172"/>
        <v>271-360</v>
      </c>
      <c r="L3916" s="11">
        <v>45292</v>
      </c>
      <c r="M3916" s="23">
        <f>YEAR(Таблица1[[#This Row],[Дата отчета]])</f>
        <v>2024</v>
      </c>
    </row>
    <row r="3917" spans="1:13" x14ac:dyDescent="0.25">
      <c r="A3917" t="s">
        <v>12</v>
      </c>
      <c r="B3917" t="s">
        <v>526</v>
      </c>
      <c r="C3917" t="s">
        <v>269</v>
      </c>
      <c r="D3917" t="s">
        <v>4275</v>
      </c>
      <c r="E3917" t="s">
        <v>3798</v>
      </c>
      <c r="F3917" s="20">
        <v>12435.77</v>
      </c>
      <c r="I3917" s="11">
        <f t="shared" si="170"/>
        <v>45271</v>
      </c>
      <c r="J3917" s="12">
        <f t="shared" si="171"/>
        <v>21</v>
      </c>
      <c r="K3917" t="str">
        <f t="shared" si="172"/>
        <v>0-30</v>
      </c>
      <c r="L3917" s="11">
        <v>45292</v>
      </c>
      <c r="M3917" s="23">
        <f>YEAR(Таблица1[[#This Row],[Дата отчета]])</f>
        <v>2024</v>
      </c>
    </row>
    <row r="3918" spans="1:13" x14ac:dyDescent="0.25">
      <c r="A3918" t="s">
        <v>12</v>
      </c>
      <c r="B3918" t="s">
        <v>526</v>
      </c>
      <c r="C3918" t="s">
        <v>269</v>
      </c>
      <c r="D3918" t="s">
        <v>4276</v>
      </c>
      <c r="E3918" t="s">
        <v>4150</v>
      </c>
      <c r="F3918" s="20">
        <v>1411488</v>
      </c>
      <c r="I3918" s="11">
        <f t="shared" si="170"/>
        <v>45285</v>
      </c>
      <c r="J3918" s="12">
        <f t="shared" si="171"/>
        <v>7</v>
      </c>
      <c r="K3918" t="str">
        <f t="shared" si="172"/>
        <v>0-30</v>
      </c>
      <c r="L3918" s="11">
        <v>45292</v>
      </c>
      <c r="M3918" s="23">
        <f>YEAR(Таблица1[[#This Row],[Дата отчета]])</f>
        <v>2024</v>
      </c>
    </row>
    <row r="3919" spans="1:13" x14ac:dyDescent="0.25">
      <c r="A3919" t="s">
        <v>12</v>
      </c>
      <c r="B3919" t="s">
        <v>557</v>
      </c>
      <c r="C3919" t="s">
        <v>970</v>
      </c>
      <c r="D3919" t="s">
        <v>3578</v>
      </c>
      <c r="E3919" t="s">
        <v>3579</v>
      </c>
      <c r="F3919" s="20">
        <v>23531.45</v>
      </c>
      <c r="I3919" s="11">
        <f t="shared" si="170"/>
        <v>45083</v>
      </c>
      <c r="J3919" s="12">
        <f t="shared" si="171"/>
        <v>209</v>
      </c>
      <c r="K3919" t="str">
        <f t="shared" si="172"/>
        <v>181-270</v>
      </c>
      <c r="L3919" s="11">
        <v>45292</v>
      </c>
      <c r="M3919" s="23">
        <f>YEAR(Таблица1[[#This Row],[Дата отчета]])</f>
        <v>2024</v>
      </c>
    </row>
    <row r="3920" spans="1:13" x14ac:dyDescent="0.25">
      <c r="A3920" t="s">
        <v>12</v>
      </c>
      <c r="B3920" t="s">
        <v>561</v>
      </c>
      <c r="C3920" t="s">
        <v>4277</v>
      </c>
      <c r="D3920" t="s">
        <v>4278</v>
      </c>
      <c r="E3920" t="s">
        <v>4279</v>
      </c>
      <c r="F3920" s="20">
        <v>1943311.29</v>
      </c>
      <c r="I3920" s="11">
        <f t="shared" si="170"/>
        <v>45198</v>
      </c>
      <c r="J3920" s="12">
        <f t="shared" si="171"/>
        <v>94</v>
      </c>
      <c r="K3920" t="str">
        <f t="shared" si="172"/>
        <v>91-120</v>
      </c>
      <c r="L3920" s="11">
        <v>45292</v>
      </c>
      <c r="M3920" s="23">
        <f>YEAR(Таблица1[[#This Row],[Дата отчета]])</f>
        <v>2024</v>
      </c>
    </row>
    <row r="3921" spans="1:13" x14ac:dyDescent="0.25">
      <c r="A3921" t="s">
        <v>12</v>
      </c>
      <c r="B3921" t="s">
        <v>561</v>
      </c>
      <c r="C3921" t="s">
        <v>4277</v>
      </c>
      <c r="D3921" t="s">
        <v>4280</v>
      </c>
      <c r="E3921" t="s">
        <v>4165</v>
      </c>
      <c r="F3921" s="20">
        <v>13030.46</v>
      </c>
      <c r="I3921" s="11">
        <f t="shared" si="170"/>
        <v>45212</v>
      </c>
      <c r="J3921" s="12">
        <f t="shared" si="171"/>
        <v>80</v>
      </c>
      <c r="K3921" t="str">
        <f t="shared" si="172"/>
        <v>31-90</v>
      </c>
      <c r="L3921" s="11">
        <v>45292</v>
      </c>
      <c r="M3921" s="23">
        <f>YEAR(Таблица1[[#This Row],[Дата отчета]])</f>
        <v>2024</v>
      </c>
    </row>
    <row r="3922" spans="1:13" x14ac:dyDescent="0.25">
      <c r="A3922" t="s">
        <v>12</v>
      </c>
      <c r="B3922" t="s">
        <v>561</v>
      </c>
      <c r="C3922" t="s">
        <v>4277</v>
      </c>
      <c r="D3922" t="s">
        <v>4281</v>
      </c>
      <c r="E3922" t="s">
        <v>4042</v>
      </c>
      <c r="F3922" s="20">
        <v>3646.26</v>
      </c>
      <c r="I3922" s="11">
        <f t="shared" si="170"/>
        <v>45217</v>
      </c>
      <c r="J3922" s="12">
        <f t="shared" si="171"/>
        <v>75</v>
      </c>
      <c r="K3922" t="str">
        <f t="shared" si="172"/>
        <v>31-90</v>
      </c>
      <c r="L3922" s="11">
        <v>45292</v>
      </c>
      <c r="M3922" s="23">
        <f>YEAR(Таблица1[[#This Row],[Дата отчета]])</f>
        <v>2024</v>
      </c>
    </row>
    <row r="3923" spans="1:13" x14ac:dyDescent="0.25">
      <c r="A3923" t="s">
        <v>12</v>
      </c>
      <c r="B3923" t="s">
        <v>561</v>
      </c>
      <c r="C3923" t="s">
        <v>4277</v>
      </c>
      <c r="D3923" t="s">
        <v>4282</v>
      </c>
      <c r="E3923" t="s">
        <v>4283</v>
      </c>
      <c r="F3923" s="20">
        <v>45499.99</v>
      </c>
      <c r="I3923" s="11">
        <f t="shared" si="170"/>
        <v>45223</v>
      </c>
      <c r="J3923" s="12">
        <f t="shared" si="171"/>
        <v>69</v>
      </c>
      <c r="K3923" t="str">
        <f t="shared" si="172"/>
        <v>31-90</v>
      </c>
      <c r="L3923" s="11">
        <v>45292</v>
      </c>
      <c r="M3923" s="23">
        <f>YEAR(Таблица1[[#This Row],[Дата отчета]])</f>
        <v>2024</v>
      </c>
    </row>
    <row r="3924" spans="1:13" x14ac:dyDescent="0.25">
      <c r="A3924" t="s">
        <v>12</v>
      </c>
      <c r="B3924" t="s">
        <v>561</v>
      </c>
      <c r="C3924" t="s">
        <v>4284</v>
      </c>
      <c r="D3924" t="s">
        <v>3772</v>
      </c>
      <c r="E3924" t="s">
        <v>699</v>
      </c>
      <c r="F3924" s="20">
        <v>545854.66</v>
      </c>
      <c r="I3924" s="11">
        <f t="shared" si="170"/>
        <v>45218</v>
      </c>
      <c r="J3924" s="12">
        <f t="shared" si="171"/>
        <v>74</v>
      </c>
      <c r="K3924" t="str">
        <f t="shared" si="172"/>
        <v>31-90</v>
      </c>
      <c r="L3924" s="11">
        <v>45292</v>
      </c>
      <c r="M3924" s="23">
        <f>YEAR(Таблица1[[#This Row],[Дата отчета]])</f>
        <v>2024</v>
      </c>
    </row>
    <row r="3925" spans="1:13" x14ac:dyDescent="0.25">
      <c r="A3925" t="s">
        <v>12</v>
      </c>
      <c r="B3925" t="s">
        <v>561</v>
      </c>
      <c r="C3925" t="s">
        <v>4284</v>
      </c>
      <c r="D3925" t="s">
        <v>4285</v>
      </c>
      <c r="E3925" t="s">
        <v>4286</v>
      </c>
      <c r="F3925" s="20">
        <v>14484.59</v>
      </c>
      <c r="I3925" s="11">
        <f t="shared" si="170"/>
        <v>45291</v>
      </c>
      <c r="J3925" s="12">
        <f t="shared" si="171"/>
        <v>1</v>
      </c>
      <c r="K3925" t="str">
        <f t="shared" si="172"/>
        <v>0-30</v>
      </c>
      <c r="L3925" s="11">
        <v>45292</v>
      </c>
      <c r="M3925" s="23">
        <f>YEAR(Таблица1[[#This Row],[Дата отчета]])</f>
        <v>2024</v>
      </c>
    </row>
    <row r="3926" spans="1:13" x14ac:dyDescent="0.25">
      <c r="A3926" t="s">
        <v>12</v>
      </c>
      <c r="B3926" t="s">
        <v>561</v>
      </c>
      <c r="C3926" t="s">
        <v>4284</v>
      </c>
      <c r="D3926" t="s">
        <v>4287</v>
      </c>
      <c r="E3926" t="s">
        <v>4286</v>
      </c>
      <c r="F3926" s="20">
        <v>5330.92</v>
      </c>
      <c r="I3926" s="11">
        <f t="shared" si="170"/>
        <v>45291</v>
      </c>
      <c r="J3926" s="12">
        <f t="shared" si="171"/>
        <v>1</v>
      </c>
      <c r="K3926" t="str">
        <f t="shared" si="172"/>
        <v>0-30</v>
      </c>
      <c r="L3926" s="11">
        <v>45292</v>
      </c>
      <c r="M3926" s="23">
        <f>YEAR(Таблица1[[#This Row],[Дата отчета]])</f>
        <v>2024</v>
      </c>
    </row>
    <row r="3927" spans="1:13" x14ac:dyDescent="0.25">
      <c r="A3927" t="s">
        <v>12</v>
      </c>
      <c r="B3927" t="s">
        <v>589</v>
      </c>
      <c r="C3927" t="s">
        <v>590</v>
      </c>
      <c r="D3927" t="s">
        <v>4288</v>
      </c>
      <c r="E3927" t="s">
        <v>4289</v>
      </c>
      <c r="F3927" s="20">
        <v>217.02</v>
      </c>
      <c r="I3927" s="11">
        <f t="shared" si="170"/>
        <v>45201</v>
      </c>
      <c r="J3927" s="12">
        <f t="shared" si="171"/>
        <v>91</v>
      </c>
      <c r="K3927" t="str">
        <f t="shared" si="172"/>
        <v>91-120</v>
      </c>
      <c r="L3927" s="11">
        <v>45292</v>
      </c>
      <c r="M3927" s="23">
        <f>YEAR(Таблица1[[#This Row],[Дата отчета]])</f>
        <v>2024</v>
      </c>
    </row>
    <row r="3928" spans="1:13" x14ac:dyDescent="0.25">
      <c r="A3928" t="s">
        <v>12</v>
      </c>
      <c r="B3928" t="s">
        <v>589</v>
      </c>
      <c r="C3928" t="s">
        <v>590</v>
      </c>
      <c r="D3928" t="s">
        <v>4290</v>
      </c>
      <c r="E3928" t="s">
        <v>3942</v>
      </c>
      <c r="F3928" s="20">
        <v>500</v>
      </c>
      <c r="I3928" s="11">
        <f t="shared" si="170"/>
        <v>45257</v>
      </c>
      <c r="J3928" s="12">
        <f t="shared" si="171"/>
        <v>35</v>
      </c>
      <c r="K3928" t="str">
        <f t="shared" si="172"/>
        <v>31-90</v>
      </c>
      <c r="L3928" s="11">
        <v>45292</v>
      </c>
      <c r="M3928" s="23">
        <f>YEAR(Таблица1[[#This Row],[Дата отчета]])</f>
        <v>2024</v>
      </c>
    </row>
    <row r="3929" spans="1:13" x14ac:dyDescent="0.25">
      <c r="A3929" t="s">
        <v>12</v>
      </c>
      <c r="B3929" t="s">
        <v>589</v>
      </c>
      <c r="C3929" t="s">
        <v>594</v>
      </c>
      <c r="D3929" t="s">
        <v>4291</v>
      </c>
      <c r="E3929" t="s">
        <v>3942</v>
      </c>
      <c r="F3929" s="20">
        <v>757.74</v>
      </c>
      <c r="I3929" s="11">
        <f t="shared" si="170"/>
        <v>45257</v>
      </c>
      <c r="J3929" s="12">
        <f t="shared" si="171"/>
        <v>35</v>
      </c>
      <c r="K3929" t="str">
        <f t="shared" si="172"/>
        <v>31-90</v>
      </c>
      <c r="L3929" s="11">
        <v>45292</v>
      </c>
      <c r="M3929" s="23">
        <f>YEAR(Таблица1[[#This Row],[Дата отчета]])</f>
        <v>2024</v>
      </c>
    </row>
    <row r="3930" spans="1:13" x14ac:dyDescent="0.25">
      <c r="A3930" t="s">
        <v>12</v>
      </c>
      <c r="B3930" t="s">
        <v>589</v>
      </c>
      <c r="C3930" t="s">
        <v>596</v>
      </c>
      <c r="D3930" t="s">
        <v>4292</v>
      </c>
      <c r="E3930" t="s">
        <v>4289</v>
      </c>
      <c r="F3930" s="20">
        <v>1588.65</v>
      </c>
      <c r="I3930" s="11">
        <f t="shared" si="170"/>
        <v>45201</v>
      </c>
      <c r="J3930" s="12">
        <f t="shared" si="171"/>
        <v>91</v>
      </c>
      <c r="K3930" t="str">
        <f t="shared" si="172"/>
        <v>91-120</v>
      </c>
      <c r="L3930" s="11">
        <v>45292</v>
      </c>
      <c r="M3930" s="23">
        <f>YEAR(Таблица1[[#This Row],[Дата отчета]])</f>
        <v>2024</v>
      </c>
    </row>
    <row r="3931" spans="1:13" x14ac:dyDescent="0.25">
      <c r="A3931" t="s">
        <v>12</v>
      </c>
      <c r="B3931" t="s">
        <v>589</v>
      </c>
      <c r="C3931" t="s">
        <v>596</v>
      </c>
      <c r="D3931" t="s">
        <v>4293</v>
      </c>
      <c r="E3931" t="s">
        <v>609</v>
      </c>
      <c r="F3931" s="20">
        <v>2000</v>
      </c>
      <c r="I3931" s="11">
        <f t="shared" si="170"/>
        <v>45233</v>
      </c>
      <c r="J3931" s="12">
        <f t="shared" si="171"/>
        <v>59</v>
      </c>
      <c r="K3931" t="str">
        <f t="shared" si="172"/>
        <v>31-90</v>
      </c>
      <c r="L3931" s="11">
        <v>45292</v>
      </c>
      <c r="M3931" s="23">
        <f>YEAR(Таблица1[[#This Row],[Дата отчета]])</f>
        <v>2024</v>
      </c>
    </row>
    <row r="3932" spans="1:13" x14ac:dyDescent="0.25">
      <c r="A3932" t="s">
        <v>12</v>
      </c>
      <c r="B3932" t="s">
        <v>589</v>
      </c>
      <c r="C3932" t="s">
        <v>596</v>
      </c>
      <c r="D3932" t="s">
        <v>3941</v>
      </c>
      <c r="E3932" t="s">
        <v>3942</v>
      </c>
      <c r="F3932" s="20">
        <v>5000</v>
      </c>
      <c r="I3932" s="11">
        <f t="shared" si="170"/>
        <v>45257</v>
      </c>
      <c r="J3932" s="12">
        <f t="shared" si="171"/>
        <v>35</v>
      </c>
      <c r="K3932" t="str">
        <f t="shared" si="172"/>
        <v>31-90</v>
      </c>
      <c r="L3932" s="11">
        <v>45292</v>
      </c>
      <c r="M3932" s="23">
        <f>YEAR(Таблица1[[#This Row],[Дата отчета]])</f>
        <v>2024</v>
      </c>
    </row>
    <row r="3933" spans="1:13" x14ac:dyDescent="0.25">
      <c r="A3933" t="s">
        <v>12</v>
      </c>
      <c r="B3933" t="s">
        <v>589</v>
      </c>
      <c r="C3933" t="s">
        <v>598</v>
      </c>
      <c r="D3933" t="s">
        <v>599</v>
      </c>
      <c r="E3933" t="s">
        <v>600</v>
      </c>
      <c r="F3933" s="20">
        <v>45.91</v>
      </c>
      <c r="I3933" s="11">
        <f t="shared" si="170"/>
        <v>43560</v>
      </c>
      <c r="J3933" s="12">
        <f t="shared" si="171"/>
        <v>1732</v>
      </c>
      <c r="K3933" t="str">
        <f t="shared" si="172"/>
        <v>&gt;360</v>
      </c>
      <c r="L3933" s="11">
        <v>45292</v>
      </c>
      <c r="M3933" s="23">
        <f>YEAR(Таблица1[[#This Row],[Дата отчета]])</f>
        <v>2024</v>
      </c>
    </row>
    <row r="3934" spans="1:13" x14ac:dyDescent="0.25">
      <c r="A3934" t="s">
        <v>12</v>
      </c>
      <c r="B3934" t="s">
        <v>589</v>
      </c>
      <c r="C3934" t="s">
        <v>601</v>
      </c>
      <c r="D3934" t="s">
        <v>4294</v>
      </c>
      <c r="E3934" t="s">
        <v>3942</v>
      </c>
      <c r="F3934" s="20">
        <v>1079.82</v>
      </c>
      <c r="I3934" s="11">
        <f t="shared" si="170"/>
        <v>45257</v>
      </c>
      <c r="J3934" s="12">
        <f t="shared" si="171"/>
        <v>35</v>
      </c>
      <c r="K3934" t="str">
        <f t="shared" si="172"/>
        <v>31-90</v>
      </c>
      <c r="L3934" s="11">
        <v>45292</v>
      </c>
      <c r="M3934" s="23">
        <f>YEAR(Таблица1[[#This Row],[Дата отчета]])</f>
        <v>2024</v>
      </c>
    </row>
    <row r="3935" spans="1:13" x14ac:dyDescent="0.25">
      <c r="A3935" t="s">
        <v>12</v>
      </c>
      <c r="B3935" t="s">
        <v>589</v>
      </c>
      <c r="C3935" t="s">
        <v>604</v>
      </c>
      <c r="D3935" t="s">
        <v>3592</v>
      </c>
      <c r="E3935" t="s">
        <v>3593</v>
      </c>
      <c r="F3935" s="20">
        <v>266.13</v>
      </c>
      <c r="I3935" s="11">
        <f t="shared" si="170"/>
        <v>44897</v>
      </c>
      <c r="J3935" s="12">
        <f t="shared" si="171"/>
        <v>395</v>
      </c>
      <c r="K3935" t="str">
        <f t="shared" si="172"/>
        <v>&gt;360</v>
      </c>
      <c r="L3935" s="11">
        <v>45292</v>
      </c>
      <c r="M3935" s="23">
        <f>YEAR(Таблица1[[#This Row],[Дата отчета]])</f>
        <v>2024</v>
      </c>
    </row>
    <row r="3936" spans="1:13" x14ac:dyDescent="0.25">
      <c r="A3936" t="s">
        <v>12</v>
      </c>
      <c r="B3936" t="s">
        <v>589</v>
      </c>
      <c r="C3936" t="s">
        <v>607</v>
      </c>
      <c r="D3936" t="s">
        <v>4295</v>
      </c>
      <c r="E3936" t="s">
        <v>4296</v>
      </c>
      <c r="F3936" s="20">
        <v>124.21</v>
      </c>
      <c r="I3936" s="11">
        <f t="shared" si="170"/>
        <v>45027</v>
      </c>
      <c r="J3936" s="12">
        <f t="shared" si="171"/>
        <v>265</v>
      </c>
      <c r="K3936" t="str">
        <f t="shared" si="172"/>
        <v>181-270</v>
      </c>
      <c r="L3936" s="11">
        <v>45292</v>
      </c>
      <c r="M3936" s="23">
        <f>YEAR(Таблица1[[#This Row],[Дата отчета]])</f>
        <v>2024</v>
      </c>
    </row>
    <row r="3937" spans="1:13" x14ac:dyDescent="0.25">
      <c r="A3937" t="s">
        <v>12</v>
      </c>
      <c r="B3937" t="s">
        <v>589</v>
      </c>
      <c r="C3937" t="s">
        <v>607</v>
      </c>
      <c r="D3937" t="s">
        <v>608</v>
      </c>
      <c r="E3937" t="s">
        <v>609</v>
      </c>
      <c r="F3937" s="20">
        <v>1000</v>
      </c>
      <c r="I3937" s="11">
        <f t="shared" si="170"/>
        <v>45233</v>
      </c>
      <c r="J3937" s="12">
        <f t="shared" si="171"/>
        <v>59</v>
      </c>
      <c r="K3937" t="str">
        <f t="shared" si="172"/>
        <v>31-90</v>
      </c>
      <c r="L3937" s="11">
        <v>45292</v>
      </c>
      <c r="M3937" s="23">
        <f>YEAR(Таблица1[[#This Row],[Дата отчета]])</f>
        <v>2024</v>
      </c>
    </row>
    <row r="3938" spans="1:13" x14ac:dyDescent="0.25">
      <c r="A3938" t="s">
        <v>12</v>
      </c>
      <c r="B3938" t="s">
        <v>589</v>
      </c>
      <c r="C3938" t="s">
        <v>612</v>
      </c>
      <c r="D3938" t="s">
        <v>4297</v>
      </c>
      <c r="E3938" t="s">
        <v>4289</v>
      </c>
      <c r="F3938" s="20">
        <v>101.67</v>
      </c>
      <c r="I3938" s="11">
        <f t="shared" si="170"/>
        <v>45201</v>
      </c>
      <c r="J3938" s="12">
        <f t="shared" si="171"/>
        <v>91</v>
      </c>
      <c r="K3938" t="str">
        <f t="shared" si="172"/>
        <v>91-120</v>
      </c>
      <c r="L3938" s="11">
        <v>45292</v>
      </c>
      <c r="M3938" s="23">
        <f>YEAR(Таблица1[[#This Row],[Дата отчета]])</f>
        <v>2024</v>
      </c>
    </row>
    <row r="3939" spans="1:13" x14ac:dyDescent="0.25">
      <c r="A3939" t="s">
        <v>12</v>
      </c>
      <c r="B3939" t="s">
        <v>589</v>
      </c>
      <c r="C3939" t="s">
        <v>612</v>
      </c>
      <c r="D3939" t="s">
        <v>4298</v>
      </c>
      <c r="E3939" t="s">
        <v>3942</v>
      </c>
      <c r="F3939" s="20">
        <v>1000</v>
      </c>
      <c r="I3939" s="11">
        <f t="shared" si="170"/>
        <v>45257</v>
      </c>
      <c r="J3939" s="12">
        <f t="shared" si="171"/>
        <v>35</v>
      </c>
      <c r="K3939" t="str">
        <f t="shared" si="172"/>
        <v>31-90</v>
      </c>
      <c r="L3939" s="11">
        <v>45292</v>
      </c>
      <c r="M3939" s="23">
        <f>YEAR(Таблица1[[#This Row],[Дата отчета]])</f>
        <v>2024</v>
      </c>
    </row>
    <row r="3940" spans="1:13" x14ac:dyDescent="0.25">
      <c r="A3940" t="s">
        <v>12</v>
      </c>
      <c r="B3940" t="s">
        <v>589</v>
      </c>
      <c r="C3940" t="s">
        <v>615</v>
      </c>
      <c r="D3940" t="s">
        <v>616</v>
      </c>
      <c r="E3940" t="s">
        <v>617</v>
      </c>
      <c r="F3940" s="20">
        <v>127.6</v>
      </c>
      <c r="I3940" s="11">
        <f t="shared" si="170"/>
        <v>42468</v>
      </c>
      <c r="J3940" s="12">
        <f t="shared" si="171"/>
        <v>2824</v>
      </c>
      <c r="K3940" t="str">
        <f t="shared" si="172"/>
        <v>&gt;360</v>
      </c>
      <c r="L3940" s="11">
        <v>45292</v>
      </c>
      <c r="M3940" s="23">
        <f>YEAR(Таблица1[[#This Row],[Дата отчета]])</f>
        <v>2024</v>
      </c>
    </row>
    <row r="3941" spans="1:13" x14ac:dyDescent="0.25">
      <c r="A3941" t="s">
        <v>12</v>
      </c>
      <c r="B3941" t="s">
        <v>589</v>
      </c>
      <c r="C3941" t="s">
        <v>615</v>
      </c>
      <c r="D3941" t="s">
        <v>618</v>
      </c>
      <c r="E3941" t="s">
        <v>619</v>
      </c>
      <c r="F3941" s="20">
        <v>430</v>
      </c>
      <c r="I3941" s="11">
        <f t="shared" si="170"/>
        <v>42501</v>
      </c>
      <c r="J3941" s="12">
        <f t="shared" si="171"/>
        <v>2791</v>
      </c>
      <c r="K3941" t="str">
        <f t="shared" si="172"/>
        <v>&gt;360</v>
      </c>
      <c r="L3941" s="11">
        <v>45292</v>
      </c>
      <c r="M3941" s="23">
        <f>YEAR(Таблица1[[#This Row],[Дата отчета]])</f>
        <v>2024</v>
      </c>
    </row>
    <row r="3942" spans="1:13" x14ac:dyDescent="0.25">
      <c r="A3942" t="s">
        <v>12</v>
      </c>
      <c r="B3942" t="s">
        <v>589</v>
      </c>
      <c r="C3942" t="s">
        <v>615</v>
      </c>
      <c r="D3942" t="s">
        <v>620</v>
      </c>
      <c r="E3942" t="s">
        <v>621</v>
      </c>
      <c r="F3942" s="20">
        <v>0.01</v>
      </c>
      <c r="I3942" s="11">
        <f t="shared" si="170"/>
        <v>43817</v>
      </c>
      <c r="J3942" s="12">
        <f t="shared" si="171"/>
        <v>1475</v>
      </c>
      <c r="K3942" t="str">
        <f t="shared" si="172"/>
        <v>&gt;360</v>
      </c>
      <c r="L3942" s="11">
        <v>45292</v>
      </c>
      <c r="M3942" s="23">
        <f>YEAR(Таблица1[[#This Row],[Дата отчета]])</f>
        <v>2024</v>
      </c>
    </row>
    <row r="3943" spans="1:13" x14ac:dyDescent="0.25">
      <c r="A3943" t="s">
        <v>12</v>
      </c>
      <c r="B3943" t="s">
        <v>589</v>
      </c>
      <c r="C3943" t="s">
        <v>622</v>
      </c>
      <c r="F3943" s="20">
        <v>68.27</v>
      </c>
      <c r="I3943" s="11">
        <f t="shared" si="170"/>
        <v>0</v>
      </c>
      <c r="J3943" s="12">
        <f t="shared" si="171"/>
        <v>45292</v>
      </c>
      <c r="K3943" t="str">
        <f t="shared" si="172"/>
        <v>&gt;360</v>
      </c>
      <c r="L3943" s="11">
        <v>45292</v>
      </c>
      <c r="M3943" s="23">
        <f>YEAR(Таблица1[[#This Row],[Дата отчета]])</f>
        <v>2024</v>
      </c>
    </row>
    <row r="3944" spans="1:13" x14ac:dyDescent="0.25">
      <c r="A3944" t="s">
        <v>12</v>
      </c>
      <c r="B3944" t="s">
        <v>589</v>
      </c>
      <c r="C3944" t="s">
        <v>623</v>
      </c>
      <c r="D3944" t="s">
        <v>624</v>
      </c>
      <c r="E3944" t="s">
        <v>625</v>
      </c>
      <c r="F3944" s="20">
        <v>799.94</v>
      </c>
      <c r="I3944" s="11">
        <f t="shared" si="170"/>
        <v>42429</v>
      </c>
      <c r="J3944" s="12">
        <f t="shared" si="171"/>
        <v>2863</v>
      </c>
      <c r="K3944" t="str">
        <f t="shared" si="172"/>
        <v>&gt;360</v>
      </c>
      <c r="L3944" s="11">
        <v>45292</v>
      </c>
      <c r="M3944" s="23">
        <f>YEAR(Таблица1[[#This Row],[Дата отчета]])</f>
        <v>2024</v>
      </c>
    </row>
    <row r="3945" spans="1:13" x14ac:dyDescent="0.25">
      <c r="A3945" t="s">
        <v>12</v>
      </c>
      <c r="B3945" t="s">
        <v>589</v>
      </c>
      <c r="C3945" t="s">
        <v>626</v>
      </c>
      <c r="D3945" t="s">
        <v>4299</v>
      </c>
      <c r="E3945" t="s">
        <v>609</v>
      </c>
      <c r="F3945" s="20">
        <v>1684.36</v>
      </c>
      <c r="I3945" s="11">
        <f t="shared" si="170"/>
        <v>45233</v>
      </c>
      <c r="J3945" s="12">
        <f t="shared" si="171"/>
        <v>59</v>
      </c>
      <c r="K3945" t="str">
        <f t="shared" si="172"/>
        <v>31-90</v>
      </c>
      <c r="L3945" s="11">
        <v>45292</v>
      </c>
      <c r="M3945" s="23">
        <f>YEAR(Таблица1[[#This Row],[Дата отчета]])</f>
        <v>2024</v>
      </c>
    </row>
    <row r="3946" spans="1:13" x14ac:dyDescent="0.25">
      <c r="A3946" t="s">
        <v>12</v>
      </c>
      <c r="B3946" t="s">
        <v>589</v>
      </c>
      <c r="C3946" t="s">
        <v>626</v>
      </c>
      <c r="D3946" t="s">
        <v>4300</v>
      </c>
      <c r="E3946" t="s">
        <v>3942</v>
      </c>
      <c r="F3946" s="20">
        <v>4000</v>
      </c>
      <c r="I3946" s="11">
        <f t="shared" si="170"/>
        <v>45257</v>
      </c>
      <c r="J3946" s="12">
        <f t="shared" si="171"/>
        <v>35</v>
      </c>
      <c r="K3946" t="str">
        <f t="shared" si="172"/>
        <v>31-90</v>
      </c>
      <c r="L3946" s="11">
        <v>45292</v>
      </c>
      <c r="M3946" s="23">
        <f>YEAR(Таблица1[[#This Row],[Дата отчета]])</f>
        <v>2024</v>
      </c>
    </row>
    <row r="3947" spans="1:13" x14ac:dyDescent="0.25">
      <c r="A3947" t="s">
        <v>12</v>
      </c>
      <c r="B3947" t="s">
        <v>589</v>
      </c>
      <c r="C3947" t="s">
        <v>3950</v>
      </c>
      <c r="D3947" t="s">
        <v>3951</v>
      </c>
      <c r="E3947" t="s">
        <v>609</v>
      </c>
      <c r="F3947" s="20">
        <v>381.15</v>
      </c>
      <c r="I3947" s="11">
        <f t="shared" si="170"/>
        <v>45233</v>
      </c>
      <c r="J3947" s="12">
        <f t="shared" si="171"/>
        <v>59</v>
      </c>
      <c r="K3947" t="str">
        <f t="shared" si="172"/>
        <v>31-90</v>
      </c>
      <c r="L3947" s="11">
        <v>45292</v>
      </c>
      <c r="M3947" s="23">
        <f>YEAR(Таблица1[[#This Row],[Дата отчета]])</f>
        <v>2024</v>
      </c>
    </row>
    <row r="3948" spans="1:13" x14ac:dyDescent="0.25">
      <c r="A3948" t="s">
        <v>12</v>
      </c>
      <c r="B3948" t="s">
        <v>4301</v>
      </c>
      <c r="C3948" t="s">
        <v>4302</v>
      </c>
      <c r="D3948" t="s">
        <v>4303</v>
      </c>
      <c r="E3948" t="s">
        <v>4187</v>
      </c>
      <c r="F3948" s="20">
        <v>48900</v>
      </c>
      <c r="I3948" s="11">
        <f t="shared" si="170"/>
        <v>45265</v>
      </c>
      <c r="J3948" s="12">
        <f t="shared" si="171"/>
        <v>27</v>
      </c>
      <c r="K3948" t="str">
        <f t="shared" si="172"/>
        <v>0-30</v>
      </c>
      <c r="L3948" s="11">
        <v>45292</v>
      </c>
      <c r="M3948" s="23">
        <f>YEAR(Таблица1[[#This Row],[Дата отчета]])</f>
        <v>2024</v>
      </c>
    </row>
    <row r="3949" spans="1:13" x14ac:dyDescent="0.25">
      <c r="A3949" t="s">
        <v>12</v>
      </c>
      <c r="B3949" t="s">
        <v>3597</v>
      </c>
      <c r="C3949" t="s">
        <v>3952</v>
      </c>
      <c r="D3949" t="s">
        <v>4304</v>
      </c>
      <c r="E3949" t="s">
        <v>3798</v>
      </c>
      <c r="F3949" s="20">
        <v>27930000</v>
      </c>
      <c r="I3949" s="11">
        <f t="shared" si="170"/>
        <v>45271</v>
      </c>
      <c r="J3949" s="12">
        <f t="shared" si="171"/>
        <v>21</v>
      </c>
      <c r="K3949" t="str">
        <f t="shared" si="172"/>
        <v>0-30</v>
      </c>
      <c r="L3949" s="11">
        <v>45292</v>
      </c>
      <c r="M3949" s="23">
        <f>YEAR(Таблица1[[#This Row],[Дата отчета]])</f>
        <v>2024</v>
      </c>
    </row>
    <row r="3950" spans="1:13" x14ac:dyDescent="0.25">
      <c r="A3950" t="s">
        <v>12</v>
      </c>
      <c r="B3950" t="s">
        <v>3597</v>
      </c>
      <c r="C3950" t="s">
        <v>3952</v>
      </c>
      <c r="D3950" t="s">
        <v>4305</v>
      </c>
      <c r="E3950" t="s">
        <v>3798</v>
      </c>
      <c r="F3950" s="20">
        <v>36235500</v>
      </c>
      <c r="I3950" s="11">
        <f t="shared" si="170"/>
        <v>45271</v>
      </c>
      <c r="J3950" s="12">
        <f t="shared" si="171"/>
        <v>21</v>
      </c>
      <c r="K3950" t="str">
        <f t="shared" si="172"/>
        <v>0-30</v>
      </c>
      <c r="L3950" s="11">
        <v>45292</v>
      </c>
      <c r="M3950" s="23">
        <f>YEAR(Таблица1[[#This Row],[Дата отчета]])</f>
        <v>2024</v>
      </c>
    </row>
    <row r="3951" spans="1:13" x14ac:dyDescent="0.25">
      <c r="A3951" t="s">
        <v>12</v>
      </c>
      <c r="B3951" t="s">
        <v>3597</v>
      </c>
      <c r="C3951" t="s">
        <v>3955</v>
      </c>
      <c r="D3951" t="s">
        <v>4306</v>
      </c>
      <c r="E3951" t="s">
        <v>3798</v>
      </c>
      <c r="F3951" s="20">
        <v>60328800</v>
      </c>
      <c r="I3951" s="11">
        <f t="shared" si="170"/>
        <v>45271</v>
      </c>
      <c r="J3951" s="12">
        <f t="shared" si="171"/>
        <v>21</v>
      </c>
      <c r="K3951" t="str">
        <f t="shared" si="172"/>
        <v>0-30</v>
      </c>
      <c r="L3951" s="11">
        <v>45292</v>
      </c>
      <c r="M3951" s="23">
        <f>YEAR(Таблица1[[#This Row],[Дата отчета]])</f>
        <v>2024</v>
      </c>
    </row>
    <row r="3952" spans="1:13" x14ac:dyDescent="0.25">
      <c r="A3952" t="s">
        <v>12</v>
      </c>
      <c r="B3952" t="s">
        <v>3597</v>
      </c>
      <c r="C3952" t="s">
        <v>3955</v>
      </c>
      <c r="D3952" t="s">
        <v>4307</v>
      </c>
      <c r="E3952" t="s">
        <v>3798</v>
      </c>
      <c r="F3952" s="20">
        <v>137361700</v>
      </c>
      <c r="I3952" s="11">
        <f t="shared" si="170"/>
        <v>45271</v>
      </c>
      <c r="J3952" s="12">
        <f t="shared" si="171"/>
        <v>21</v>
      </c>
      <c r="K3952" t="str">
        <f t="shared" si="172"/>
        <v>0-30</v>
      </c>
      <c r="L3952" s="11">
        <v>45292</v>
      </c>
      <c r="M3952" s="23">
        <f>YEAR(Таблица1[[#This Row],[Дата отчета]])</f>
        <v>2024</v>
      </c>
    </row>
    <row r="3953" spans="1:14" x14ac:dyDescent="0.25">
      <c r="A3953" t="s">
        <v>12</v>
      </c>
      <c r="B3953" t="s">
        <v>636</v>
      </c>
      <c r="C3953" t="s">
        <v>4308</v>
      </c>
      <c r="D3953" t="s">
        <v>4309</v>
      </c>
      <c r="E3953" t="s">
        <v>4249</v>
      </c>
      <c r="F3953" s="20">
        <v>6024825</v>
      </c>
      <c r="I3953" s="11">
        <f t="shared" si="170"/>
        <v>45272</v>
      </c>
      <c r="J3953" s="12">
        <f t="shared" si="171"/>
        <v>20</v>
      </c>
      <c r="K3953" t="str">
        <f t="shared" si="172"/>
        <v>0-30</v>
      </c>
      <c r="L3953" s="11">
        <v>45292</v>
      </c>
      <c r="M3953" s="23">
        <f>YEAR(Таблица1[[#This Row],[Дата отчета]])</f>
        <v>2024</v>
      </c>
    </row>
    <row r="3954" spans="1:14" x14ac:dyDescent="0.25">
      <c r="A3954" t="s">
        <v>12</v>
      </c>
      <c r="B3954" t="s">
        <v>4039</v>
      </c>
      <c r="C3954" t="s">
        <v>4040</v>
      </c>
      <c r="D3954" t="s">
        <v>4041</v>
      </c>
      <c r="E3954" t="s">
        <v>4042</v>
      </c>
      <c r="F3954" s="20">
        <v>2100000</v>
      </c>
      <c r="I3954" s="11">
        <f t="shared" si="170"/>
        <v>45217</v>
      </c>
      <c r="J3954" s="12">
        <f t="shared" si="171"/>
        <v>75</v>
      </c>
      <c r="K3954" t="str">
        <f t="shared" si="172"/>
        <v>31-90</v>
      </c>
      <c r="L3954" s="11">
        <v>45292</v>
      </c>
      <c r="M3954" s="23">
        <f>YEAR(Таблица1[[#This Row],[Дата отчета]])</f>
        <v>2024</v>
      </c>
    </row>
    <row r="3955" spans="1:14" x14ac:dyDescent="0.25">
      <c r="A3955" t="s">
        <v>12</v>
      </c>
      <c r="B3955" t="s">
        <v>4310</v>
      </c>
      <c r="C3955" t="s">
        <v>4311</v>
      </c>
      <c r="D3955" t="s">
        <v>4312</v>
      </c>
      <c r="E3955" t="s">
        <v>3066</v>
      </c>
      <c r="F3955" s="20">
        <v>127500</v>
      </c>
      <c r="I3955" s="11">
        <f t="shared" si="170"/>
        <v>45240</v>
      </c>
      <c r="J3955" s="12">
        <f t="shared" si="171"/>
        <v>52</v>
      </c>
      <c r="K3955" t="str">
        <f t="shared" si="172"/>
        <v>31-90</v>
      </c>
      <c r="L3955" s="11">
        <v>45292</v>
      </c>
      <c r="M3955" s="23">
        <f>YEAR(Таблица1[[#This Row],[Дата отчета]])</f>
        <v>2024</v>
      </c>
    </row>
    <row r="3956" spans="1:14" x14ac:dyDescent="0.25">
      <c r="A3956" t="s">
        <v>12</v>
      </c>
      <c r="B3956" t="s">
        <v>4043</v>
      </c>
      <c r="C3956" t="s">
        <v>4044</v>
      </c>
      <c r="D3956" t="s">
        <v>4045</v>
      </c>
      <c r="E3956" t="s">
        <v>4046</v>
      </c>
      <c r="F3956" s="20">
        <v>1062000</v>
      </c>
      <c r="I3956" s="11">
        <f t="shared" si="170"/>
        <v>45266</v>
      </c>
      <c r="J3956" s="12">
        <f t="shared" si="171"/>
        <v>26</v>
      </c>
      <c r="K3956" t="str">
        <f t="shared" si="172"/>
        <v>0-30</v>
      </c>
      <c r="L3956" s="11">
        <v>45292</v>
      </c>
      <c r="M3956" s="23">
        <f>YEAR(Таблица1[[#This Row],[Дата отчета]])</f>
        <v>2024</v>
      </c>
    </row>
    <row r="3957" spans="1:14" x14ac:dyDescent="0.25">
      <c r="A3957" t="s">
        <v>12</v>
      </c>
      <c r="B3957" t="s">
        <v>670</v>
      </c>
      <c r="C3957" t="s">
        <v>3634</v>
      </c>
      <c r="D3957" t="s">
        <v>3635</v>
      </c>
      <c r="E3957" t="s">
        <v>3636</v>
      </c>
      <c r="F3957" s="20">
        <v>0.01</v>
      </c>
      <c r="I3957" s="11">
        <f t="shared" si="170"/>
        <v>44722</v>
      </c>
      <c r="J3957" s="12">
        <f t="shared" si="171"/>
        <v>570</v>
      </c>
      <c r="K3957" t="str">
        <f t="shared" si="172"/>
        <v>&gt;360</v>
      </c>
      <c r="L3957" s="11">
        <v>45292</v>
      </c>
      <c r="M3957" s="23">
        <f>YEAR(Таблица1[[#This Row],[Дата отчета]])</f>
        <v>2024</v>
      </c>
    </row>
    <row r="3958" spans="1:14" x14ac:dyDescent="0.25">
      <c r="A3958" t="s">
        <v>12</v>
      </c>
      <c r="B3958" t="s">
        <v>677</v>
      </c>
      <c r="C3958" t="s">
        <v>4056</v>
      </c>
      <c r="D3958" t="s">
        <v>4057</v>
      </c>
      <c r="E3958" t="s">
        <v>1258</v>
      </c>
      <c r="F3958" s="20">
        <v>26.67</v>
      </c>
      <c r="I3958" s="11">
        <f t="shared" si="170"/>
        <v>45288</v>
      </c>
      <c r="J3958" s="12">
        <f t="shared" si="171"/>
        <v>4</v>
      </c>
      <c r="K3958" t="str">
        <f t="shared" si="172"/>
        <v>0-30</v>
      </c>
      <c r="L3958" s="11">
        <v>45292</v>
      </c>
      <c r="M3958" s="23">
        <f>YEAR(Таблица1[[#This Row],[Дата отчета]])</f>
        <v>2024</v>
      </c>
    </row>
    <row r="3959" spans="1:14" x14ac:dyDescent="0.25">
      <c r="A3959" t="s">
        <v>12</v>
      </c>
      <c r="B3959" t="s">
        <v>680</v>
      </c>
      <c r="C3959" t="s">
        <v>4313</v>
      </c>
      <c r="D3959" t="s">
        <v>4314</v>
      </c>
      <c r="E3959" t="s">
        <v>2439</v>
      </c>
      <c r="F3959" s="20">
        <v>44000</v>
      </c>
      <c r="I3959" s="11">
        <f t="shared" si="170"/>
        <v>45016</v>
      </c>
      <c r="J3959" s="12">
        <f t="shared" si="171"/>
        <v>276</v>
      </c>
      <c r="K3959" t="str">
        <f t="shared" si="172"/>
        <v>271-360</v>
      </c>
      <c r="L3959" s="11">
        <v>45292</v>
      </c>
      <c r="M3959" s="23">
        <f>YEAR(Таблица1[[#This Row],[Дата отчета]])</f>
        <v>2024</v>
      </c>
    </row>
    <row r="3960" spans="1:14" x14ac:dyDescent="0.25">
      <c r="A3960" t="s">
        <v>12</v>
      </c>
      <c r="B3960" t="s">
        <v>684</v>
      </c>
      <c r="C3960" t="s">
        <v>685</v>
      </c>
      <c r="D3960" t="s">
        <v>4061</v>
      </c>
      <c r="E3960" t="s">
        <v>3836</v>
      </c>
      <c r="F3960" s="20">
        <v>11590</v>
      </c>
      <c r="I3960" s="11">
        <f t="shared" si="170"/>
        <v>45254</v>
      </c>
      <c r="J3960" s="12">
        <f t="shared" si="171"/>
        <v>38</v>
      </c>
      <c r="K3960" t="str">
        <f t="shared" si="172"/>
        <v>31-90</v>
      </c>
      <c r="L3960" s="11">
        <v>45292</v>
      </c>
      <c r="M3960" s="23">
        <f>YEAR(Таблица1[[#This Row],[Дата отчета]])</f>
        <v>2024</v>
      </c>
    </row>
    <row r="3961" spans="1:14" x14ac:dyDescent="0.25">
      <c r="A3961" t="s">
        <v>12</v>
      </c>
      <c r="B3961" t="s">
        <v>684</v>
      </c>
      <c r="C3961" t="s">
        <v>697</v>
      </c>
      <c r="D3961" t="s">
        <v>698</v>
      </c>
      <c r="E3961" t="s">
        <v>699</v>
      </c>
      <c r="F3961" s="20">
        <v>321728</v>
      </c>
      <c r="I3961" s="11">
        <f t="shared" si="170"/>
        <v>45218</v>
      </c>
      <c r="J3961" s="12">
        <f t="shared" si="171"/>
        <v>74</v>
      </c>
      <c r="K3961" t="str">
        <f t="shared" si="172"/>
        <v>31-90</v>
      </c>
      <c r="L3961" s="11">
        <v>45292</v>
      </c>
      <c r="M3961" s="23">
        <f>YEAR(Таблица1[[#This Row],[Дата отчета]])</f>
        <v>2024</v>
      </c>
      <c r="N3961" s="2"/>
    </row>
    <row r="3962" spans="1:14" x14ac:dyDescent="0.25">
      <c r="A3962" t="s">
        <v>12</v>
      </c>
      <c r="B3962" t="s">
        <v>745</v>
      </c>
      <c r="C3962" t="s">
        <v>269</v>
      </c>
      <c r="D3962" t="s">
        <v>2975</v>
      </c>
      <c r="E3962" t="s">
        <v>2976</v>
      </c>
      <c r="F3962" s="20">
        <v>5840.59</v>
      </c>
      <c r="I3962" s="11">
        <f t="shared" si="170"/>
        <v>45139</v>
      </c>
      <c r="J3962" s="12">
        <f t="shared" si="171"/>
        <v>153</v>
      </c>
      <c r="K3962" t="str">
        <f t="shared" si="172"/>
        <v>121-180</v>
      </c>
      <c r="L3962" s="11">
        <v>45292</v>
      </c>
      <c r="M3962" s="23">
        <f>YEAR(Таблица1[[#This Row],[Дата отчета]])</f>
        <v>2024</v>
      </c>
    </row>
    <row r="3963" spans="1:14" x14ac:dyDescent="0.25">
      <c r="A3963" t="s">
        <v>12</v>
      </c>
      <c r="B3963" t="s">
        <v>3648</v>
      </c>
      <c r="C3963" t="s">
        <v>4315</v>
      </c>
      <c r="D3963" t="s">
        <v>4316</v>
      </c>
      <c r="E3963" t="s">
        <v>4187</v>
      </c>
      <c r="F3963" s="20">
        <v>173704.68</v>
      </c>
      <c r="I3963" s="11">
        <f t="shared" si="170"/>
        <v>45265</v>
      </c>
      <c r="J3963" s="12">
        <f t="shared" si="171"/>
        <v>27</v>
      </c>
      <c r="K3963" t="str">
        <f t="shared" si="172"/>
        <v>0-30</v>
      </c>
      <c r="L3963" s="11">
        <v>45292</v>
      </c>
      <c r="M3963" s="23">
        <f>YEAR(Таблица1[[#This Row],[Дата отчета]])</f>
        <v>2024</v>
      </c>
    </row>
    <row r="3964" spans="1:14" x14ac:dyDescent="0.25">
      <c r="A3964" t="s">
        <v>12</v>
      </c>
      <c r="B3964" t="s">
        <v>3664</v>
      </c>
      <c r="C3964" t="s">
        <v>3665</v>
      </c>
      <c r="D3964" t="s">
        <v>3666</v>
      </c>
      <c r="E3964" t="s">
        <v>796</v>
      </c>
      <c r="F3964" s="20">
        <v>1889400</v>
      </c>
      <c r="I3964" s="11">
        <f t="shared" si="170"/>
        <v>44889</v>
      </c>
      <c r="J3964" s="12">
        <f t="shared" si="171"/>
        <v>403</v>
      </c>
      <c r="K3964" t="str">
        <f t="shared" si="172"/>
        <v>&gt;360</v>
      </c>
      <c r="L3964" s="11">
        <v>45292</v>
      </c>
      <c r="M3964" s="23">
        <f>YEAR(Таблица1[[#This Row],[Дата отчета]])</f>
        <v>2024</v>
      </c>
    </row>
    <row r="3965" spans="1:14" x14ac:dyDescent="0.25">
      <c r="A3965" t="s">
        <v>12</v>
      </c>
      <c r="B3965" t="s">
        <v>752</v>
      </c>
      <c r="C3965" t="s">
        <v>4086</v>
      </c>
      <c r="D3965" t="s">
        <v>4087</v>
      </c>
      <c r="E3965" t="s">
        <v>4088</v>
      </c>
      <c r="F3965" s="20">
        <v>110000</v>
      </c>
      <c r="I3965" s="11">
        <f t="shared" si="170"/>
        <v>45117</v>
      </c>
      <c r="J3965" s="12">
        <f t="shared" si="171"/>
        <v>175</v>
      </c>
      <c r="K3965" t="str">
        <f t="shared" si="172"/>
        <v>121-180</v>
      </c>
      <c r="L3965" s="11">
        <v>45292</v>
      </c>
      <c r="M3965" s="23">
        <f>YEAR(Таблица1[[#This Row],[Дата отчета]])</f>
        <v>2024</v>
      </c>
    </row>
    <row r="3966" spans="1:14" x14ac:dyDescent="0.25">
      <c r="A3966" t="s">
        <v>12</v>
      </c>
      <c r="B3966" t="s">
        <v>777</v>
      </c>
      <c r="C3966" t="s">
        <v>778</v>
      </c>
      <c r="D3966" t="s">
        <v>779</v>
      </c>
      <c r="E3966" t="s">
        <v>780</v>
      </c>
      <c r="F3966" s="20">
        <v>196.02</v>
      </c>
      <c r="I3966" s="11">
        <f t="shared" si="170"/>
        <v>44868</v>
      </c>
      <c r="J3966" s="12">
        <f t="shared" si="171"/>
        <v>424</v>
      </c>
      <c r="K3966" t="str">
        <f t="shared" si="172"/>
        <v>&gt;360</v>
      </c>
      <c r="L3966" s="11">
        <v>45292</v>
      </c>
      <c r="M3966" s="23">
        <f>YEAR(Таблица1[[#This Row],[Дата отчета]])</f>
        <v>2024</v>
      </c>
      <c r="N3966" s="2" t="s">
        <v>807</v>
      </c>
    </row>
    <row r="3967" spans="1:14" x14ac:dyDescent="0.25">
      <c r="A3967" t="s">
        <v>12</v>
      </c>
      <c r="B3967" t="s">
        <v>1676</v>
      </c>
      <c r="C3967" t="s">
        <v>3252</v>
      </c>
      <c r="D3967" t="s">
        <v>3253</v>
      </c>
      <c r="E3967" t="s">
        <v>3254</v>
      </c>
      <c r="F3967" s="20">
        <v>36897.74</v>
      </c>
      <c r="I3967" s="11">
        <f t="shared" si="170"/>
        <v>45219</v>
      </c>
      <c r="J3967" s="12">
        <f t="shared" si="171"/>
        <v>73</v>
      </c>
      <c r="K3967" t="str">
        <f t="shared" si="172"/>
        <v>31-90</v>
      </c>
      <c r="L3967" s="11">
        <v>45292</v>
      </c>
      <c r="M3967" s="23">
        <f>YEAR(Таблица1[[#This Row],[Дата отчета]])</f>
        <v>2024</v>
      </c>
    </row>
    <row r="3968" spans="1:14" x14ac:dyDescent="0.25">
      <c r="A3968" t="s">
        <v>12</v>
      </c>
      <c r="B3968" t="s">
        <v>793</v>
      </c>
      <c r="C3968" t="s">
        <v>794</v>
      </c>
      <c r="D3968" t="s">
        <v>795</v>
      </c>
      <c r="E3968" t="s">
        <v>796</v>
      </c>
      <c r="F3968" s="20">
        <v>650</v>
      </c>
      <c r="I3968" s="11">
        <f t="shared" ref="I3968:I4012" si="173">E3968*1</f>
        <v>44889</v>
      </c>
      <c r="J3968" s="12">
        <f t="shared" ref="J3968:J4012" si="174">L3968-I3968</f>
        <v>403</v>
      </c>
      <c r="K3968" t="str">
        <f t="shared" si="172"/>
        <v>&gt;360</v>
      </c>
      <c r="L3968" s="11">
        <v>45292</v>
      </c>
      <c r="M3968" s="23">
        <f>YEAR(Таблица1[[#This Row],[Дата отчета]])</f>
        <v>2024</v>
      </c>
      <c r="N3968" s="2" t="s">
        <v>807</v>
      </c>
    </row>
    <row r="3969" spans="1:14" x14ac:dyDescent="0.25">
      <c r="A3969" t="s">
        <v>12</v>
      </c>
      <c r="B3969" t="s">
        <v>1224</v>
      </c>
      <c r="C3969" t="s">
        <v>1234</v>
      </c>
      <c r="D3969" t="s">
        <v>1251</v>
      </c>
      <c r="E3969" t="s">
        <v>1258</v>
      </c>
      <c r="F3969" s="20">
        <v>12</v>
      </c>
      <c r="I3969" s="11">
        <f t="shared" si="173"/>
        <v>45288</v>
      </c>
      <c r="J3969" s="12">
        <f t="shared" si="174"/>
        <v>4</v>
      </c>
      <c r="K3969" t="str">
        <f t="shared" ref="K3969:K4012" si="175">IF(J3969&lt;=30,"0-30",IF(J3969&lt;=90,"31-90",IF(J3969&lt;=120,"91-120",IF(J3969&lt;=180,"121-180",IF(J3969&lt;=270,"181-270",IF(J3969&lt;=360,"271-360","&gt;360"))))))</f>
        <v>0-30</v>
      </c>
      <c r="L3969" s="11">
        <v>45292</v>
      </c>
      <c r="M3969" s="23">
        <f>YEAR(Таблица1[[#This Row],[Дата отчета]])</f>
        <v>2024</v>
      </c>
    </row>
    <row r="3970" spans="1:14" x14ac:dyDescent="0.25">
      <c r="A3970" t="s">
        <v>12</v>
      </c>
      <c r="B3970" t="s">
        <v>844</v>
      </c>
      <c r="C3970" t="s">
        <v>4317</v>
      </c>
      <c r="D3970" t="s">
        <v>4318</v>
      </c>
      <c r="E3970" t="s">
        <v>4319</v>
      </c>
      <c r="F3970" s="20">
        <v>578084.18999999994</v>
      </c>
      <c r="I3970" s="11">
        <f t="shared" si="173"/>
        <v>45142</v>
      </c>
      <c r="J3970" s="12">
        <f t="shared" si="174"/>
        <v>150</v>
      </c>
      <c r="K3970" t="str">
        <f t="shared" si="175"/>
        <v>121-180</v>
      </c>
      <c r="L3970" s="11">
        <v>45292</v>
      </c>
      <c r="M3970" s="23">
        <f>YEAR(Таблица1[[#This Row],[Дата отчета]])</f>
        <v>2024</v>
      </c>
    </row>
    <row r="3971" spans="1:14" x14ac:dyDescent="0.25">
      <c r="A3971" t="s">
        <v>12</v>
      </c>
      <c r="B3971" t="s">
        <v>844</v>
      </c>
      <c r="C3971" t="s">
        <v>845</v>
      </c>
      <c r="D3971" t="s">
        <v>846</v>
      </c>
      <c r="E3971" t="s">
        <v>847</v>
      </c>
      <c r="F3971" s="20">
        <v>11834</v>
      </c>
      <c r="I3971" s="11">
        <f t="shared" si="173"/>
        <v>45200</v>
      </c>
      <c r="J3971" s="12">
        <f t="shared" si="174"/>
        <v>92</v>
      </c>
      <c r="K3971" t="str">
        <f t="shared" si="175"/>
        <v>91-120</v>
      </c>
      <c r="L3971" s="11">
        <v>45292</v>
      </c>
      <c r="M3971" s="23">
        <f>YEAR(Таблица1[[#This Row],[Дата отчета]])</f>
        <v>2024</v>
      </c>
      <c r="N3971" s="2" t="s">
        <v>807</v>
      </c>
    </row>
    <row r="3972" spans="1:14" x14ac:dyDescent="0.25">
      <c r="A3972" t="s">
        <v>12</v>
      </c>
      <c r="B3972" t="s">
        <v>854</v>
      </c>
      <c r="C3972" t="s">
        <v>857</v>
      </c>
      <c r="D3972" t="s">
        <v>858</v>
      </c>
      <c r="E3972" t="s">
        <v>859</v>
      </c>
      <c r="F3972" s="20">
        <v>9250</v>
      </c>
      <c r="I3972" s="11">
        <f t="shared" si="173"/>
        <v>45110</v>
      </c>
      <c r="J3972" s="12">
        <f t="shared" si="174"/>
        <v>182</v>
      </c>
      <c r="K3972" t="str">
        <f t="shared" si="175"/>
        <v>181-270</v>
      </c>
      <c r="L3972" s="11">
        <v>45292</v>
      </c>
      <c r="M3972" s="23">
        <f>YEAR(Таблица1[[#This Row],[Дата отчета]])</f>
        <v>2024</v>
      </c>
      <c r="N3972" s="2" t="s">
        <v>807</v>
      </c>
    </row>
    <row r="3973" spans="1:14" x14ac:dyDescent="0.25">
      <c r="A3973" t="s">
        <v>12</v>
      </c>
      <c r="B3973" t="s">
        <v>854</v>
      </c>
      <c r="C3973" t="s">
        <v>860</v>
      </c>
      <c r="D3973" t="s">
        <v>861</v>
      </c>
      <c r="E3973" t="s">
        <v>862</v>
      </c>
      <c r="F3973" s="20">
        <v>4996</v>
      </c>
      <c r="I3973" s="11">
        <f t="shared" si="173"/>
        <v>45187</v>
      </c>
      <c r="J3973" s="12">
        <f t="shared" si="174"/>
        <v>105</v>
      </c>
      <c r="K3973" t="str">
        <f t="shared" si="175"/>
        <v>91-120</v>
      </c>
      <c r="L3973" s="11">
        <v>45292</v>
      </c>
      <c r="M3973" s="23">
        <f>YEAR(Таблица1[[#This Row],[Дата отчета]])</f>
        <v>2024</v>
      </c>
      <c r="N3973" s="2" t="s">
        <v>807</v>
      </c>
    </row>
    <row r="3974" spans="1:14" x14ac:dyDescent="0.25">
      <c r="A3974" t="s">
        <v>12</v>
      </c>
      <c r="B3974" t="s">
        <v>854</v>
      </c>
      <c r="C3974" t="s">
        <v>866</v>
      </c>
      <c r="D3974" t="s">
        <v>867</v>
      </c>
      <c r="E3974" t="s">
        <v>868</v>
      </c>
      <c r="F3974" s="20">
        <v>2640</v>
      </c>
      <c r="I3974" s="11">
        <f t="shared" si="173"/>
        <v>45252</v>
      </c>
      <c r="J3974" s="12">
        <f t="shared" si="174"/>
        <v>40</v>
      </c>
      <c r="K3974" t="str">
        <f t="shared" si="175"/>
        <v>31-90</v>
      </c>
      <c r="L3974" s="11">
        <v>45292</v>
      </c>
      <c r="M3974" s="23">
        <f>YEAR(Таблица1[[#This Row],[Дата отчета]])</f>
        <v>2024</v>
      </c>
      <c r="N3974" s="2" t="s">
        <v>807</v>
      </c>
    </row>
    <row r="3975" spans="1:14" x14ac:dyDescent="0.25">
      <c r="A3975" t="s">
        <v>12</v>
      </c>
      <c r="B3975" t="s">
        <v>894</v>
      </c>
      <c r="C3975" t="s">
        <v>895</v>
      </c>
      <c r="D3975" t="s">
        <v>896</v>
      </c>
      <c r="E3975" t="s">
        <v>897</v>
      </c>
      <c r="F3975" s="20">
        <v>2400</v>
      </c>
      <c r="I3975" s="11">
        <f t="shared" si="173"/>
        <v>45022</v>
      </c>
      <c r="J3975" s="12">
        <f t="shared" si="174"/>
        <v>270</v>
      </c>
      <c r="K3975" t="str">
        <f t="shared" si="175"/>
        <v>181-270</v>
      </c>
      <c r="L3975" s="11">
        <v>45292</v>
      </c>
      <c r="M3975" s="23">
        <f>YEAR(Таблица1[[#This Row],[Дата отчета]])</f>
        <v>2024</v>
      </c>
      <c r="N3975" s="2" t="s">
        <v>807</v>
      </c>
    </row>
    <row r="3976" spans="1:14" x14ac:dyDescent="0.25">
      <c r="A3976" t="s">
        <v>12</v>
      </c>
      <c r="B3976" t="s">
        <v>894</v>
      </c>
      <c r="C3976" t="s">
        <v>898</v>
      </c>
      <c r="D3976" t="s">
        <v>899</v>
      </c>
      <c r="E3976" t="s">
        <v>900</v>
      </c>
      <c r="F3976" s="20">
        <v>22029</v>
      </c>
      <c r="I3976" s="11">
        <f t="shared" si="173"/>
        <v>45203</v>
      </c>
      <c r="J3976" s="12">
        <f t="shared" si="174"/>
        <v>89</v>
      </c>
      <c r="K3976" t="str">
        <f t="shared" si="175"/>
        <v>31-90</v>
      </c>
      <c r="L3976" s="11">
        <v>45292</v>
      </c>
      <c r="M3976" s="23">
        <f>YEAR(Таблица1[[#This Row],[Дата отчета]])</f>
        <v>2024</v>
      </c>
      <c r="N3976" s="2" t="s">
        <v>807</v>
      </c>
    </row>
    <row r="3977" spans="1:14" x14ac:dyDescent="0.25">
      <c r="A3977" t="s">
        <v>12</v>
      </c>
      <c r="B3977" t="s">
        <v>901</v>
      </c>
      <c r="C3977" t="s">
        <v>775</v>
      </c>
      <c r="D3977" t="s">
        <v>902</v>
      </c>
      <c r="E3977" t="s">
        <v>903</v>
      </c>
      <c r="F3977" s="20">
        <v>270</v>
      </c>
      <c r="I3977" s="11">
        <f t="shared" si="173"/>
        <v>43679</v>
      </c>
      <c r="J3977" s="12">
        <f t="shared" si="174"/>
        <v>1613</v>
      </c>
      <c r="K3977" t="str">
        <f t="shared" si="175"/>
        <v>&gt;360</v>
      </c>
      <c r="L3977" s="11">
        <v>45292</v>
      </c>
      <c r="M3977" s="23">
        <f>YEAR(Таблица1[[#This Row],[Дата отчета]])</f>
        <v>2024</v>
      </c>
      <c r="N3977" s="2" t="s">
        <v>807</v>
      </c>
    </row>
    <row r="3978" spans="1:14" x14ac:dyDescent="0.25">
      <c r="A3978" t="s">
        <v>12</v>
      </c>
      <c r="B3978" t="s">
        <v>4320</v>
      </c>
      <c r="C3978" t="s">
        <v>4321</v>
      </c>
      <c r="D3978" t="s">
        <v>4322</v>
      </c>
      <c r="E3978" t="s">
        <v>4323</v>
      </c>
      <c r="F3978" s="20">
        <v>300000</v>
      </c>
      <c r="I3978" s="11">
        <f t="shared" si="173"/>
        <v>45287</v>
      </c>
      <c r="J3978" s="12">
        <f t="shared" si="174"/>
        <v>5</v>
      </c>
      <c r="K3978" t="str">
        <f t="shared" si="175"/>
        <v>0-30</v>
      </c>
      <c r="L3978" s="11">
        <v>45292</v>
      </c>
      <c r="M3978" s="23">
        <f>YEAR(Таблица1[[#This Row],[Дата отчета]])</f>
        <v>2024</v>
      </c>
    </row>
    <row r="3979" spans="1:14" x14ac:dyDescent="0.25">
      <c r="A3979" t="s">
        <v>12</v>
      </c>
      <c r="B3979" t="s">
        <v>4146</v>
      </c>
      <c r="C3979" t="s">
        <v>4147</v>
      </c>
      <c r="D3979" t="s">
        <v>4148</v>
      </c>
      <c r="E3979" t="s">
        <v>3279</v>
      </c>
      <c r="F3979" s="20">
        <v>171720</v>
      </c>
      <c r="I3979" s="11">
        <f t="shared" si="173"/>
        <v>45267</v>
      </c>
      <c r="J3979" s="12">
        <f t="shared" si="174"/>
        <v>25</v>
      </c>
      <c r="K3979" t="str">
        <f t="shared" si="175"/>
        <v>0-30</v>
      </c>
      <c r="L3979" s="11">
        <v>45292</v>
      </c>
      <c r="M3979" s="23">
        <f>YEAR(Таблица1[[#This Row],[Дата отчета]])</f>
        <v>2024</v>
      </c>
    </row>
    <row r="3980" spans="1:14" x14ac:dyDescent="0.25">
      <c r="A3980" t="s">
        <v>12</v>
      </c>
      <c r="B3980" t="s">
        <v>4146</v>
      </c>
      <c r="C3980" t="s">
        <v>4147</v>
      </c>
      <c r="D3980" t="s">
        <v>4149</v>
      </c>
      <c r="E3980" t="s">
        <v>4150</v>
      </c>
      <c r="F3980" s="20">
        <v>171720</v>
      </c>
      <c r="I3980" s="11">
        <f t="shared" si="173"/>
        <v>45285</v>
      </c>
      <c r="J3980" s="12">
        <f t="shared" si="174"/>
        <v>7</v>
      </c>
      <c r="K3980" t="str">
        <f t="shared" si="175"/>
        <v>0-30</v>
      </c>
      <c r="L3980" s="11">
        <v>45292</v>
      </c>
      <c r="M3980" s="23">
        <f>YEAR(Таблица1[[#This Row],[Дата отчета]])</f>
        <v>2024</v>
      </c>
    </row>
    <row r="3981" spans="1:14" x14ac:dyDescent="0.25">
      <c r="A3981" t="s">
        <v>12</v>
      </c>
      <c r="B3981" t="s">
        <v>2827</v>
      </c>
      <c r="C3981" t="s">
        <v>3277</v>
      </c>
      <c r="D3981" t="s">
        <v>3278</v>
      </c>
      <c r="E3981" t="s">
        <v>3279</v>
      </c>
      <c r="F3981" s="20">
        <v>6050</v>
      </c>
      <c r="I3981" s="11">
        <f t="shared" si="173"/>
        <v>45267</v>
      </c>
      <c r="J3981" s="12">
        <f t="shared" si="174"/>
        <v>25</v>
      </c>
      <c r="K3981" t="str">
        <f t="shared" si="175"/>
        <v>0-30</v>
      </c>
      <c r="L3981" s="11">
        <v>45292</v>
      </c>
      <c r="M3981" s="23">
        <f>YEAR(Таблица1[[#This Row],[Дата отчета]])</f>
        <v>2024</v>
      </c>
    </row>
    <row r="3982" spans="1:14" x14ac:dyDescent="0.25">
      <c r="A3982" t="s">
        <v>12</v>
      </c>
      <c r="B3982" t="s">
        <v>4324</v>
      </c>
      <c r="C3982" t="s">
        <v>4325</v>
      </c>
      <c r="D3982" t="s">
        <v>4326</v>
      </c>
      <c r="E3982" t="s">
        <v>3836</v>
      </c>
      <c r="F3982" s="20">
        <v>145500</v>
      </c>
      <c r="I3982" s="11">
        <f t="shared" si="173"/>
        <v>45254</v>
      </c>
      <c r="J3982" s="12">
        <f t="shared" si="174"/>
        <v>38</v>
      </c>
      <c r="K3982" t="str">
        <f t="shared" si="175"/>
        <v>31-90</v>
      </c>
      <c r="L3982" s="11">
        <v>45292</v>
      </c>
      <c r="M3982" s="23">
        <f>YEAR(Таблица1[[#This Row],[Дата отчета]])</f>
        <v>2024</v>
      </c>
    </row>
    <row r="3983" spans="1:14" x14ac:dyDescent="0.25">
      <c r="A3983" t="s">
        <v>12</v>
      </c>
      <c r="B3983" t="s">
        <v>4324</v>
      </c>
      <c r="C3983" t="s">
        <v>4325</v>
      </c>
      <c r="D3983" t="s">
        <v>4327</v>
      </c>
      <c r="E3983" t="s">
        <v>4249</v>
      </c>
      <c r="F3983" s="20">
        <v>145500</v>
      </c>
      <c r="I3983" s="11">
        <f t="shared" si="173"/>
        <v>45272</v>
      </c>
      <c r="J3983" s="12">
        <f t="shared" si="174"/>
        <v>20</v>
      </c>
      <c r="K3983" t="str">
        <f t="shared" si="175"/>
        <v>0-30</v>
      </c>
      <c r="L3983" s="11">
        <v>45292</v>
      </c>
      <c r="M3983" s="23">
        <f>YEAR(Таблица1[[#This Row],[Дата отчета]])</f>
        <v>2024</v>
      </c>
    </row>
    <row r="3984" spans="1:14" x14ac:dyDescent="0.25">
      <c r="A3984" t="s">
        <v>12</v>
      </c>
      <c r="B3984" t="s">
        <v>3283</v>
      </c>
      <c r="C3984" t="s">
        <v>3284</v>
      </c>
      <c r="D3984" t="s">
        <v>3285</v>
      </c>
      <c r="E3984" t="s">
        <v>3286</v>
      </c>
      <c r="F3984" s="20">
        <v>50000</v>
      </c>
      <c r="I3984" s="11">
        <f t="shared" si="173"/>
        <v>44405</v>
      </c>
      <c r="J3984" s="12">
        <f t="shared" si="174"/>
        <v>887</v>
      </c>
      <c r="K3984" t="str">
        <f t="shared" si="175"/>
        <v>&gt;360</v>
      </c>
      <c r="L3984" s="11">
        <v>45292</v>
      </c>
      <c r="M3984" s="23">
        <f>YEAR(Таблица1[[#This Row],[Дата отчета]])</f>
        <v>2024</v>
      </c>
    </row>
    <row r="3985" spans="1:14" x14ac:dyDescent="0.25">
      <c r="A3985" t="s">
        <v>12</v>
      </c>
      <c r="B3985" t="s">
        <v>4328</v>
      </c>
      <c r="C3985" t="s">
        <v>4329</v>
      </c>
      <c r="D3985" t="s">
        <v>4330</v>
      </c>
      <c r="E3985" t="s">
        <v>4046</v>
      </c>
      <c r="F3985" s="20">
        <v>36000</v>
      </c>
      <c r="I3985" s="11">
        <f t="shared" si="173"/>
        <v>45266</v>
      </c>
      <c r="J3985" s="12">
        <f t="shared" si="174"/>
        <v>26</v>
      </c>
      <c r="K3985" t="str">
        <f t="shared" si="175"/>
        <v>0-30</v>
      </c>
      <c r="L3985" s="11">
        <v>45292</v>
      </c>
      <c r="M3985" s="23">
        <f>YEAR(Таблица1[[#This Row],[Дата отчета]])</f>
        <v>2024</v>
      </c>
    </row>
    <row r="3986" spans="1:14" x14ac:dyDescent="0.25">
      <c r="A3986" t="s">
        <v>12</v>
      </c>
      <c r="B3986" t="s">
        <v>1736</v>
      </c>
      <c r="C3986" t="s">
        <v>1737</v>
      </c>
      <c r="D3986" t="s">
        <v>1738</v>
      </c>
      <c r="E3986" t="s">
        <v>1816</v>
      </c>
      <c r="F3986" s="20">
        <v>2974.3</v>
      </c>
      <c r="I3986" s="11">
        <f t="shared" si="173"/>
        <v>44594</v>
      </c>
      <c r="J3986" s="12">
        <f t="shared" si="174"/>
        <v>698</v>
      </c>
      <c r="K3986" t="str">
        <f t="shared" si="175"/>
        <v>&gt;360</v>
      </c>
      <c r="L3986" s="11">
        <v>45292</v>
      </c>
      <c r="M3986" s="23">
        <f>YEAR(Таблица1[[#This Row],[Дата отчета]])</f>
        <v>2024</v>
      </c>
      <c r="N3986" t="s">
        <v>4538</v>
      </c>
    </row>
    <row r="3987" spans="1:14" x14ac:dyDescent="0.25">
      <c r="A3987" t="s">
        <v>12</v>
      </c>
      <c r="B3987" t="s">
        <v>1011</v>
      </c>
      <c r="C3987" t="s">
        <v>1012</v>
      </c>
      <c r="D3987" t="s">
        <v>1013</v>
      </c>
      <c r="E3987" t="s">
        <v>1014</v>
      </c>
      <c r="F3987" s="20">
        <v>0.01</v>
      </c>
      <c r="I3987" s="11">
        <f t="shared" si="173"/>
        <v>45224</v>
      </c>
      <c r="J3987" s="12">
        <f t="shared" si="174"/>
        <v>68</v>
      </c>
      <c r="K3987" t="str">
        <f t="shared" si="175"/>
        <v>31-90</v>
      </c>
      <c r="L3987" s="11">
        <v>45292</v>
      </c>
      <c r="M3987" s="23">
        <f>YEAR(Таблица1[[#This Row],[Дата отчета]])</f>
        <v>2024</v>
      </c>
    </row>
    <row r="3988" spans="1:14" x14ac:dyDescent="0.25">
      <c r="A3988" t="s">
        <v>12</v>
      </c>
      <c r="B3988" t="s">
        <v>1024</v>
      </c>
      <c r="C3988" t="s">
        <v>3751</v>
      </c>
      <c r="D3988" t="s">
        <v>3752</v>
      </c>
      <c r="E3988" t="s">
        <v>3753</v>
      </c>
      <c r="F3988" s="20">
        <v>15500</v>
      </c>
      <c r="I3988" s="11">
        <f t="shared" si="173"/>
        <v>45197</v>
      </c>
      <c r="J3988" s="12">
        <f t="shared" si="174"/>
        <v>95</v>
      </c>
      <c r="K3988" t="str">
        <f t="shared" si="175"/>
        <v>91-120</v>
      </c>
      <c r="L3988" s="11">
        <v>45292</v>
      </c>
      <c r="M3988" s="23">
        <f>YEAR(Таблица1[[#This Row],[Дата отчета]])</f>
        <v>2024</v>
      </c>
    </row>
    <row r="3989" spans="1:14" x14ac:dyDescent="0.25">
      <c r="A3989" t="s">
        <v>12</v>
      </c>
      <c r="B3989" t="s">
        <v>1053</v>
      </c>
      <c r="C3989" t="s">
        <v>3312</v>
      </c>
      <c r="D3989" t="s">
        <v>4331</v>
      </c>
      <c r="E3989" t="s">
        <v>4171</v>
      </c>
      <c r="F3989" s="20">
        <v>40000000</v>
      </c>
      <c r="I3989" s="11">
        <f t="shared" si="173"/>
        <v>45258</v>
      </c>
      <c r="J3989" s="12">
        <f t="shared" si="174"/>
        <v>34</v>
      </c>
      <c r="K3989" t="str">
        <f t="shared" si="175"/>
        <v>31-90</v>
      </c>
      <c r="L3989" s="11">
        <v>45292</v>
      </c>
      <c r="M3989" s="23">
        <f>YEAR(Таблица1[[#This Row],[Дата отчета]])</f>
        <v>2024</v>
      </c>
    </row>
    <row r="3990" spans="1:14" x14ac:dyDescent="0.25">
      <c r="A3990" t="s">
        <v>12</v>
      </c>
      <c r="B3990" t="s">
        <v>1053</v>
      </c>
      <c r="C3990" t="s">
        <v>3314</v>
      </c>
      <c r="D3990" t="s">
        <v>3315</v>
      </c>
      <c r="E3990" t="s">
        <v>3316</v>
      </c>
      <c r="F3990" s="20">
        <v>0.4</v>
      </c>
      <c r="I3990" s="11">
        <f t="shared" si="173"/>
        <v>45078</v>
      </c>
      <c r="J3990" s="12">
        <f t="shared" si="174"/>
        <v>214</v>
      </c>
      <c r="K3990" t="str">
        <f t="shared" si="175"/>
        <v>181-270</v>
      </c>
      <c r="L3990" s="11">
        <v>45292</v>
      </c>
      <c r="M3990" s="23">
        <f>YEAR(Таблица1[[#This Row],[Дата отчета]])</f>
        <v>2024</v>
      </c>
    </row>
    <row r="3991" spans="1:14" x14ac:dyDescent="0.25">
      <c r="A3991" t="s">
        <v>12</v>
      </c>
      <c r="B3991" t="s">
        <v>2417</v>
      </c>
      <c r="C3991" t="s">
        <v>3765</v>
      </c>
      <c r="D3991" t="s">
        <v>3766</v>
      </c>
      <c r="E3991" t="s">
        <v>868</v>
      </c>
      <c r="F3991" s="20">
        <v>313500</v>
      </c>
      <c r="I3991" s="11">
        <f t="shared" si="173"/>
        <v>45252</v>
      </c>
      <c r="J3991" s="12">
        <f t="shared" si="174"/>
        <v>40</v>
      </c>
      <c r="K3991" t="str">
        <f t="shared" si="175"/>
        <v>31-90</v>
      </c>
      <c r="L3991" s="11">
        <v>45292</v>
      </c>
      <c r="M3991" s="23">
        <f>YEAR(Таблица1[[#This Row],[Дата отчета]])</f>
        <v>2024</v>
      </c>
    </row>
    <row r="3992" spans="1:14" x14ac:dyDescent="0.25">
      <c r="A3992" t="s">
        <v>12</v>
      </c>
      <c r="B3992" t="s">
        <v>1068</v>
      </c>
      <c r="C3992" t="s">
        <v>1069</v>
      </c>
      <c r="D3992" t="s">
        <v>1070</v>
      </c>
      <c r="E3992" t="s">
        <v>1071</v>
      </c>
      <c r="F3992" s="20">
        <v>4</v>
      </c>
      <c r="I3992" s="11">
        <f t="shared" si="173"/>
        <v>44860</v>
      </c>
      <c r="J3992" s="12">
        <f t="shared" si="174"/>
        <v>432</v>
      </c>
      <c r="K3992" t="str">
        <f t="shared" si="175"/>
        <v>&gt;360</v>
      </c>
      <c r="L3992" s="11">
        <v>45292</v>
      </c>
      <c r="M3992" s="23">
        <f>YEAR(Таблица1[[#This Row],[Дата отчета]])</f>
        <v>2024</v>
      </c>
    </row>
    <row r="3993" spans="1:14" x14ac:dyDescent="0.25">
      <c r="A3993" t="s">
        <v>12</v>
      </c>
      <c r="B3993" t="s">
        <v>1068</v>
      </c>
      <c r="C3993" t="s">
        <v>3320</v>
      </c>
      <c r="D3993" t="s">
        <v>3321</v>
      </c>
      <c r="E3993" t="s">
        <v>3322</v>
      </c>
      <c r="F3993" s="20">
        <v>2094390</v>
      </c>
      <c r="I3993" s="11">
        <f t="shared" si="173"/>
        <v>45189</v>
      </c>
      <c r="J3993" s="12">
        <f t="shared" si="174"/>
        <v>103</v>
      </c>
      <c r="K3993" t="str">
        <f t="shared" si="175"/>
        <v>91-120</v>
      </c>
      <c r="L3993" s="11">
        <v>45292</v>
      </c>
      <c r="M3993" s="23">
        <f>YEAR(Таблица1[[#This Row],[Дата отчета]])</f>
        <v>2024</v>
      </c>
    </row>
    <row r="3994" spans="1:14" x14ac:dyDescent="0.25">
      <c r="A3994" t="s">
        <v>12</v>
      </c>
      <c r="B3994" t="s">
        <v>2859</v>
      </c>
      <c r="C3994" t="s">
        <v>269</v>
      </c>
      <c r="D3994" t="s">
        <v>4164</v>
      </c>
      <c r="E3994" t="s">
        <v>4165</v>
      </c>
      <c r="F3994" s="20">
        <v>60000</v>
      </c>
      <c r="I3994" s="11">
        <f t="shared" si="173"/>
        <v>45212</v>
      </c>
      <c r="J3994" s="12">
        <f t="shared" si="174"/>
        <v>80</v>
      </c>
      <c r="K3994" t="str">
        <f t="shared" si="175"/>
        <v>31-90</v>
      </c>
      <c r="L3994" s="11">
        <v>45292</v>
      </c>
      <c r="M3994" s="23">
        <f>YEAR(Таблица1[[#This Row],[Дата отчета]])</f>
        <v>2024</v>
      </c>
    </row>
    <row r="3995" spans="1:14" x14ac:dyDescent="0.25">
      <c r="A3995" t="s">
        <v>12</v>
      </c>
      <c r="B3995" t="s">
        <v>2859</v>
      </c>
      <c r="C3995" t="s">
        <v>269</v>
      </c>
      <c r="D3995" t="s">
        <v>4166</v>
      </c>
      <c r="E3995" t="s">
        <v>4165</v>
      </c>
      <c r="F3995" s="20">
        <v>60000</v>
      </c>
      <c r="I3995" s="11">
        <f t="shared" si="173"/>
        <v>45212</v>
      </c>
      <c r="J3995" s="12">
        <f t="shared" si="174"/>
        <v>80</v>
      </c>
      <c r="K3995" t="str">
        <f t="shared" si="175"/>
        <v>31-90</v>
      </c>
      <c r="L3995" s="11">
        <v>45292</v>
      </c>
      <c r="M3995" s="23">
        <f>YEAR(Таблица1[[#This Row],[Дата отчета]])</f>
        <v>2024</v>
      </c>
    </row>
    <row r="3996" spans="1:14" x14ac:dyDescent="0.25">
      <c r="A3996" t="s">
        <v>12</v>
      </c>
      <c r="B3996" t="s">
        <v>2423</v>
      </c>
      <c r="C3996" t="s">
        <v>4167</v>
      </c>
      <c r="D3996" t="s">
        <v>4168</v>
      </c>
      <c r="E3996" t="s">
        <v>4169</v>
      </c>
      <c r="F3996" s="20">
        <v>77777.52</v>
      </c>
      <c r="I3996" s="11">
        <f t="shared" si="173"/>
        <v>45097</v>
      </c>
      <c r="J3996" s="12">
        <f t="shared" si="174"/>
        <v>195</v>
      </c>
      <c r="K3996" t="str">
        <f t="shared" si="175"/>
        <v>181-270</v>
      </c>
      <c r="L3996" s="11">
        <v>45292</v>
      </c>
      <c r="M3996" s="23">
        <f>YEAR(Таблица1[[#This Row],[Дата отчета]])</f>
        <v>2024</v>
      </c>
    </row>
    <row r="3997" spans="1:14" x14ac:dyDescent="0.25">
      <c r="A3997" t="s">
        <v>1082</v>
      </c>
      <c r="B3997" t="s">
        <v>1087</v>
      </c>
      <c r="C3997" t="s">
        <v>1088</v>
      </c>
      <c r="D3997" t="s">
        <v>4170</v>
      </c>
      <c r="E3997" t="s">
        <v>4171</v>
      </c>
      <c r="F3997" s="20">
        <v>1592744.35</v>
      </c>
      <c r="I3997" s="11">
        <f t="shared" si="173"/>
        <v>45258</v>
      </c>
      <c r="J3997" s="12">
        <f t="shared" si="174"/>
        <v>34</v>
      </c>
      <c r="K3997" t="str">
        <f t="shared" si="175"/>
        <v>31-90</v>
      </c>
      <c r="L3997" s="11">
        <v>45292</v>
      </c>
      <c r="M3997" s="23">
        <f>YEAR(Таблица1[[#This Row],[Дата отчета]])</f>
        <v>2024</v>
      </c>
    </row>
    <row r="3998" spans="1:14" x14ac:dyDescent="0.25">
      <c r="A3998" t="s">
        <v>1082</v>
      </c>
      <c r="B3998" t="s">
        <v>4332</v>
      </c>
      <c r="C3998" t="s">
        <v>4333</v>
      </c>
      <c r="D3998" t="s">
        <v>4334</v>
      </c>
      <c r="E3998" t="s">
        <v>4335</v>
      </c>
      <c r="F3998" s="20">
        <v>3367592.71</v>
      </c>
      <c r="I3998" s="11">
        <f t="shared" si="173"/>
        <v>45177</v>
      </c>
      <c r="J3998" s="12">
        <f t="shared" si="174"/>
        <v>115</v>
      </c>
      <c r="K3998" t="str">
        <f t="shared" si="175"/>
        <v>91-120</v>
      </c>
      <c r="L3998" s="11">
        <v>45292</v>
      </c>
      <c r="M3998" s="23">
        <f>YEAR(Таблица1[[#This Row],[Дата отчета]])</f>
        <v>2024</v>
      </c>
    </row>
    <row r="3999" spans="1:14" x14ac:dyDescent="0.25">
      <c r="A3999" t="s">
        <v>1082</v>
      </c>
      <c r="B3999" t="s">
        <v>4332</v>
      </c>
      <c r="C3999" t="s">
        <v>4333</v>
      </c>
      <c r="D3999" t="s">
        <v>4336</v>
      </c>
      <c r="E3999" t="s">
        <v>4337</v>
      </c>
      <c r="F3999" s="20">
        <v>447563.74</v>
      </c>
      <c r="I3999" s="11">
        <f t="shared" si="173"/>
        <v>45245</v>
      </c>
      <c r="J3999" s="12">
        <f t="shared" si="174"/>
        <v>47</v>
      </c>
      <c r="K3999" t="str">
        <f t="shared" si="175"/>
        <v>31-90</v>
      </c>
      <c r="L3999" s="11">
        <v>45292</v>
      </c>
      <c r="M3999" s="23">
        <f>YEAR(Таблица1[[#This Row],[Дата отчета]])</f>
        <v>2024</v>
      </c>
    </row>
    <row r="4000" spans="1:14" x14ac:dyDescent="0.25">
      <c r="A4000" t="s">
        <v>1082</v>
      </c>
      <c r="B4000" t="s">
        <v>4332</v>
      </c>
      <c r="C4000" t="s">
        <v>4333</v>
      </c>
      <c r="D4000" t="s">
        <v>4338</v>
      </c>
      <c r="E4000" t="s">
        <v>4150</v>
      </c>
      <c r="F4000" s="20">
        <v>12947915.35</v>
      </c>
      <c r="I4000" s="11">
        <f t="shared" si="173"/>
        <v>45285</v>
      </c>
      <c r="J4000" s="12">
        <f t="shared" si="174"/>
        <v>7</v>
      </c>
      <c r="K4000" t="str">
        <f t="shared" si="175"/>
        <v>0-30</v>
      </c>
      <c r="L4000" s="11">
        <v>45292</v>
      </c>
      <c r="M4000" s="23">
        <f>YEAR(Таблица1[[#This Row],[Дата отчета]])</f>
        <v>2024</v>
      </c>
    </row>
    <row r="4001" spans="1:17" x14ac:dyDescent="0.25">
      <c r="A4001" t="s">
        <v>1082</v>
      </c>
      <c r="B4001" t="s">
        <v>271</v>
      </c>
      <c r="C4001" t="s">
        <v>4176</v>
      </c>
      <c r="D4001" t="s">
        <v>4177</v>
      </c>
      <c r="E4001" t="s">
        <v>4178</v>
      </c>
      <c r="F4001" s="20">
        <v>36356765.060000002</v>
      </c>
      <c r="I4001" s="11">
        <f t="shared" si="173"/>
        <v>45259</v>
      </c>
      <c r="J4001" s="12">
        <f t="shared" si="174"/>
        <v>33</v>
      </c>
      <c r="K4001" t="str">
        <f t="shared" si="175"/>
        <v>31-90</v>
      </c>
      <c r="L4001" s="11">
        <v>45292</v>
      </c>
      <c r="M4001" s="23">
        <f>YEAR(Таблица1[[#This Row],[Дата отчета]])</f>
        <v>2024</v>
      </c>
    </row>
    <row r="4002" spans="1:17" x14ac:dyDescent="0.25">
      <c r="A4002" t="s">
        <v>1082</v>
      </c>
      <c r="B4002" t="s">
        <v>561</v>
      </c>
      <c r="C4002" t="s">
        <v>4339</v>
      </c>
      <c r="D4002" t="s">
        <v>4340</v>
      </c>
      <c r="E4002" t="s">
        <v>4341</v>
      </c>
      <c r="F4002" s="20">
        <v>3194902.15</v>
      </c>
      <c r="I4002" s="11">
        <f t="shared" si="173"/>
        <v>44778</v>
      </c>
      <c r="J4002" s="12">
        <f t="shared" si="174"/>
        <v>514</v>
      </c>
      <c r="K4002" t="str">
        <f t="shared" si="175"/>
        <v>&gt;360</v>
      </c>
      <c r="L4002" s="11">
        <v>45292</v>
      </c>
      <c r="M4002" s="23">
        <f>YEAR(Таблица1[[#This Row],[Дата отчета]])</f>
        <v>2024</v>
      </c>
    </row>
    <row r="4003" spans="1:17" x14ac:dyDescent="0.25">
      <c r="A4003" t="s">
        <v>1082</v>
      </c>
      <c r="B4003" t="s">
        <v>561</v>
      </c>
      <c r="C4003" t="s">
        <v>4342</v>
      </c>
      <c r="D4003" t="s">
        <v>4340</v>
      </c>
      <c r="E4003" t="s">
        <v>4341</v>
      </c>
      <c r="F4003" s="20">
        <v>16744.73</v>
      </c>
      <c r="I4003" s="11">
        <f t="shared" si="173"/>
        <v>44778</v>
      </c>
      <c r="J4003" s="12">
        <f t="shared" si="174"/>
        <v>514</v>
      </c>
      <c r="K4003" t="str">
        <f t="shared" si="175"/>
        <v>&gt;360</v>
      </c>
      <c r="L4003" s="11">
        <v>45292</v>
      </c>
      <c r="M4003" s="23">
        <f>YEAR(Таблица1[[#This Row],[Дата отчета]])</f>
        <v>2024</v>
      </c>
    </row>
    <row r="4004" spans="1:17" x14ac:dyDescent="0.25">
      <c r="A4004" t="s">
        <v>1082</v>
      </c>
      <c r="B4004" t="s">
        <v>561</v>
      </c>
      <c r="C4004" t="s">
        <v>3771</v>
      </c>
      <c r="D4004" t="s">
        <v>4343</v>
      </c>
      <c r="E4004" t="s">
        <v>4279</v>
      </c>
      <c r="F4004" s="20">
        <v>5466463.5800000001</v>
      </c>
      <c r="I4004" s="11">
        <f t="shared" si="173"/>
        <v>45198</v>
      </c>
      <c r="J4004" s="12">
        <f t="shared" si="174"/>
        <v>94</v>
      </c>
      <c r="K4004" t="str">
        <f t="shared" si="175"/>
        <v>91-120</v>
      </c>
      <c r="L4004" s="11">
        <v>45292</v>
      </c>
      <c r="M4004" s="23">
        <f>YEAR(Таблица1[[#This Row],[Дата отчета]])</f>
        <v>2024</v>
      </c>
    </row>
    <row r="4005" spans="1:17" x14ac:dyDescent="0.25">
      <c r="A4005" t="s">
        <v>1082</v>
      </c>
      <c r="B4005" t="s">
        <v>561</v>
      </c>
      <c r="C4005" t="s">
        <v>3771</v>
      </c>
      <c r="D4005" t="s">
        <v>4344</v>
      </c>
      <c r="E4005" t="s">
        <v>4279</v>
      </c>
      <c r="F4005" s="20">
        <v>5574440.1200000001</v>
      </c>
      <c r="I4005" s="11">
        <f t="shared" si="173"/>
        <v>45198</v>
      </c>
      <c r="J4005" s="12">
        <f t="shared" si="174"/>
        <v>94</v>
      </c>
      <c r="K4005" t="str">
        <f t="shared" si="175"/>
        <v>91-120</v>
      </c>
      <c r="L4005" s="11">
        <v>45292</v>
      </c>
      <c r="M4005" s="23">
        <f>YEAR(Таблица1[[#This Row],[Дата отчета]])</f>
        <v>2024</v>
      </c>
    </row>
    <row r="4006" spans="1:17" x14ac:dyDescent="0.25">
      <c r="A4006" t="s">
        <v>1082</v>
      </c>
      <c r="B4006" t="s">
        <v>561</v>
      </c>
      <c r="C4006" t="s">
        <v>3771</v>
      </c>
      <c r="D4006" t="s">
        <v>4345</v>
      </c>
      <c r="E4006" t="s">
        <v>4346</v>
      </c>
      <c r="F4006" s="20">
        <v>35114.1</v>
      </c>
      <c r="I4006" s="11">
        <f t="shared" si="173"/>
        <v>45199</v>
      </c>
      <c r="J4006" s="12">
        <f t="shared" si="174"/>
        <v>93</v>
      </c>
      <c r="K4006" t="str">
        <f t="shared" si="175"/>
        <v>91-120</v>
      </c>
      <c r="L4006" s="11">
        <v>45292</v>
      </c>
      <c r="M4006" s="23">
        <f>YEAR(Таблица1[[#This Row],[Дата отчета]])</f>
        <v>2024</v>
      </c>
    </row>
    <row r="4007" spans="1:17" x14ac:dyDescent="0.25">
      <c r="A4007" t="s">
        <v>1082</v>
      </c>
      <c r="B4007" t="s">
        <v>561</v>
      </c>
      <c r="C4007" t="s">
        <v>3771</v>
      </c>
      <c r="D4007" t="s">
        <v>4347</v>
      </c>
      <c r="E4007" t="s">
        <v>4346</v>
      </c>
      <c r="F4007" s="20">
        <v>46955.83</v>
      </c>
      <c r="I4007" s="11">
        <f t="shared" si="173"/>
        <v>45199</v>
      </c>
      <c r="J4007" s="12">
        <f t="shared" si="174"/>
        <v>93</v>
      </c>
      <c r="K4007" t="str">
        <f t="shared" si="175"/>
        <v>91-120</v>
      </c>
      <c r="L4007" s="11">
        <v>45292</v>
      </c>
      <c r="M4007" s="23">
        <f>YEAR(Таблица1[[#This Row],[Дата отчета]])</f>
        <v>2024</v>
      </c>
    </row>
    <row r="4008" spans="1:17" x14ac:dyDescent="0.25">
      <c r="A4008" t="s">
        <v>1082</v>
      </c>
      <c r="B4008" t="s">
        <v>561</v>
      </c>
      <c r="C4008" t="s">
        <v>3771</v>
      </c>
      <c r="D4008" t="s">
        <v>4348</v>
      </c>
      <c r="E4008" t="s">
        <v>3869</v>
      </c>
      <c r="F4008" s="20">
        <v>33193880.84</v>
      </c>
      <c r="I4008" s="11">
        <f t="shared" si="173"/>
        <v>45289</v>
      </c>
      <c r="J4008" s="12">
        <f t="shared" si="174"/>
        <v>3</v>
      </c>
      <c r="K4008" t="str">
        <f t="shared" si="175"/>
        <v>0-30</v>
      </c>
      <c r="L4008" s="11">
        <v>45292</v>
      </c>
      <c r="M4008" s="23">
        <f>YEAR(Таблица1[[#This Row],[Дата отчета]])</f>
        <v>2024</v>
      </c>
    </row>
    <row r="4009" spans="1:17" x14ac:dyDescent="0.25">
      <c r="A4009" t="s">
        <v>1082</v>
      </c>
      <c r="B4009" t="s">
        <v>561</v>
      </c>
      <c r="C4009" t="s">
        <v>4349</v>
      </c>
      <c r="D4009" t="s">
        <v>1528</v>
      </c>
      <c r="E4009" t="s">
        <v>1794</v>
      </c>
      <c r="F4009" s="20">
        <v>3463088.53</v>
      </c>
      <c r="I4009" s="11">
        <f t="shared" si="173"/>
        <v>45069</v>
      </c>
      <c r="J4009" s="12">
        <f t="shared" si="174"/>
        <v>223</v>
      </c>
      <c r="K4009" t="str">
        <f t="shared" si="175"/>
        <v>181-270</v>
      </c>
      <c r="L4009" s="11">
        <v>45292</v>
      </c>
      <c r="M4009" s="23">
        <f>YEAR(Таблица1[[#This Row],[Дата отчета]])</f>
        <v>2024</v>
      </c>
    </row>
    <row r="4010" spans="1:17" x14ac:dyDescent="0.25">
      <c r="A4010" t="s">
        <v>1082</v>
      </c>
      <c r="B4010" t="s">
        <v>1136</v>
      </c>
      <c r="C4010" t="s">
        <v>4185</v>
      </c>
      <c r="D4010" t="s">
        <v>4186</v>
      </c>
      <c r="E4010" t="s">
        <v>4187</v>
      </c>
      <c r="F4010" s="20">
        <v>1593574.46</v>
      </c>
      <c r="I4010" s="11">
        <f t="shared" si="173"/>
        <v>45265</v>
      </c>
      <c r="J4010" s="12">
        <f t="shared" si="174"/>
        <v>27</v>
      </c>
      <c r="K4010" t="str">
        <f t="shared" si="175"/>
        <v>0-30</v>
      </c>
      <c r="L4010" s="11">
        <v>45292</v>
      </c>
      <c r="M4010" s="23">
        <f>YEAR(Таблица1[[#This Row],[Дата отчета]])</f>
        <v>2024</v>
      </c>
    </row>
    <row r="4011" spans="1:17" x14ac:dyDescent="0.25">
      <c r="A4011" t="s">
        <v>1082</v>
      </c>
      <c r="B4011" t="s">
        <v>1136</v>
      </c>
      <c r="C4011" t="s">
        <v>4189</v>
      </c>
      <c r="D4011" t="s">
        <v>4190</v>
      </c>
      <c r="E4011" t="s">
        <v>4187</v>
      </c>
      <c r="F4011" s="20">
        <v>2266820</v>
      </c>
      <c r="I4011" s="11">
        <f t="shared" si="173"/>
        <v>45265</v>
      </c>
      <c r="J4011" s="12">
        <f t="shared" si="174"/>
        <v>27</v>
      </c>
      <c r="K4011" t="str">
        <f t="shared" si="175"/>
        <v>0-30</v>
      </c>
      <c r="L4011" s="11">
        <v>45292</v>
      </c>
      <c r="M4011" s="23">
        <f>YEAR(Таблица1[[#This Row],[Дата отчета]])</f>
        <v>2024</v>
      </c>
    </row>
    <row r="4012" spans="1:17" x14ac:dyDescent="0.25">
      <c r="A4012" t="s">
        <v>1082</v>
      </c>
      <c r="B4012" t="s">
        <v>1136</v>
      </c>
      <c r="C4012" t="s">
        <v>4192</v>
      </c>
      <c r="D4012" t="s">
        <v>4193</v>
      </c>
      <c r="E4012" t="s">
        <v>4187</v>
      </c>
      <c r="F4012" s="20">
        <v>2266820</v>
      </c>
      <c r="I4012" s="11">
        <f t="shared" si="173"/>
        <v>45265</v>
      </c>
      <c r="J4012" s="12">
        <f t="shared" si="174"/>
        <v>27</v>
      </c>
      <c r="K4012" t="str">
        <f t="shared" si="175"/>
        <v>0-30</v>
      </c>
      <c r="L4012" s="11">
        <v>45292</v>
      </c>
      <c r="M4012" s="23">
        <f>YEAR(Таблица1[[#This Row],[Дата отчета]])</f>
        <v>2024</v>
      </c>
    </row>
    <row r="4013" spans="1:17" x14ac:dyDescent="0.25">
      <c r="A4013" s="24" t="s">
        <v>12</v>
      </c>
      <c r="B4013" s="24" t="s">
        <v>18</v>
      </c>
      <c r="C4013" s="24" t="s">
        <v>19</v>
      </c>
      <c r="D4013" s="24" t="s">
        <v>20</v>
      </c>
      <c r="E4013" s="24" t="s">
        <v>21</v>
      </c>
      <c r="F4013" s="25">
        <v>17000</v>
      </c>
      <c r="G4013" s="24"/>
      <c r="H4013" s="24"/>
      <c r="I4013" s="26">
        <f t="shared" ref="I4013:I4076" si="176">E4013*1</f>
        <v>45953</v>
      </c>
      <c r="J4013" s="27">
        <f t="shared" ref="J4013:J4076" si="177">L4013-I4013</f>
        <v>144</v>
      </c>
      <c r="K4013" s="24" t="str">
        <f t="shared" ref="K4013:K4076" si="178">IF(J4013&lt;=30,"0-30",IF(J4013&lt;=90,"31-90",IF(J4013&lt;=120,"91-120",IF(J4013&lt;=180,"121-180",IF(J4013&lt;=270,"181-270",IF(J4013&lt;=360,"271-360","&gt;360"))))))</f>
        <v>121-180</v>
      </c>
      <c r="L4013" s="11">
        <v>46097</v>
      </c>
      <c r="M4013" s="23">
        <f>YEAR(Таблица1[[#This Row],[Дата отчета]])</f>
        <v>2026</v>
      </c>
      <c r="N4013" s="24"/>
      <c r="O4013" s="24"/>
      <c r="P4013" s="24"/>
      <c r="Q4013" s="24"/>
    </row>
    <row r="4014" spans="1:17" x14ac:dyDescent="0.25">
      <c r="A4014" s="24" t="s">
        <v>12</v>
      </c>
      <c r="B4014" s="24" t="s">
        <v>23</v>
      </c>
      <c r="C4014" s="24" t="s">
        <v>24</v>
      </c>
      <c r="D4014" s="24" t="s">
        <v>25</v>
      </c>
      <c r="E4014" s="24" t="s">
        <v>26</v>
      </c>
      <c r="F4014" s="25">
        <v>21271</v>
      </c>
      <c r="G4014" s="24"/>
      <c r="H4014" s="24"/>
      <c r="I4014" s="26">
        <f t="shared" si="176"/>
        <v>46044</v>
      </c>
      <c r="J4014" s="27">
        <f t="shared" si="177"/>
        <v>53</v>
      </c>
      <c r="K4014" s="24" t="str">
        <f t="shared" si="178"/>
        <v>31-90</v>
      </c>
      <c r="L4014" s="11">
        <v>46097</v>
      </c>
      <c r="M4014" s="23">
        <f>YEAR(Таблица1[[#This Row],[Дата отчета]])</f>
        <v>2026</v>
      </c>
      <c r="N4014" s="24"/>
      <c r="O4014" s="24"/>
      <c r="P4014" s="24"/>
      <c r="Q4014" s="24"/>
    </row>
    <row r="4015" spans="1:17" x14ac:dyDescent="0.25">
      <c r="A4015" s="24" t="s">
        <v>12</v>
      </c>
      <c r="B4015" s="24" t="s">
        <v>28</v>
      </c>
      <c r="C4015" s="24" t="s">
        <v>29</v>
      </c>
      <c r="D4015" s="24" t="s">
        <v>30</v>
      </c>
      <c r="E4015" s="24" t="s">
        <v>31</v>
      </c>
      <c r="F4015" s="25">
        <v>11000000</v>
      </c>
      <c r="G4015" s="24"/>
      <c r="H4015" s="24"/>
      <c r="I4015" s="26">
        <f t="shared" si="176"/>
        <v>46015</v>
      </c>
      <c r="J4015" s="27">
        <f t="shared" si="177"/>
        <v>82</v>
      </c>
      <c r="K4015" s="24" t="str">
        <f t="shared" si="178"/>
        <v>31-90</v>
      </c>
      <c r="L4015" s="11">
        <v>46097</v>
      </c>
      <c r="M4015" s="23">
        <f>YEAR(Таблица1[[#This Row],[Дата отчета]])</f>
        <v>2026</v>
      </c>
      <c r="N4015" s="24"/>
      <c r="O4015" s="24"/>
      <c r="P4015" s="24"/>
      <c r="Q4015" s="24"/>
    </row>
    <row r="4016" spans="1:17" x14ac:dyDescent="0.25">
      <c r="A4016" s="24" t="s">
        <v>12</v>
      </c>
      <c r="B4016" s="24" t="s">
        <v>32</v>
      </c>
      <c r="C4016" s="24" t="s">
        <v>33</v>
      </c>
      <c r="D4016" s="24" t="s">
        <v>34</v>
      </c>
      <c r="E4016" s="24" t="s">
        <v>35</v>
      </c>
      <c r="F4016" s="25">
        <v>10657877.73</v>
      </c>
      <c r="G4016" s="24"/>
      <c r="H4016" s="24"/>
      <c r="I4016" s="26">
        <f t="shared" si="176"/>
        <v>46036</v>
      </c>
      <c r="J4016" s="27">
        <f t="shared" si="177"/>
        <v>61</v>
      </c>
      <c r="K4016" s="24" t="str">
        <f t="shared" si="178"/>
        <v>31-90</v>
      </c>
      <c r="L4016" s="11">
        <v>46097</v>
      </c>
      <c r="M4016" s="23">
        <f>YEAR(Таблица1[[#This Row],[Дата отчета]])</f>
        <v>2026</v>
      </c>
      <c r="N4016" s="24"/>
      <c r="O4016" s="24"/>
      <c r="P4016" s="24"/>
      <c r="Q4016" s="24"/>
    </row>
    <row r="4017" spans="1:17" x14ac:dyDescent="0.25">
      <c r="A4017" s="24" t="s">
        <v>12</v>
      </c>
      <c r="B4017" s="24" t="s">
        <v>32</v>
      </c>
      <c r="C4017" s="24" t="s">
        <v>33</v>
      </c>
      <c r="D4017" s="24" t="s">
        <v>36</v>
      </c>
      <c r="E4017" s="24" t="s">
        <v>37</v>
      </c>
      <c r="F4017" s="25">
        <v>4517905.22</v>
      </c>
      <c r="G4017" s="24"/>
      <c r="H4017" s="24"/>
      <c r="I4017" s="26">
        <f t="shared" si="176"/>
        <v>46066</v>
      </c>
      <c r="J4017" s="27">
        <f t="shared" si="177"/>
        <v>31</v>
      </c>
      <c r="K4017" s="24" t="str">
        <f t="shared" si="178"/>
        <v>31-90</v>
      </c>
      <c r="L4017" s="11">
        <v>46097</v>
      </c>
      <c r="M4017" s="23">
        <f>YEAR(Таблица1[[#This Row],[Дата отчета]])</f>
        <v>2026</v>
      </c>
      <c r="N4017" s="24"/>
      <c r="O4017" s="24"/>
      <c r="P4017" s="24"/>
      <c r="Q4017" s="24"/>
    </row>
    <row r="4018" spans="1:17" x14ac:dyDescent="0.25">
      <c r="A4018" s="24" t="s">
        <v>12</v>
      </c>
      <c r="B4018" s="24" t="s">
        <v>32</v>
      </c>
      <c r="C4018" s="24" t="s">
        <v>39</v>
      </c>
      <c r="D4018" s="24" t="s">
        <v>40</v>
      </c>
      <c r="E4018" s="24" t="s">
        <v>35</v>
      </c>
      <c r="F4018" s="25">
        <v>5963831.3700000001</v>
      </c>
      <c r="G4018" s="24"/>
      <c r="H4018" s="24"/>
      <c r="I4018" s="26">
        <f t="shared" si="176"/>
        <v>46036</v>
      </c>
      <c r="J4018" s="27">
        <f t="shared" si="177"/>
        <v>61</v>
      </c>
      <c r="K4018" s="24" t="str">
        <f t="shared" si="178"/>
        <v>31-90</v>
      </c>
      <c r="L4018" s="11">
        <v>46097</v>
      </c>
      <c r="M4018" s="23">
        <f>YEAR(Таблица1[[#This Row],[Дата отчета]])</f>
        <v>2026</v>
      </c>
      <c r="N4018" s="24"/>
      <c r="O4018" s="24"/>
      <c r="P4018" s="24"/>
      <c r="Q4018" s="24"/>
    </row>
    <row r="4019" spans="1:17" x14ac:dyDescent="0.25">
      <c r="A4019" s="24" t="s">
        <v>12</v>
      </c>
      <c r="B4019" s="24" t="s">
        <v>32</v>
      </c>
      <c r="C4019" s="24" t="s">
        <v>39</v>
      </c>
      <c r="D4019" s="24" t="s">
        <v>41</v>
      </c>
      <c r="E4019" s="24" t="s">
        <v>37</v>
      </c>
      <c r="F4019" s="25">
        <v>2528085.33</v>
      </c>
      <c r="G4019" s="24"/>
      <c r="H4019" s="24"/>
      <c r="I4019" s="26">
        <f t="shared" si="176"/>
        <v>46066</v>
      </c>
      <c r="J4019" s="27">
        <f t="shared" si="177"/>
        <v>31</v>
      </c>
      <c r="K4019" s="24" t="str">
        <f t="shared" si="178"/>
        <v>31-90</v>
      </c>
      <c r="L4019" s="11">
        <v>46097</v>
      </c>
      <c r="M4019" s="23">
        <f>YEAR(Таблица1[[#This Row],[Дата отчета]])</f>
        <v>2026</v>
      </c>
      <c r="N4019" s="24"/>
      <c r="O4019" s="24"/>
      <c r="P4019" s="24"/>
      <c r="Q4019" s="24"/>
    </row>
    <row r="4020" spans="1:17" x14ac:dyDescent="0.25">
      <c r="A4020" s="24" t="s">
        <v>12</v>
      </c>
      <c r="B4020" s="24" t="s">
        <v>42</v>
      </c>
      <c r="C4020" s="24" t="s">
        <v>43</v>
      </c>
      <c r="D4020" s="24" t="s">
        <v>44</v>
      </c>
      <c r="E4020" s="24" t="s">
        <v>45</v>
      </c>
      <c r="F4020" s="25">
        <v>30900000</v>
      </c>
      <c r="G4020" s="24"/>
      <c r="H4020" s="24"/>
      <c r="I4020" s="26">
        <f t="shared" si="176"/>
        <v>45938</v>
      </c>
      <c r="J4020" s="27">
        <f t="shared" si="177"/>
        <v>159</v>
      </c>
      <c r="K4020" s="24" t="str">
        <f t="shared" si="178"/>
        <v>121-180</v>
      </c>
      <c r="L4020" s="11">
        <v>46097</v>
      </c>
      <c r="M4020" s="23">
        <f>YEAR(Таблица1[[#This Row],[Дата отчета]])</f>
        <v>2026</v>
      </c>
      <c r="N4020" s="24"/>
      <c r="O4020" s="24"/>
      <c r="P4020" s="24"/>
      <c r="Q4020" s="24"/>
    </row>
    <row r="4021" spans="1:17" x14ac:dyDescent="0.25">
      <c r="A4021" s="24" t="s">
        <v>12</v>
      </c>
      <c r="B4021" s="24" t="s">
        <v>42</v>
      </c>
      <c r="C4021" s="24" t="s">
        <v>46</v>
      </c>
      <c r="D4021" s="24" t="s">
        <v>47</v>
      </c>
      <c r="E4021" s="24" t="s">
        <v>48</v>
      </c>
      <c r="F4021" s="25">
        <v>70000</v>
      </c>
      <c r="G4021" s="24"/>
      <c r="H4021" s="24"/>
      <c r="I4021" s="26">
        <f t="shared" si="176"/>
        <v>46078</v>
      </c>
      <c r="J4021" s="27">
        <f t="shared" si="177"/>
        <v>19</v>
      </c>
      <c r="K4021" s="24" t="str">
        <f t="shared" si="178"/>
        <v>0-30</v>
      </c>
      <c r="L4021" s="11">
        <v>46097</v>
      </c>
      <c r="M4021" s="23">
        <f>YEAR(Таблица1[[#This Row],[Дата отчета]])</f>
        <v>2026</v>
      </c>
      <c r="N4021" s="24"/>
      <c r="O4021" s="24"/>
      <c r="P4021" s="24"/>
      <c r="Q4021" s="24"/>
    </row>
    <row r="4022" spans="1:17" x14ac:dyDescent="0.25">
      <c r="A4022" s="24" t="s">
        <v>12</v>
      </c>
      <c r="B4022" s="24" t="s">
        <v>42</v>
      </c>
      <c r="C4022" s="24" t="s">
        <v>49</v>
      </c>
      <c r="D4022" s="24" t="s">
        <v>50</v>
      </c>
      <c r="E4022" s="24" t="s">
        <v>51</v>
      </c>
      <c r="F4022" s="25">
        <v>603882</v>
      </c>
      <c r="G4022" s="24"/>
      <c r="H4022" s="24"/>
      <c r="I4022" s="26">
        <f t="shared" si="176"/>
        <v>45939</v>
      </c>
      <c r="J4022" s="27">
        <f t="shared" si="177"/>
        <v>158</v>
      </c>
      <c r="K4022" s="24" t="str">
        <f t="shared" si="178"/>
        <v>121-180</v>
      </c>
      <c r="L4022" s="11">
        <v>46097</v>
      </c>
      <c r="M4022" s="23">
        <f>YEAR(Таблица1[[#This Row],[Дата отчета]])</f>
        <v>2026</v>
      </c>
      <c r="N4022" s="24"/>
      <c r="O4022" s="24"/>
      <c r="P4022" s="24"/>
      <c r="Q4022" s="24"/>
    </row>
    <row r="4023" spans="1:17" x14ac:dyDescent="0.25">
      <c r="A4023" s="24" t="s">
        <v>12</v>
      </c>
      <c r="B4023" s="24" t="s">
        <v>52</v>
      </c>
      <c r="C4023" s="24" t="s">
        <v>53</v>
      </c>
      <c r="D4023" s="24" t="s">
        <v>54</v>
      </c>
      <c r="E4023" s="24" t="s">
        <v>48</v>
      </c>
      <c r="F4023" s="25">
        <v>3698422</v>
      </c>
      <c r="G4023" s="24"/>
      <c r="H4023" s="24"/>
      <c r="I4023" s="26">
        <f t="shared" si="176"/>
        <v>46078</v>
      </c>
      <c r="J4023" s="27">
        <f t="shared" si="177"/>
        <v>19</v>
      </c>
      <c r="K4023" s="24" t="str">
        <f t="shared" si="178"/>
        <v>0-30</v>
      </c>
      <c r="L4023" s="11">
        <v>46097</v>
      </c>
      <c r="M4023" s="23">
        <f>YEAR(Таблица1[[#This Row],[Дата отчета]])</f>
        <v>2026</v>
      </c>
      <c r="N4023" s="24"/>
      <c r="O4023" s="24"/>
      <c r="P4023" s="24"/>
      <c r="Q4023" s="24"/>
    </row>
    <row r="4024" spans="1:17" x14ac:dyDescent="0.25">
      <c r="A4024" s="24" t="s">
        <v>12</v>
      </c>
      <c r="B4024" s="24" t="s">
        <v>52</v>
      </c>
      <c r="C4024" s="24" t="s">
        <v>55</v>
      </c>
      <c r="D4024" s="24" t="s">
        <v>56</v>
      </c>
      <c r="E4024" s="24" t="s">
        <v>57</v>
      </c>
      <c r="F4024" s="25">
        <v>352400</v>
      </c>
      <c r="G4024" s="24"/>
      <c r="H4024" s="24"/>
      <c r="I4024" s="26">
        <f t="shared" si="176"/>
        <v>46043</v>
      </c>
      <c r="J4024" s="27">
        <f t="shared" si="177"/>
        <v>54</v>
      </c>
      <c r="K4024" s="24" t="str">
        <f t="shared" si="178"/>
        <v>31-90</v>
      </c>
      <c r="L4024" s="11">
        <v>46097</v>
      </c>
      <c r="M4024" s="23">
        <f>YEAR(Таблица1[[#This Row],[Дата отчета]])</f>
        <v>2026</v>
      </c>
      <c r="N4024" s="24"/>
      <c r="O4024" s="24"/>
      <c r="P4024" s="24"/>
      <c r="Q4024" s="24"/>
    </row>
    <row r="4025" spans="1:17" x14ac:dyDescent="0.25">
      <c r="A4025" s="24" t="s">
        <v>12</v>
      </c>
      <c r="B4025" s="24" t="s">
        <v>52</v>
      </c>
      <c r="C4025" s="24" t="s">
        <v>55</v>
      </c>
      <c r="D4025" s="24" t="s">
        <v>58</v>
      </c>
      <c r="E4025" s="24" t="s">
        <v>59</v>
      </c>
      <c r="F4025" s="25">
        <v>40800</v>
      </c>
      <c r="G4025" s="24"/>
      <c r="H4025" s="24"/>
      <c r="I4025" s="26">
        <f t="shared" si="176"/>
        <v>46077</v>
      </c>
      <c r="J4025" s="27">
        <f t="shared" si="177"/>
        <v>20</v>
      </c>
      <c r="K4025" s="24" t="str">
        <f t="shared" si="178"/>
        <v>0-30</v>
      </c>
      <c r="L4025" s="11">
        <v>46097</v>
      </c>
      <c r="M4025" s="23">
        <f>YEAR(Таблица1[[#This Row],[Дата отчета]])</f>
        <v>2026</v>
      </c>
      <c r="N4025" s="24"/>
      <c r="O4025" s="24"/>
      <c r="P4025" s="24"/>
      <c r="Q4025" s="24"/>
    </row>
    <row r="4026" spans="1:17" x14ac:dyDescent="0.25">
      <c r="A4026" s="24" t="s">
        <v>12</v>
      </c>
      <c r="B4026" s="24" t="s">
        <v>52</v>
      </c>
      <c r="C4026" s="24" t="s">
        <v>55</v>
      </c>
      <c r="D4026" s="24" t="s">
        <v>60</v>
      </c>
      <c r="E4026" s="24" t="s">
        <v>61</v>
      </c>
      <c r="F4026" s="25">
        <v>114575</v>
      </c>
      <c r="G4026" s="24"/>
      <c r="H4026" s="24"/>
      <c r="I4026" s="26">
        <f t="shared" si="176"/>
        <v>46079</v>
      </c>
      <c r="J4026" s="27">
        <f t="shared" si="177"/>
        <v>18</v>
      </c>
      <c r="K4026" s="24" t="str">
        <f t="shared" si="178"/>
        <v>0-30</v>
      </c>
      <c r="L4026" s="11">
        <v>46097</v>
      </c>
      <c r="M4026" s="23">
        <f>YEAR(Таблица1[[#This Row],[Дата отчета]])</f>
        <v>2026</v>
      </c>
      <c r="N4026" s="24"/>
      <c r="O4026" s="24"/>
      <c r="P4026" s="24"/>
      <c r="Q4026" s="24"/>
    </row>
    <row r="4027" spans="1:17" x14ac:dyDescent="0.25">
      <c r="A4027" s="24" t="s">
        <v>12</v>
      </c>
      <c r="B4027" s="24" t="s">
        <v>52</v>
      </c>
      <c r="C4027" s="24" t="s">
        <v>62</v>
      </c>
      <c r="D4027" s="24" t="s">
        <v>63</v>
      </c>
      <c r="E4027" s="24" t="s">
        <v>37</v>
      </c>
      <c r="F4027" s="25">
        <v>429500</v>
      </c>
      <c r="G4027" s="24"/>
      <c r="H4027" s="24"/>
      <c r="I4027" s="26">
        <f t="shared" si="176"/>
        <v>46066</v>
      </c>
      <c r="J4027" s="27">
        <f t="shared" si="177"/>
        <v>31</v>
      </c>
      <c r="K4027" s="24" t="str">
        <f t="shared" si="178"/>
        <v>31-90</v>
      </c>
      <c r="L4027" s="11">
        <v>46097</v>
      </c>
      <c r="M4027" s="23">
        <f>YEAR(Таблица1[[#This Row],[Дата отчета]])</f>
        <v>2026</v>
      </c>
      <c r="N4027" s="24"/>
      <c r="O4027" s="24"/>
      <c r="P4027" s="24"/>
      <c r="Q4027" s="24"/>
    </row>
    <row r="4028" spans="1:17" x14ac:dyDescent="0.25">
      <c r="A4028" s="24" t="s">
        <v>12</v>
      </c>
      <c r="B4028" s="24" t="s">
        <v>52</v>
      </c>
      <c r="C4028" s="24" t="s">
        <v>64</v>
      </c>
      <c r="D4028" s="24" t="s">
        <v>65</v>
      </c>
      <c r="E4028" s="24" t="s">
        <v>66</v>
      </c>
      <c r="F4028" s="25">
        <v>30100</v>
      </c>
      <c r="G4028" s="24"/>
      <c r="H4028" s="24"/>
      <c r="I4028" s="26">
        <f t="shared" si="176"/>
        <v>45895</v>
      </c>
      <c r="J4028" s="27">
        <f t="shared" si="177"/>
        <v>202</v>
      </c>
      <c r="K4028" s="24" t="str">
        <f t="shared" si="178"/>
        <v>181-270</v>
      </c>
      <c r="L4028" s="11">
        <v>46097</v>
      </c>
      <c r="M4028" s="23">
        <f>YEAR(Таблица1[[#This Row],[Дата отчета]])</f>
        <v>2026</v>
      </c>
      <c r="N4028" s="24"/>
      <c r="O4028" s="24"/>
      <c r="P4028" s="24"/>
      <c r="Q4028" s="24"/>
    </row>
    <row r="4029" spans="1:17" x14ac:dyDescent="0.25">
      <c r="A4029" s="24" t="s">
        <v>12</v>
      </c>
      <c r="B4029" s="24" t="s">
        <v>52</v>
      </c>
      <c r="C4029" s="24" t="s">
        <v>68</v>
      </c>
      <c r="D4029" s="24" t="s">
        <v>69</v>
      </c>
      <c r="E4029" s="24" t="s">
        <v>70</v>
      </c>
      <c r="F4029" s="25">
        <v>4681</v>
      </c>
      <c r="G4029" s="24"/>
      <c r="H4029" s="24"/>
      <c r="I4029" s="26">
        <f t="shared" si="176"/>
        <v>45979</v>
      </c>
      <c r="J4029" s="27">
        <f t="shared" si="177"/>
        <v>118</v>
      </c>
      <c r="K4029" s="24" t="str">
        <f t="shared" si="178"/>
        <v>91-120</v>
      </c>
      <c r="L4029" s="11">
        <v>46097</v>
      </c>
      <c r="M4029" s="23">
        <f>YEAR(Таблица1[[#This Row],[Дата отчета]])</f>
        <v>2026</v>
      </c>
      <c r="N4029" s="24"/>
      <c r="O4029" s="24"/>
      <c r="P4029" s="24"/>
      <c r="Q4029" s="24"/>
    </row>
    <row r="4030" spans="1:17" x14ac:dyDescent="0.25">
      <c r="A4030" s="24" t="s">
        <v>12</v>
      </c>
      <c r="B4030" s="24" t="s">
        <v>13</v>
      </c>
      <c r="C4030" s="24" t="s">
        <v>14</v>
      </c>
      <c r="D4030" s="24" t="s">
        <v>15</v>
      </c>
      <c r="E4030" s="24" t="s">
        <v>16</v>
      </c>
      <c r="F4030" s="25">
        <v>0.01</v>
      </c>
      <c r="G4030" s="24"/>
      <c r="H4030" s="24"/>
      <c r="I4030" s="26">
        <f t="shared" si="176"/>
        <v>45051</v>
      </c>
      <c r="J4030" s="27">
        <f t="shared" si="177"/>
        <v>1046</v>
      </c>
      <c r="K4030" s="24" t="str">
        <f t="shared" si="178"/>
        <v>&gt;360</v>
      </c>
      <c r="L4030" s="11">
        <v>46097</v>
      </c>
      <c r="M4030" s="23">
        <f>YEAR(Таблица1[[#This Row],[Дата отчета]])</f>
        <v>2026</v>
      </c>
      <c r="N4030" s="24"/>
      <c r="O4030" s="24"/>
      <c r="P4030" s="24"/>
      <c r="Q4030" s="24"/>
    </row>
    <row r="4031" spans="1:17" x14ac:dyDescent="0.25">
      <c r="A4031" s="24" t="s">
        <v>12</v>
      </c>
      <c r="B4031" s="24" t="s">
        <v>72</v>
      </c>
      <c r="C4031" s="24" t="s">
        <v>73</v>
      </c>
      <c r="D4031" s="24" t="s">
        <v>74</v>
      </c>
      <c r="E4031" s="24" t="s">
        <v>75</v>
      </c>
      <c r="F4031" s="25">
        <v>28800000</v>
      </c>
      <c r="G4031" s="24"/>
      <c r="H4031" s="24"/>
      <c r="I4031" s="26">
        <f t="shared" si="176"/>
        <v>46016</v>
      </c>
      <c r="J4031" s="27">
        <f t="shared" si="177"/>
        <v>81</v>
      </c>
      <c r="K4031" s="24" t="str">
        <f t="shared" si="178"/>
        <v>31-90</v>
      </c>
      <c r="L4031" s="11">
        <v>46097</v>
      </c>
      <c r="M4031" s="23">
        <f>YEAR(Таблица1[[#This Row],[Дата отчета]])</f>
        <v>2026</v>
      </c>
      <c r="N4031" s="24"/>
      <c r="O4031" s="24"/>
      <c r="P4031" s="24"/>
      <c r="Q4031" s="24"/>
    </row>
    <row r="4032" spans="1:17" x14ac:dyDescent="0.25">
      <c r="A4032" s="24" t="s">
        <v>12</v>
      </c>
      <c r="B4032" s="24" t="s">
        <v>80</v>
      </c>
      <c r="C4032" s="24" t="s">
        <v>81</v>
      </c>
      <c r="D4032" s="24" t="s">
        <v>82</v>
      </c>
      <c r="E4032" s="24" t="s">
        <v>83</v>
      </c>
      <c r="F4032" s="25">
        <v>4985</v>
      </c>
      <c r="G4032" s="24"/>
      <c r="H4032" s="24"/>
      <c r="I4032" s="26">
        <f t="shared" si="176"/>
        <v>45852</v>
      </c>
      <c r="J4032" s="27">
        <f t="shared" si="177"/>
        <v>245</v>
      </c>
      <c r="K4032" s="24" t="str">
        <f t="shared" si="178"/>
        <v>181-270</v>
      </c>
      <c r="L4032" s="11">
        <v>46097</v>
      </c>
      <c r="M4032" s="23">
        <f>YEAR(Таблица1[[#This Row],[Дата отчета]])</f>
        <v>2026</v>
      </c>
      <c r="N4032" s="24"/>
      <c r="O4032" s="24"/>
      <c r="P4032" s="24"/>
      <c r="Q4032" s="24"/>
    </row>
    <row r="4033" spans="1:17" x14ac:dyDescent="0.25">
      <c r="A4033" s="24" t="s">
        <v>12</v>
      </c>
      <c r="B4033" s="24" t="s">
        <v>84</v>
      </c>
      <c r="C4033" s="24" t="s">
        <v>85</v>
      </c>
      <c r="D4033" s="24" t="s">
        <v>86</v>
      </c>
      <c r="E4033" s="24" t="s">
        <v>87</v>
      </c>
      <c r="F4033" s="25">
        <v>124374672.66</v>
      </c>
      <c r="G4033" s="24"/>
      <c r="H4033" s="24"/>
      <c r="I4033" s="26">
        <f t="shared" si="176"/>
        <v>46020</v>
      </c>
      <c r="J4033" s="27">
        <f t="shared" si="177"/>
        <v>77</v>
      </c>
      <c r="K4033" s="24" t="str">
        <f t="shared" si="178"/>
        <v>31-90</v>
      </c>
      <c r="L4033" s="11">
        <v>46097</v>
      </c>
      <c r="M4033" s="23">
        <f>YEAR(Таблица1[[#This Row],[Дата отчета]])</f>
        <v>2026</v>
      </c>
      <c r="N4033" s="24"/>
      <c r="O4033" s="24"/>
      <c r="P4033" s="24"/>
      <c r="Q4033" s="24"/>
    </row>
    <row r="4034" spans="1:17" x14ac:dyDescent="0.25">
      <c r="A4034" s="24" t="s">
        <v>12</v>
      </c>
      <c r="B4034" s="24" t="s">
        <v>88</v>
      </c>
      <c r="C4034" s="24" t="s">
        <v>89</v>
      </c>
      <c r="D4034" s="24" t="s">
        <v>90</v>
      </c>
      <c r="E4034" s="24" t="s">
        <v>91</v>
      </c>
      <c r="F4034" s="25">
        <v>198000</v>
      </c>
      <c r="G4034" s="24"/>
      <c r="H4034" s="24"/>
      <c r="I4034" s="26">
        <f t="shared" si="176"/>
        <v>45723</v>
      </c>
      <c r="J4034" s="27">
        <f t="shared" si="177"/>
        <v>374</v>
      </c>
      <c r="K4034" s="24" t="str">
        <f t="shared" si="178"/>
        <v>&gt;360</v>
      </c>
      <c r="L4034" s="11">
        <v>46097</v>
      </c>
      <c r="M4034" s="23">
        <f>YEAR(Таблица1[[#This Row],[Дата отчета]])</f>
        <v>2026</v>
      </c>
      <c r="N4034" s="30" t="s">
        <v>4537</v>
      </c>
      <c r="O4034" s="30"/>
      <c r="P4034" s="24"/>
      <c r="Q4034" s="24"/>
    </row>
    <row r="4035" spans="1:17" x14ac:dyDescent="0.25">
      <c r="A4035" s="24" t="s">
        <v>12</v>
      </c>
      <c r="B4035" s="24" t="s">
        <v>93</v>
      </c>
      <c r="C4035" s="24" t="s">
        <v>94</v>
      </c>
      <c r="D4035" s="24" t="s">
        <v>95</v>
      </c>
      <c r="E4035" s="24" t="s">
        <v>96</v>
      </c>
      <c r="F4035" s="25">
        <v>17955.38</v>
      </c>
      <c r="G4035" s="24"/>
      <c r="H4035" s="24"/>
      <c r="I4035" s="26">
        <f t="shared" si="176"/>
        <v>45876</v>
      </c>
      <c r="J4035" s="27">
        <f t="shared" si="177"/>
        <v>221</v>
      </c>
      <c r="K4035" s="24" t="str">
        <f t="shared" si="178"/>
        <v>181-270</v>
      </c>
      <c r="L4035" s="11">
        <v>46097</v>
      </c>
      <c r="M4035" s="23">
        <f>YEAR(Таблица1[[#This Row],[Дата отчета]])</f>
        <v>2026</v>
      </c>
      <c r="N4035" s="7" t="s">
        <v>4538</v>
      </c>
      <c r="O4035" s="24"/>
      <c r="P4035" s="24"/>
      <c r="Q4035" s="24"/>
    </row>
    <row r="4036" spans="1:17" x14ac:dyDescent="0.25">
      <c r="A4036" s="24" t="s">
        <v>12</v>
      </c>
      <c r="B4036" s="24" t="s">
        <v>93</v>
      </c>
      <c r="C4036" s="24" t="s">
        <v>97</v>
      </c>
      <c r="D4036" s="24" t="s">
        <v>98</v>
      </c>
      <c r="E4036" s="24" t="s">
        <v>96</v>
      </c>
      <c r="F4036" s="25">
        <v>67008.2</v>
      </c>
      <c r="G4036" s="24"/>
      <c r="H4036" s="24"/>
      <c r="I4036" s="26">
        <f t="shared" si="176"/>
        <v>45876</v>
      </c>
      <c r="J4036" s="27">
        <f t="shared" si="177"/>
        <v>221</v>
      </c>
      <c r="K4036" s="24" t="str">
        <f t="shared" si="178"/>
        <v>181-270</v>
      </c>
      <c r="L4036" s="11">
        <v>46097</v>
      </c>
      <c r="M4036" s="23">
        <f>YEAR(Таблица1[[#This Row],[Дата отчета]])</f>
        <v>2026</v>
      </c>
      <c r="N4036" s="2" t="s">
        <v>4538</v>
      </c>
      <c r="O4036" s="31"/>
      <c r="P4036" s="24"/>
      <c r="Q4036" s="24"/>
    </row>
    <row r="4037" spans="1:17" x14ac:dyDescent="0.25">
      <c r="A4037" s="24" t="s">
        <v>12</v>
      </c>
      <c r="B4037" s="24" t="s">
        <v>93</v>
      </c>
      <c r="C4037" s="24" t="s">
        <v>97</v>
      </c>
      <c r="D4037" s="24" t="s">
        <v>99</v>
      </c>
      <c r="E4037" s="24" t="s">
        <v>100</v>
      </c>
      <c r="F4037" s="25">
        <v>8599.8700000000008</v>
      </c>
      <c r="G4037" s="24"/>
      <c r="H4037" s="24"/>
      <c r="I4037" s="26">
        <f t="shared" si="176"/>
        <v>45905</v>
      </c>
      <c r="J4037" s="27">
        <f t="shared" si="177"/>
        <v>192</v>
      </c>
      <c r="K4037" s="24" t="str">
        <f t="shared" si="178"/>
        <v>181-270</v>
      </c>
      <c r="L4037" s="11">
        <v>46097</v>
      </c>
      <c r="M4037" s="23">
        <f>YEAR(Таблица1[[#This Row],[Дата отчета]])</f>
        <v>2026</v>
      </c>
      <c r="N4037" s="2" t="s">
        <v>4538</v>
      </c>
      <c r="O4037" s="31"/>
      <c r="P4037" s="24"/>
      <c r="Q4037" s="24"/>
    </row>
    <row r="4038" spans="1:17" x14ac:dyDescent="0.25">
      <c r="A4038" s="24" t="s">
        <v>12</v>
      </c>
      <c r="B4038" s="24" t="s">
        <v>101</v>
      </c>
      <c r="C4038" s="24" t="s">
        <v>102</v>
      </c>
      <c r="D4038" s="24" t="s">
        <v>103</v>
      </c>
      <c r="E4038" s="24" t="s">
        <v>57</v>
      </c>
      <c r="F4038" s="25">
        <v>10508130</v>
      </c>
      <c r="G4038" s="24"/>
      <c r="H4038" s="24"/>
      <c r="I4038" s="26">
        <f t="shared" si="176"/>
        <v>46043</v>
      </c>
      <c r="J4038" s="27">
        <f t="shared" si="177"/>
        <v>54</v>
      </c>
      <c r="K4038" s="24" t="str">
        <f t="shared" si="178"/>
        <v>31-90</v>
      </c>
      <c r="L4038" s="11">
        <v>46097</v>
      </c>
      <c r="M4038" s="23">
        <f>YEAR(Таблица1[[#This Row],[Дата отчета]])</f>
        <v>2026</v>
      </c>
      <c r="N4038" t="s">
        <v>4540</v>
      </c>
      <c r="P4038" s="24"/>
      <c r="Q4038" s="24"/>
    </row>
    <row r="4039" spans="1:17" x14ac:dyDescent="0.25">
      <c r="A4039" s="24" t="s">
        <v>12</v>
      </c>
      <c r="B4039" s="24" t="s">
        <v>101</v>
      </c>
      <c r="C4039" s="24" t="s">
        <v>104</v>
      </c>
      <c r="D4039" s="24" t="s">
        <v>105</v>
      </c>
      <c r="E4039" s="24" t="s">
        <v>106</v>
      </c>
      <c r="F4039" s="25">
        <v>1833304</v>
      </c>
      <c r="G4039" s="24"/>
      <c r="H4039" s="24"/>
      <c r="I4039" s="26">
        <f t="shared" si="176"/>
        <v>46017</v>
      </c>
      <c r="J4039" s="27">
        <f t="shared" si="177"/>
        <v>80</v>
      </c>
      <c r="K4039" s="24" t="str">
        <f t="shared" si="178"/>
        <v>31-90</v>
      </c>
      <c r="L4039" s="11">
        <v>46097</v>
      </c>
      <c r="M4039" s="23">
        <f>YEAR(Таблица1[[#This Row],[Дата отчета]])</f>
        <v>2026</v>
      </c>
      <c r="N4039" s="7" t="s">
        <v>4539</v>
      </c>
      <c r="O4039" s="24"/>
      <c r="P4039" s="24"/>
      <c r="Q4039" s="24"/>
    </row>
    <row r="4040" spans="1:17" x14ac:dyDescent="0.25">
      <c r="A4040" s="24" t="s">
        <v>12</v>
      </c>
      <c r="B4040" s="24" t="s">
        <v>107</v>
      </c>
      <c r="C4040" s="24" t="s">
        <v>4355</v>
      </c>
      <c r="D4040" s="24" t="s">
        <v>4415</v>
      </c>
      <c r="E4040" s="24" t="s">
        <v>4496</v>
      </c>
      <c r="F4040" s="25">
        <v>148464.5</v>
      </c>
      <c r="G4040" s="24"/>
      <c r="H4040" s="24"/>
      <c r="I4040" s="26">
        <f t="shared" si="176"/>
        <v>46091</v>
      </c>
      <c r="J4040" s="27">
        <f t="shared" si="177"/>
        <v>6</v>
      </c>
      <c r="K4040" s="24" t="str">
        <f t="shared" si="178"/>
        <v>0-30</v>
      </c>
      <c r="L4040" s="11">
        <v>46097</v>
      </c>
      <c r="M4040" s="23">
        <f>YEAR(Таблица1[[#This Row],[Дата отчета]])</f>
        <v>2026</v>
      </c>
      <c r="N4040" s="24"/>
      <c r="O4040" s="24"/>
      <c r="P4040" s="24"/>
      <c r="Q4040" s="24"/>
    </row>
    <row r="4041" spans="1:17" x14ac:dyDescent="0.25">
      <c r="A4041" s="24" t="s">
        <v>12</v>
      </c>
      <c r="B4041" s="24" t="s">
        <v>107</v>
      </c>
      <c r="C4041" s="24" t="s">
        <v>108</v>
      </c>
      <c r="D4041" s="24" t="s">
        <v>109</v>
      </c>
      <c r="E4041" s="24" t="s">
        <v>61</v>
      </c>
      <c r="F4041" s="25">
        <v>2287728</v>
      </c>
      <c r="G4041" s="24"/>
      <c r="H4041" s="24"/>
      <c r="I4041" s="26">
        <f t="shared" si="176"/>
        <v>46079</v>
      </c>
      <c r="J4041" s="27">
        <f t="shared" si="177"/>
        <v>18</v>
      </c>
      <c r="K4041" s="24" t="str">
        <f t="shared" si="178"/>
        <v>0-30</v>
      </c>
      <c r="L4041" s="11">
        <v>46097</v>
      </c>
      <c r="M4041" s="23">
        <f>YEAR(Таблица1[[#This Row],[Дата отчета]])</f>
        <v>2026</v>
      </c>
      <c r="N4041" s="24"/>
      <c r="O4041" s="24"/>
      <c r="P4041" s="24"/>
      <c r="Q4041" s="24"/>
    </row>
    <row r="4042" spans="1:17" x14ac:dyDescent="0.25">
      <c r="A4042" s="24" t="s">
        <v>12</v>
      </c>
      <c r="B4042" s="24" t="s">
        <v>4513</v>
      </c>
      <c r="C4042" s="24" t="s">
        <v>4515</v>
      </c>
      <c r="D4042" s="24" t="s">
        <v>4523</v>
      </c>
      <c r="E4042" s="24" t="s">
        <v>4534</v>
      </c>
      <c r="F4042" s="25">
        <v>1775130.05</v>
      </c>
      <c r="G4042" s="24"/>
      <c r="H4042" s="24"/>
      <c r="I4042" s="26">
        <f t="shared" si="176"/>
        <v>46094</v>
      </c>
      <c r="J4042" s="27">
        <f t="shared" si="177"/>
        <v>3</v>
      </c>
      <c r="K4042" s="24" t="str">
        <f t="shared" si="178"/>
        <v>0-30</v>
      </c>
      <c r="L4042" s="11">
        <v>46097</v>
      </c>
      <c r="M4042" s="23">
        <f>YEAR(Таблица1[[#This Row],[Дата отчета]])</f>
        <v>2026</v>
      </c>
      <c r="N4042" s="24"/>
      <c r="O4042" s="24"/>
      <c r="P4042" s="24"/>
      <c r="Q4042" s="24"/>
    </row>
    <row r="4043" spans="1:17" x14ac:dyDescent="0.25">
      <c r="A4043" s="24" t="s">
        <v>12</v>
      </c>
      <c r="B4043" s="24" t="s">
        <v>1154</v>
      </c>
      <c r="C4043" s="24" t="s">
        <v>4356</v>
      </c>
      <c r="D4043" s="24" t="s">
        <v>4416</v>
      </c>
      <c r="E4043" s="24" t="s">
        <v>4497</v>
      </c>
      <c r="F4043" s="25">
        <v>18000</v>
      </c>
      <c r="G4043" s="24"/>
      <c r="H4043" s="24"/>
      <c r="I4043" s="26">
        <f t="shared" si="176"/>
        <v>46086</v>
      </c>
      <c r="J4043" s="27">
        <f t="shared" si="177"/>
        <v>11</v>
      </c>
      <c r="K4043" s="24" t="str">
        <f t="shared" si="178"/>
        <v>0-30</v>
      </c>
      <c r="L4043" s="11">
        <v>46097</v>
      </c>
      <c r="M4043" s="23">
        <f>YEAR(Таблица1[[#This Row],[Дата отчета]])</f>
        <v>2026</v>
      </c>
      <c r="N4043" s="24"/>
      <c r="O4043" s="24"/>
      <c r="P4043" s="24"/>
      <c r="Q4043" s="24"/>
    </row>
    <row r="4044" spans="1:17" x14ac:dyDescent="0.25">
      <c r="A4044" s="24" t="s">
        <v>12</v>
      </c>
      <c r="B4044" s="24" t="s">
        <v>110</v>
      </c>
      <c r="C4044" s="24" t="s">
        <v>111</v>
      </c>
      <c r="D4044" s="24" t="s">
        <v>112</v>
      </c>
      <c r="E4044" s="24" t="s">
        <v>113</v>
      </c>
      <c r="F4044" s="25">
        <v>613440</v>
      </c>
      <c r="G4044" s="24"/>
      <c r="H4044" s="24"/>
      <c r="I4044" s="26">
        <f t="shared" si="176"/>
        <v>46009</v>
      </c>
      <c r="J4044" s="27">
        <f t="shared" si="177"/>
        <v>88</v>
      </c>
      <c r="K4044" s="24" t="str">
        <f t="shared" si="178"/>
        <v>31-90</v>
      </c>
      <c r="L4044" s="11">
        <v>46097</v>
      </c>
      <c r="M4044" s="23">
        <f>YEAR(Таблица1[[#This Row],[Дата отчета]])</f>
        <v>2026</v>
      </c>
      <c r="N4044" s="24"/>
      <c r="O4044" s="24"/>
      <c r="P4044" s="24"/>
      <c r="Q4044" s="24"/>
    </row>
    <row r="4045" spans="1:17" x14ac:dyDescent="0.25">
      <c r="A4045" s="24" t="s">
        <v>12</v>
      </c>
      <c r="B4045" s="24" t="s">
        <v>114</v>
      </c>
      <c r="C4045" s="24" t="s">
        <v>115</v>
      </c>
      <c r="D4045" s="24" t="s">
        <v>116</v>
      </c>
      <c r="E4045" s="24" t="s">
        <v>61</v>
      </c>
      <c r="F4045" s="25">
        <v>1644686.04</v>
      </c>
      <c r="G4045" s="24"/>
      <c r="H4045" s="24"/>
      <c r="I4045" s="26">
        <f t="shared" si="176"/>
        <v>46079</v>
      </c>
      <c r="J4045" s="27">
        <f t="shared" si="177"/>
        <v>18</v>
      </c>
      <c r="K4045" s="24" t="str">
        <f t="shared" si="178"/>
        <v>0-30</v>
      </c>
      <c r="L4045" s="11">
        <v>46097</v>
      </c>
      <c r="M4045" s="23">
        <f>YEAR(Таблица1[[#This Row],[Дата отчета]])</f>
        <v>2026</v>
      </c>
      <c r="N4045" s="24"/>
      <c r="O4045" s="24"/>
      <c r="P4045" s="24"/>
      <c r="Q4045" s="24"/>
    </row>
    <row r="4046" spans="1:17" x14ac:dyDescent="0.25">
      <c r="A4046" s="24" t="s">
        <v>12</v>
      </c>
      <c r="B4046" s="24" t="s">
        <v>117</v>
      </c>
      <c r="C4046" s="24" t="s">
        <v>118</v>
      </c>
      <c r="D4046" s="24" t="s">
        <v>119</v>
      </c>
      <c r="E4046" s="24" t="s">
        <v>70</v>
      </c>
      <c r="F4046" s="25">
        <v>350000</v>
      </c>
      <c r="G4046" s="24"/>
      <c r="H4046" s="24"/>
      <c r="I4046" s="26">
        <f t="shared" si="176"/>
        <v>45979</v>
      </c>
      <c r="J4046" s="27">
        <f t="shared" si="177"/>
        <v>118</v>
      </c>
      <c r="K4046" s="24" t="str">
        <f t="shared" si="178"/>
        <v>91-120</v>
      </c>
      <c r="L4046" s="11">
        <v>46097</v>
      </c>
      <c r="M4046" s="23">
        <f>YEAR(Таблица1[[#This Row],[Дата отчета]])</f>
        <v>2026</v>
      </c>
      <c r="N4046" s="24"/>
      <c r="O4046" s="24"/>
      <c r="P4046" s="24"/>
      <c r="Q4046" s="24"/>
    </row>
    <row r="4047" spans="1:17" x14ac:dyDescent="0.25">
      <c r="A4047" s="24" t="s">
        <v>12</v>
      </c>
      <c r="B4047" s="24" t="s">
        <v>120</v>
      </c>
      <c r="C4047" s="24" t="s">
        <v>121</v>
      </c>
      <c r="D4047" s="24" t="s">
        <v>122</v>
      </c>
      <c r="E4047" s="24" t="s">
        <v>123</v>
      </c>
      <c r="F4047" s="25">
        <v>691600</v>
      </c>
      <c r="G4047" s="24"/>
      <c r="H4047" s="24"/>
      <c r="I4047" s="26">
        <f t="shared" si="176"/>
        <v>45782</v>
      </c>
      <c r="J4047" s="27">
        <f t="shared" si="177"/>
        <v>315</v>
      </c>
      <c r="K4047" s="24" t="str">
        <f t="shared" si="178"/>
        <v>271-360</v>
      </c>
      <c r="L4047" s="11">
        <v>46097</v>
      </c>
      <c r="M4047" s="23">
        <f>YEAR(Таблица1[[#This Row],[Дата отчета]])</f>
        <v>2026</v>
      </c>
      <c r="N4047" s="2" t="s">
        <v>4541</v>
      </c>
      <c r="O4047" s="31"/>
      <c r="P4047" s="24"/>
      <c r="Q4047" s="24"/>
    </row>
    <row r="4048" spans="1:17" x14ac:dyDescent="0.25">
      <c r="A4048" s="24" t="s">
        <v>12</v>
      </c>
      <c r="B4048" s="24" t="s">
        <v>3364</v>
      </c>
      <c r="C4048" s="24" t="s">
        <v>4357</v>
      </c>
      <c r="D4048" s="24" t="s">
        <v>4417</v>
      </c>
      <c r="E4048" s="24" t="s">
        <v>4498</v>
      </c>
      <c r="F4048" s="25">
        <v>100000</v>
      </c>
      <c r="G4048" s="24"/>
      <c r="H4048" s="24"/>
      <c r="I4048" s="26">
        <f t="shared" si="176"/>
        <v>46093</v>
      </c>
      <c r="J4048" s="27">
        <f t="shared" si="177"/>
        <v>4</v>
      </c>
      <c r="K4048" s="24" t="str">
        <f t="shared" si="178"/>
        <v>0-30</v>
      </c>
      <c r="L4048" s="11">
        <v>46097</v>
      </c>
      <c r="M4048" s="23">
        <f>YEAR(Таблица1[[#This Row],[Дата отчета]])</f>
        <v>2026</v>
      </c>
      <c r="N4048" s="24"/>
      <c r="O4048" s="24"/>
      <c r="P4048" s="24"/>
      <c r="Q4048" s="24"/>
    </row>
    <row r="4049" spans="1:17" x14ac:dyDescent="0.25">
      <c r="A4049" s="24" t="s">
        <v>12</v>
      </c>
      <c r="B4049" s="24" t="s">
        <v>124</v>
      </c>
      <c r="C4049" s="24" t="s">
        <v>125</v>
      </c>
      <c r="D4049" s="24" t="s">
        <v>126</v>
      </c>
      <c r="E4049" s="24" t="s">
        <v>127</v>
      </c>
      <c r="F4049" s="25">
        <v>60000</v>
      </c>
      <c r="G4049" s="24"/>
      <c r="H4049" s="24"/>
      <c r="I4049" s="26">
        <f t="shared" si="176"/>
        <v>46037</v>
      </c>
      <c r="J4049" s="27">
        <f t="shared" si="177"/>
        <v>60</v>
      </c>
      <c r="K4049" s="24" t="str">
        <f t="shared" si="178"/>
        <v>31-90</v>
      </c>
      <c r="L4049" s="11">
        <v>46097</v>
      </c>
      <c r="M4049" s="23">
        <f>YEAR(Таблица1[[#This Row],[Дата отчета]])</f>
        <v>2026</v>
      </c>
      <c r="N4049" s="24"/>
      <c r="O4049" s="24"/>
      <c r="P4049" s="24"/>
      <c r="Q4049" s="24"/>
    </row>
    <row r="4050" spans="1:17" x14ac:dyDescent="0.25">
      <c r="A4050" s="24" t="s">
        <v>12</v>
      </c>
      <c r="B4050" s="24" t="s">
        <v>128</v>
      </c>
      <c r="C4050" s="24" t="s">
        <v>129</v>
      </c>
      <c r="D4050" s="24" t="s">
        <v>130</v>
      </c>
      <c r="E4050" s="24" t="s">
        <v>131</v>
      </c>
      <c r="F4050" s="25">
        <v>400000</v>
      </c>
      <c r="G4050" s="24"/>
      <c r="H4050" s="24"/>
      <c r="I4050" s="26">
        <f t="shared" si="176"/>
        <v>45931</v>
      </c>
      <c r="J4050" s="27">
        <f t="shared" si="177"/>
        <v>166</v>
      </c>
      <c r="K4050" s="24" t="str">
        <f t="shared" si="178"/>
        <v>121-180</v>
      </c>
      <c r="L4050" s="11">
        <v>46097</v>
      </c>
      <c r="M4050" s="23">
        <f>YEAR(Таблица1[[#This Row],[Дата отчета]])</f>
        <v>2026</v>
      </c>
      <c r="N4050" s="2" t="s">
        <v>4544</v>
      </c>
      <c r="O4050" s="8">
        <v>45981</v>
      </c>
      <c r="P4050" s="2" t="s">
        <v>4546</v>
      </c>
      <c r="Q4050" s="24"/>
    </row>
    <row r="4051" spans="1:17" x14ac:dyDescent="0.25">
      <c r="A4051" s="24" t="s">
        <v>12</v>
      </c>
      <c r="B4051" s="24" t="s">
        <v>128</v>
      </c>
      <c r="C4051" s="24" t="s">
        <v>132</v>
      </c>
      <c r="D4051" s="24" t="s">
        <v>133</v>
      </c>
      <c r="E4051" s="24" t="s">
        <v>134</v>
      </c>
      <c r="F4051" s="25">
        <v>1600000</v>
      </c>
      <c r="G4051" s="24"/>
      <c r="H4051" s="24"/>
      <c r="I4051" s="26">
        <f t="shared" si="176"/>
        <v>45856</v>
      </c>
      <c r="J4051" s="27">
        <f t="shared" si="177"/>
        <v>241</v>
      </c>
      <c r="K4051" s="24" t="str">
        <f t="shared" si="178"/>
        <v>181-270</v>
      </c>
      <c r="L4051" s="11">
        <v>46097</v>
      </c>
      <c r="M4051" s="23">
        <f>YEAR(Таблица1[[#This Row],[Дата отчета]])</f>
        <v>2026</v>
      </c>
      <c r="N4051" s="2" t="s">
        <v>4543</v>
      </c>
      <c r="O4051" s="8">
        <v>46068</v>
      </c>
      <c r="P4051" s="2" t="s">
        <v>4546</v>
      </c>
      <c r="Q4051" s="24"/>
    </row>
    <row r="4052" spans="1:17" x14ac:dyDescent="0.25">
      <c r="A4052" s="24" t="s">
        <v>12</v>
      </c>
      <c r="B4052" s="24" t="s">
        <v>128</v>
      </c>
      <c r="C4052" s="24" t="s">
        <v>132</v>
      </c>
      <c r="D4052" s="24" t="s">
        <v>135</v>
      </c>
      <c r="E4052" s="24" t="s">
        <v>106</v>
      </c>
      <c r="F4052" s="25">
        <v>1200000</v>
      </c>
      <c r="G4052" s="24"/>
      <c r="H4052" s="24"/>
      <c r="I4052" s="26">
        <f t="shared" si="176"/>
        <v>46017</v>
      </c>
      <c r="J4052" s="27">
        <f t="shared" si="177"/>
        <v>80</v>
      </c>
      <c r="K4052" s="24" t="str">
        <f t="shared" si="178"/>
        <v>31-90</v>
      </c>
      <c r="L4052" s="11">
        <v>46097</v>
      </c>
      <c r="M4052" s="23">
        <f>YEAR(Таблица1[[#This Row],[Дата отчета]])</f>
        <v>2026</v>
      </c>
      <c r="N4052" s="2" t="s">
        <v>4543</v>
      </c>
      <c r="O4052" s="8">
        <v>46068</v>
      </c>
      <c r="P4052" s="2" t="s">
        <v>4546</v>
      </c>
      <c r="Q4052" s="24"/>
    </row>
    <row r="4053" spans="1:17" x14ac:dyDescent="0.25">
      <c r="A4053" s="24" t="s">
        <v>12</v>
      </c>
      <c r="B4053" s="24" t="s">
        <v>128</v>
      </c>
      <c r="C4053" s="24" t="s">
        <v>136</v>
      </c>
      <c r="D4053" s="24" t="s">
        <v>137</v>
      </c>
      <c r="E4053" s="24" t="s">
        <v>131</v>
      </c>
      <c r="F4053" s="25">
        <v>400000</v>
      </c>
      <c r="G4053" s="24"/>
      <c r="H4053" s="24"/>
      <c r="I4053" s="26">
        <f t="shared" si="176"/>
        <v>45931</v>
      </c>
      <c r="J4053" s="27">
        <f t="shared" si="177"/>
        <v>166</v>
      </c>
      <c r="K4053" s="24" t="str">
        <f t="shared" si="178"/>
        <v>121-180</v>
      </c>
      <c r="L4053" s="11">
        <v>46097</v>
      </c>
      <c r="M4053" s="23">
        <f>YEAR(Таблица1[[#This Row],[Дата отчета]])</f>
        <v>2026</v>
      </c>
      <c r="N4053" s="2" t="s">
        <v>4544</v>
      </c>
      <c r="O4053" s="8">
        <v>45981</v>
      </c>
      <c r="P4053" s="2" t="s">
        <v>4546</v>
      </c>
      <c r="Q4053" s="24"/>
    </row>
    <row r="4054" spans="1:17" x14ac:dyDescent="0.25">
      <c r="A4054" s="24" t="s">
        <v>12</v>
      </c>
      <c r="B4054" s="24" t="s">
        <v>128</v>
      </c>
      <c r="C4054" s="24" t="s">
        <v>138</v>
      </c>
      <c r="D4054" s="24" t="s">
        <v>139</v>
      </c>
      <c r="E4054" s="24" t="s">
        <v>140</v>
      </c>
      <c r="F4054" s="25">
        <v>250000</v>
      </c>
      <c r="G4054" s="24"/>
      <c r="H4054" s="24"/>
      <c r="I4054" s="26">
        <f t="shared" si="176"/>
        <v>45917</v>
      </c>
      <c r="J4054" s="27">
        <f t="shared" si="177"/>
        <v>180</v>
      </c>
      <c r="K4054" s="24" t="str">
        <f t="shared" si="178"/>
        <v>121-180</v>
      </c>
      <c r="L4054" s="11">
        <v>46097</v>
      </c>
      <c r="M4054" s="23">
        <f>YEAR(Таблица1[[#This Row],[Дата отчета]])</f>
        <v>2026</v>
      </c>
      <c r="N4054" s="2" t="s">
        <v>4544</v>
      </c>
      <c r="O4054" s="3">
        <v>45986</v>
      </c>
      <c r="P4054" s="2" t="s">
        <v>4546</v>
      </c>
      <c r="Q4054" s="24"/>
    </row>
    <row r="4055" spans="1:17" x14ac:dyDescent="0.25">
      <c r="A4055" s="24" t="s">
        <v>12</v>
      </c>
      <c r="B4055" s="24" t="s">
        <v>128</v>
      </c>
      <c r="C4055" s="24" t="s">
        <v>141</v>
      </c>
      <c r="D4055" s="24" t="s">
        <v>142</v>
      </c>
      <c r="E4055" s="24" t="s">
        <v>140</v>
      </c>
      <c r="F4055" s="25">
        <v>250000</v>
      </c>
      <c r="G4055" s="24"/>
      <c r="H4055" s="24"/>
      <c r="I4055" s="26">
        <f t="shared" si="176"/>
        <v>45917</v>
      </c>
      <c r="J4055" s="27">
        <f t="shared" si="177"/>
        <v>180</v>
      </c>
      <c r="K4055" s="24" t="str">
        <f t="shared" si="178"/>
        <v>121-180</v>
      </c>
      <c r="L4055" s="11">
        <v>46097</v>
      </c>
      <c r="M4055" s="23">
        <f>YEAR(Таблица1[[#This Row],[Дата отчета]])</f>
        <v>2026</v>
      </c>
      <c r="N4055" s="2" t="s">
        <v>4544</v>
      </c>
      <c r="O4055" s="8">
        <v>45986</v>
      </c>
      <c r="P4055" s="2" t="s">
        <v>4546</v>
      </c>
      <c r="Q4055" s="24"/>
    </row>
    <row r="4056" spans="1:17" x14ac:dyDescent="0.25">
      <c r="A4056" s="24" t="s">
        <v>12</v>
      </c>
      <c r="B4056" s="24" t="s">
        <v>143</v>
      </c>
      <c r="C4056" s="24" t="s">
        <v>144</v>
      </c>
      <c r="D4056" s="24" t="s">
        <v>145</v>
      </c>
      <c r="E4056" s="24" t="s">
        <v>146</v>
      </c>
      <c r="F4056" s="25">
        <v>7000</v>
      </c>
      <c r="G4056" s="24"/>
      <c r="H4056" s="24"/>
      <c r="I4056" s="26">
        <f t="shared" si="176"/>
        <v>45838</v>
      </c>
      <c r="J4056" s="27">
        <f t="shared" si="177"/>
        <v>259</v>
      </c>
      <c r="K4056" s="24" t="str">
        <f t="shared" si="178"/>
        <v>181-270</v>
      </c>
      <c r="L4056" s="11">
        <v>46097</v>
      </c>
      <c r="M4056" s="23">
        <f>YEAR(Таблица1[[#This Row],[Дата отчета]])</f>
        <v>2026</v>
      </c>
      <c r="N4056" s="2" t="s">
        <v>807</v>
      </c>
      <c r="O4056" s="24"/>
      <c r="P4056" s="24"/>
      <c r="Q4056" s="24"/>
    </row>
    <row r="4057" spans="1:17" x14ac:dyDescent="0.25">
      <c r="A4057" s="24" t="s">
        <v>12</v>
      </c>
      <c r="B4057" s="24" t="s">
        <v>147</v>
      </c>
      <c r="C4057" s="24" t="s">
        <v>4358</v>
      </c>
      <c r="D4057" s="24" t="s">
        <v>4418</v>
      </c>
      <c r="E4057" s="24" t="s">
        <v>4495</v>
      </c>
      <c r="F4057" s="25">
        <v>25000</v>
      </c>
      <c r="G4057" s="24"/>
      <c r="H4057" s="24"/>
      <c r="I4057" s="26">
        <f t="shared" si="176"/>
        <v>46092</v>
      </c>
      <c r="J4057" s="27">
        <f t="shared" si="177"/>
        <v>5</v>
      </c>
      <c r="K4057" s="24" t="str">
        <f t="shared" si="178"/>
        <v>0-30</v>
      </c>
      <c r="L4057" s="11">
        <v>46097</v>
      </c>
      <c r="M4057" s="23">
        <f>YEAR(Таблица1[[#This Row],[Дата отчета]])</f>
        <v>2026</v>
      </c>
      <c r="N4057" s="24"/>
      <c r="O4057" s="24"/>
      <c r="P4057" s="24"/>
      <c r="Q4057" s="24"/>
    </row>
    <row r="4058" spans="1:17" x14ac:dyDescent="0.25">
      <c r="A4058" s="24" t="s">
        <v>12</v>
      </c>
      <c r="B4058" s="24" t="s">
        <v>147</v>
      </c>
      <c r="C4058" s="24" t="s">
        <v>4359</v>
      </c>
      <c r="D4058" s="24" t="s">
        <v>4419</v>
      </c>
      <c r="E4058" s="24" t="s">
        <v>4495</v>
      </c>
      <c r="F4058" s="25">
        <v>188760</v>
      </c>
      <c r="G4058" s="24"/>
      <c r="H4058" s="24"/>
      <c r="I4058" s="26">
        <f t="shared" si="176"/>
        <v>46092</v>
      </c>
      <c r="J4058" s="27">
        <f t="shared" si="177"/>
        <v>5</v>
      </c>
      <c r="K4058" s="24" t="str">
        <f t="shared" si="178"/>
        <v>0-30</v>
      </c>
      <c r="L4058" s="11">
        <v>46097</v>
      </c>
      <c r="M4058" s="23">
        <f>YEAR(Таблица1[[#This Row],[Дата отчета]])</f>
        <v>2026</v>
      </c>
      <c r="N4058" s="24"/>
      <c r="O4058" s="24"/>
      <c r="P4058" s="24"/>
      <c r="Q4058" s="24"/>
    </row>
    <row r="4059" spans="1:17" x14ac:dyDescent="0.25">
      <c r="A4059" s="24" t="s">
        <v>12</v>
      </c>
      <c r="B4059" s="24" t="s">
        <v>147</v>
      </c>
      <c r="C4059" s="24" t="s">
        <v>4360</v>
      </c>
      <c r="D4059" s="24" t="s">
        <v>4420</v>
      </c>
      <c r="E4059" s="24" t="s">
        <v>4495</v>
      </c>
      <c r="F4059" s="25">
        <v>25000</v>
      </c>
      <c r="G4059" s="24"/>
      <c r="H4059" s="24"/>
      <c r="I4059" s="26">
        <f t="shared" si="176"/>
        <v>46092</v>
      </c>
      <c r="J4059" s="27">
        <f t="shared" si="177"/>
        <v>5</v>
      </c>
      <c r="K4059" s="24" t="str">
        <f t="shared" si="178"/>
        <v>0-30</v>
      </c>
      <c r="L4059" s="11">
        <v>46097</v>
      </c>
      <c r="M4059" s="23">
        <f>YEAR(Таблица1[[#This Row],[Дата отчета]])</f>
        <v>2026</v>
      </c>
      <c r="N4059" s="24"/>
      <c r="O4059" s="24"/>
      <c r="P4059" s="24"/>
      <c r="Q4059" s="24"/>
    </row>
    <row r="4060" spans="1:17" x14ac:dyDescent="0.25">
      <c r="A4060" s="24" t="s">
        <v>12</v>
      </c>
      <c r="B4060" s="24" t="s">
        <v>147</v>
      </c>
      <c r="C4060" s="24" t="s">
        <v>148</v>
      </c>
      <c r="D4060" s="24" t="s">
        <v>149</v>
      </c>
      <c r="E4060" s="24" t="s">
        <v>37</v>
      </c>
      <c r="F4060" s="25">
        <v>25000</v>
      </c>
      <c r="G4060" s="24"/>
      <c r="H4060" s="24"/>
      <c r="I4060" s="26">
        <f t="shared" si="176"/>
        <v>46066</v>
      </c>
      <c r="J4060" s="27">
        <f t="shared" si="177"/>
        <v>31</v>
      </c>
      <c r="K4060" s="24" t="str">
        <f t="shared" si="178"/>
        <v>31-90</v>
      </c>
      <c r="L4060" s="11">
        <v>46097</v>
      </c>
      <c r="M4060" s="23">
        <f>YEAR(Таблица1[[#This Row],[Дата отчета]])</f>
        <v>2026</v>
      </c>
      <c r="N4060" s="24"/>
      <c r="O4060" s="24"/>
      <c r="P4060" s="24"/>
      <c r="Q4060" s="24"/>
    </row>
    <row r="4061" spans="1:17" x14ac:dyDescent="0.25">
      <c r="A4061" s="24" t="s">
        <v>12</v>
      </c>
      <c r="B4061" s="24" t="s">
        <v>147</v>
      </c>
      <c r="C4061" s="24" t="s">
        <v>4361</v>
      </c>
      <c r="D4061" s="24" t="s">
        <v>4421</v>
      </c>
      <c r="E4061" s="24" t="s">
        <v>4495</v>
      </c>
      <c r="F4061" s="25">
        <v>25000</v>
      </c>
      <c r="G4061" s="24"/>
      <c r="H4061" s="24"/>
      <c r="I4061" s="26">
        <f t="shared" si="176"/>
        <v>46092</v>
      </c>
      <c r="J4061" s="27">
        <f t="shared" si="177"/>
        <v>5</v>
      </c>
      <c r="K4061" s="24" t="str">
        <f t="shared" si="178"/>
        <v>0-30</v>
      </c>
      <c r="L4061" s="11">
        <v>46097</v>
      </c>
      <c r="M4061" s="23">
        <f>YEAR(Таблица1[[#This Row],[Дата отчета]])</f>
        <v>2026</v>
      </c>
      <c r="N4061" s="24"/>
      <c r="O4061" s="24"/>
      <c r="P4061" s="24"/>
      <c r="Q4061" s="24"/>
    </row>
    <row r="4062" spans="1:17" x14ac:dyDescent="0.25">
      <c r="A4062" s="24" t="s">
        <v>12</v>
      </c>
      <c r="B4062" s="24" t="s">
        <v>150</v>
      </c>
      <c r="C4062" s="24" t="s">
        <v>151</v>
      </c>
      <c r="D4062" s="24" t="s">
        <v>152</v>
      </c>
      <c r="E4062" s="24" t="s">
        <v>153</v>
      </c>
      <c r="F4062" s="25">
        <v>1200041.6399999999</v>
      </c>
      <c r="G4062" s="24"/>
      <c r="H4062" s="24"/>
      <c r="I4062" s="26">
        <f t="shared" si="176"/>
        <v>46072</v>
      </c>
      <c r="J4062" s="27">
        <f t="shared" si="177"/>
        <v>25</v>
      </c>
      <c r="K4062" s="24" t="str">
        <f t="shared" si="178"/>
        <v>0-30</v>
      </c>
      <c r="L4062" s="11">
        <v>46097</v>
      </c>
      <c r="M4062" s="23">
        <f>YEAR(Таблица1[[#This Row],[Дата отчета]])</f>
        <v>2026</v>
      </c>
      <c r="N4062" s="24"/>
      <c r="O4062" s="24"/>
      <c r="P4062" s="24"/>
      <c r="Q4062" s="24"/>
    </row>
    <row r="4063" spans="1:17" x14ac:dyDescent="0.25">
      <c r="A4063" s="24" t="s">
        <v>12</v>
      </c>
      <c r="B4063" s="24" t="s">
        <v>150</v>
      </c>
      <c r="C4063" s="24" t="s">
        <v>154</v>
      </c>
      <c r="D4063" s="24" t="s">
        <v>157</v>
      </c>
      <c r="E4063" s="24" t="s">
        <v>37</v>
      </c>
      <c r="F4063" s="25">
        <v>0.01</v>
      </c>
      <c r="G4063" s="24"/>
      <c r="H4063" s="24"/>
      <c r="I4063" s="26">
        <f t="shared" si="176"/>
        <v>46066</v>
      </c>
      <c r="J4063" s="27">
        <f t="shared" si="177"/>
        <v>31</v>
      </c>
      <c r="K4063" s="24" t="str">
        <f t="shared" si="178"/>
        <v>31-90</v>
      </c>
      <c r="L4063" s="11">
        <v>46097</v>
      </c>
      <c r="M4063" s="23">
        <f>YEAR(Таблица1[[#This Row],[Дата отчета]])</f>
        <v>2026</v>
      </c>
      <c r="N4063" s="24"/>
      <c r="O4063" s="24"/>
      <c r="P4063" s="24"/>
      <c r="Q4063" s="24"/>
    </row>
    <row r="4064" spans="1:17" x14ac:dyDescent="0.25">
      <c r="A4064" s="24" t="s">
        <v>12</v>
      </c>
      <c r="B4064" s="24" t="s">
        <v>150</v>
      </c>
      <c r="C4064" s="24" t="s">
        <v>154</v>
      </c>
      <c r="D4064" s="24" t="s">
        <v>4422</v>
      </c>
      <c r="E4064" s="24" t="s">
        <v>4496</v>
      </c>
      <c r="F4064" s="25">
        <v>305626.93</v>
      </c>
      <c r="G4064" s="24"/>
      <c r="H4064" s="24"/>
      <c r="I4064" s="26">
        <f t="shared" si="176"/>
        <v>46091</v>
      </c>
      <c r="J4064" s="27">
        <f t="shared" si="177"/>
        <v>6</v>
      </c>
      <c r="K4064" s="24" t="str">
        <f t="shared" si="178"/>
        <v>0-30</v>
      </c>
      <c r="L4064" s="11">
        <v>46097</v>
      </c>
      <c r="M4064" s="23">
        <f>YEAR(Таблица1[[#This Row],[Дата отчета]])</f>
        <v>2026</v>
      </c>
      <c r="N4064" s="24"/>
      <c r="O4064" s="24"/>
      <c r="P4064" s="24"/>
      <c r="Q4064" s="24"/>
    </row>
    <row r="4065" spans="1:17" x14ac:dyDescent="0.25">
      <c r="A4065" s="24" t="s">
        <v>12</v>
      </c>
      <c r="B4065" s="24" t="s">
        <v>162</v>
      </c>
      <c r="C4065" s="24" t="s">
        <v>163</v>
      </c>
      <c r="D4065" s="24" t="s">
        <v>164</v>
      </c>
      <c r="E4065" s="24" t="s">
        <v>165</v>
      </c>
      <c r="F4065" s="25">
        <v>12000</v>
      </c>
      <c r="G4065" s="24"/>
      <c r="H4065" s="24"/>
      <c r="I4065" s="26">
        <f t="shared" si="176"/>
        <v>46073</v>
      </c>
      <c r="J4065" s="27">
        <f t="shared" si="177"/>
        <v>24</v>
      </c>
      <c r="K4065" s="24" t="str">
        <f t="shared" si="178"/>
        <v>0-30</v>
      </c>
      <c r="L4065" s="11">
        <v>46097</v>
      </c>
      <c r="M4065" s="23">
        <f>YEAR(Таблица1[[#This Row],[Дата отчета]])</f>
        <v>2026</v>
      </c>
      <c r="N4065" s="24"/>
      <c r="O4065" s="24"/>
      <c r="P4065" s="24"/>
      <c r="Q4065" s="24"/>
    </row>
    <row r="4066" spans="1:17" x14ac:dyDescent="0.25">
      <c r="A4066" s="24" t="s">
        <v>12</v>
      </c>
      <c r="B4066" s="24" t="s">
        <v>166</v>
      </c>
      <c r="C4066" s="24" t="s">
        <v>167</v>
      </c>
      <c r="D4066" s="24" t="s">
        <v>168</v>
      </c>
      <c r="E4066" s="24" t="s">
        <v>169</v>
      </c>
      <c r="F4066" s="25">
        <v>2405000</v>
      </c>
      <c r="G4066" s="24"/>
      <c r="H4066" s="24"/>
      <c r="I4066" s="26">
        <f t="shared" si="176"/>
        <v>46050</v>
      </c>
      <c r="J4066" s="27">
        <f t="shared" si="177"/>
        <v>47</v>
      </c>
      <c r="K4066" s="24" t="str">
        <f t="shared" si="178"/>
        <v>31-90</v>
      </c>
      <c r="L4066" s="11">
        <v>46097</v>
      </c>
      <c r="M4066" s="23">
        <f>YEAR(Таблица1[[#This Row],[Дата отчета]])</f>
        <v>2026</v>
      </c>
      <c r="N4066" s="24"/>
      <c r="O4066" s="24"/>
      <c r="P4066" s="24"/>
      <c r="Q4066" s="24"/>
    </row>
    <row r="4067" spans="1:17" x14ac:dyDescent="0.25">
      <c r="A4067" s="24" t="s">
        <v>12</v>
      </c>
      <c r="B4067" s="24" t="s">
        <v>166</v>
      </c>
      <c r="C4067" s="24" t="s">
        <v>170</v>
      </c>
      <c r="D4067" s="24" t="s">
        <v>171</v>
      </c>
      <c r="E4067" s="24" t="s">
        <v>169</v>
      </c>
      <c r="F4067" s="25">
        <v>1150000</v>
      </c>
      <c r="G4067" s="24"/>
      <c r="H4067" s="24"/>
      <c r="I4067" s="26">
        <f t="shared" si="176"/>
        <v>46050</v>
      </c>
      <c r="J4067" s="27">
        <f t="shared" si="177"/>
        <v>47</v>
      </c>
      <c r="K4067" s="24" t="str">
        <f t="shared" si="178"/>
        <v>31-90</v>
      </c>
      <c r="L4067" s="11">
        <v>46097</v>
      </c>
      <c r="M4067" s="23">
        <f>YEAR(Таблица1[[#This Row],[Дата отчета]])</f>
        <v>2026</v>
      </c>
      <c r="N4067" s="24"/>
      <c r="O4067" s="24"/>
      <c r="P4067" s="24"/>
      <c r="Q4067" s="24"/>
    </row>
    <row r="4068" spans="1:17" x14ac:dyDescent="0.25">
      <c r="A4068" s="24" t="s">
        <v>12</v>
      </c>
      <c r="B4068" s="24" t="s">
        <v>172</v>
      </c>
      <c r="C4068" s="24" t="s">
        <v>173</v>
      </c>
      <c r="D4068" s="24" t="s">
        <v>174</v>
      </c>
      <c r="E4068" s="24" t="s">
        <v>175</v>
      </c>
      <c r="F4068" s="25">
        <v>12630</v>
      </c>
      <c r="G4068" s="24"/>
      <c r="H4068" s="24"/>
      <c r="I4068" s="26">
        <f t="shared" si="176"/>
        <v>45399</v>
      </c>
      <c r="J4068" s="27">
        <f t="shared" si="177"/>
        <v>698</v>
      </c>
      <c r="K4068" s="24" t="str">
        <f t="shared" si="178"/>
        <v>&gt;360</v>
      </c>
      <c r="L4068" s="11">
        <v>46097</v>
      </c>
      <c r="M4068" s="23">
        <f>YEAR(Таблица1[[#This Row],[Дата отчета]])</f>
        <v>2026</v>
      </c>
      <c r="N4068" s="7" t="s">
        <v>4547</v>
      </c>
      <c r="O4068" s="24"/>
      <c r="P4068" s="24"/>
      <c r="Q4068" s="24"/>
    </row>
    <row r="4069" spans="1:17" x14ac:dyDescent="0.25">
      <c r="A4069" s="24" t="s">
        <v>12</v>
      </c>
      <c r="B4069" s="24" t="s">
        <v>176</v>
      </c>
      <c r="C4069" s="24" t="s">
        <v>177</v>
      </c>
      <c r="D4069" s="24" t="s">
        <v>178</v>
      </c>
      <c r="E4069" s="24" t="s">
        <v>179</v>
      </c>
      <c r="F4069" s="25">
        <v>92350</v>
      </c>
      <c r="G4069" s="24"/>
      <c r="H4069" s="24"/>
      <c r="I4069" s="26">
        <f t="shared" si="176"/>
        <v>45987</v>
      </c>
      <c r="J4069" s="27">
        <f t="shared" si="177"/>
        <v>110</v>
      </c>
      <c r="K4069" s="24" t="str">
        <f t="shared" si="178"/>
        <v>91-120</v>
      </c>
      <c r="L4069" s="11">
        <v>46097</v>
      </c>
      <c r="M4069" s="23">
        <f>YEAR(Таблица1[[#This Row],[Дата отчета]])</f>
        <v>2026</v>
      </c>
      <c r="N4069" s="24"/>
      <c r="O4069" s="24"/>
      <c r="P4069" s="24"/>
      <c r="Q4069" s="24"/>
    </row>
    <row r="4070" spans="1:17" x14ac:dyDescent="0.25">
      <c r="A4070" s="24" t="s">
        <v>12</v>
      </c>
      <c r="B4070" s="24" t="s">
        <v>176</v>
      </c>
      <c r="C4070" s="24" t="s">
        <v>4362</v>
      </c>
      <c r="D4070" s="24" t="s">
        <v>4423</v>
      </c>
      <c r="E4070" s="24" t="s">
        <v>4496</v>
      </c>
      <c r="F4070" s="25">
        <v>1950</v>
      </c>
      <c r="G4070" s="24"/>
      <c r="H4070" s="24"/>
      <c r="I4070" s="26">
        <f t="shared" si="176"/>
        <v>46091</v>
      </c>
      <c r="J4070" s="27">
        <f t="shared" si="177"/>
        <v>6</v>
      </c>
      <c r="K4070" s="24" t="str">
        <f t="shared" si="178"/>
        <v>0-30</v>
      </c>
      <c r="L4070" s="11">
        <v>46097</v>
      </c>
      <c r="M4070" s="23">
        <f>YEAR(Таблица1[[#This Row],[Дата отчета]])</f>
        <v>2026</v>
      </c>
      <c r="N4070" s="24"/>
      <c r="O4070" s="24"/>
      <c r="P4070" s="24"/>
      <c r="Q4070" s="24"/>
    </row>
    <row r="4071" spans="1:17" x14ac:dyDescent="0.25">
      <c r="A4071" s="24" t="s">
        <v>12</v>
      </c>
      <c r="B4071" s="24" t="s">
        <v>180</v>
      </c>
      <c r="C4071" s="24" t="s">
        <v>181</v>
      </c>
      <c r="D4071" s="24" t="s">
        <v>182</v>
      </c>
      <c r="E4071" s="24" t="s">
        <v>183</v>
      </c>
      <c r="F4071" s="25">
        <v>14178</v>
      </c>
      <c r="G4071" s="24"/>
      <c r="H4071" s="24"/>
      <c r="I4071" s="26">
        <f t="shared" si="176"/>
        <v>45817</v>
      </c>
      <c r="J4071" s="27">
        <f t="shared" si="177"/>
        <v>280</v>
      </c>
      <c r="K4071" s="24" t="str">
        <f t="shared" si="178"/>
        <v>271-360</v>
      </c>
      <c r="L4071" s="11">
        <v>46097</v>
      </c>
      <c r="M4071" s="23">
        <f>YEAR(Таблица1[[#This Row],[Дата отчета]])</f>
        <v>2026</v>
      </c>
      <c r="N4071" s="7" t="s">
        <v>4538</v>
      </c>
      <c r="O4071" s="24"/>
      <c r="P4071" s="24"/>
      <c r="Q4071" s="24"/>
    </row>
    <row r="4072" spans="1:17" x14ac:dyDescent="0.25">
      <c r="A4072" s="24" t="s">
        <v>12</v>
      </c>
      <c r="B4072" s="24" t="s">
        <v>180</v>
      </c>
      <c r="C4072" s="24" t="s">
        <v>184</v>
      </c>
      <c r="D4072" s="24" t="s">
        <v>185</v>
      </c>
      <c r="E4072" s="24" t="s">
        <v>48</v>
      </c>
      <c r="F4072" s="25">
        <v>405463</v>
      </c>
      <c r="G4072" s="24"/>
      <c r="H4072" s="24"/>
      <c r="I4072" s="26">
        <f t="shared" si="176"/>
        <v>46078</v>
      </c>
      <c r="J4072" s="27">
        <f t="shared" si="177"/>
        <v>19</v>
      </c>
      <c r="K4072" s="24" t="str">
        <f t="shared" si="178"/>
        <v>0-30</v>
      </c>
      <c r="L4072" s="11">
        <v>46097</v>
      </c>
      <c r="M4072" s="23">
        <f>YEAR(Таблица1[[#This Row],[Дата отчета]])</f>
        <v>2026</v>
      </c>
      <c r="N4072" s="24"/>
      <c r="O4072" s="24"/>
      <c r="P4072" s="24"/>
      <c r="Q4072" s="24"/>
    </row>
    <row r="4073" spans="1:17" x14ac:dyDescent="0.25">
      <c r="A4073" s="24" t="s">
        <v>12</v>
      </c>
      <c r="B4073" s="24" t="s">
        <v>180</v>
      </c>
      <c r="C4073" s="24" t="s">
        <v>4363</v>
      </c>
      <c r="D4073" s="24" t="s">
        <v>4424</v>
      </c>
      <c r="E4073" s="24" t="s">
        <v>4496</v>
      </c>
      <c r="F4073" s="25">
        <v>3967657</v>
      </c>
      <c r="G4073" s="24"/>
      <c r="H4073" s="24"/>
      <c r="I4073" s="26">
        <f t="shared" si="176"/>
        <v>46091</v>
      </c>
      <c r="J4073" s="27">
        <f t="shared" si="177"/>
        <v>6</v>
      </c>
      <c r="K4073" s="24" t="str">
        <f t="shared" si="178"/>
        <v>0-30</v>
      </c>
      <c r="L4073" s="11">
        <v>46097</v>
      </c>
      <c r="M4073" s="23">
        <f>YEAR(Таблица1[[#This Row],[Дата отчета]])</f>
        <v>2026</v>
      </c>
      <c r="N4073" s="24"/>
      <c r="O4073" s="24"/>
      <c r="P4073" s="24"/>
      <c r="Q4073" s="24"/>
    </row>
    <row r="4074" spans="1:17" x14ac:dyDescent="0.25">
      <c r="A4074" s="24" t="s">
        <v>12</v>
      </c>
      <c r="B4074" s="24" t="s">
        <v>180</v>
      </c>
      <c r="C4074" s="24" t="s">
        <v>4364</v>
      </c>
      <c r="D4074" s="24" t="s">
        <v>4425</v>
      </c>
      <c r="E4074" s="24" t="s">
        <v>4499</v>
      </c>
      <c r="F4074" s="25">
        <v>205970</v>
      </c>
      <c r="G4074" s="24"/>
      <c r="H4074" s="24"/>
      <c r="I4074" s="26">
        <f t="shared" si="176"/>
        <v>46085</v>
      </c>
      <c r="J4074" s="27">
        <f t="shared" si="177"/>
        <v>12</v>
      </c>
      <c r="K4074" s="24" t="str">
        <f t="shared" si="178"/>
        <v>0-30</v>
      </c>
      <c r="L4074" s="11">
        <v>46097</v>
      </c>
      <c r="M4074" s="23">
        <f>YEAR(Таблица1[[#This Row],[Дата отчета]])</f>
        <v>2026</v>
      </c>
      <c r="N4074" s="24"/>
      <c r="O4074" s="24"/>
      <c r="P4074" s="24"/>
      <c r="Q4074" s="24"/>
    </row>
    <row r="4075" spans="1:17" x14ac:dyDescent="0.25">
      <c r="A4075" s="24" t="s">
        <v>12</v>
      </c>
      <c r="B4075" s="24" t="s">
        <v>186</v>
      </c>
      <c r="C4075" s="24" t="s">
        <v>187</v>
      </c>
      <c r="D4075" s="24" t="s">
        <v>188</v>
      </c>
      <c r="E4075" s="24" t="s">
        <v>189</v>
      </c>
      <c r="F4075" s="25">
        <v>6600</v>
      </c>
      <c r="G4075" s="24"/>
      <c r="H4075" s="24"/>
      <c r="I4075" s="26">
        <f t="shared" si="176"/>
        <v>45471</v>
      </c>
      <c r="J4075" s="27">
        <f t="shared" si="177"/>
        <v>626</v>
      </c>
      <c r="K4075" s="24" t="str">
        <f t="shared" si="178"/>
        <v>&gt;360</v>
      </c>
      <c r="L4075" s="11">
        <v>46097</v>
      </c>
      <c r="M4075" s="23">
        <f>YEAR(Таблица1[[#This Row],[Дата отчета]])</f>
        <v>2026</v>
      </c>
      <c r="N4075" s="24"/>
      <c r="O4075" s="24"/>
      <c r="P4075" s="24"/>
      <c r="Q4075" s="24"/>
    </row>
    <row r="4076" spans="1:17" x14ac:dyDescent="0.25">
      <c r="A4076" s="24" t="s">
        <v>12</v>
      </c>
      <c r="B4076" s="24" t="s">
        <v>186</v>
      </c>
      <c r="C4076" s="24" t="s">
        <v>190</v>
      </c>
      <c r="D4076" s="24" t="s">
        <v>191</v>
      </c>
      <c r="E4076" s="24" t="s">
        <v>192</v>
      </c>
      <c r="F4076" s="25">
        <v>6600</v>
      </c>
      <c r="G4076" s="24"/>
      <c r="H4076" s="24"/>
      <c r="I4076" s="26">
        <f t="shared" si="176"/>
        <v>45467</v>
      </c>
      <c r="J4076" s="27">
        <f t="shared" si="177"/>
        <v>630</v>
      </c>
      <c r="K4076" s="24" t="str">
        <f t="shared" si="178"/>
        <v>&gt;360</v>
      </c>
      <c r="L4076" s="11">
        <v>46097</v>
      </c>
      <c r="M4076" s="23">
        <f>YEAR(Таблица1[[#This Row],[Дата отчета]])</f>
        <v>2026</v>
      </c>
      <c r="N4076" s="24"/>
      <c r="O4076" s="24"/>
      <c r="P4076" s="24"/>
      <c r="Q4076" s="24"/>
    </row>
    <row r="4077" spans="1:17" x14ac:dyDescent="0.25">
      <c r="A4077" s="24" t="s">
        <v>12</v>
      </c>
      <c r="B4077" s="24" t="s">
        <v>186</v>
      </c>
      <c r="C4077" s="24" t="s">
        <v>193</v>
      </c>
      <c r="D4077" s="24" t="s">
        <v>194</v>
      </c>
      <c r="E4077" s="24" t="s">
        <v>195</v>
      </c>
      <c r="F4077" s="25">
        <v>25000</v>
      </c>
      <c r="G4077" s="24"/>
      <c r="H4077" s="24"/>
      <c r="I4077" s="26">
        <f t="shared" ref="I4077:I4140" si="179">E4077*1</f>
        <v>45916</v>
      </c>
      <c r="J4077" s="27">
        <f t="shared" ref="J4077:J4140" si="180">L4077-I4077</f>
        <v>181</v>
      </c>
      <c r="K4077" s="24" t="str">
        <f t="shared" ref="K4077:K4140" si="181">IF(J4077&lt;=30,"0-30",IF(J4077&lt;=90,"31-90",IF(J4077&lt;=120,"91-120",IF(J4077&lt;=180,"121-180",IF(J4077&lt;=270,"181-270",IF(J4077&lt;=360,"271-360","&gt;360"))))))</f>
        <v>181-270</v>
      </c>
      <c r="L4077" s="11">
        <v>46097</v>
      </c>
      <c r="M4077" s="23">
        <f>YEAR(Таблица1[[#This Row],[Дата отчета]])</f>
        <v>2026</v>
      </c>
      <c r="N4077" s="24"/>
      <c r="O4077" s="24"/>
      <c r="P4077" s="24"/>
      <c r="Q4077" s="24"/>
    </row>
    <row r="4078" spans="1:17" x14ac:dyDescent="0.25">
      <c r="A4078" s="24" t="s">
        <v>12</v>
      </c>
      <c r="B4078" s="24" t="s">
        <v>186</v>
      </c>
      <c r="C4078" s="24" t="s">
        <v>196</v>
      </c>
      <c r="D4078" s="24" t="s">
        <v>197</v>
      </c>
      <c r="E4078" s="24" t="s">
        <v>198</v>
      </c>
      <c r="F4078" s="25">
        <v>6600</v>
      </c>
      <c r="G4078" s="24"/>
      <c r="H4078" s="24"/>
      <c r="I4078" s="26">
        <f t="shared" si="179"/>
        <v>45439</v>
      </c>
      <c r="J4078" s="27">
        <f t="shared" si="180"/>
        <v>658</v>
      </c>
      <c r="K4078" s="24" t="str">
        <f t="shared" si="181"/>
        <v>&gt;360</v>
      </c>
      <c r="L4078" s="11">
        <v>46097</v>
      </c>
      <c r="M4078" s="23">
        <f>YEAR(Таблица1[[#This Row],[Дата отчета]])</f>
        <v>2026</v>
      </c>
      <c r="N4078" s="24"/>
      <c r="O4078" s="24"/>
      <c r="P4078" s="24"/>
      <c r="Q4078" s="24"/>
    </row>
    <row r="4079" spans="1:17" x14ac:dyDescent="0.25">
      <c r="A4079" s="24" t="s">
        <v>12</v>
      </c>
      <c r="B4079" s="24" t="s">
        <v>186</v>
      </c>
      <c r="C4079" s="24" t="s">
        <v>199</v>
      </c>
      <c r="D4079" s="24" t="s">
        <v>200</v>
      </c>
      <c r="E4079" s="24" t="s">
        <v>201</v>
      </c>
      <c r="F4079" s="25">
        <v>6600</v>
      </c>
      <c r="G4079" s="24"/>
      <c r="H4079" s="24"/>
      <c r="I4079" s="26">
        <f t="shared" si="179"/>
        <v>45800</v>
      </c>
      <c r="J4079" s="27">
        <f t="shared" si="180"/>
        <v>297</v>
      </c>
      <c r="K4079" s="24" t="str">
        <f t="shared" si="181"/>
        <v>271-360</v>
      </c>
      <c r="L4079" s="11">
        <v>46097</v>
      </c>
      <c r="M4079" s="23">
        <f>YEAR(Таблица1[[#This Row],[Дата отчета]])</f>
        <v>2026</v>
      </c>
      <c r="N4079" s="24"/>
      <c r="O4079" s="24"/>
      <c r="P4079" s="24"/>
      <c r="Q4079" s="24"/>
    </row>
    <row r="4080" spans="1:17" x14ac:dyDescent="0.25">
      <c r="A4080" s="24" t="s">
        <v>12</v>
      </c>
      <c r="B4080" s="24" t="s">
        <v>186</v>
      </c>
      <c r="C4080" s="24" t="s">
        <v>202</v>
      </c>
      <c r="D4080" s="24" t="s">
        <v>203</v>
      </c>
      <c r="E4080" s="24" t="s">
        <v>204</v>
      </c>
      <c r="F4080" s="25">
        <v>25000</v>
      </c>
      <c r="G4080" s="24"/>
      <c r="H4080" s="24"/>
      <c r="I4080" s="26">
        <f t="shared" si="179"/>
        <v>45481</v>
      </c>
      <c r="J4080" s="27">
        <f t="shared" si="180"/>
        <v>616</v>
      </c>
      <c r="K4080" s="24" t="str">
        <f t="shared" si="181"/>
        <v>&gt;360</v>
      </c>
      <c r="L4080" s="11">
        <v>46097</v>
      </c>
      <c r="M4080" s="23">
        <f>YEAR(Таблица1[[#This Row],[Дата отчета]])</f>
        <v>2026</v>
      </c>
      <c r="N4080" s="24"/>
      <c r="O4080" s="24"/>
      <c r="P4080" s="24"/>
      <c r="Q4080" s="24"/>
    </row>
    <row r="4081" spans="1:17" x14ac:dyDescent="0.25">
      <c r="A4081" s="24" t="s">
        <v>12</v>
      </c>
      <c r="B4081" s="24" t="s">
        <v>186</v>
      </c>
      <c r="C4081" s="24" t="s">
        <v>205</v>
      </c>
      <c r="D4081" s="24" t="s">
        <v>206</v>
      </c>
      <c r="E4081" s="24" t="s">
        <v>207</v>
      </c>
      <c r="F4081" s="25">
        <v>25000</v>
      </c>
      <c r="G4081" s="24"/>
      <c r="H4081" s="24"/>
      <c r="I4081" s="26">
        <f t="shared" si="179"/>
        <v>45901</v>
      </c>
      <c r="J4081" s="27">
        <f t="shared" si="180"/>
        <v>196</v>
      </c>
      <c r="K4081" s="24" t="str">
        <f t="shared" si="181"/>
        <v>181-270</v>
      </c>
      <c r="L4081" s="11">
        <v>46097</v>
      </c>
      <c r="M4081" s="23">
        <f>YEAR(Таблица1[[#This Row],[Дата отчета]])</f>
        <v>2026</v>
      </c>
      <c r="N4081" s="24"/>
      <c r="O4081" s="24"/>
      <c r="P4081" s="24"/>
      <c r="Q4081" s="24"/>
    </row>
    <row r="4082" spans="1:17" x14ac:dyDescent="0.25">
      <c r="A4082" s="24" t="s">
        <v>12</v>
      </c>
      <c r="B4082" s="24" t="s">
        <v>4350</v>
      </c>
      <c r="C4082" s="24" t="s">
        <v>4365</v>
      </c>
      <c r="D4082" s="24" t="s">
        <v>4426</v>
      </c>
      <c r="E4082" s="24" t="s">
        <v>4499</v>
      </c>
      <c r="F4082" s="25">
        <v>330000</v>
      </c>
      <c r="G4082" s="24"/>
      <c r="H4082" s="24"/>
      <c r="I4082" s="26">
        <f t="shared" si="179"/>
        <v>46085</v>
      </c>
      <c r="J4082" s="27">
        <f t="shared" si="180"/>
        <v>12</v>
      </c>
      <c r="K4082" s="24" t="str">
        <f t="shared" si="181"/>
        <v>0-30</v>
      </c>
      <c r="L4082" s="11">
        <v>46097</v>
      </c>
      <c r="M4082" s="23">
        <f>YEAR(Таблица1[[#This Row],[Дата отчета]])</f>
        <v>2026</v>
      </c>
      <c r="N4082" s="24"/>
      <c r="O4082" s="24"/>
      <c r="P4082" s="24"/>
      <c r="Q4082" s="24"/>
    </row>
    <row r="4083" spans="1:17" x14ac:dyDescent="0.25">
      <c r="A4083" s="24" t="s">
        <v>12</v>
      </c>
      <c r="B4083" s="24" t="s">
        <v>208</v>
      </c>
      <c r="C4083" s="24" t="s">
        <v>209</v>
      </c>
      <c r="D4083" s="24" t="s">
        <v>210</v>
      </c>
      <c r="E4083" s="24" t="s">
        <v>211</v>
      </c>
      <c r="F4083" s="25">
        <v>179328</v>
      </c>
      <c r="G4083" s="24"/>
      <c r="H4083" s="24"/>
      <c r="I4083" s="26">
        <f t="shared" si="179"/>
        <v>46056</v>
      </c>
      <c r="J4083" s="27">
        <f t="shared" si="180"/>
        <v>41</v>
      </c>
      <c r="K4083" s="24" t="str">
        <f t="shared" si="181"/>
        <v>31-90</v>
      </c>
      <c r="L4083" s="11">
        <v>46097</v>
      </c>
      <c r="M4083" s="23">
        <f>YEAR(Таблица1[[#This Row],[Дата отчета]])</f>
        <v>2026</v>
      </c>
      <c r="N4083" s="24"/>
      <c r="O4083" s="24"/>
      <c r="P4083" s="24"/>
      <c r="Q4083" s="24"/>
    </row>
    <row r="4084" spans="1:17" x14ac:dyDescent="0.25">
      <c r="A4084" s="24" t="s">
        <v>12</v>
      </c>
      <c r="B4084" s="24" t="s">
        <v>212</v>
      </c>
      <c r="C4084" s="24" t="s">
        <v>213</v>
      </c>
      <c r="D4084" s="24" t="s">
        <v>214</v>
      </c>
      <c r="E4084" s="24" t="s">
        <v>215</v>
      </c>
      <c r="F4084" s="25">
        <v>1750000</v>
      </c>
      <c r="G4084" s="24"/>
      <c r="H4084" s="24"/>
      <c r="I4084" s="26">
        <f t="shared" si="179"/>
        <v>45929</v>
      </c>
      <c r="J4084" s="27">
        <f t="shared" si="180"/>
        <v>168</v>
      </c>
      <c r="K4084" s="24" t="str">
        <f t="shared" si="181"/>
        <v>121-180</v>
      </c>
      <c r="L4084" s="11">
        <v>46097</v>
      </c>
      <c r="M4084" s="23">
        <f>YEAR(Таблица1[[#This Row],[Дата отчета]])</f>
        <v>2026</v>
      </c>
      <c r="N4084" s="24"/>
      <c r="O4084" s="24"/>
      <c r="P4084" s="24"/>
      <c r="Q4084" s="24"/>
    </row>
    <row r="4085" spans="1:17" x14ac:dyDescent="0.25">
      <c r="A4085" s="24" t="s">
        <v>12</v>
      </c>
      <c r="B4085" s="24" t="s">
        <v>212</v>
      </c>
      <c r="C4085" s="24" t="s">
        <v>216</v>
      </c>
      <c r="D4085" s="24" t="s">
        <v>217</v>
      </c>
      <c r="E4085" s="24" t="s">
        <v>218</v>
      </c>
      <c r="F4085" s="25">
        <v>1750000</v>
      </c>
      <c r="G4085" s="24"/>
      <c r="H4085" s="24"/>
      <c r="I4085" s="26">
        <f t="shared" si="179"/>
        <v>45947</v>
      </c>
      <c r="J4085" s="27">
        <f t="shared" si="180"/>
        <v>150</v>
      </c>
      <c r="K4085" s="24" t="str">
        <f t="shared" si="181"/>
        <v>121-180</v>
      </c>
      <c r="L4085" s="11">
        <v>46097</v>
      </c>
      <c r="M4085" s="23">
        <f>YEAR(Таблица1[[#This Row],[Дата отчета]])</f>
        <v>2026</v>
      </c>
      <c r="N4085" s="24"/>
      <c r="O4085" s="24"/>
      <c r="P4085" s="24"/>
      <c r="Q4085" s="24"/>
    </row>
    <row r="4086" spans="1:17" x14ac:dyDescent="0.25">
      <c r="A4086" s="24" t="s">
        <v>12</v>
      </c>
      <c r="B4086" s="24" t="s">
        <v>212</v>
      </c>
      <c r="C4086" s="24" t="s">
        <v>219</v>
      </c>
      <c r="D4086" s="24" t="s">
        <v>220</v>
      </c>
      <c r="E4086" s="24" t="s">
        <v>215</v>
      </c>
      <c r="F4086" s="25">
        <v>1750000</v>
      </c>
      <c r="G4086" s="24"/>
      <c r="H4086" s="24"/>
      <c r="I4086" s="26">
        <f t="shared" si="179"/>
        <v>45929</v>
      </c>
      <c r="J4086" s="27">
        <f t="shared" si="180"/>
        <v>168</v>
      </c>
      <c r="K4086" s="24" t="str">
        <f t="shared" si="181"/>
        <v>121-180</v>
      </c>
      <c r="L4086" s="11">
        <v>46097</v>
      </c>
      <c r="M4086" s="23">
        <f>YEAR(Таблица1[[#This Row],[Дата отчета]])</f>
        <v>2026</v>
      </c>
      <c r="N4086" s="24"/>
      <c r="O4086" s="24"/>
      <c r="P4086" s="24"/>
      <c r="Q4086" s="24"/>
    </row>
    <row r="4087" spans="1:17" x14ac:dyDescent="0.25">
      <c r="A4087" s="24" t="s">
        <v>12</v>
      </c>
      <c r="B4087" s="24" t="s">
        <v>212</v>
      </c>
      <c r="C4087" s="24" t="s">
        <v>221</v>
      </c>
      <c r="D4087" s="24" t="s">
        <v>222</v>
      </c>
      <c r="E4087" s="24" t="s">
        <v>218</v>
      </c>
      <c r="F4087" s="25">
        <v>1750000</v>
      </c>
      <c r="G4087" s="24"/>
      <c r="H4087" s="24"/>
      <c r="I4087" s="26">
        <f t="shared" si="179"/>
        <v>45947</v>
      </c>
      <c r="J4087" s="27">
        <f t="shared" si="180"/>
        <v>150</v>
      </c>
      <c r="K4087" s="24" t="str">
        <f t="shared" si="181"/>
        <v>121-180</v>
      </c>
      <c r="L4087" s="11">
        <v>46097</v>
      </c>
      <c r="M4087" s="23">
        <f>YEAR(Таблица1[[#This Row],[Дата отчета]])</f>
        <v>2026</v>
      </c>
      <c r="N4087" s="24"/>
      <c r="O4087" s="24"/>
      <c r="P4087" s="24"/>
      <c r="Q4087" s="24"/>
    </row>
    <row r="4088" spans="1:17" x14ac:dyDescent="0.25">
      <c r="A4088" s="24" t="s">
        <v>12</v>
      </c>
      <c r="B4088" s="24" t="s">
        <v>212</v>
      </c>
      <c r="C4088" s="24" t="s">
        <v>223</v>
      </c>
      <c r="D4088" s="24" t="s">
        <v>224</v>
      </c>
      <c r="E4088" s="24" t="s">
        <v>215</v>
      </c>
      <c r="F4088" s="25">
        <v>1750000</v>
      </c>
      <c r="G4088" s="24"/>
      <c r="H4088" s="24"/>
      <c r="I4088" s="26">
        <f t="shared" si="179"/>
        <v>45929</v>
      </c>
      <c r="J4088" s="27">
        <f t="shared" si="180"/>
        <v>168</v>
      </c>
      <c r="K4088" s="24" t="str">
        <f t="shared" si="181"/>
        <v>121-180</v>
      </c>
      <c r="L4088" s="11">
        <v>46097</v>
      </c>
      <c r="M4088" s="23">
        <f>YEAR(Таблица1[[#This Row],[Дата отчета]])</f>
        <v>2026</v>
      </c>
      <c r="N4088" s="24"/>
      <c r="O4088" s="24"/>
      <c r="P4088" s="24"/>
      <c r="Q4088" s="24"/>
    </row>
    <row r="4089" spans="1:17" x14ac:dyDescent="0.25">
      <c r="A4089" s="24" t="s">
        <v>12</v>
      </c>
      <c r="B4089" s="24" t="s">
        <v>225</v>
      </c>
      <c r="C4089" s="24" t="s">
        <v>226</v>
      </c>
      <c r="D4089" s="24" t="s">
        <v>227</v>
      </c>
      <c r="E4089" s="24" t="s">
        <v>37</v>
      </c>
      <c r="F4089" s="25">
        <v>17831.84</v>
      </c>
      <c r="G4089" s="24"/>
      <c r="H4089" s="24"/>
      <c r="I4089" s="26">
        <f t="shared" si="179"/>
        <v>46066</v>
      </c>
      <c r="J4089" s="27">
        <f t="shared" si="180"/>
        <v>31</v>
      </c>
      <c r="K4089" s="24" t="str">
        <f t="shared" si="181"/>
        <v>31-90</v>
      </c>
      <c r="L4089" s="11">
        <v>46097</v>
      </c>
      <c r="M4089" s="23">
        <f>YEAR(Таблица1[[#This Row],[Дата отчета]])</f>
        <v>2026</v>
      </c>
      <c r="N4089" s="24"/>
      <c r="O4089" s="24"/>
      <c r="P4089" s="24"/>
      <c r="Q4089" s="24"/>
    </row>
    <row r="4090" spans="1:17" x14ac:dyDescent="0.25">
      <c r="A4090" s="24" t="s">
        <v>12</v>
      </c>
      <c r="B4090" s="24" t="s">
        <v>228</v>
      </c>
      <c r="C4090" s="24" t="s">
        <v>229</v>
      </c>
      <c r="D4090" s="24" t="s">
        <v>230</v>
      </c>
      <c r="E4090" s="24" t="s">
        <v>231</v>
      </c>
      <c r="F4090" s="25">
        <v>2053117.29</v>
      </c>
      <c r="G4090" s="24"/>
      <c r="H4090" s="24"/>
      <c r="I4090" s="26">
        <f t="shared" si="179"/>
        <v>45992</v>
      </c>
      <c r="J4090" s="27">
        <f t="shared" si="180"/>
        <v>105</v>
      </c>
      <c r="K4090" s="24" t="str">
        <f t="shared" si="181"/>
        <v>91-120</v>
      </c>
      <c r="L4090" s="11">
        <v>46097</v>
      </c>
      <c r="M4090" s="23">
        <f>YEAR(Таблица1[[#This Row],[Дата отчета]])</f>
        <v>2026</v>
      </c>
      <c r="N4090" s="7"/>
      <c r="O4090" s="7"/>
      <c r="P4090" s="24"/>
      <c r="Q4090" s="24"/>
    </row>
    <row r="4091" spans="1:17" x14ac:dyDescent="0.25">
      <c r="A4091" s="24" t="s">
        <v>12</v>
      </c>
      <c r="B4091" s="24" t="s">
        <v>228</v>
      </c>
      <c r="C4091" s="24" t="s">
        <v>229</v>
      </c>
      <c r="D4091" s="24" t="s">
        <v>232</v>
      </c>
      <c r="E4091" s="24" t="s">
        <v>61</v>
      </c>
      <c r="F4091" s="25">
        <v>1460604.1</v>
      </c>
      <c r="G4091" s="24"/>
      <c r="H4091" s="24"/>
      <c r="I4091" s="26">
        <f t="shared" si="179"/>
        <v>46079</v>
      </c>
      <c r="J4091" s="27">
        <f t="shared" si="180"/>
        <v>18</v>
      </c>
      <c r="K4091" s="24" t="str">
        <f t="shared" si="181"/>
        <v>0-30</v>
      </c>
      <c r="L4091" s="11">
        <v>46097</v>
      </c>
      <c r="M4091" s="23">
        <f>YEAR(Таблица1[[#This Row],[Дата отчета]])</f>
        <v>2026</v>
      </c>
      <c r="N4091" s="7" t="s">
        <v>4545</v>
      </c>
      <c r="O4091" s="7" t="s">
        <v>4549</v>
      </c>
      <c r="P4091" s="24"/>
      <c r="Q4091" s="24"/>
    </row>
    <row r="4092" spans="1:17" x14ac:dyDescent="0.25">
      <c r="A4092" s="24" t="s">
        <v>12</v>
      </c>
      <c r="B4092" s="24" t="s">
        <v>228</v>
      </c>
      <c r="C4092" s="24" t="s">
        <v>233</v>
      </c>
      <c r="D4092" s="24" t="s">
        <v>234</v>
      </c>
      <c r="E4092" s="24" t="s">
        <v>231</v>
      </c>
      <c r="F4092" s="25">
        <v>1211264.99</v>
      </c>
      <c r="G4092" s="24"/>
      <c r="H4092" s="24"/>
      <c r="I4092" s="26">
        <f t="shared" si="179"/>
        <v>45992</v>
      </c>
      <c r="J4092" s="27">
        <f t="shared" si="180"/>
        <v>105</v>
      </c>
      <c r="K4092" s="24" t="str">
        <f t="shared" si="181"/>
        <v>91-120</v>
      </c>
      <c r="L4092" s="11">
        <v>46097</v>
      </c>
      <c r="M4092" s="23">
        <f>YEAR(Таблица1[[#This Row],[Дата отчета]])</f>
        <v>2026</v>
      </c>
      <c r="N4092" s="24"/>
      <c r="O4092" s="24"/>
      <c r="P4092" s="24"/>
      <c r="Q4092" s="24"/>
    </row>
    <row r="4093" spans="1:17" x14ac:dyDescent="0.25">
      <c r="A4093" s="24" t="s">
        <v>12</v>
      </c>
      <c r="B4093" s="24" t="s">
        <v>228</v>
      </c>
      <c r="C4093" s="24" t="s">
        <v>233</v>
      </c>
      <c r="D4093" s="24" t="s">
        <v>235</v>
      </c>
      <c r="E4093" s="24" t="s">
        <v>61</v>
      </c>
      <c r="F4093" s="25">
        <v>1251640.57</v>
      </c>
      <c r="G4093" s="24"/>
      <c r="H4093" s="24"/>
      <c r="I4093" s="26">
        <f t="shared" si="179"/>
        <v>46079</v>
      </c>
      <c r="J4093" s="27">
        <f t="shared" si="180"/>
        <v>18</v>
      </c>
      <c r="K4093" s="24" t="str">
        <f t="shared" si="181"/>
        <v>0-30</v>
      </c>
      <c r="L4093" s="11">
        <v>46097</v>
      </c>
      <c r="M4093" s="23">
        <f>YEAR(Таблица1[[#This Row],[Дата отчета]])</f>
        <v>2026</v>
      </c>
      <c r="N4093" s="24"/>
      <c r="O4093" s="24"/>
      <c r="P4093" s="24"/>
      <c r="Q4093" s="24"/>
    </row>
    <row r="4094" spans="1:17" x14ac:dyDescent="0.25">
      <c r="A4094" s="24" t="s">
        <v>12</v>
      </c>
      <c r="B4094" s="24" t="s">
        <v>228</v>
      </c>
      <c r="C4094" s="24" t="s">
        <v>236</v>
      </c>
      <c r="D4094" s="24" t="s">
        <v>237</v>
      </c>
      <c r="E4094" s="24" t="s">
        <v>231</v>
      </c>
      <c r="F4094" s="25">
        <v>512327.6</v>
      </c>
      <c r="G4094" s="24"/>
      <c r="H4094" s="24"/>
      <c r="I4094" s="26">
        <f t="shared" si="179"/>
        <v>45992</v>
      </c>
      <c r="J4094" s="27">
        <f t="shared" si="180"/>
        <v>105</v>
      </c>
      <c r="K4094" s="24" t="str">
        <f t="shared" si="181"/>
        <v>91-120</v>
      </c>
      <c r="L4094" s="11">
        <v>46097</v>
      </c>
      <c r="M4094" s="23">
        <f>YEAR(Таблица1[[#This Row],[Дата отчета]])</f>
        <v>2026</v>
      </c>
      <c r="N4094" s="24"/>
      <c r="O4094" s="24"/>
      <c r="P4094" s="24"/>
      <c r="Q4094" s="24"/>
    </row>
    <row r="4095" spans="1:17" x14ac:dyDescent="0.25">
      <c r="A4095" s="24" t="s">
        <v>12</v>
      </c>
      <c r="B4095" s="24" t="s">
        <v>228</v>
      </c>
      <c r="C4095" s="24" t="s">
        <v>236</v>
      </c>
      <c r="D4095" s="24" t="s">
        <v>238</v>
      </c>
      <c r="E4095" s="24" t="s">
        <v>239</v>
      </c>
      <c r="F4095" s="25">
        <v>12000</v>
      </c>
      <c r="G4095" s="24"/>
      <c r="H4095" s="24"/>
      <c r="I4095" s="26">
        <f t="shared" si="179"/>
        <v>45996</v>
      </c>
      <c r="J4095" s="27">
        <f t="shared" si="180"/>
        <v>101</v>
      </c>
      <c r="K4095" s="24" t="str">
        <f t="shared" si="181"/>
        <v>91-120</v>
      </c>
      <c r="L4095" s="11">
        <v>46097</v>
      </c>
      <c r="M4095" s="23">
        <f>YEAR(Таблица1[[#This Row],[Дата отчета]])</f>
        <v>2026</v>
      </c>
      <c r="N4095" s="24"/>
      <c r="O4095" s="24"/>
      <c r="P4095" s="24"/>
      <c r="Q4095" s="24"/>
    </row>
    <row r="4096" spans="1:17" x14ac:dyDescent="0.25">
      <c r="A4096" s="24" t="s">
        <v>12</v>
      </c>
      <c r="B4096" s="24" t="s">
        <v>228</v>
      </c>
      <c r="C4096" s="24" t="s">
        <v>236</v>
      </c>
      <c r="D4096" s="24" t="s">
        <v>240</v>
      </c>
      <c r="E4096" s="24" t="s">
        <v>48</v>
      </c>
      <c r="F4096" s="25">
        <v>541805.18000000005</v>
      </c>
      <c r="G4096" s="24"/>
      <c r="H4096" s="24"/>
      <c r="I4096" s="26">
        <f t="shared" si="179"/>
        <v>46078</v>
      </c>
      <c r="J4096" s="27">
        <f t="shared" si="180"/>
        <v>19</v>
      </c>
      <c r="K4096" s="24" t="str">
        <f t="shared" si="181"/>
        <v>0-30</v>
      </c>
      <c r="L4096" s="11">
        <v>46097</v>
      </c>
      <c r="M4096" s="23">
        <f>YEAR(Таблица1[[#This Row],[Дата отчета]])</f>
        <v>2026</v>
      </c>
      <c r="N4096" s="24"/>
      <c r="O4096" s="24"/>
      <c r="P4096" s="24"/>
      <c r="Q4096" s="24"/>
    </row>
    <row r="4097" spans="1:17" x14ac:dyDescent="0.25">
      <c r="A4097" s="24" t="s">
        <v>12</v>
      </c>
      <c r="B4097" s="24" t="s">
        <v>228</v>
      </c>
      <c r="C4097" s="24" t="s">
        <v>241</v>
      </c>
      <c r="D4097" s="24" t="s">
        <v>242</v>
      </c>
      <c r="E4097" s="24" t="s">
        <v>231</v>
      </c>
      <c r="F4097" s="25">
        <v>438338.63</v>
      </c>
      <c r="G4097" s="24"/>
      <c r="H4097" s="24"/>
      <c r="I4097" s="26">
        <f t="shared" si="179"/>
        <v>45992</v>
      </c>
      <c r="J4097" s="27">
        <f t="shared" si="180"/>
        <v>105</v>
      </c>
      <c r="K4097" s="24" t="str">
        <f t="shared" si="181"/>
        <v>91-120</v>
      </c>
      <c r="L4097" s="11">
        <v>46097</v>
      </c>
      <c r="M4097" s="23">
        <f>YEAR(Таблица1[[#This Row],[Дата отчета]])</f>
        <v>2026</v>
      </c>
      <c r="N4097" s="24"/>
      <c r="O4097" s="24"/>
      <c r="P4097" s="24"/>
      <c r="Q4097" s="24"/>
    </row>
    <row r="4098" spans="1:17" x14ac:dyDescent="0.25">
      <c r="A4098" s="24" t="s">
        <v>12</v>
      </c>
      <c r="B4098" s="24" t="s">
        <v>228</v>
      </c>
      <c r="C4098" s="24" t="s">
        <v>241</v>
      </c>
      <c r="D4098" s="24" t="s">
        <v>243</v>
      </c>
      <c r="E4098" s="24" t="s">
        <v>61</v>
      </c>
      <c r="F4098" s="25">
        <v>452949.89</v>
      </c>
      <c r="G4098" s="24"/>
      <c r="H4098" s="24"/>
      <c r="I4098" s="26">
        <f t="shared" si="179"/>
        <v>46079</v>
      </c>
      <c r="J4098" s="27">
        <f t="shared" si="180"/>
        <v>18</v>
      </c>
      <c r="K4098" s="24" t="str">
        <f t="shared" si="181"/>
        <v>0-30</v>
      </c>
      <c r="L4098" s="11">
        <v>46097</v>
      </c>
      <c r="M4098" s="23">
        <f>YEAR(Таблица1[[#This Row],[Дата отчета]])</f>
        <v>2026</v>
      </c>
      <c r="N4098" s="24"/>
      <c r="O4098" s="24"/>
      <c r="P4098" s="24"/>
      <c r="Q4098" s="24"/>
    </row>
    <row r="4099" spans="1:17" x14ac:dyDescent="0.25">
      <c r="A4099" s="24" t="s">
        <v>12</v>
      </c>
      <c r="B4099" s="24" t="s">
        <v>244</v>
      </c>
      <c r="C4099" s="24" t="s">
        <v>245</v>
      </c>
      <c r="D4099" s="24" t="s">
        <v>246</v>
      </c>
      <c r="E4099" s="24" t="s">
        <v>247</v>
      </c>
      <c r="F4099" s="25">
        <v>275272</v>
      </c>
      <c r="G4099" s="24"/>
      <c r="H4099" s="24"/>
      <c r="I4099" s="26">
        <f t="shared" si="179"/>
        <v>45798</v>
      </c>
      <c r="J4099" s="27">
        <f t="shared" si="180"/>
        <v>299</v>
      </c>
      <c r="K4099" s="24" t="str">
        <f t="shared" si="181"/>
        <v>271-360</v>
      </c>
      <c r="L4099" s="11">
        <v>46097</v>
      </c>
      <c r="M4099" s="23">
        <f>YEAR(Таблица1[[#This Row],[Дата отчета]])</f>
        <v>2026</v>
      </c>
      <c r="N4099" s="2" t="s">
        <v>4548</v>
      </c>
      <c r="O4099" s="24"/>
      <c r="P4099" s="24"/>
      <c r="Q4099" s="24"/>
    </row>
    <row r="4100" spans="1:17" x14ac:dyDescent="0.25">
      <c r="A4100" s="24" t="s">
        <v>12</v>
      </c>
      <c r="B4100" s="24" t="s">
        <v>248</v>
      </c>
      <c r="C4100" s="24" t="s">
        <v>249</v>
      </c>
      <c r="D4100" s="24" t="s">
        <v>250</v>
      </c>
      <c r="E4100" s="24" t="s">
        <v>251</v>
      </c>
      <c r="F4100" s="25">
        <v>15696807.25</v>
      </c>
      <c r="G4100" s="24"/>
      <c r="H4100" s="24"/>
      <c r="I4100" s="26">
        <f t="shared" si="179"/>
        <v>46038</v>
      </c>
      <c r="J4100" s="27">
        <f t="shared" si="180"/>
        <v>59</v>
      </c>
      <c r="K4100" s="24" t="str">
        <f t="shared" si="181"/>
        <v>31-90</v>
      </c>
      <c r="L4100" s="11">
        <v>46097</v>
      </c>
      <c r="M4100" s="23">
        <f>YEAR(Таблица1[[#This Row],[Дата отчета]])</f>
        <v>2026</v>
      </c>
      <c r="N4100" s="24"/>
      <c r="O4100" s="24"/>
      <c r="P4100" s="24"/>
      <c r="Q4100" s="24"/>
    </row>
    <row r="4101" spans="1:17" x14ac:dyDescent="0.25">
      <c r="A4101" s="24" t="s">
        <v>12</v>
      </c>
      <c r="B4101" s="24" t="s">
        <v>248</v>
      </c>
      <c r="C4101" s="24" t="s">
        <v>252</v>
      </c>
      <c r="D4101" s="24" t="s">
        <v>253</v>
      </c>
      <c r="E4101" s="24" t="s">
        <v>254</v>
      </c>
      <c r="F4101" s="25">
        <v>23963645.800000001</v>
      </c>
      <c r="G4101" s="24"/>
      <c r="H4101" s="24"/>
      <c r="I4101" s="26">
        <f t="shared" si="179"/>
        <v>46048</v>
      </c>
      <c r="J4101" s="27">
        <f t="shared" si="180"/>
        <v>49</v>
      </c>
      <c r="K4101" s="24" t="str">
        <f t="shared" si="181"/>
        <v>31-90</v>
      </c>
      <c r="L4101" s="11">
        <v>46097</v>
      </c>
      <c r="M4101" s="23">
        <f>YEAR(Таблица1[[#This Row],[Дата отчета]])</f>
        <v>2026</v>
      </c>
      <c r="N4101" s="24"/>
      <c r="O4101" s="24"/>
      <c r="P4101" s="24"/>
      <c r="Q4101" s="24"/>
    </row>
    <row r="4102" spans="1:17" x14ac:dyDescent="0.25">
      <c r="A4102" s="24" t="s">
        <v>12</v>
      </c>
      <c r="B4102" s="24" t="s">
        <v>248</v>
      </c>
      <c r="C4102" s="24" t="s">
        <v>255</v>
      </c>
      <c r="D4102" s="24" t="s">
        <v>256</v>
      </c>
      <c r="E4102" s="24" t="s">
        <v>59</v>
      </c>
      <c r="F4102" s="25">
        <v>321265</v>
      </c>
      <c r="G4102" s="24"/>
      <c r="H4102" s="24"/>
      <c r="I4102" s="26">
        <f t="shared" si="179"/>
        <v>46077</v>
      </c>
      <c r="J4102" s="27">
        <f t="shared" si="180"/>
        <v>20</v>
      </c>
      <c r="K4102" s="24" t="str">
        <f t="shared" si="181"/>
        <v>0-30</v>
      </c>
      <c r="L4102" s="11">
        <v>46097</v>
      </c>
      <c r="M4102" s="23">
        <f>YEAR(Таблица1[[#This Row],[Дата отчета]])</f>
        <v>2026</v>
      </c>
      <c r="N4102" s="24"/>
      <c r="O4102" s="24"/>
      <c r="P4102" s="24"/>
      <c r="Q4102" s="24"/>
    </row>
    <row r="4103" spans="1:17" x14ac:dyDescent="0.25">
      <c r="A4103" s="24" t="s">
        <v>12</v>
      </c>
      <c r="B4103" s="24" t="s">
        <v>248</v>
      </c>
      <c r="C4103" s="24" t="s">
        <v>257</v>
      </c>
      <c r="D4103" s="24" t="s">
        <v>258</v>
      </c>
      <c r="E4103" s="24" t="s">
        <v>259</v>
      </c>
      <c r="F4103" s="25">
        <v>2644691.5</v>
      </c>
      <c r="G4103" s="24"/>
      <c r="H4103" s="24"/>
      <c r="I4103" s="26">
        <f t="shared" si="179"/>
        <v>46071</v>
      </c>
      <c r="J4103" s="27">
        <f t="shared" si="180"/>
        <v>26</v>
      </c>
      <c r="K4103" s="24" t="str">
        <f t="shared" si="181"/>
        <v>0-30</v>
      </c>
      <c r="L4103" s="11">
        <v>46097</v>
      </c>
      <c r="M4103" s="23">
        <f>YEAR(Таблица1[[#This Row],[Дата отчета]])</f>
        <v>2026</v>
      </c>
      <c r="N4103" s="24"/>
      <c r="O4103" s="24"/>
      <c r="P4103" s="24"/>
      <c r="Q4103" s="24"/>
    </row>
    <row r="4104" spans="1:17" x14ac:dyDescent="0.25">
      <c r="A4104" s="24" t="s">
        <v>12</v>
      </c>
      <c r="B4104" s="24" t="s">
        <v>248</v>
      </c>
      <c r="C4104" s="24" t="s">
        <v>257</v>
      </c>
      <c r="D4104" s="24" t="s">
        <v>4427</v>
      </c>
      <c r="E4104" s="24" t="s">
        <v>4495</v>
      </c>
      <c r="F4104" s="25">
        <v>2644691.5</v>
      </c>
      <c r="G4104" s="24"/>
      <c r="H4104" s="24"/>
      <c r="I4104" s="26">
        <f t="shared" si="179"/>
        <v>46092</v>
      </c>
      <c r="J4104" s="27">
        <f t="shared" si="180"/>
        <v>5</v>
      </c>
      <c r="K4104" s="24" t="str">
        <f t="shared" si="181"/>
        <v>0-30</v>
      </c>
      <c r="L4104" s="11">
        <v>46097</v>
      </c>
      <c r="M4104" s="23">
        <f>YEAR(Таблица1[[#This Row],[Дата отчета]])</f>
        <v>2026</v>
      </c>
      <c r="N4104" s="24"/>
      <c r="O4104" s="24"/>
      <c r="P4104" s="24"/>
      <c r="Q4104" s="24"/>
    </row>
    <row r="4105" spans="1:17" x14ac:dyDescent="0.25">
      <c r="A4105" s="24" t="s">
        <v>12</v>
      </c>
      <c r="B4105" s="24" t="s">
        <v>248</v>
      </c>
      <c r="C4105" s="24" t="s">
        <v>260</v>
      </c>
      <c r="D4105" s="24" t="s">
        <v>261</v>
      </c>
      <c r="E4105" s="24" t="s">
        <v>211</v>
      </c>
      <c r="F4105" s="25">
        <v>367360</v>
      </c>
      <c r="G4105" s="24"/>
      <c r="H4105" s="24"/>
      <c r="I4105" s="26">
        <f t="shared" si="179"/>
        <v>46056</v>
      </c>
      <c r="J4105" s="27">
        <f t="shared" si="180"/>
        <v>41</v>
      </c>
      <c r="K4105" s="24" t="str">
        <f t="shared" si="181"/>
        <v>31-90</v>
      </c>
      <c r="L4105" s="11">
        <v>46097</v>
      </c>
      <c r="M4105" s="23">
        <f>YEAR(Таблица1[[#This Row],[Дата отчета]])</f>
        <v>2026</v>
      </c>
      <c r="N4105" s="24"/>
      <c r="O4105" s="24"/>
      <c r="P4105" s="24"/>
      <c r="Q4105" s="24"/>
    </row>
    <row r="4106" spans="1:17" x14ac:dyDescent="0.25">
      <c r="A4106" s="24" t="s">
        <v>12</v>
      </c>
      <c r="B4106" s="24" t="s">
        <v>248</v>
      </c>
      <c r="C4106" s="24" t="s">
        <v>262</v>
      </c>
      <c r="D4106" s="24" t="s">
        <v>263</v>
      </c>
      <c r="E4106" s="24" t="s">
        <v>211</v>
      </c>
      <c r="F4106" s="25">
        <v>1550000</v>
      </c>
      <c r="G4106" s="24"/>
      <c r="H4106" s="24"/>
      <c r="I4106" s="26">
        <f t="shared" si="179"/>
        <v>46056</v>
      </c>
      <c r="J4106" s="27">
        <f t="shared" si="180"/>
        <v>41</v>
      </c>
      <c r="K4106" s="24" t="str">
        <f t="shared" si="181"/>
        <v>31-90</v>
      </c>
      <c r="L4106" s="11">
        <v>46097</v>
      </c>
      <c r="M4106" s="23">
        <f>YEAR(Таблица1[[#This Row],[Дата отчета]])</f>
        <v>2026</v>
      </c>
      <c r="N4106" s="24"/>
      <c r="O4106" s="24"/>
      <c r="P4106" s="24"/>
      <c r="Q4106" s="24"/>
    </row>
    <row r="4107" spans="1:17" x14ac:dyDescent="0.25">
      <c r="A4107" s="24" t="s">
        <v>12</v>
      </c>
      <c r="B4107" s="24" t="s">
        <v>248</v>
      </c>
      <c r="C4107" s="24" t="s">
        <v>264</v>
      </c>
      <c r="D4107" s="24" t="s">
        <v>265</v>
      </c>
      <c r="E4107" s="24" t="s">
        <v>259</v>
      </c>
      <c r="F4107" s="25">
        <v>6099500</v>
      </c>
      <c r="G4107" s="24"/>
      <c r="H4107" s="24"/>
      <c r="I4107" s="26">
        <f t="shared" si="179"/>
        <v>46071</v>
      </c>
      <c r="J4107" s="27">
        <f t="shared" si="180"/>
        <v>26</v>
      </c>
      <c r="K4107" s="24" t="str">
        <f t="shared" si="181"/>
        <v>0-30</v>
      </c>
      <c r="L4107" s="11">
        <v>46097</v>
      </c>
      <c r="M4107" s="23">
        <f>YEAR(Таблица1[[#This Row],[Дата отчета]])</f>
        <v>2026</v>
      </c>
      <c r="N4107" s="24"/>
      <c r="O4107" s="24"/>
      <c r="P4107" s="24"/>
      <c r="Q4107" s="24"/>
    </row>
    <row r="4108" spans="1:17" x14ac:dyDescent="0.25">
      <c r="A4108" s="24" t="s">
        <v>12</v>
      </c>
      <c r="B4108" s="24" t="s">
        <v>248</v>
      </c>
      <c r="C4108" s="24" t="s">
        <v>266</v>
      </c>
      <c r="D4108" s="24" t="s">
        <v>267</v>
      </c>
      <c r="E4108" s="24" t="s">
        <v>259</v>
      </c>
      <c r="F4108" s="25">
        <v>3431200</v>
      </c>
      <c r="G4108" s="24"/>
      <c r="H4108" s="24"/>
      <c r="I4108" s="26">
        <f t="shared" si="179"/>
        <v>46071</v>
      </c>
      <c r="J4108" s="27">
        <f t="shared" si="180"/>
        <v>26</v>
      </c>
      <c r="K4108" s="24" t="str">
        <f t="shared" si="181"/>
        <v>0-30</v>
      </c>
      <c r="L4108" s="11">
        <v>46097</v>
      </c>
      <c r="M4108" s="23">
        <f>YEAR(Таблица1[[#This Row],[Дата отчета]])</f>
        <v>2026</v>
      </c>
      <c r="N4108" s="24"/>
      <c r="O4108" s="24"/>
      <c r="P4108" s="24"/>
      <c r="Q4108" s="24"/>
    </row>
    <row r="4109" spans="1:17" x14ac:dyDescent="0.25">
      <c r="A4109" s="24" t="s">
        <v>12</v>
      </c>
      <c r="B4109" s="24" t="s">
        <v>268</v>
      </c>
      <c r="C4109" s="24" t="s">
        <v>269</v>
      </c>
      <c r="D4109" s="24" t="s">
        <v>270</v>
      </c>
      <c r="E4109" s="24" t="s">
        <v>127</v>
      </c>
      <c r="F4109" s="25">
        <v>130500</v>
      </c>
      <c r="G4109" s="24"/>
      <c r="H4109" s="24"/>
      <c r="I4109" s="26">
        <f t="shared" si="179"/>
        <v>46037</v>
      </c>
      <c r="J4109" s="27">
        <f t="shared" si="180"/>
        <v>60</v>
      </c>
      <c r="K4109" s="24" t="str">
        <f t="shared" si="181"/>
        <v>31-90</v>
      </c>
      <c r="L4109" s="11">
        <v>46097</v>
      </c>
      <c r="M4109" s="23">
        <f>YEAR(Таблица1[[#This Row],[Дата отчета]])</f>
        <v>2026</v>
      </c>
      <c r="N4109" s="24"/>
      <c r="O4109" s="24"/>
      <c r="P4109" s="24"/>
      <c r="Q4109" s="24"/>
    </row>
    <row r="4110" spans="1:17" x14ac:dyDescent="0.25">
      <c r="A4110" s="24" t="s">
        <v>12</v>
      </c>
      <c r="B4110" s="24" t="s">
        <v>271</v>
      </c>
      <c r="C4110" s="24" t="s">
        <v>272</v>
      </c>
      <c r="D4110" s="24" t="s">
        <v>273</v>
      </c>
      <c r="E4110" s="24" t="s">
        <v>37</v>
      </c>
      <c r="F4110" s="25">
        <v>382630.8</v>
      </c>
      <c r="G4110" s="24"/>
      <c r="H4110" s="24"/>
      <c r="I4110" s="26">
        <f t="shared" si="179"/>
        <v>46066</v>
      </c>
      <c r="J4110" s="27">
        <f t="shared" si="180"/>
        <v>31</v>
      </c>
      <c r="K4110" s="24" t="str">
        <f t="shared" si="181"/>
        <v>31-90</v>
      </c>
      <c r="L4110" s="11">
        <v>46097</v>
      </c>
      <c r="M4110" s="23">
        <f>YEAR(Таблица1[[#This Row],[Дата отчета]])</f>
        <v>2026</v>
      </c>
      <c r="N4110" s="24"/>
      <c r="O4110" s="24"/>
      <c r="P4110" s="24"/>
      <c r="Q4110" s="24"/>
    </row>
    <row r="4111" spans="1:17" x14ac:dyDescent="0.25">
      <c r="A4111" s="24" t="s">
        <v>12</v>
      </c>
      <c r="B4111" s="24" t="s">
        <v>271</v>
      </c>
      <c r="C4111" s="24" t="s">
        <v>274</v>
      </c>
      <c r="D4111" s="24" t="s">
        <v>275</v>
      </c>
      <c r="E4111" s="24" t="s">
        <v>276</v>
      </c>
      <c r="F4111" s="25">
        <v>682568</v>
      </c>
      <c r="G4111" s="24"/>
      <c r="H4111" s="24"/>
      <c r="I4111" s="26">
        <f t="shared" si="179"/>
        <v>45827</v>
      </c>
      <c r="J4111" s="27">
        <f t="shared" si="180"/>
        <v>270</v>
      </c>
      <c r="K4111" s="24" t="str">
        <f t="shared" si="181"/>
        <v>181-270</v>
      </c>
      <c r="L4111" s="11">
        <v>46097</v>
      </c>
      <c r="M4111" s="23">
        <f>YEAR(Таблица1[[#This Row],[Дата отчета]])</f>
        <v>2026</v>
      </c>
      <c r="N4111" s="24"/>
      <c r="O4111" s="24"/>
      <c r="P4111" s="24"/>
      <c r="Q4111" s="24"/>
    </row>
    <row r="4112" spans="1:17" x14ac:dyDescent="0.25">
      <c r="A4112" s="24" t="s">
        <v>12</v>
      </c>
      <c r="B4112" s="24" t="s">
        <v>271</v>
      </c>
      <c r="C4112" s="24" t="s">
        <v>279</v>
      </c>
      <c r="D4112" s="24" t="s">
        <v>280</v>
      </c>
      <c r="E4112" s="24" t="s">
        <v>281</v>
      </c>
      <c r="F4112" s="25">
        <v>275291.09999999998</v>
      </c>
      <c r="G4112" s="24"/>
      <c r="H4112" s="24"/>
      <c r="I4112" s="26">
        <f t="shared" si="179"/>
        <v>46065</v>
      </c>
      <c r="J4112" s="27">
        <f t="shared" si="180"/>
        <v>32</v>
      </c>
      <c r="K4112" s="24" t="str">
        <f t="shared" si="181"/>
        <v>31-90</v>
      </c>
      <c r="L4112" s="11">
        <v>46097</v>
      </c>
      <c r="M4112" s="23">
        <f>YEAR(Таблица1[[#This Row],[Дата отчета]])</f>
        <v>2026</v>
      </c>
      <c r="N4112" s="24"/>
      <c r="O4112" s="24"/>
      <c r="P4112" s="24"/>
      <c r="Q4112" s="24"/>
    </row>
    <row r="4113" spans="1:17" x14ac:dyDescent="0.25">
      <c r="A4113" s="24" t="s">
        <v>12</v>
      </c>
      <c r="B4113" s="24" t="s">
        <v>271</v>
      </c>
      <c r="C4113" s="24" t="s">
        <v>282</v>
      </c>
      <c r="D4113" s="24" t="s">
        <v>283</v>
      </c>
      <c r="E4113" s="24" t="s">
        <v>284</v>
      </c>
      <c r="F4113" s="25">
        <v>600</v>
      </c>
      <c r="G4113" s="24"/>
      <c r="H4113" s="24"/>
      <c r="I4113" s="26">
        <f t="shared" si="179"/>
        <v>45398</v>
      </c>
      <c r="J4113" s="27">
        <f t="shared" si="180"/>
        <v>699</v>
      </c>
      <c r="K4113" s="24" t="str">
        <f t="shared" si="181"/>
        <v>&gt;360</v>
      </c>
      <c r="L4113" s="11">
        <v>46097</v>
      </c>
      <c r="M4113" s="23">
        <f>YEAR(Таблица1[[#This Row],[Дата отчета]])</f>
        <v>2026</v>
      </c>
      <c r="N4113" s="24"/>
      <c r="O4113" s="24"/>
      <c r="P4113" s="24"/>
      <c r="Q4113" s="24"/>
    </row>
    <row r="4114" spans="1:17" x14ac:dyDescent="0.25">
      <c r="A4114" s="24" t="s">
        <v>12</v>
      </c>
      <c r="B4114" s="24" t="s">
        <v>271</v>
      </c>
      <c r="C4114" s="24" t="s">
        <v>287</v>
      </c>
      <c r="D4114" s="24" t="s">
        <v>288</v>
      </c>
      <c r="E4114" s="24" t="s">
        <v>289</v>
      </c>
      <c r="F4114" s="25">
        <v>29963</v>
      </c>
      <c r="G4114" s="24"/>
      <c r="H4114" s="24"/>
      <c r="I4114" s="26">
        <f t="shared" si="179"/>
        <v>45716</v>
      </c>
      <c r="J4114" s="27">
        <f t="shared" si="180"/>
        <v>381</v>
      </c>
      <c r="K4114" s="24" t="str">
        <f t="shared" si="181"/>
        <v>&gt;360</v>
      </c>
      <c r="L4114" s="11">
        <v>46097</v>
      </c>
      <c r="M4114" s="23">
        <f>YEAR(Таблица1[[#This Row],[Дата отчета]])</f>
        <v>2026</v>
      </c>
      <c r="N4114" s="2" t="s">
        <v>4538</v>
      </c>
      <c r="O4114" s="24"/>
      <c r="P4114" s="24"/>
      <c r="Q4114" s="24"/>
    </row>
    <row r="4115" spans="1:17" x14ac:dyDescent="0.25">
      <c r="A4115" s="24" t="s">
        <v>12</v>
      </c>
      <c r="B4115" s="24" t="s">
        <v>3870</v>
      </c>
      <c r="C4115" s="24" t="s">
        <v>4366</v>
      </c>
      <c r="D4115" s="24" t="s">
        <v>4428</v>
      </c>
      <c r="E4115" s="24" t="s">
        <v>4500</v>
      </c>
      <c r="F4115" s="25">
        <v>100596</v>
      </c>
      <c r="G4115" s="24"/>
      <c r="H4115" s="24"/>
      <c r="I4115" s="26">
        <f t="shared" si="179"/>
        <v>46087</v>
      </c>
      <c r="J4115" s="27">
        <f t="shared" si="180"/>
        <v>10</v>
      </c>
      <c r="K4115" s="24" t="str">
        <f t="shared" si="181"/>
        <v>0-30</v>
      </c>
      <c r="L4115" s="11">
        <v>46097</v>
      </c>
      <c r="M4115" s="23">
        <f>YEAR(Таблица1[[#This Row],[Дата отчета]])</f>
        <v>2026</v>
      </c>
      <c r="N4115" s="24"/>
      <c r="O4115" s="24"/>
      <c r="P4115" s="24"/>
      <c r="Q4115" s="24"/>
    </row>
    <row r="4116" spans="1:17" x14ac:dyDescent="0.25">
      <c r="A4116" s="24" t="s">
        <v>12</v>
      </c>
      <c r="B4116" s="24" t="s">
        <v>3870</v>
      </c>
      <c r="C4116" s="24" t="s">
        <v>4367</v>
      </c>
      <c r="D4116" s="24" t="s">
        <v>4429</v>
      </c>
      <c r="E4116" s="24" t="s">
        <v>4501</v>
      </c>
      <c r="F4116" s="25">
        <v>16332.77</v>
      </c>
      <c r="G4116" s="24"/>
      <c r="H4116" s="24"/>
      <c r="I4116" s="26">
        <f t="shared" si="179"/>
        <v>46084</v>
      </c>
      <c r="J4116" s="27">
        <f t="shared" si="180"/>
        <v>13</v>
      </c>
      <c r="K4116" s="24" t="str">
        <f t="shared" si="181"/>
        <v>0-30</v>
      </c>
      <c r="L4116" s="11">
        <v>46097</v>
      </c>
      <c r="M4116" s="23">
        <f>YEAR(Таблица1[[#This Row],[Дата отчета]])</f>
        <v>2026</v>
      </c>
      <c r="N4116" s="24"/>
      <c r="O4116" s="24"/>
      <c r="P4116" s="24"/>
      <c r="Q4116" s="24"/>
    </row>
    <row r="4117" spans="1:17" x14ac:dyDescent="0.25">
      <c r="A4117" s="24" t="s">
        <v>12</v>
      </c>
      <c r="B4117" s="24" t="s">
        <v>3870</v>
      </c>
      <c r="C4117" s="24" t="s">
        <v>4368</v>
      </c>
      <c r="D4117" s="24" t="s">
        <v>4430</v>
      </c>
      <c r="E4117" s="24" t="s">
        <v>4499</v>
      </c>
      <c r="F4117" s="25">
        <v>5340884.67</v>
      </c>
      <c r="G4117" s="24"/>
      <c r="H4117" s="24"/>
      <c r="I4117" s="26">
        <f t="shared" si="179"/>
        <v>46085</v>
      </c>
      <c r="J4117" s="27">
        <f t="shared" si="180"/>
        <v>12</v>
      </c>
      <c r="K4117" s="24" t="str">
        <f t="shared" si="181"/>
        <v>0-30</v>
      </c>
      <c r="L4117" s="11">
        <v>46097</v>
      </c>
      <c r="M4117" s="23">
        <f>YEAR(Таблица1[[#This Row],[Дата отчета]])</f>
        <v>2026</v>
      </c>
      <c r="N4117" s="24"/>
      <c r="O4117" s="24"/>
      <c r="P4117" s="24"/>
      <c r="Q4117" s="24"/>
    </row>
    <row r="4118" spans="1:17" x14ac:dyDescent="0.25">
      <c r="A4118" s="24" t="s">
        <v>12</v>
      </c>
      <c r="B4118" s="24" t="s">
        <v>293</v>
      </c>
      <c r="C4118" s="24" t="s">
        <v>294</v>
      </c>
      <c r="D4118" s="24" t="s">
        <v>295</v>
      </c>
      <c r="E4118" s="24" t="s">
        <v>296</v>
      </c>
      <c r="F4118" s="25">
        <v>132000</v>
      </c>
      <c r="G4118" s="24"/>
      <c r="H4118" s="24"/>
      <c r="I4118" s="26">
        <f t="shared" si="179"/>
        <v>45988</v>
      </c>
      <c r="J4118" s="27">
        <f t="shared" si="180"/>
        <v>109</v>
      </c>
      <c r="K4118" s="24" t="str">
        <f t="shared" si="181"/>
        <v>91-120</v>
      </c>
      <c r="L4118" s="11">
        <v>46097</v>
      </c>
      <c r="M4118" s="23">
        <f>YEAR(Таблица1[[#This Row],[Дата отчета]])</f>
        <v>2026</v>
      </c>
      <c r="N4118" s="24"/>
      <c r="O4118" s="24"/>
      <c r="P4118" s="24"/>
      <c r="Q4118" s="24"/>
    </row>
    <row r="4119" spans="1:17" x14ac:dyDescent="0.25">
      <c r="A4119" s="24" t="s">
        <v>12</v>
      </c>
      <c r="B4119" s="24" t="s">
        <v>297</v>
      </c>
      <c r="C4119" s="24" t="s">
        <v>298</v>
      </c>
      <c r="D4119" s="24" t="s">
        <v>299</v>
      </c>
      <c r="E4119" s="24" t="s">
        <v>300</v>
      </c>
      <c r="F4119" s="25">
        <v>3959</v>
      </c>
      <c r="G4119" s="24"/>
      <c r="H4119" s="24"/>
      <c r="I4119" s="26">
        <f t="shared" si="179"/>
        <v>45449</v>
      </c>
      <c r="J4119" s="27">
        <f t="shared" si="180"/>
        <v>648</v>
      </c>
      <c r="K4119" s="24" t="str">
        <f t="shared" si="181"/>
        <v>&gt;360</v>
      </c>
      <c r="L4119" s="11">
        <v>46097</v>
      </c>
      <c r="M4119" s="23">
        <f>YEAR(Таблица1[[#This Row],[Дата отчета]])</f>
        <v>2026</v>
      </c>
      <c r="N4119" s="7" t="s">
        <v>4547</v>
      </c>
      <c r="O4119" s="24"/>
      <c r="P4119" s="24"/>
      <c r="Q4119" s="24"/>
    </row>
    <row r="4120" spans="1:17" x14ac:dyDescent="0.25">
      <c r="A4120" s="24" t="s">
        <v>12</v>
      </c>
      <c r="B4120" s="24" t="s">
        <v>297</v>
      </c>
      <c r="C4120" s="24" t="s">
        <v>301</v>
      </c>
      <c r="D4120" s="24" t="s">
        <v>302</v>
      </c>
      <c r="E4120" s="24" t="s">
        <v>303</v>
      </c>
      <c r="F4120" s="25">
        <v>54211</v>
      </c>
      <c r="G4120" s="24"/>
      <c r="H4120" s="24"/>
      <c r="I4120" s="26">
        <f t="shared" si="179"/>
        <v>46059</v>
      </c>
      <c r="J4120" s="27">
        <f t="shared" si="180"/>
        <v>38</v>
      </c>
      <c r="K4120" s="24" t="str">
        <f t="shared" si="181"/>
        <v>31-90</v>
      </c>
      <c r="L4120" s="11">
        <v>46097</v>
      </c>
      <c r="M4120" s="23">
        <f>YEAR(Таблица1[[#This Row],[Дата отчета]])</f>
        <v>2026</v>
      </c>
      <c r="N4120" s="24"/>
      <c r="O4120" s="24"/>
      <c r="P4120" s="24"/>
      <c r="Q4120" s="24"/>
    </row>
    <row r="4121" spans="1:17" x14ac:dyDescent="0.25">
      <c r="A4121" s="24" t="s">
        <v>12</v>
      </c>
      <c r="B4121" s="24" t="s">
        <v>297</v>
      </c>
      <c r="C4121" s="24" t="s">
        <v>304</v>
      </c>
      <c r="D4121" s="24" t="s">
        <v>305</v>
      </c>
      <c r="E4121" s="24" t="s">
        <v>87</v>
      </c>
      <c r="F4121" s="25">
        <v>53477</v>
      </c>
      <c r="G4121" s="24"/>
      <c r="H4121" s="24"/>
      <c r="I4121" s="26">
        <f t="shared" si="179"/>
        <v>46020</v>
      </c>
      <c r="J4121" s="27">
        <f t="shared" si="180"/>
        <v>77</v>
      </c>
      <c r="K4121" s="24" t="str">
        <f t="shared" si="181"/>
        <v>31-90</v>
      </c>
      <c r="L4121" s="11">
        <v>46097</v>
      </c>
      <c r="M4121" s="23">
        <f>YEAR(Таблица1[[#This Row],[Дата отчета]])</f>
        <v>2026</v>
      </c>
      <c r="N4121" s="24"/>
      <c r="O4121" s="24"/>
      <c r="P4121" s="24"/>
      <c r="Q4121" s="24"/>
    </row>
    <row r="4122" spans="1:17" x14ac:dyDescent="0.25">
      <c r="A4122" s="24" t="s">
        <v>12</v>
      </c>
      <c r="B4122" s="24" t="s">
        <v>297</v>
      </c>
      <c r="C4122" s="24" t="s">
        <v>306</v>
      </c>
      <c r="D4122" s="24" t="s">
        <v>307</v>
      </c>
      <c r="E4122" s="24" t="s">
        <v>79</v>
      </c>
      <c r="F4122" s="25">
        <v>1875</v>
      </c>
      <c r="G4122" s="24"/>
      <c r="H4122" s="24"/>
      <c r="I4122" s="26">
        <f t="shared" si="179"/>
        <v>45980</v>
      </c>
      <c r="J4122" s="27">
        <f t="shared" si="180"/>
        <v>117</v>
      </c>
      <c r="K4122" s="24" t="str">
        <f t="shared" si="181"/>
        <v>91-120</v>
      </c>
      <c r="L4122" s="11">
        <v>46097</v>
      </c>
      <c r="M4122" s="23">
        <f>YEAR(Таблица1[[#This Row],[Дата отчета]])</f>
        <v>2026</v>
      </c>
      <c r="N4122" s="24"/>
      <c r="O4122" s="24"/>
      <c r="P4122" s="24"/>
      <c r="Q4122" s="24"/>
    </row>
    <row r="4123" spans="1:17" x14ac:dyDescent="0.25">
      <c r="A4123" s="24" t="s">
        <v>12</v>
      </c>
      <c r="B4123" s="24" t="s">
        <v>297</v>
      </c>
      <c r="C4123" s="24" t="s">
        <v>308</v>
      </c>
      <c r="D4123" s="24" t="s">
        <v>309</v>
      </c>
      <c r="E4123" s="24" t="s">
        <v>296</v>
      </c>
      <c r="F4123" s="25">
        <v>13926</v>
      </c>
      <c r="G4123" s="24"/>
      <c r="H4123" s="24"/>
      <c r="I4123" s="26">
        <f t="shared" si="179"/>
        <v>45988</v>
      </c>
      <c r="J4123" s="27">
        <f t="shared" si="180"/>
        <v>109</v>
      </c>
      <c r="K4123" s="24" t="str">
        <f t="shared" si="181"/>
        <v>91-120</v>
      </c>
      <c r="L4123" s="11">
        <v>46097</v>
      </c>
      <c r="M4123" s="23">
        <f>YEAR(Таблица1[[#This Row],[Дата отчета]])</f>
        <v>2026</v>
      </c>
      <c r="N4123" s="24"/>
      <c r="O4123" s="24"/>
      <c r="P4123" s="24"/>
      <c r="Q4123" s="24"/>
    </row>
    <row r="4124" spans="1:17" x14ac:dyDescent="0.25">
      <c r="A4124" s="24" t="s">
        <v>12</v>
      </c>
      <c r="B4124" s="24" t="s">
        <v>297</v>
      </c>
      <c r="C4124" s="24" t="s">
        <v>310</v>
      </c>
      <c r="D4124" s="24" t="s">
        <v>311</v>
      </c>
      <c r="E4124" s="24" t="s">
        <v>312</v>
      </c>
      <c r="F4124" s="25">
        <v>98480</v>
      </c>
      <c r="G4124" s="24"/>
      <c r="H4124" s="24"/>
      <c r="I4124" s="26">
        <f t="shared" si="179"/>
        <v>45960</v>
      </c>
      <c r="J4124" s="27">
        <f t="shared" si="180"/>
        <v>137</v>
      </c>
      <c r="K4124" s="24" t="str">
        <f t="shared" si="181"/>
        <v>121-180</v>
      </c>
      <c r="L4124" s="11">
        <v>46097</v>
      </c>
      <c r="M4124" s="23">
        <f>YEAR(Таблица1[[#This Row],[Дата отчета]])</f>
        <v>2026</v>
      </c>
      <c r="N4124" s="24"/>
      <c r="O4124" s="24"/>
      <c r="P4124" s="24"/>
      <c r="Q4124" s="24"/>
    </row>
    <row r="4125" spans="1:17" x14ac:dyDescent="0.25">
      <c r="A4125" s="24" t="s">
        <v>12</v>
      </c>
      <c r="B4125" s="24" t="s">
        <v>297</v>
      </c>
      <c r="C4125" s="24" t="s">
        <v>313</v>
      </c>
      <c r="D4125" s="24" t="s">
        <v>314</v>
      </c>
      <c r="E4125" s="24" t="s">
        <v>315</v>
      </c>
      <c r="F4125" s="25">
        <v>39046</v>
      </c>
      <c r="G4125" s="24"/>
      <c r="H4125" s="24"/>
      <c r="I4125" s="26">
        <f t="shared" si="179"/>
        <v>45891</v>
      </c>
      <c r="J4125" s="27">
        <f t="shared" si="180"/>
        <v>206</v>
      </c>
      <c r="K4125" s="24" t="str">
        <f t="shared" si="181"/>
        <v>181-270</v>
      </c>
      <c r="L4125" s="11">
        <v>46097</v>
      </c>
      <c r="M4125" s="23">
        <f>YEAR(Таблица1[[#This Row],[Дата отчета]])</f>
        <v>2026</v>
      </c>
      <c r="N4125" s="24"/>
      <c r="O4125" s="24"/>
      <c r="P4125" s="24"/>
      <c r="Q4125" s="24"/>
    </row>
    <row r="4126" spans="1:17" x14ac:dyDescent="0.25">
      <c r="A4126" s="24" t="s">
        <v>12</v>
      </c>
      <c r="B4126" s="24" t="s">
        <v>297</v>
      </c>
      <c r="C4126" s="24" t="s">
        <v>316</v>
      </c>
      <c r="D4126" s="24" t="s">
        <v>317</v>
      </c>
      <c r="E4126" s="24" t="s">
        <v>318</v>
      </c>
      <c r="F4126" s="25">
        <v>780</v>
      </c>
      <c r="G4126" s="24"/>
      <c r="H4126" s="24"/>
      <c r="I4126" s="26">
        <f t="shared" si="179"/>
        <v>45845</v>
      </c>
      <c r="J4126" s="27">
        <f t="shared" si="180"/>
        <v>252</v>
      </c>
      <c r="K4126" s="24" t="str">
        <f t="shared" si="181"/>
        <v>181-270</v>
      </c>
      <c r="L4126" s="11">
        <v>46097</v>
      </c>
      <c r="M4126" s="23">
        <f>YEAR(Таблица1[[#This Row],[Дата отчета]])</f>
        <v>2026</v>
      </c>
      <c r="N4126" s="24"/>
      <c r="O4126" s="24"/>
      <c r="P4126" s="24"/>
      <c r="Q4126" s="24"/>
    </row>
    <row r="4127" spans="1:17" x14ac:dyDescent="0.25">
      <c r="A4127" s="24" t="s">
        <v>12</v>
      </c>
      <c r="B4127" s="24" t="s">
        <v>297</v>
      </c>
      <c r="C4127" s="24" t="s">
        <v>319</v>
      </c>
      <c r="D4127" s="24" t="s">
        <v>320</v>
      </c>
      <c r="E4127" s="24" t="s">
        <v>321</v>
      </c>
      <c r="F4127" s="25">
        <v>2154</v>
      </c>
      <c r="G4127" s="24"/>
      <c r="H4127" s="24"/>
      <c r="I4127" s="26">
        <f t="shared" si="179"/>
        <v>45880</v>
      </c>
      <c r="J4127" s="27">
        <f t="shared" si="180"/>
        <v>217</v>
      </c>
      <c r="K4127" s="24" t="str">
        <f t="shared" si="181"/>
        <v>181-270</v>
      </c>
      <c r="L4127" s="11">
        <v>46097</v>
      </c>
      <c r="M4127" s="23">
        <f>YEAR(Таблица1[[#This Row],[Дата отчета]])</f>
        <v>2026</v>
      </c>
      <c r="N4127" s="24"/>
      <c r="O4127" s="24"/>
      <c r="P4127" s="24"/>
      <c r="Q4127" s="24"/>
    </row>
    <row r="4128" spans="1:17" x14ac:dyDescent="0.25">
      <c r="A4128" s="24" t="s">
        <v>12</v>
      </c>
      <c r="B4128" s="24" t="s">
        <v>297</v>
      </c>
      <c r="C4128" s="24" t="s">
        <v>322</v>
      </c>
      <c r="D4128" s="24" t="s">
        <v>323</v>
      </c>
      <c r="E4128" s="24" t="s">
        <v>79</v>
      </c>
      <c r="F4128" s="25">
        <v>1948</v>
      </c>
      <c r="G4128" s="24"/>
      <c r="H4128" s="24"/>
      <c r="I4128" s="26">
        <f t="shared" si="179"/>
        <v>45980</v>
      </c>
      <c r="J4128" s="27">
        <f t="shared" si="180"/>
        <v>117</v>
      </c>
      <c r="K4128" s="24" t="str">
        <f t="shared" si="181"/>
        <v>91-120</v>
      </c>
      <c r="L4128" s="11">
        <v>46097</v>
      </c>
      <c r="M4128" s="23">
        <f>YEAR(Таблица1[[#This Row],[Дата отчета]])</f>
        <v>2026</v>
      </c>
      <c r="N4128" s="24"/>
      <c r="O4128" s="24"/>
      <c r="P4128" s="24"/>
      <c r="Q4128" s="24"/>
    </row>
    <row r="4129" spans="1:17" x14ac:dyDescent="0.25">
      <c r="A4129" s="24" t="s">
        <v>12</v>
      </c>
      <c r="B4129" s="24" t="s">
        <v>297</v>
      </c>
      <c r="C4129" s="24" t="s">
        <v>324</v>
      </c>
      <c r="D4129" s="24" t="s">
        <v>325</v>
      </c>
      <c r="E4129" s="24" t="s">
        <v>51</v>
      </c>
      <c r="F4129" s="25">
        <v>3247</v>
      </c>
      <c r="G4129" s="24"/>
      <c r="H4129" s="24"/>
      <c r="I4129" s="26">
        <f t="shared" si="179"/>
        <v>45939</v>
      </c>
      <c r="J4129" s="27">
        <f t="shared" si="180"/>
        <v>158</v>
      </c>
      <c r="K4129" s="24" t="str">
        <f t="shared" si="181"/>
        <v>121-180</v>
      </c>
      <c r="L4129" s="11">
        <v>46097</v>
      </c>
      <c r="M4129" s="23">
        <f>YEAR(Таблица1[[#This Row],[Дата отчета]])</f>
        <v>2026</v>
      </c>
      <c r="N4129" s="24"/>
      <c r="O4129" s="24"/>
      <c r="P4129" s="24"/>
      <c r="Q4129" s="24"/>
    </row>
    <row r="4130" spans="1:17" x14ac:dyDescent="0.25">
      <c r="A4130" s="24" t="s">
        <v>12</v>
      </c>
      <c r="B4130" s="24" t="s">
        <v>297</v>
      </c>
      <c r="C4130" s="24" t="s">
        <v>326</v>
      </c>
      <c r="D4130" s="24" t="s">
        <v>327</v>
      </c>
      <c r="E4130" s="24" t="s">
        <v>51</v>
      </c>
      <c r="F4130" s="25">
        <v>12093</v>
      </c>
      <c r="G4130" s="24"/>
      <c r="H4130" s="24"/>
      <c r="I4130" s="26">
        <f t="shared" si="179"/>
        <v>45939</v>
      </c>
      <c r="J4130" s="27">
        <f t="shared" si="180"/>
        <v>158</v>
      </c>
      <c r="K4130" s="24" t="str">
        <f t="shared" si="181"/>
        <v>121-180</v>
      </c>
      <c r="L4130" s="11">
        <v>46097</v>
      </c>
      <c r="M4130" s="23">
        <f>YEAR(Таблица1[[#This Row],[Дата отчета]])</f>
        <v>2026</v>
      </c>
      <c r="N4130" s="24"/>
      <c r="O4130" s="24"/>
      <c r="P4130" s="24"/>
      <c r="Q4130" s="24"/>
    </row>
    <row r="4131" spans="1:17" x14ac:dyDescent="0.25">
      <c r="A4131" s="24" t="s">
        <v>12</v>
      </c>
      <c r="B4131" s="24" t="s">
        <v>297</v>
      </c>
      <c r="C4131" s="24" t="s">
        <v>328</v>
      </c>
      <c r="D4131" s="24" t="s">
        <v>329</v>
      </c>
      <c r="E4131" s="24" t="s">
        <v>292</v>
      </c>
      <c r="F4131" s="25">
        <v>3413</v>
      </c>
      <c r="G4131" s="24"/>
      <c r="H4131" s="24"/>
      <c r="I4131" s="26">
        <f t="shared" si="179"/>
        <v>45933</v>
      </c>
      <c r="J4131" s="27">
        <f t="shared" si="180"/>
        <v>164</v>
      </c>
      <c r="K4131" s="24" t="str">
        <f t="shared" si="181"/>
        <v>121-180</v>
      </c>
      <c r="L4131" s="11">
        <v>46097</v>
      </c>
      <c r="M4131" s="23">
        <f>YEAR(Таблица1[[#This Row],[Дата отчета]])</f>
        <v>2026</v>
      </c>
      <c r="N4131" s="24"/>
      <c r="O4131" s="24"/>
      <c r="P4131" s="24"/>
      <c r="Q4131" s="24"/>
    </row>
    <row r="4132" spans="1:17" x14ac:dyDescent="0.25">
      <c r="A4132" s="24" t="s">
        <v>12</v>
      </c>
      <c r="B4132" s="24" t="s">
        <v>297</v>
      </c>
      <c r="C4132" s="24" t="s">
        <v>333</v>
      </c>
      <c r="D4132" s="24" t="s">
        <v>334</v>
      </c>
      <c r="E4132" s="24" t="s">
        <v>31</v>
      </c>
      <c r="F4132" s="25">
        <v>930</v>
      </c>
      <c r="G4132" s="24"/>
      <c r="H4132" s="24"/>
      <c r="I4132" s="26">
        <f t="shared" si="179"/>
        <v>46015</v>
      </c>
      <c r="J4132" s="27">
        <f t="shared" si="180"/>
        <v>82</v>
      </c>
      <c r="K4132" s="24" t="str">
        <f t="shared" si="181"/>
        <v>31-90</v>
      </c>
      <c r="L4132" s="11">
        <v>46097</v>
      </c>
      <c r="M4132" s="23">
        <f>YEAR(Таблица1[[#This Row],[Дата отчета]])</f>
        <v>2026</v>
      </c>
      <c r="N4132" s="24"/>
      <c r="O4132" s="24"/>
      <c r="P4132" s="24"/>
      <c r="Q4132" s="24"/>
    </row>
    <row r="4133" spans="1:17" x14ac:dyDescent="0.25">
      <c r="A4133" s="24" t="s">
        <v>12</v>
      </c>
      <c r="B4133" s="24" t="s">
        <v>297</v>
      </c>
      <c r="C4133" s="24" t="s">
        <v>335</v>
      </c>
      <c r="D4133" s="24" t="s">
        <v>336</v>
      </c>
      <c r="E4133" s="24" t="s">
        <v>31</v>
      </c>
      <c r="F4133" s="25">
        <v>930</v>
      </c>
      <c r="G4133" s="24"/>
      <c r="H4133" s="24"/>
      <c r="I4133" s="26">
        <f t="shared" si="179"/>
        <v>46015</v>
      </c>
      <c r="J4133" s="27">
        <f t="shared" si="180"/>
        <v>82</v>
      </c>
      <c r="K4133" s="24" t="str">
        <f t="shared" si="181"/>
        <v>31-90</v>
      </c>
      <c r="L4133" s="11">
        <v>46097</v>
      </c>
      <c r="M4133" s="23">
        <f>YEAR(Таблица1[[#This Row],[Дата отчета]])</f>
        <v>2026</v>
      </c>
      <c r="N4133" s="24"/>
      <c r="O4133" s="24"/>
      <c r="P4133" s="24"/>
      <c r="Q4133" s="24"/>
    </row>
    <row r="4134" spans="1:17" x14ac:dyDescent="0.25">
      <c r="A4134" s="24" t="s">
        <v>12</v>
      </c>
      <c r="B4134" s="24" t="s">
        <v>297</v>
      </c>
      <c r="C4134" s="24" t="s">
        <v>337</v>
      </c>
      <c r="D4134" s="24" t="s">
        <v>338</v>
      </c>
      <c r="E4134" s="24" t="s">
        <v>339</v>
      </c>
      <c r="F4134" s="25">
        <v>1140</v>
      </c>
      <c r="G4134" s="24"/>
      <c r="H4134" s="24"/>
      <c r="I4134" s="26">
        <f t="shared" si="179"/>
        <v>45867</v>
      </c>
      <c r="J4134" s="27">
        <f t="shared" si="180"/>
        <v>230</v>
      </c>
      <c r="K4134" s="24" t="str">
        <f t="shared" si="181"/>
        <v>181-270</v>
      </c>
      <c r="L4134" s="11">
        <v>46097</v>
      </c>
      <c r="M4134" s="23">
        <f>YEAR(Таблица1[[#This Row],[Дата отчета]])</f>
        <v>2026</v>
      </c>
      <c r="N4134" s="24"/>
      <c r="O4134" s="24"/>
      <c r="P4134" s="24"/>
      <c r="Q4134" s="24"/>
    </row>
    <row r="4135" spans="1:17" x14ac:dyDescent="0.25">
      <c r="A4135" s="24" t="s">
        <v>12</v>
      </c>
      <c r="B4135" s="24" t="s">
        <v>297</v>
      </c>
      <c r="C4135" s="24" t="s">
        <v>340</v>
      </c>
      <c r="D4135" s="24" t="s">
        <v>341</v>
      </c>
      <c r="E4135" s="24" t="s">
        <v>342</v>
      </c>
      <c r="F4135" s="25">
        <v>14870</v>
      </c>
      <c r="G4135" s="24"/>
      <c r="H4135" s="24"/>
      <c r="I4135" s="26">
        <f t="shared" si="179"/>
        <v>45959</v>
      </c>
      <c r="J4135" s="27">
        <f t="shared" si="180"/>
        <v>138</v>
      </c>
      <c r="K4135" s="24" t="str">
        <f t="shared" si="181"/>
        <v>121-180</v>
      </c>
      <c r="L4135" s="11">
        <v>46097</v>
      </c>
      <c r="M4135" s="23">
        <f>YEAR(Таблица1[[#This Row],[Дата отчета]])</f>
        <v>2026</v>
      </c>
      <c r="N4135" s="24"/>
      <c r="O4135" s="24"/>
      <c r="P4135" s="24"/>
      <c r="Q4135" s="24"/>
    </row>
    <row r="4136" spans="1:17" x14ac:dyDescent="0.25">
      <c r="A4136" s="24" t="s">
        <v>12</v>
      </c>
      <c r="B4136" s="24" t="s">
        <v>297</v>
      </c>
      <c r="C4136" s="24" t="s">
        <v>343</v>
      </c>
      <c r="D4136" s="24" t="s">
        <v>344</v>
      </c>
      <c r="E4136" s="24" t="s">
        <v>345</v>
      </c>
      <c r="F4136" s="25">
        <v>1310</v>
      </c>
      <c r="G4136" s="24"/>
      <c r="H4136" s="24"/>
      <c r="I4136" s="26">
        <f t="shared" si="179"/>
        <v>45919</v>
      </c>
      <c r="J4136" s="27">
        <f t="shared" si="180"/>
        <v>178</v>
      </c>
      <c r="K4136" s="24" t="str">
        <f t="shared" si="181"/>
        <v>121-180</v>
      </c>
      <c r="L4136" s="11">
        <v>46097</v>
      </c>
      <c r="M4136" s="23">
        <f>YEAR(Таблица1[[#This Row],[Дата отчета]])</f>
        <v>2026</v>
      </c>
      <c r="N4136" s="24"/>
      <c r="O4136" s="24"/>
      <c r="P4136" s="24"/>
      <c r="Q4136" s="24"/>
    </row>
    <row r="4137" spans="1:17" x14ac:dyDescent="0.25">
      <c r="A4137" s="24" t="s">
        <v>12</v>
      </c>
      <c r="B4137" s="24" t="s">
        <v>297</v>
      </c>
      <c r="C4137" s="24" t="s">
        <v>346</v>
      </c>
      <c r="D4137" s="24" t="s">
        <v>347</v>
      </c>
      <c r="E4137" s="24" t="s">
        <v>51</v>
      </c>
      <c r="F4137" s="25">
        <v>21872</v>
      </c>
      <c r="G4137" s="24"/>
      <c r="H4137" s="24"/>
      <c r="I4137" s="26">
        <f t="shared" si="179"/>
        <v>45939</v>
      </c>
      <c r="J4137" s="27">
        <f t="shared" si="180"/>
        <v>158</v>
      </c>
      <c r="K4137" s="24" t="str">
        <f t="shared" si="181"/>
        <v>121-180</v>
      </c>
      <c r="L4137" s="11">
        <v>46097</v>
      </c>
      <c r="M4137" s="23">
        <f>YEAR(Таблица1[[#This Row],[Дата отчета]])</f>
        <v>2026</v>
      </c>
      <c r="N4137" s="24"/>
      <c r="O4137" s="24"/>
      <c r="P4137" s="24"/>
      <c r="Q4137" s="24"/>
    </row>
    <row r="4138" spans="1:17" x14ac:dyDescent="0.25">
      <c r="A4138" s="24" t="s">
        <v>12</v>
      </c>
      <c r="B4138" s="24" t="s">
        <v>297</v>
      </c>
      <c r="C4138" s="24" t="s">
        <v>348</v>
      </c>
      <c r="D4138" s="24" t="s">
        <v>349</v>
      </c>
      <c r="E4138" s="24" t="s">
        <v>350</v>
      </c>
      <c r="F4138" s="25">
        <v>4221</v>
      </c>
      <c r="G4138" s="24"/>
      <c r="H4138" s="24"/>
      <c r="I4138" s="26">
        <f t="shared" si="179"/>
        <v>46057</v>
      </c>
      <c r="J4138" s="27">
        <f t="shared" si="180"/>
        <v>40</v>
      </c>
      <c r="K4138" s="24" t="str">
        <f t="shared" si="181"/>
        <v>31-90</v>
      </c>
      <c r="L4138" s="11">
        <v>46097</v>
      </c>
      <c r="M4138" s="23">
        <f>YEAR(Таблица1[[#This Row],[Дата отчета]])</f>
        <v>2026</v>
      </c>
      <c r="N4138" s="24"/>
      <c r="O4138" s="24"/>
      <c r="P4138" s="24"/>
      <c r="Q4138" s="24"/>
    </row>
    <row r="4139" spans="1:17" x14ac:dyDescent="0.25">
      <c r="A4139" s="24" t="s">
        <v>12</v>
      </c>
      <c r="B4139" s="24" t="s">
        <v>297</v>
      </c>
      <c r="C4139" s="24" t="s">
        <v>351</v>
      </c>
      <c r="D4139" s="24" t="s">
        <v>352</v>
      </c>
      <c r="E4139" s="24" t="s">
        <v>353</v>
      </c>
      <c r="F4139" s="25">
        <v>2373</v>
      </c>
      <c r="G4139" s="24"/>
      <c r="H4139" s="24"/>
      <c r="I4139" s="26">
        <f t="shared" si="179"/>
        <v>45957</v>
      </c>
      <c r="J4139" s="27">
        <f t="shared" si="180"/>
        <v>140</v>
      </c>
      <c r="K4139" s="24" t="str">
        <f t="shared" si="181"/>
        <v>121-180</v>
      </c>
      <c r="L4139" s="11">
        <v>46097</v>
      </c>
      <c r="M4139" s="23">
        <f>YEAR(Таблица1[[#This Row],[Дата отчета]])</f>
        <v>2026</v>
      </c>
      <c r="N4139" s="24"/>
      <c r="O4139" s="24"/>
      <c r="P4139" s="24"/>
      <c r="Q4139" s="24"/>
    </row>
    <row r="4140" spans="1:17" x14ac:dyDescent="0.25">
      <c r="A4140" s="24" t="s">
        <v>12</v>
      </c>
      <c r="B4140" s="24" t="s">
        <v>297</v>
      </c>
      <c r="C4140" s="24" t="s">
        <v>354</v>
      </c>
      <c r="D4140" s="24" t="s">
        <v>355</v>
      </c>
      <c r="E4140" s="24" t="s">
        <v>31</v>
      </c>
      <c r="F4140" s="25">
        <v>943</v>
      </c>
      <c r="G4140" s="24"/>
      <c r="H4140" s="24"/>
      <c r="I4140" s="26">
        <f t="shared" si="179"/>
        <v>46015</v>
      </c>
      <c r="J4140" s="27">
        <f t="shared" si="180"/>
        <v>82</v>
      </c>
      <c r="K4140" s="24" t="str">
        <f t="shared" si="181"/>
        <v>31-90</v>
      </c>
      <c r="L4140" s="11">
        <v>46097</v>
      </c>
      <c r="M4140" s="23">
        <f>YEAR(Таблица1[[#This Row],[Дата отчета]])</f>
        <v>2026</v>
      </c>
      <c r="N4140" s="24"/>
      <c r="O4140" s="24"/>
      <c r="P4140" s="24"/>
      <c r="Q4140" s="24"/>
    </row>
    <row r="4141" spans="1:17" x14ac:dyDescent="0.25">
      <c r="A4141" s="24" t="s">
        <v>12</v>
      </c>
      <c r="B4141" s="24" t="s">
        <v>297</v>
      </c>
      <c r="C4141" s="24" t="s">
        <v>356</v>
      </c>
      <c r="D4141" s="24" t="s">
        <v>357</v>
      </c>
      <c r="E4141" s="24" t="s">
        <v>51</v>
      </c>
      <c r="F4141" s="25">
        <v>279</v>
      </c>
      <c r="G4141" s="24"/>
      <c r="H4141" s="24"/>
      <c r="I4141" s="26">
        <f t="shared" ref="I4141:I4204" si="182">E4141*1</f>
        <v>45939</v>
      </c>
      <c r="J4141" s="27">
        <f t="shared" ref="J4141:J4204" si="183">L4141-I4141</f>
        <v>158</v>
      </c>
      <c r="K4141" s="24" t="str">
        <f t="shared" ref="K4141:K4204" si="184">IF(J4141&lt;=30,"0-30",IF(J4141&lt;=90,"31-90",IF(J4141&lt;=120,"91-120",IF(J4141&lt;=180,"121-180",IF(J4141&lt;=270,"181-270",IF(J4141&lt;=360,"271-360","&gt;360"))))))</f>
        <v>121-180</v>
      </c>
      <c r="L4141" s="11">
        <v>46097</v>
      </c>
      <c r="M4141" s="23">
        <f>YEAR(Таблица1[[#This Row],[Дата отчета]])</f>
        <v>2026</v>
      </c>
      <c r="N4141" s="24"/>
      <c r="O4141" s="24"/>
      <c r="P4141" s="24"/>
      <c r="Q4141" s="24"/>
    </row>
    <row r="4142" spans="1:17" x14ac:dyDescent="0.25">
      <c r="A4142" s="24" t="s">
        <v>12</v>
      </c>
      <c r="B4142" s="24" t="s">
        <v>297</v>
      </c>
      <c r="C4142" s="24" t="s">
        <v>4516</v>
      </c>
      <c r="D4142" s="24" t="s">
        <v>4524</v>
      </c>
      <c r="E4142" s="24" t="s">
        <v>4534</v>
      </c>
      <c r="F4142" s="25">
        <v>4768</v>
      </c>
      <c r="G4142" s="24"/>
      <c r="H4142" s="24"/>
      <c r="I4142" s="26">
        <f t="shared" si="182"/>
        <v>46094</v>
      </c>
      <c r="J4142" s="27">
        <f t="shared" si="183"/>
        <v>3</v>
      </c>
      <c r="K4142" s="24" t="str">
        <f t="shared" si="184"/>
        <v>0-30</v>
      </c>
      <c r="L4142" s="11">
        <v>46097</v>
      </c>
      <c r="M4142" s="23">
        <f>YEAR(Таблица1[[#This Row],[Дата отчета]])</f>
        <v>2026</v>
      </c>
      <c r="N4142" s="24"/>
      <c r="O4142" s="24"/>
      <c r="P4142" s="24"/>
      <c r="Q4142" s="24"/>
    </row>
    <row r="4143" spans="1:17" x14ac:dyDescent="0.25">
      <c r="A4143" s="24" t="s">
        <v>12</v>
      </c>
      <c r="B4143" s="24" t="s">
        <v>297</v>
      </c>
      <c r="C4143" s="24" t="s">
        <v>4369</v>
      </c>
      <c r="D4143" s="24" t="s">
        <v>4431</v>
      </c>
      <c r="E4143" s="24" t="s">
        <v>4498</v>
      </c>
      <c r="F4143" s="25">
        <v>3278</v>
      </c>
      <c r="G4143" s="24"/>
      <c r="H4143" s="24"/>
      <c r="I4143" s="26">
        <f t="shared" si="182"/>
        <v>46093</v>
      </c>
      <c r="J4143" s="27">
        <f t="shared" si="183"/>
        <v>4</v>
      </c>
      <c r="K4143" s="24" t="str">
        <f t="shared" si="184"/>
        <v>0-30</v>
      </c>
      <c r="L4143" s="11">
        <v>46097</v>
      </c>
      <c r="M4143" s="23">
        <f>YEAR(Таблица1[[#This Row],[Дата отчета]])</f>
        <v>2026</v>
      </c>
      <c r="N4143" s="24"/>
      <c r="O4143" s="24"/>
      <c r="P4143" s="24"/>
      <c r="Q4143" s="24"/>
    </row>
    <row r="4144" spans="1:17" x14ac:dyDescent="0.25">
      <c r="A4144" s="24" t="s">
        <v>12</v>
      </c>
      <c r="B4144" s="24" t="s">
        <v>297</v>
      </c>
      <c r="C4144" s="24" t="s">
        <v>358</v>
      </c>
      <c r="D4144" s="24" t="s">
        <v>359</v>
      </c>
      <c r="E4144" s="24" t="s">
        <v>360</v>
      </c>
      <c r="F4144" s="25">
        <v>13750</v>
      </c>
      <c r="G4144" s="24"/>
      <c r="H4144" s="24"/>
      <c r="I4144" s="26">
        <f t="shared" si="182"/>
        <v>46058</v>
      </c>
      <c r="J4144" s="27">
        <f t="shared" si="183"/>
        <v>39</v>
      </c>
      <c r="K4144" s="24" t="str">
        <f t="shared" si="184"/>
        <v>31-90</v>
      </c>
      <c r="L4144" s="11">
        <v>46097</v>
      </c>
      <c r="M4144" s="23">
        <f>YEAR(Таблица1[[#This Row],[Дата отчета]])</f>
        <v>2026</v>
      </c>
      <c r="N4144" s="24"/>
      <c r="O4144" s="24"/>
      <c r="P4144" s="24"/>
      <c r="Q4144" s="24"/>
    </row>
    <row r="4145" spans="1:17" x14ac:dyDescent="0.25">
      <c r="A4145" s="24" t="s">
        <v>12</v>
      </c>
      <c r="B4145" s="24" t="s">
        <v>297</v>
      </c>
      <c r="C4145" s="24" t="s">
        <v>361</v>
      </c>
      <c r="D4145" s="24" t="s">
        <v>362</v>
      </c>
      <c r="E4145" s="24" t="s">
        <v>165</v>
      </c>
      <c r="F4145" s="25">
        <v>107310</v>
      </c>
      <c r="G4145" s="24"/>
      <c r="H4145" s="24"/>
      <c r="I4145" s="26">
        <f t="shared" si="182"/>
        <v>46073</v>
      </c>
      <c r="J4145" s="27">
        <f t="shared" si="183"/>
        <v>24</v>
      </c>
      <c r="K4145" s="24" t="str">
        <f t="shared" si="184"/>
        <v>0-30</v>
      </c>
      <c r="L4145" s="11">
        <v>46097</v>
      </c>
      <c r="M4145" s="23">
        <f>YEAR(Таблица1[[#This Row],[Дата отчета]])</f>
        <v>2026</v>
      </c>
      <c r="N4145" s="24"/>
      <c r="O4145" s="24"/>
      <c r="P4145" s="24"/>
      <c r="Q4145" s="24"/>
    </row>
    <row r="4146" spans="1:17" x14ac:dyDescent="0.25">
      <c r="A4146" s="24" t="s">
        <v>12</v>
      </c>
      <c r="B4146" s="24" t="s">
        <v>297</v>
      </c>
      <c r="C4146" s="24" t="s">
        <v>4370</v>
      </c>
      <c r="D4146" s="24" t="s">
        <v>4432</v>
      </c>
      <c r="E4146" s="24" t="s">
        <v>4496</v>
      </c>
      <c r="F4146" s="25">
        <v>18947</v>
      </c>
      <c r="G4146" s="24"/>
      <c r="H4146" s="24"/>
      <c r="I4146" s="26">
        <f t="shared" si="182"/>
        <v>46091</v>
      </c>
      <c r="J4146" s="27">
        <f t="shared" si="183"/>
        <v>6</v>
      </c>
      <c r="K4146" s="24" t="str">
        <f t="shared" si="184"/>
        <v>0-30</v>
      </c>
      <c r="L4146" s="11">
        <v>46097</v>
      </c>
      <c r="M4146" s="23">
        <f>YEAR(Таблица1[[#This Row],[Дата отчета]])</f>
        <v>2026</v>
      </c>
      <c r="N4146" s="24"/>
      <c r="O4146" s="24"/>
      <c r="P4146" s="24"/>
      <c r="Q4146" s="24"/>
    </row>
    <row r="4147" spans="1:17" x14ac:dyDescent="0.25">
      <c r="A4147" s="24" t="s">
        <v>12</v>
      </c>
      <c r="B4147" s="24" t="s">
        <v>297</v>
      </c>
      <c r="C4147" s="24" t="s">
        <v>4371</v>
      </c>
      <c r="D4147" s="24" t="s">
        <v>4433</v>
      </c>
      <c r="E4147" s="24" t="s">
        <v>4495</v>
      </c>
      <c r="F4147" s="25">
        <v>4629</v>
      </c>
      <c r="G4147" s="24"/>
      <c r="H4147" s="24"/>
      <c r="I4147" s="26">
        <f t="shared" si="182"/>
        <v>46092</v>
      </c>
      <c r="J4147" s="27">
        <f t="shared" si="183"/>
        <v>5</v>
      </c>
      <c r="K4147" s="24" t="str">
        <f t="shared" si="184"/>
        <v>0-30</v>
      </c>
      <c r="L4147" s="11">
        <v>46097</v>
      </c>
      <c r="M4147" s="23">
        <f>YEAR(Таблица1[[#This Row],[Дата отчета]])</f>
        <v>2026</v>
      </c>
      <c r="N4147" s="24"/>
      <c r="O4147" s="24"/>
      <c r="P4147" s="24"/>
      <c r="Q4147" s="24"/>
    </row>
    <row r="4148" spans="1:17" x14ac:dyDescent="0.25">
      <c r="A4148" s="24" t="s">
        <v>12</v>
      </c>
      <c r="B4148" s="24" t="s">
        <v>297</v>
      </c>
      <c r="C4148" s="24" t="s">
        <v>4372</v>
      </c>
      <c r="D4148" s="24" t="s">
        <v>4434</v>
      </c>
      <c r="E4148" s="24" t="s">
        <v>4496</v>
      </c>
      <c r="F4148" s="25">
        <v>98499</v>
      </c>
      <c r="G4148" s="24"/>
      <c r="H4148" s="24"/>
      <c r="I4148" s="26">
        <f t="shared" si="182"/>
        <v>46091</v>
      </c>
      <c r="J4148" s="27">
        <f t="shared" si="183"/>
        <v>6</v>
      </c>
      <c r="K4148" s="24" t="str">
        <f t="shared" si="184"/>
        <v>0-30</v>
      </c>
      <c r="L4148" s="11">
        <v>46097</v>
      </c>
      <c r="M4148" s="23">
        <f>YEAR(Таблица1[[#This Row],[Дата отчета]])</f>
        <v>2026</v>
      </c>
      <c r="N4148" s="24"/>
      <c r="O4148" s="24"/>
      <c r="P4148" s="24"/>
      <c r="Q4148" s="24"/>
    </row>
    <row r="4149" spans="1:17" x14ac:dyDescent="0.25">
      <c r="A4149" s="24" t="s">
        <v>12</v>
      </c>
      <c r="B4149" s="24" t="s">
        <v>297</v>
      </c>
      <c r="C4149" s="24" t="s">
        <v>4373</v>
      </c>
      <c r="D4149" s="24" t="s">
        <v>4435</v>
      </c>
      <c r="E4149" s="24" t="s">
        <v>4498</v>
      </c>
      <c r="F4149" s="25">
        <v>16259</v>
      </c>
      <c r="G4149" s="24"/>
      <c r="H4149" s="24"/>
      <c r="I4149" s="26">
        <f t="shared" si="182"/>
        <v>46093</v>
      </c>
      <c r="J4149" s="27">
        <f t="shared" si="183"/>
        <v>4</v>
      </c>
      <c r="K4149" s="24" t="str">
        <f t="shared" si="184"/>
        <v>0-30</v>
      </c>
      <c r="L4149" s="11">
        <v>46097</v>
      </c>
      <c r="M4149" s="23">
        <f>YEAR(Таблица1[[#This Row],[Дата отчета]])</f>
        <v>2026</v>
      </c>
      <c r="N4149" s="24"/>
      <c r="O4149" s="24"/>
      <c r="P4149" s="24"/>
      <c r="Q4149" s="24"/>
    </row>
    <row r="4150" spans="1:17" x14ac:dyDescent="0.25">
      <c r="A4150" s="24" t="s">
        <v>12</v>
      </c>
      <c r="B4150" s="24" t="s">
        <v>297</v>
      </c>
      <c r="C4150" s="24" t="s">
        <v>4374</v>
      </c>
      <c r="D4150" s="24" t="s">
        <v>4436</v>
      </c>
      <c r="E4150" s="24" t="s">
        <v>4495</v>
      </c>
      <c r="F4150" s="25">
        <v>2758</v>
      </c>
      <c r="G4150" s="24"/>
      <c r="H4150" s="24"/>
      <c r="I4150" s="26">
        <f t="shared" si="182"/>
        <v>46092</v>
      </c>
      <c r="J4150" s="27">
        <f t="shared" si="183"/>
        <v>5</v>
      </c>
      <c r="K4150" s="24" t="str">
        <f t="shared" si="184"/>
        <v>0-30</v>
      </c>
      <c r="L4150" s="11">
        <v>46097</v>
      </c>
      <c r="M4150" s="23">
        <f>YEAR(Таблица1[[#This Row],[Дата отчета]])</f>
        <v>2026</v>
      </c>
      <c r="N4150" s="24"/>
      <c r="O4150" s="24"/>
      <c r="P4150" s="24"/>
      <c r="Q4150" s="24"/>
    </row>
    <row r="4151" spans="1:17" x14ac:dyDescent="0.25">
      <c r="A4151" s="24" t="s">
        <v>12</v>
      </c>
      <c r="B4151" s="24" t="s">
        <v>297</v>
      </c>
      <c r="C4151" s="24" t="s">
        <v>4517</v>
      </c>
      <c r="D4151" s="24" t="s">
        <v>4525</v>
      </c>
      <c r="E4151" s="24" t="s">
        <v>4534</v>
      </c>
      <c r="F4151" s="25">
        <v>6407</v>
      </c>
      <c r="G4151" s="24"/>
      <c r="H4151" s="24"/>
      <c r="I4151" s="26">
        <f t="shared" si="182"/>
        <v>46094</v>
      </c>
      <c r="J4151" s="27">
        <f t="shared" si="183"/>
        <v>3</v>
      </c>
      <c r="K4151" s="24" t="str">
        <f t="shared" si="184"/>
        <v>0-30</v>
      </c>
      <c r="L4151" s="11">
        <v>46097</v>
      </c>
      <c r="M4151" s="23">
        <f>YEAR(Таблица1[[#This Row],[Дата отчета]])</f>
        <v>2026</v>
      </c>
      <c r="N4151" s="24"/>
      <c r="O4151" s="24"/>
      <c r="P4151" s="24"/>
      <c r="Q4151" s="24"/>
    </row>
    <row r="4152" spans="1:17" x14ac:dyDescent="0.25">
      <c r="A4152" s="24" t="s">
        <v>12</v>
      </c>
      <c r="B4152" s="24" t="s">
        <v>297</v>
      </c>
      <c r="C4152" s="24" t="s">
        <v>363</v>
      </c>
      <c r="D4152" s="24" t="s">
        <v>364</v>
      </c>
      <c r="E4152" s="24" t="s">
        <v>365</v>
      </c>
      <c r="F4152" s="25">
        <v>11763</v>
      </c>
      <c r="G4152" s="24"/>
      <c r="H4152" s="24"/>
      <c r="I4152" s="26">
        <f t="shared" si="182"/>
        <v>46062</v>
      </c>
      <c r="J4152" s="27">
        <f t="shared" si="183"/>
        <v>35</v>
      </c>
      <c r="K4152" s="24" t="str">
        <f t="shared" si="184"/>
        <v>31-90</v>
      </c>
      <c r="L4152" s="11">
        <v>46097</v>
      </c>
      <c r="M4152" s="23">
        <f>YEAR(Таблица1[[#This Row],[Дата отчета]])</f>
        <v>2026</v>
      </c>
      <c r="N4152" s="24"/>
      <c r="O4152" s="24"/>
      <c r="P4152" s="24"/>
      <c r="Q4152" s="24"/>
    </row>
    <row r="4153" spans="1:17" x14ac:dyDescent="0.25">
      <c r="A4153" s="24" t="s">
        <v>12</v>
      </c>
      <c r="B4153" s="24" t="s">
        <v>297</v>
      </c>
      <c r="C4153" s="24" t="s">
        <v>366</v>
      </c>
      <c r="D4153" s="24" t="s">
        <v>367</v>
      </c>
      <c r="E4153" s="24" t="s">
        <v>48</v>
      </c>
      <c r="F4153" s="25">
        <v>14331</v>
      </c>
      <c r="G4153" s="24"/>
      <c r="H4153" s="24"/>
      <c r="I4153" s="26">
        <f t="shared" si="182"/>
        <v>46078</v>
      </c>
      <c r="J4153" s="27">
        <f t="shared" si="183"/>
        <v>19</v>
      </c>
      <c r="K4153" s="24" t="str">
        <f t="shared" si="184"/>
        <v>0-30</v>
      </c>
      <c r="L4153" s="11">
        <v>46097</v>
      </c>
      <c r="M4153" s="23">
        <f>YEAR(Таблица1[[#This Row],[Дата отчета]])</f>
        <v>2026</v>
      </c>
      <c r="N4153" s="24"/>
      <c r="O4153" s="24"/>
      <c r="P4153" s="24"/>
      <c r="Q4153" s="24"/>
    </row>
    <row r="4154" spans="1:17" x14ac:dyDescent="0.25">
      <c r="A4154" s="24" t="s">
        <v>12</v>
      </c>
      <c r="B4154" s="24" t="s">
        <v>297</v>
      </c>
      <c r="C4154" s="24" t="s">
        <v>4518</v>
      </c>
      <c r="D4154" s="24" t="s">
        <v>4526</v>
      </c>
      <c r="E4154" s="24" t="s">
        <v>4534</v>
      </c>
      <c r="F4154" s="25">
        <v>2051</v>
      </c>
      <c r="G4154" s="24"/>
      <c r="H4154" s="24"/>
      <c r="I4154" s="26">
        <f t="shared" si="182"/>
        <v>46094</v>
      </c>
      <c r="J4154" s="27">
        <f t="shared" si="183"/>
        <v>3</v>
      </c>
      <c r="K4154" s="24" t="str">
        <f t="shared" si="184"/>
        <v>0-30</v>
      </c>
      <c r="L4154" s="11">
        <v>46097</v>
      </c>
      <c r="M4154" s="23">
        <f>YEAR(Таблица1[[#This Row],[Дата отчета]])</f>
        <v>2026</v>
      </c>
      <c r="N4154" s="24"/>
      <c r="O4154" s="24"/>
      <c r="P4154" s="24"/>
      <c r="Q4154" s="24"/>
    </row>
    <row r="4155" spans="1:17" x14ac:dyDescent="0.25">
      <c r="A4155" s="24" t="s">
        <v>12</v>
      </c>
      <c r="B4155" s="24" t="s">
        <v>297</v>
      </c>
      <c r="C4155" s="24" t="s">
        <v>368</v>
      </c>
      <c r="D4155" s="24" t="s">
        <v>369</v>
      </c>
      <c r="E4155" s="24" t="s">
        <v>37</v>
      </c>
      <c r="F4155" s="25">
        <v>47892</v>
      </c>
      <c r="G4155" s="24"/>
      <c r="H4155" s="24"/>
      <c r="I4155" s="26">
        <f t="shared" si="182"/>
        <v>46066</v>
      </c>
      <c r="J4155" s="27">
        <f t="shared" si="183"/>
        <v>31</v>
      </c>
      <c r="K4155" s="24" t="str">
        <f t="shared" si="184"/>
        <v>31-90</v>
      </c>
      <c r="L4155" s="11">
        <v>46097</v>
      </c>
      <c r="M4155" s="23">
        <f>YEAR(Таблица1[[#This Row],[Дата отчета]])</f>
        <v>2026</v>
      </c>
      <c r="N4155" s="24"/>
      <c r="O4155" s="24"/>
      <c r="P4155" s="24"/>
      <c r="Q4155" s="24"/>
    </row>
    <row r="4156" spans="1:17" x14ac:dyDescent="0.25">
      <c r="A4156" s="24" t="s">
        <v>12</v>
      </c>
      <c r="B4156" s="24" t="s">
        <v>297</v>
      </c>
      <c r="C4156" s="24" t="s">
        <v>370</v>
      </c>
      <c r="D4156" s="24" t="s">
        <v>371</v>
      </c>
      <c r="E4156" s="24" t="s">
        <v>169</v>
      </c>
      <c r="F4156" s="25">
        <v>105441</v>
      </c>
      <c r="G4156" s="24"/>
      <c r="H4156" s="24"/>
      <c r="I4156" s="26">
        <f t="shared" si="182"/>
        <v>46050</v>
      </c>
      <c r="J4156" s="27">
        <f t="shared" si="183"/>
        <v>47</v>
      </c>
      <c r="K4156" s="24" t="str">
        <f t="shared" si="184"/>
        <v>31-90</v>
      </c>
      <c r="L4156" s="11">
        <v>46097</v>
      </c>
      <c r="M4156" s="23">
        <f>YEAR(Таблица1[[#This Row],[Дата отчета]])</f>
        <v>2026</v>
      </c>
      <c r="N4156" s="24"/>
      <c r="O4156" s="24"/>
      <c r="P4156" s="24"/>
      <c r="Q4156" s="24"/>
    </row>
    <row r="4157" spans="1:17" x14ac:dyDescent="0.25">
      <c r="A4157" s="24" t="s">
        <v>12</v>
      </c>
      <c r="B4157" s="24" t="s">
        <v>297</v>
      </c>
      <c r="C4157" s="24" t="s">
        <v>372</v>
      </c>
      <c r="D4157" s="24" t="s">
        <v>373</v>
      </c>
      <c r="E4157" s="24" t="s">
        <v>350</v>
      </c>
      <c r="F4157" s="25">
        <v>86425</v>
      </c>
      <c r="G4157" s="24"/>
      <c r="H4157" s="24"/>
      <c r="I4157" s="26">
        <f t="shared" si="182"/>
        <v>46057</v>
      </c>
      <c r="J4157" s="27">
        <f t="shared" si="183"/>
        <v>40</v>
      </c>
      <c r="K4157" s="24" t="str">
        <f t="shared" si="184"/>
        <v>31-90</v>
      </c>
      <c r="L4157" s="11">
        <v>46097</v>
      </c>
      <c r="M4157" s="23">
        <f>YEAR(Таблица1[[#This Row],[Дата отчета]])</f>
        <v>2026</v>
      </c>
      <c r="N4157" s="24"/>
      <c r="O4157" s="24"/>
      <c r="P4157" s="24"/>
      <c r="Q4157" s="24"/>
    </row>
    <row r="4158" spans="1:17" x14ac:dyDescent="0.25">
      <c r="A4158" s="24" t="s">
        <v>12</v>
      </c>
      <c r="B4158" s="24" t="s">
        <v>297</v>
      </c>
      <c r="C4158" s="24" t="s">
        <v>4375</v>
      </c>
      <c r="D4158" s="24" t="s">
        <v>4437</v>
      </c>
      <c r="E4158" s="24" t="s">
        <v>4501</v>
      </c>
      <c r="F4158" s="25">
        <v>33625</v>
      </c>
      <c r="G4158" s="24"/>
      <c r="H4158" s="24"/>
      <c r="I4158" s="26">
        <f t="shared" si="182"/>
        <v>46084</v>
      </c>
      <c r="J4158" s="27">
        <f t="shared" si="183"/>
        <v>13</v>
      </c>
      <c r="K4158" s="24" t="str">
        <f t="shared" si="184"/>
        <v>0-30</v>
      </c>
      <c r="L4158" s="11">
        <v>46097</v>
      </c>
      <c r="M4158" s="23">
        <f>YEAR(Таблица1[[#This Row],[Дата отчета]])</f>
        <v>2026</v>
      </c>
      <c r="N4158" s="24"/>
      <c r="O4158" s="24"/>
      <c r="P4158" s="24"/>
      <c r="Q4158" s="24"/>
    </row>
    <row r="4159" spans="1:17" x14ac:dyDescent="0.25">
      <c r="A4159" s="24" t="s">
        <v>12</v>
      </c>
      <c r="B4159" s="24" t="s">
        <v>297</v>
      </c>
      <c r="C4159" s="24" t="s">
        <v>374</v>
      </c>
      <c r="D4159" s="24" t="s">
        <v>375</v>
      </c>
      <c r="E4159" s="24" t="s">
        <v>35</v>
      </c>
      <c r="F4159" s="25">
        <v>33606</v>
      </c>
      <c r="G4159" s="24"/>
      <c r="H4159" s="24"/>
      <c r="I4159" s="26">
        <f t="shared" si="182"/>
        <v>46036</v>
      </c>
      <c r="J4159" s="27">
        <f t="shared" si="183"/>
        <v>61</v>
      </c>
      <c r="K4159" s="24" t="str">
        <f t="shared" si="184"/>
        <v>31-90</v>
      </c>
      <c r="L4159" s="11">
        <v>46097</v>
      </c>
      <c r="M4159" s="23">
        <f>YEAR(Таблица1[[#This Row],[Дата отчета]])</f>
        <v>2026</v>
      </c>
      <c r="N4159" s="24"/>
      <c r="O4159" s="24"/>
      <c r="P4159" s="24"/>
      <c r="Q4159" s="24"/>
    </row>
    <row r="4160" spans="1:17" x14ac:dyDescent="0.25">
      <c r="A4160" s="24" t="s">
        <v>12</v>
      </c>
      <c r="B4160" s="24" t="s">
        <v>297</v>
      </c>
      <c r="C4160" s="24" t="s">
        <v>376</v>
      </c>
      <c r="D4160" s="24" t="s">
        <v>377</v>
      </c>
      <c r="E4160" s="24" t="s">
        <v>127</v>
      </c>
      <c r="F4160" s="25">
        <v>1331</v>
      </c>
      <c r="G4160" s="24"/>
      <c r="H4160" s="24"/>
      <c r="I4160" s="26">
        <f t="shared" si="182"/>
        <v>46037</v>
      </c>
      <c r="J4160" s="27">
        <f t="shared" si="183"/>
        <v>60</v>
      </c>
      <c r="K4160" s="24" t="str">
        <f t="shared" si="184"/>
        <v>31-90</v>
      </c>
      <c r="L4160" s="11">
        <v>46097</v>
      </c>
      <c r="M4160" s="23">
        <f>YEAR(Таблица1[[#This Row],[Дата отчета]])</f>
        <v>2026</v>
      </c>
      <c r="N4160" s="24"/>
      <c r="O4160" s="24"/>
      <c r="P4160" s="24"/>
      <c r="Q4160" s="24"/>
    </row>
    <row r="4161" spans="1:17" x14ac:dyDescent="0.25">
      <c r="A4161" s="24" t="s">
        <v>12</v>
      </c>
      <c r="B4161" s="24" t="s">
        <v>297</v>
      </c>
      <c r="C4161" s="24" t="s">
        <v>4376</v>
      </c>
      <c r="D4161" s="24" t="s">
        <v>4438</v>
      </c>
      <c r="E4161" s="24" t="s">
        <v>4495</v>
      </c>
      <c r="F4161" s="25">
        <v>3178</v>
      </c>
      <c r="G4161" s="24"/>
      <c r="H4161" s="24"/>
      <c r="I4161" s="26">
        <f t="shared" si="182"/>
        <v>46092</v>
      </c>
      <c r="J4161" s="27">
        <f t="shared" si="183"/>
        <v>5</v>
      </c>
      <c r="K4161" s="24" t="str">
        <f t="shared" si="184"/>
        <v>0-30</v>
      </c>
      <c r="L4161" s="11">
        <v>46097</v>
      </c>
      <c r="M4161" s="23">
        <f>YEAR(Таблица1[[#This Row],[Дата отчета]])</f>
        <v>2026</v>
      </c>
      <c r="N4161" s="24"/>
      <c r="O4161" s="24"/>
      <c r="P4161" s="24"/>
      <c r="Q4161" s="24"/>
    </row>
    <row r="4162" spans="1:17" x14ac:dyDescent="0.25">
      <c r="A4162" s="24" t="s">
        <v>12</v>
      </c>
      <c r="B4162" s="24" t="s">
        <v>383</v>
      </c>
      <c r="C4162" s="24" t="s">
        <v>384</v>
      </c>
      <c r="D4162" s="24" t="s">
        <v>385</v>
      </c>
      <c r="E4162" s="24" t="s">
        <v>48</v>
      </c>
      <c r="F4162" s="25">
        <v>29997</v>
      </c>
      <c r="G4162" s="24"/>
      <c r="H4162" s="24"/>
      <c r="I4162" s="26">
        <f t="shared" si="182"/>
        <v>46078</v>
      </c>
      <c r="J4162" s="27">
        <f t="shared" si="183"/>
        <v>19</v>
      </c>
      <c r="K4162" s="24" t="str">
        <f t="shared" si="184"/>
        <v>0-30</v>
      </c>
      <c r="L4162" s="11">
        <v>46097</v>
      </c>
      <c r="M4162" s="23">
        <f>YEAR(Таблица1[[#This Row],[Дата отчета]])</f>
        <v>2026</v>
      </c>
      <c r="N4162" s="24"/>
      <c r="O4162" s="24"/>
      <c r="P4162" s="24"/>
      <c r="Q4162" s="24"/>
    </row>
    <row r="4163" spans="1:17" x14ac:dyDescent="0.25">
      <c r="A4163" s="24" t="s">
        <v>12</v>
      </c>
      <c r="B4163" s="24" t="s">
        <v>389</v>
      </c>
      <c r="C4163" s="24" t="s">
        <v>390</v>
      </c>
      <c r="D4163" s="24" t="s">
        <v>391</v>
      </c>
      <c r="E4163" s="24" t="s">
        <v>392</v>
      </c>
      <c r="F4163" s="25">
        <v>97121</v>
      </c>
      <c r="G4163" s="24"/>
      <c r="H4163" s="24"/>
      <c r="I4163" s="26">
        <f t="shared" si="182"/>
        <v>45952</v>
      </c>
      <c r="J4163" s="27">
        <f t="shared" si="183"/>
        <v>145</v>
      </c>
      <c r="K4163" s="24" t="str">
        <f t="shared" si="184"/>
        <v>121-180</v>
      </c>
      <c r="L4163" s="11">
        <v>46097</v>
      </c>
      <c r="M4163" s="23">
        <f>YEAR(Таблица1[[#This Row],[Дата отчета]])</f>
        <v>2026</v>
      </c>
      <c r="N4163" s="24"/>
      <c r="O4163" s="24"/>
      <c r="P4163" s="24"/>
      <c r="Q4163" s="24"/>
    </row>
    <row r="4164" spans="1:17" x14ac:dyDescent="0.25">
      <c r="A4164" s="24" t="s">
        <v>12</v>
      </c>
      <c r="B4164" s="24" t="s">
        <v>393</v>
      </c>
      <c r="C4164" s="24" t="s">
        <v>394</v>
      </c>
      <c r="D4164" s="24" t="s">
        <v>395</v>
      </c>
      <c r="E4164" s="24" t="s">
        <v>37</v>
      </c>
      <c r="F4164" s="25">
        <v>1220000</v>
      </c>
      <c r="G4164" s="24"/>
      <c r="H4164" s="24"/>
      <c r="I4164" s="26">
        <f t="shared" si="182"/>
        <v>46066</v>
      </c>
      <c r="J4164" s="27">
        <f t="shared" si="183"/>
        <v>31</v>
      </c>
      <c r="K4164" s="24" t="str">
        <f t="shared" si="184"/>
        <v>31-90</v>
      </c>
      <c r="L4164" s="11">
        <v>46097</v>
      </c>
      <c r="M4164" s="23">
        <f>YEAR(Таблица1[[#This Row],[Дата отчета]])</f>
        <v>2026</v>
      </c>
      <c r="N4164" s="24"/>
      <c r="O4164" s="24"/>
      <c r="P4164" s="24"/>
      <c r="Q4164" s="24"/>
    </row>
    <row r="4165" spans="1:17" x14ac:dyDescent="0.25">
      <c r="A4165" s="24" t="s">
        <v>12</v>
      </c>
      <c r="B4165" s="24" t="s">
        <v>396</v>
      </c>
      <c r="C4165" s="24" t="s">
        <v>397</v>
      </c>
      <c r="D4165" s="24" t="s">
        <v>398</v>
      </c>
      <c r="E4165" s="24" t="s">
        <v>165</v>
      </c>
      <c r="F4165" s="25">
        <v>1974844.5</v>
      </c>
      <c r="G4165" s="24"/>
      <c r="H4165" s="24"/>
      <c r="I4165" s="26">
        <f t="shared" si="182"/>
        <v>46073</v>
      </c>
      <c r="J4165" s="27">
        <f t="shared" si="183"/>
        <v>24</v>
      </c>
      <c r="K4165" s="24" t="str">
        <f t="shared" si="184"/>
        <v>0-30</v>
      </c>
      <c r="L4165" s="11">
        <v>46097</v>
      </c>
      <c r="M4165" s="23">
        <f>YEAR(Таблица1[[#This Row],[Дата отчета]])</f>
        <v>2026</v>
      </c>
      <c r="N4165" s="24"/>
      <c r="O4165" s="24"/>
      <c r="P4165" s="24"/>
      <c r="Q4165" s="24"/>
    </row>
    <row r="4166" spans="1:17" x14ac:dyDescent="0.25">
      <c r="A4166" s="24" t="s">
        <v>12</v>
      </c>
      <c r="B4166" s="24" t="s">
        <v>399</v>
      </c>
      <c r="C4166" s="24" t="s">
        <v>400</v>
      </c>
      <c r="D4166" s="24" t="s">
        <v>401</v>
      </c>
      <c r="E4166" s="24" t="s">
        <v>61</v>
      </c>
      <c r="F4166" s="25">
        <v>555424</v>
      </c>
      <c r="G4166" s="24"/>
      <c r="H4166" s="24"/>
      <c r="I4166" s="26">
        <f t="shared" si="182"/>
        <v>46079</v>
      </c>
      <c r="J4166" s="27">
        <f t="shared" si="183"/>
        <v>18</v>
      </c>
      <c r="K4166" s="24" t="str">
        <f t="shared" si="184"/>
        <v>0-30</v>
      </c>
      <c r="L4166" s="11">
        <v>46097</v>
      </c>
      <c r="M4166" s="23">
        <f>YEAR(Таблица1[[#This Row],[Дата отчета]])</f>
        <v>2026</v>
      </c>
      <c r="N4166" s="24"/>
      <c r="O4166" s="24"/>
      <c r="P4166" s="24"/>
      <c r="Q4166" s="24"/>
    </row>
    <row r="4167" spans="1:17" x14ac:dyDescent="0.25">
      <c r="A4167" s="24" t="s">
        <v>12</v>
      </c>
      <c r="B4167" s="24" t="s">
        <v>2080</v>
      </c>
      <c r="C4167" s="24" t="s">
        <v>4377</v>
      </c>
      <c r="D4167" s="24" t="s">
        <v>4439</v>
      </c>
      <c r="E4167" s="24" t="s">
        <v>4495</v>
      </c>
      <c r="F4167" s="25">
        <v>70233</v>
      </c>
      <c r="G4167" s="24"/>
      <c r="H4167" s="24"/>
      <c r="I4167" s="26">
        <f t="shared" si="182"/>
        <v>46092</v>
      </c>
      <c r="J4167" s="27">
        <f t="shared" si="183"/>
        <v>5</v>
      </c>
      <c r="K4167" s="24" t="str">
        <f t="shared" si="184"/>
        <v>0-30</v>
      </c>
      <c r="L4167" s="11">
        <v>46097</v>
      </c>
      <c r="M4167" s="23">
        <f>YEAR(Таблица1[[#This Row],[Дата отчета]])</f>
        <v>2026</v>
      </c>
      <c r="N4167" s="24"/>
      <c r="O4167" s="24"/>
      <c r="P4167" s="24"/>
      <c r="Q4167" s="24"/>
    </row>
    <row r="4168" spans="1:17" x14ac:dyDescent="0.25">
      <c r="A4168" s="24" t="s">
        <v>12</v>
      </c>
      <c r="B4168" s="24" t="s">
        <v>402</v>
      </c>
      <c r="C4168" s="24" t="s">
        <v>403</v>
      </c>
      <c r="D4168" s="24" t="s">
        <v>404</v>
      </c>
      <c r="E4168" s="24" t="s">
        <v>405</v>
      </c>
      <c r="F4168" s="25">
        <v>6881.46</v>
      </c>
      <c r="G4168" s="24"/>
      <c r="H4168" s="24"/>
      <c r="I4168" s="26">
        <f t="shared" si="182"/>
        <v>44773</v>
      </c>
      <c r="J4168" s="27">
        <f t="shared" si="183"/>
        <v>1324</v>
      </c>
      <c r="K4168" s="24" t="str">
        <f t="shared" si="184"/>
        <v>&gt;360</v>
      </c>
      <c r="L4168" s="11">
        <v>46097</v>
      </c>
      <c r="M4168" s="23">
        <f>YEAR(Таблица1[[#This Row],[Дата отчета]])</f>
        <v>2026</v>
      </c>
      <c r="N4168" s="7" t="s">
        <v>4538</v>
      </c>
      <c r="O4168" s="24"/>
      <c r="P4168" s="24"/>
      <c r="Q4168" s="24"/>
    </row>
    <row r="4169" spans="1:17" x14ac:dyDescent="0.25">
      <c r="A4169" s="24" t="s">
        <v>12</v>
      </c>
      <c r="B4169" s="24" t="s">
        <v>402</v>
      </c>
      <c r="C4169" s="24" t="s">
        <v>406</v>
      </c>
      <c r="D4169" s="24" t="s">
        <v>407</v>
      </c>
      <c r="E4169" s="24" t="s">
        <v>408</v>
      </c>
      <c r="F4169" s="25">
        <v>6883200</v>
      </c>
      <c r="G4169" s="24"/>
      <c r="H4169" s="24"/>
      <c r="I4169" s="26">
        <f t="shared" si="182"/>
        <v>46010</v>
      </c>
      <c r="J4169" s="27">
        <f t="shared" si="183"/>
        <v>87</v>
      </c>
      <c r="K4169" s="24" t="str">
        <f t="shared" si="184"/>
        <v>31-90</v>
      </c>
      <c r="L4169" s="11">
        <v>46097</v>
      </c>
      <c r="M4169" s="23">
        <f>YEAR(Таблица1[[#This Row],[Дата отчета]])</f>
        <v>2026</v>
      </c>
      <c r="N4169" s="24"/>
      <c r="O4169" s="24"/>
      <c r="P4169" s="24"/>
      <c r="Q4169" s="24"/>
    </row>
    <row r="4170" spans="1:17" x14ac:dyDescent="0.25">
      <c r="A4170" s="24" t="s">
        <v>12</v>
      </c>
      <c r="B4170" s="24" t="s">
        <v>409</v>
      </c>
      <c r="C4170" s="24" t="s">
        <v>410</v>
      </c>
      <c r="D4170" s="24" t="s">
        <v>411</v>
      </c>
      <c r="E4170" s="24" t="s">
        <v>48</v>
      </c>
      <c r="F4170" s="25">
        <v>153376</v>
      </c>
      <c r="G4170" s="24"/>
      <c r="H4170" s="24"/>
      <c r="I4170" s="26">
        <f t="shared" si="182"/>
        <v>46078</v>
      </c>
      <c r="J4170" s="27">
        <f t="shared" si="183"/>
        <v>19</v>
      </c>
      <c r="K4170" s="24" t="str">
        <f t="shared" si="184"/>
        <v>0-30</v>
      </c>
      <c r="L4170" s="11">
        <v>46097</v>
      </c>
      <c r="M4170" s="23">
        <f>YEAR(Таблица1[[#This Row],[Дата отчета]])</f>
        <v>2026</v>
      </c>
      <c r="N4170" s="24"/>
      <c r="O4170" s="24"/>
      <c r="P4170" s="24"/>
      <c r="Q4170" s="24"/>
    </row>
    <row r="4171" spans="1:17" x14ac:dyDescent="0.25">
      <c r="A4171" s="24" t="s">
        <v>12</v>
      </c>
      <c r="B4171" s="24" t="s">
        <v>412</v>
      </c>
      <c r="C4171" s="24" t="s">
        <v>413</v>
      </c>
      <c r="D4171" s="24" t="s">
        <v>414</v>
      </c>
      <c r="E4171" s="24" t="s">
        <v>415</v>
      </c>
      <c r="F4171" s="25">
        <v>0.04</v>
      </c>
      <c r="G4171" s="24"/>
      <c r="H4171" s="24"/>
      <c r="I4171" s="26">
        <f t="shared" si="182"/>
        <v>45833</v>
      </c>
      <c r="J4171" s="27">
        <f t="shared" si="183"/>
        <v>264</v>
      </c>
      <c r="K4171" s="24" t="str">
        <f t="shared" si="184"/>
        <v>181-270</v>
      </c>
      <c r="L4171" s="11">
        <v>46097</v>
      </c>
      <c r="M4171" s="23">
        <f>YEAR(Таблица1[[#This Row],[Дата отчета]])</f>
        <v>2026</v>
      </c>
      <c r="N4171" s="24"/>
      <c r="O4171" s="24"/>
      <c r="P4171" s="24"/>
      <c r="Q4171" s="24"/>
    </row>
    <row r="4172" spans="1:17" x14ac:dyDescent="0.25">
      <c r="A4172" s="24" t="s">
        <v>12</v>
      </c>
      <c r="B4172" s="24" t="s">
        <v>412</v>
      </c>
      <c r="C4172" s="24" t="s">
        <v>4378</v>
      </c>
      <c r="D4172" s="24" t="s">
        <v>4440</v>
      </c>
      <c r="E4172" s="24" t="s">
        <v>4501</v>
      </c>
      <c r="F4172" s="25">
        <v>6529317</v>
      </c>
      <c r="G4172" s="24"/>
      <c r="H4172" s="24"/>
      <c r="I4172" s="26">
        <f t="shared" si="182"/>
        <v>46084</v>
      </c>
      <c r="J4172" s="27">
        <f t="shared" si="183"/>
        <v>13</v>
      </c>
      <c r="K4172" s="24" t="str">
        <f t="shared" si="184"/>
        <v>0-30</v>
      </c>
      <c r="L4172" s="11">
        <v>46097</v>
      </c>
      <c r="M4172" s="23">
        <f>YEAR(Таблица1[[#This Row],[Дата отчета]])</f>
        <v>2026</v>
      </c>
      <c r="N4172" s="24"/>
      <c r="O4172" s="24"/>
      <c r="P4172" s="24"/>
      <c r="Q4172" s="24"/>
    </row>
    <row r="4173" spans="1:17" x14ac:dyDescent="0.25">
      <c r="A4173" s="24" t="s">
        <v>12</v>
      </c>
      <c r="B4173" s="24" t="s">
        <v>416</v>
      </c>
      <c r="C4173" s="24" t="s">
        <v>417</v>
      </c>
      <c r="D4173" s="24" t="s">
        <v>418</v>
      </c>
      <c r="E4173" s="24" t="s">
        <v>419</v>
      </c>
      <c r="F4173" s="25">
        <v>5478</v>
      </c>
      <c r="G4173" s="24"/>
      <c r="H4173" s="24"/>
      <c r="I4173" s="26">
        <f t="shared" si="182"/>
        <v>45883</v>
      </c>
      <c r="J4173" s="27">
        <f t="shared" si="183"/>
        <v>214</v>
      </c>
      <c r="K4173" s="24" t="str">
        <f t="shared" si="184"/>
        <v>181-270</v>
      </c>
      <c r="L4173" s="11">
        <v>46097</v>
      </c>
      <c r="M4173" s="23">
        <f>YEAR(Таблица1[[#This Row],[Дата отчета]])</f>
        <v>2026</v>
      </c>
      <c r="N4173" s="24"/>
      <c r="O4173" s="24"/>
      <c r="P4173" s="24"/>
      <c r="Q4173" s="24"/>
    </row>
    <row r="4174" spans="1:17" x14ac:dyDescent="0.25">
      <c r="A4174" s="24" t="s">
        <v>12</v>
      </c>
      <c r="B4174" s="24" t="s">
        <v>416</v>
      </c>
      <c r="C4174" s="24" t="s">
        <v>420</v>
      </c>
      <c r="D4174" s="24" t="s">
        <v>421</v>
      </c>
      <c r="E4174" s="24" t="s">
        <v>422</v>
      </c>
      <c r="F4174" s="25">
        <v>11518</v>
      </c>
      <c r="G4174" s="24"/>
      <c r="H4174" s="24"/>
      <c r="I4174" s="26">
        <f t="shared" si="182"/>
        <v>45972</v>
      </c>
      <c r="J4174" s="27">
        <f t="shared" si="183"/>
        <v>125</v>
      </c>
      <c r="K4174" s="24" t="str">
        <f t="shared" si="184"/>
        <v>121-180</v>
      </c>
      <c r="L4174" s="11">
        <v>46097</v>
      </c>
      <c r="M4174" s="23">
        <f>YEAR(Таблица1[[#This Row],[Дата отчета]])</f>
        <v>2026</v>
      </c>
      <c r="N4174" s="24"/>
      <c r="O4174" s="24"/>
      <c r="P4174" s="24"/>
      <c r="Q4174" s="24"/>
    </row>
    <row r="4175" spans="1:17" x14ac:dyDescent="0.25">
      <c r="A4175" s="24" t="s">
        <v>12</v>
      </c>
      <c r="B4175" s="24" t="s">
        <v>425</v>
      </c>
      <c r="C4175" s="24" t="s">
        <v>426</v>
      </c>
      <c r="D4175" s="24" t="s">
        <v>427</v>
      </c>
      <c r="E4175" s="24" t="s">
        <v>415</v>
      </c>
      <c r="F4175" s="25">
        <v>52500</v>
      </c>
      <c r="G4175" s="24"/>
      <c r="H4175" s="24"/>
      <c r="I4175" s="26">
        <f t="shared" si="182"/>
        <v>45833</v>
      </c>
      <c r="J4175" s="27">
        <f t="shared" si="183"/>
        <v>264</v>
      </c>
      <c r="K4175" s="24" t="str">
        <f t="shared" si="184"/>
        <v>181-270</v>
      </c>
      <c r="L4175" s="11">
        <v>46097</v>
      </c>
      <c r="M4175" s="23">
        <f>YEAR(Таблица1[[#This Row],[Дата отчета]])</f>
        <v>2026</v>
      </c>
      <c r="N4175" s="24"/>
      <c r="O4175" s="24"/>
      <c r="P4175" s="24"/>
      <c r="Q4175" s="24"/>
    </row>
    <row r="4176" spans="1:17" x14ac:dyDescent="0.25">
      <c r="A4176" s="24" t="s">
        <v>12</v>
      </c>
      <c r="B4176" s="24" t="s">
        <v>425</v>
      </c>
      <c r="C4176" s="24" t="s">
        <v>426</v>
      </c>
      <c r="D4176" s="24" t="s">
        <v>428</v>
      </c>
      <c r="E4176" s="24" t="s">
        <v>429</v>
      </c>
      <c r="F4176" s="25">
        <v>297500</v>
      </c>
      <c r="G4176" s="24"/>
      <c r="H4176" s="24"/>
      <c r="I4176" s="26">
        <f t="shared" si="182"/>
        <v>45897</v>
      </c>
      <c r="J4176" s="27">
        <f t="shared" si="183"/>
        <v>200</v>
      </c>
      <c r="K4176" s="24" t="str">
        <f t="shared" si="184"/>
        <v>181-270</v>
      </c>
      <c r="L4176" s="11">
        <v>46097</v>
      </c>
      <c r="M4176" s="23">
        <f>YEAR(Таблица1[[#This Row],[Дата отчета]])</f>
        <v>2026</v>
      </c>
      <c r="N4176" s="24"/>
      <c r="O4176" s="24"/>
      <c r="P4176" s="24"/>
      <c r="Q4176" s="24"/>
    </row>
    <row r="4177" spans="1:17" x14ac:dyDescent="0.25">
      <c r="A4177" s="24" t="s">
        <v>12</v>
      </c>
      <c r="B4177" s="24" t="s">
        <v>425</v>
      </c>
      <c r="C4177" s="24" t="s">
        <v>430</v>
      </c>
      <c r="D4177" s="24" t="s">
        <v>431</v>
      </c>
      <c r="E4177" s="24" t="s">
        <v>61</v>
      </c>
      <c r="F4177" s="25">
        <v>55050</v>
      </c>
      <c r="G4177" s="24"/>
      <c r="H4177" s="24"/>
      <c r="I4177" s="26">
        <f t="shared" si="182"/>
        <v>46079</v>
      </c>
      <c r="J4177" s="27">
        <f t="shared" si="183"/>
        <v>18</v>
      </c>
      <c r="K4177" s="24" t="str">
        <f t="shared" si="184"/>
        <v>0-30</v>
      </c>
      <c r="L4177" s="11">
        <v>46097</v>
      </c>
      <c r="M4177" s="23">
        <f>YEAR(Таблица1[[#This Row],[Дата отчета]])</f>
        <v>2026</v>
      </c>
      <c r="N4177" s="24"/>
      <c r="O4177" s="24"/>
      <c r="P4177" s="24"/>
      <c r="Q4177" s="24"/>
    </row>
    <row r="4178" spans="1:17" x14ac:dyDescent="0.25">
      <c r="A4178" s="24" t="s">
        <v>12</v>
      </c>
      <c r="B4178" s="24" t="s">
        <v>425</v>
      </c>
      <c r="C4178" s="24" t="s">
        <v>432</v>
      </c>
      <c r="D4178" s="24" t="s">
        <v>433</v>
      </c>
      <c r="E4178" s="24" t="s">
        <v>61</v>
      </c>
      <c r="F4178" s="25">
        <v>22050</v>
      </c>
      <c r="G4178" s="24"/>
      <c r="H4178" s="24"/>
      <c r="I4178" s="26">
        <f t="shared" si="182"/>
        <v>46079</v>
      </c>
      <c r="J4178" s="27">
        <f t="shared" si="183"/>
        <v>18</v>
      </c>
      <c r="K4178" s="24" t="str">
        <f t="shared" si="184"/>
        <v>0-30</v>
      </c>
      <c r="L4178" s="11">
        <v>46097</v>
      </c>
      <c r="M4178" s="23">
        <f>YEAR(Таблица1[[#This Row],[Дата отчета]])</f>
        <v>2026</v>
      </c>
      <c r="N4178" s="24"/>
      <c r="O4178" s="24"/>
      <c r="P4178" s="24"/>
      <c r="Q4178" s="24"/>
    </row>
    <row r="4179" spans="1:17" x14ac:dyDescent="0.25">
      <c r="A4179" s="24" t="s">
        <v>12</v>
      </c>
      <c r="B4179" s="24" t="s">
        <v>434</v>
      </c>
      <c r="C4179" s="24" t="s">
        <v>435</v>
      </c>
      <c r="D4179" s="24" t="s">
        <v>436</v>
      </c>
      <c r="E4179" s="24" t="s">
        <v>37</v>
      </c>
      <c r="F4179" s="25">
        <v>3156390</v>
      </c>
      <c r="G4179" s="24"/>
      <c r="H4179" s="24"/>
      <c r="I4179" s="26">
        <f t="shared" si="182"/>
        <v>46066</v>
      </c>
      <c r="J4179" s="27">
        <f t="shared" si="183"/>
        <v>31</v>
      </c>
      <c r="K4179" s="24" t="str">
        <f t="shared" si="184"/>
        <v>31-90</v>
      </c>
      <c r="L4179" s="11">
        <v>46097</v>
      </c>
      <c r="M4179" s="23">
        <f>YEAR(Таблица1[[#This Row],[Дата отчета]])</f>
        <v>2026</v>
      </c>
      <c r="N4179" s="24"/>
      <c r="O4179" s="24"/>
      <c r="P4179" s="24"/>
      <c r="Q4179" s="24"/>
    </row>
    <row r="4180" spans="1:17" x14ac:dyDescent="0.25">
      <c r="A4180" s="24" t="s">
        <v>12</v>
      </c>
      <c r="B4180" s="24" t="s">
        <v>434</v>
      </c>
      <c r="C4180" s="24" t="s">
        <v>437</v>
      </c>
      <c r="D4180" s="24" t="s">
        <v>438</v>
      </c>
      <c r="E4180" s="24" t="s">
        <v>422</v>
      </c>
      <c r="F4180" s="25">
        <v>40216000</v>
      </c>
      <c r="G4180" s="24"/>
      <c r="H4180" s="24"/>
      <c r="I4180" s="26">
        <f t="shared" si="182"/>
        <v>45972</v>
      </c>
      <c r="J4180" s="27">
        <f t="shared" si="183"/>
        <v>125</v>
      </c>
      <c r="K4180" s="24" t="str">
        <f t="shared" si="184"/>
        <v>121-180</v>
      </c>
      <c r="L4180" s="11">
        <v>46097</v>
      </c>
      <c r="M4180" s="23">
        <f>YEAR(Таблица1[[#This Row],[Дата отчета]])</f>
        <v>2026</v>
      </c>
      <c r="N4180" s="24"/>
      <c r="O4180" s="24"/>
      <c r="P4180" s="24"/>
      <c r="Q4180" s="24"/>
    </row>
    <row r="4181" spans="1:17" x14ac:dyDescent="0.25">
      <c r="A4181" s="24" t="s">
        <v>12</v>
      </c>
      <c r="B4181" s="24" t="s">
        <v>434</v>
      </c>
      <c r="C4181" s="24" t="s">
        <v>437</v>
      </c>
      <c r="D4181" s="24" t="s">
        <v>439</v>
      </c>
      <c r="E4181" s="24" t="s">
        <v>440</v>
      </c>
      <c r="F4181" s="25">
        <v>40216000</v>
      </c>
      <c r="G4181" s="24"/>
      <c r="H4181" s="24"/>
      <c r="I4181" s="26">
        <f t="shared" si="182"/>
        <v>46055</v>
      </c>
      <c r="J4181" s="27">
        <f t="shared" si="183"/>
        <v>42</v>
      </c>
      <c r="K4181" s="24" t="str">
        <f t="shared" si="184"/>
        <v>31-90</v>
      </c>
      <c r="L4181" s="11">
        <v>46097</v>
      </c>
      <c r="M4181" s="23">
        <f>YEAR(Таблица1[[#This Row],[Дата отчета]])</f>
        <v>2026</v>
      </c>
      <c r="N4181" s="24"/>
      <c r="O4181" s="24"/>
      <c r="P4181" s="24"/>
      <c r="Q4181" s="24"/>
    </row>
    <row r="4182" spans="1:17" x14ac:dyDescent="0.25">
      <c r="A4182" s="24" t="s">
        <v>12</v>
      </c>
      <c r="B4182" s="24" t="s">
        <v>441</v>
      </c>
      <c r="C4182" s="24" t="s">
        <v>442</v>
      </c>
      <c r="D4182" s="24" t="s">
        <v>4441</v>
      </c>
      <c r="E4182" s="24" t="s">
        <v>4495</v>
      </c>
      <c r="F4182" s="25">
        <v>921752.93</v>
      </c>
      <c r="G4182" s="24"/>
      <c r="H4182" s="24"/>
      <c r="I4182" s="26">
        <f t="shared" si="182"/>
        <v>46092</v>
      </c>
      <c r="J4182" s="27">
        <f t="shared" si="183"/>
        <v>5</v>
      </c>
      <c r="K4182" s="24" t="str">
        <f t="shared" si="184"/>
        <v>0-30</v>
      </c>
      <c r="L4182" s="11">
        <v>46097</v>
      </c>
      <c r="M4182" s="23">
        <f>YEAR(Таблица1[[#This Row],[Дата отчета]])</f>
        <v>2026</v>
      </c>
      <c r="N4182" s="24"/>
      <c r="O4182" s="24"/>
      <c r="P4182" s="24"/>
      <c r="Q4182" s="24"/>
    </row>
    <row r="4183" spans="1:17" x14ac:dyDescent="0.25">
      <c r="A4183" s="24" t="s">
        <v>12</v>
      </c>
      <c r="B4183" s="24" t="s">
        <v>441</v>
      </c>
      <c r="C4183" s="24" t="s">
        <v>4379</v>
      </c>
      <c r="D4183" s="24" t="s">
        <v>4442</v>
      </c>
      <c r="E4183" s="24" t="s">
        <v>4502</v>
      </c>
      <c r="F4183" s="25">
        <v>4431400</v>
      </c>
      <c r="G4183" s="24"/>
      <c r="H4183" s="24"/>
      <c r="I4183" s="26">
        <f t="shared" si="182"/>
        <v>46083</v>
      </c>
      <c r="J4183" s="27">
        <f t="shared" si="183"/>
        <v>14</v>
      </c>
      <c r="K4183" s="24" t="str">
        <f t="shared" si="184"/>
        <v>0-30</v>
      </c>
      <c r="L4183" s="11">
        <v>46097</v>
      </c>
      <c r="M4183" s="23">
        <f>YEAR(Таблица1[[#This Row],[Дата отчета]])</f>
        <v>2026</v>
      </c>
      <c r="N4183" s="24"/>
      <c r="O4183" s="24"/>
      <c r="P4183" s="24"/>
      <c r="Q4183" s="24"/>
    </row>
    <row r="4184" spans="1:17" x14ac:dyDescent="0.25">
      <c r="A4184" s="24" t="s">
        <v>12</v>
      </c>
      <c r="B4184" s="24" t="s">
        <v>441</v>
      </c>
      <c r="C4184" s="24" t="s">
        <v>4380</v>
      </c>
      <c r="D4184" s="24" t="s">
        <v>4443</v>
      </c>
      <c r="E4184" s="24" t="s">
        <v>4496</v>
      </c>
      <c r="F4184" s="25">
        <v>210542.5</v>
      </c>
      <c r="G4184" s="24"/>
      <c r="H4184" s="24"/>
      <c r="I4184" s="26">
        <f t="shared" si="182"/>
        <v>46091</v>
      </c>
      <c r="J4184" s="27">
        <f t="shared" si="183"/>
        <v>6</v>
      </c>
      <c r="K4184" s="24" t="str">
        <f t="shared" si="184"/>
        <v>0-30</v>
      </c>
      <c r="L4184" s="11">
        <v>46097</v>
      </c>
      <c r="M4184" s="23">
        <f>YEAR(Таблица1[[#This Row],[Дата отчета]])</f>
        <v>2026</v>
      </c>
      <c r="N4184" s="24"/>
      <c r="O4184" s="24"/>
      <c r="P4184" s="24"/>
      <c r="Q4184" s="24"/>
    </row>
    <row r="4185" spans="1:17" x14ac:dyDescent="0.25">
      <c r="A4185" s="24" t="s">
        <v>12</v>
      </c>
      <c r="B4185" s="24" t="s">
        <v>445</v>
      </c>
      <c r="C4185" s="24" t="s">
        <v>446</v>
      </c>
      <c r="D4185" s="24" t="s">
        <v>447</v>
      </c>
      <c r="E4185" s="24" t="s">
        <v>45</v>
      </c>
      <c r="F4185" s="25">
        <v>168000</v>
      </c>
      <c r="G4185" s="24"/>
      <c r="H4185" s="24"/>
      <c r="I4185" s="26">
        <f t="shared" si="182"/>
        <v>45938</v>
      </c>
      <c r="J4185" s="27">
        <f t="shared" si="183"/>
        <v>159</v>
      </c>
      <c r="K4185" s="24" t="str">
        <f t="shared" si="184"/>
        <v>121-180</v>
      </c>
      <c r="L4185" s="11">
        <v>46097</v>
      </c>
      <c r="M4185" s="23">
        <f>YEAR(Таблица1[[#This Row],[Дата отчета]])</f>
        <v>2026</v>
      </c>
      <c r="N4185" s="24"/>
      <c r="O4185" s="24"/>
      <c r="P4185" s="24"/>
      <c r="Q4185" s="24"/>
    </row>
    <row r="4186" spans="1:17" x14ac:dyDescent="0.25">
      <c r="A4186" s="24" t="s">
        <v>12</v>
      </c>
      <c r="B4186" s="24" t="s">
        <v>448</v>
      </c>
      <c r="C4186" s="24" t="s">
        <v>449</v>
      </c>
      <c r="D4186" s="24" t="s">
        <v>450</v>
      </c>
      <c r="E4186" s="24" t="s">
        <v>451</v>
      </c>
      <c r="F4186" s="25">
        <v>7941</v>
      </c>
      <c r="G4186" s="24"/>
      <c r="H4186" s="24"/>
      <c r="I4186" s="26">
        <f t="shared" si="182"/>
        <v>45884</v>
      </c>
      <c r="J4186" s="27">
        <f t="shared" si="183"/>
        <v>213</v>
      </c>
      <c r="K4186" s="24" t="str">
        <f t="shared" si="184"/>
        <v>181-270</v>
      </c>
      <c r="L4186" s="11">
        <v>46097</v>
      </c>
      <c r="M4186" s="23">
        <f>YEAR(Таблица1[[#This Row],[Дата отчета]])</f>
        <v>2026</v>
      </c>
      <c r="N4186" s="24"/>
      <c r="O4186" s="24"/>
      <c r="P4186" s="24"/>
      <c r="Q4186" s="24"/>
    </row>
    <row r="4187" spans="1:17" x14ac:dyDescent="0.25">
      <c r="A4187" s="24" t="s">
        <v>12</v>
      </c>
      <c r="B4187" s="24" t="s">
        <v>452</v>
      </c>
      <c r="C4187" s="24" t="s">
        <v>453</v>
      </c>
      <c r="D4187" s="24" t="s">
        <v>454</v>
      </c>
      <c r="E4187" s="24" t="s">
        <v>455</v>
      </c>
      <c r="F4187" s="25">
        <v>57500</v>
      </c>
      <c r="G4187" s="24"/>
      <c r="H4187" s="24"/>
      <c r="I4187" s="26">
        <f t="shared" si="182"/>
        <v>46080</v>
      </c>
      <c r="J4187" s="27">
        <f t="shared" si="183"/>
        <v>17</v>
      </c>
      <c r="K4187" s="24" t="str">
        <f t="shared" si="184"/>
        <v>0-30</v>
      </c>
      <c r="L4187" s="11">
        <v>46097</v>
      </c>
      <c r="M4187" s="23">
        <f>YEAR(Таблица1[[#This Row],[Дата отчета]])</f>
        <v>2026</v>
      </c>
      <c r="N4187" s="24"/>
      <c r="O4187" s="24"/>
      <c r="P4187" s="24"/>
      <c r="Q4187" s="24"/>
    </row>
    <row r="4188" spans="1:17" x14ac:dyDescent="0.25">
      <c r="A4188" s="24" t="s">
        <v>12</v>
      </c>
      <c r="B4188" s="24" t="s">
        <v>456</v>
      </c>
      <c r="C4188" s="24" t="s">
        <v>457</v>
      </c>
      <c r="D4188" s="24" t="s">
        <v>458</v>
      </c>
      <c r="E4188" s="24" t="s">
        <v>459</v>
      </c>
      <c r="F4188" s="25">
        <v>5500</v>
      </c>
      <c r="G4188" s="24"/>
      <c r="H4188" s="24"/>
      <c r="I4188" s="26">
        <f t="shared" si="182"/>
        <v>45195</v>
      </c>
      <c r="J4188" s="27">
        <f t="shared" si="183"/>
        <v>902</v>
      </c>
      <c r="K4188" s="24" t="str">
        <f t="shared" si="184"/>
        <v>&gt;360</v>
      </c>
      <c r="L4188" s="11">
        <v>46097</v>
      </c>
      <c r="M4188" s="23">
        <f>YEAR(Таблица1[[#This Row],[Дата отчета]])</f>
        <v>2026</v>
      </c>
      <c r="N4188" s="24"/>
      <c r="O4188" s="24"/>
      <c r="P4188" s="24"/>
      <c r="Q4188" s="24"/>
    </row>
    <row r="4189" spans="1:17" x14ac:dyDescent="0.25">
      <c r="A4189" s="24" t="s">
        <v>12</v>
      </c>
      <c r="B4189" s="24" t="s">
        <v>456</v>
      </c>
      <c r="C4189" s="24" t="s">
        <v>460</v>
      </c>
      <c r="D4189" s="24" t="s">
        <v>461</v>
      </c>
      <c r="E4189" s="24" t="s">
        <v>462</v>
      </c>
      <c r="F4189" s="25">
        <v>102545</v>
      </c>
      <c r="G4189" s="24"/>
      <c r="H4189" s="24"/>
      <c r="I4189" s="26">
        <f t="shared" si="182"/>
        <v>45945</v>
      </c>
      <c r="J4189" s="27">
        <f t="shared" si="183"/>
        <v>152</v>
      </c>
      <c r="K4189" s="24" t="str">
        <f t="shared" si="184"/>
        <v>121-180</v>
      </c>
      <c r="L4189" s="11">
        <v>46097</v>
      </c>
      <c r="M4189" s="23">
        <f>YEAR(Таблица1[[#This Row],[Дата отчета]])</f>
        <v>2026</v>
      </c>
      <c r="N4189" s="24"/>
      <c r="O4189" s="24"/>
      <c r="P4189" s="24"/>
      <c r="Q4189" s="24"/>
    </row>
    <row r="4190" spans="1:17" x14ac:dyDescent="0.25">
      <c r="A4190" s="24" t="s">
        <v>12</v>
      </c>
      <c r="B4190" s="24" t="s">
        <v>2132</v>
      </c>
      <c r="C4190" s="24" t="s">
        <v>4519</v>
      </c>
      <c r="D4190" s="24" t="s">
        <v>4527</v>
      </c>
      <c r="E4190" s="24" t="s">
        <v>4534</v>
      </c>
      <c r="F4190" s="25">
        <v>873000</v>
      </c>
      <c r="G4190" s="24"/>
      <c r="H4190" s="24"/>
      <c r="I4190" s="26">
        <f t="shared" si="182"/>
        <v>46094</v>
      </c>
      <c r="J4190" s="27">
        <f t="shared" si="183"/>
        <v>3</v>
      </c>
      <c r="K4190" s="24" t="str">
        <f t="shared" si="184"/>
        <v>0-30</v>
      </c>
      <c r="L4190" s="11">
        <v>46097</v>
      </c>
      <c r="M4190" s="23">
        <f>YEAR(Таблица1[[#This Row],[Дата отчета]])</f>
        <v>2026</v>
      </c>
      <c r="N4190" s="24"/>
      <c r="O4190" s="24"/>
      <c r="P4190" s="24"/>
      <c r="Q4190" s="24"/>
    </row>
    <row r="4191" spans="1:17" x14ac:dyDescent="0.25">
      <c r="A4191" s="24" t="s">
        <v>12</v>
      </c>
      <c r="B4191" s="24" t="s">
        <v>463</v>
      </c>
      <c r="C4191" s="24" t="s">
        <v>464</v>
      </c>
      <c r="D4191" s="24" t="s">
        <v>465</v>
      </c>
      <c r="E4191" s="24" t="s">
        <v>466</v>
      </c>
      <c r="F4191" s="25">
        <v>2760000</v>
      </c>
      <c r="G4191" s="24"/>
      <c r="H4191" s="24"/>
      <c r="I4191" s="26">
        <f t="shared" si="182"/>
        <v>45986</v>
      </c>
      <c r="J4191" s="27">
        <f t="shared" si="183"/>
        <v>111</v>
      </c>
      <c r="K4191" s="24" t="str">
        <f t="shared" si="184"/>
        <v>91-120</v>
      </c>
      <c r="L4191" s="11">
        <v>46097</v>
      </c>
      <c r="M4191" s="23">
        <f>YEAR(Таблица1[[#This Row],[Дата отчета]])</f>
        <v>2026</v>
      </c>
      <c r="N4191" s="24"/>
      <c r="O4191" s="24"/>
      <c r="P4191" s="24"/>
      <c r="Q4191" s="24"/>
    </row>
    <row r="4192" spans="1:17" x14ac:dyDescent="0.25">
      <c r="A4192" s="24" t="s">
        <v>12</v>
      </c>
      <c r="B4192" s="24" t="s">
        <v>463</v>
      </c>
      <c r="C4192" s="24" t="s">
        <v>464</v>
      </c>
      <c r="D4192" s="24" t="s">
        <v>4444</v>
      </c>
      <c r="E4192" s="24" t="s">
        <v>4501</v>
      </c>
      <c r="F4192" s="25">
        <v>11040000</v>
      </c>
      <c r="G4192" s="24"/>
      <c r="H4192" s="24"/>
      <c r="I4192" s="26">
        <f t="shared" si="182"/>
        <v>46084</v>
      </c>
      <c r="J4192" s="27">
        <f t="shared" si="183"/>
        <v>13</v>
      </c>
      <c r="K4192" s="24" t="str">
        <f t="shared" si="184"/>
        <v>0-30</v>
      </c>
      <c r="L4192" s="11">
        <v>46097</v>
      </c>
      <c r="M4192" s="23">
        <f>YEAR(Таблица1[[#This Row],[Дата отчета]])</f>
        <v>2026</v>
      </c>
      <c r="N4192" s="24"/>
      <c r="O4192" s="24"/>
      <c r="P4192" s="24"/>
      <c r="Q4192" s="24"/>
    </row>
    <row r="4193" spans="1:17" x14ac:dyDescent="0.25">
      <c r="A4193" s="24" t="s">
        <v>12</v>
      </c>
      <c r="B4193" s="24" t="s">
        <v>467</v>
      </c>
      <c r="C4193" s="24" t="s">
        <v>468</v>
      </c>
      <c r="D4193" s="24" t="s">
        <v>469</v>
      </c>
      <c r="E4193" s="24" t="s">
        <v>470</v>
      </c>
      <c r="F4193" s="25">
        <v>2000</v>
      </c>
      <c r="G4193" s="24"/>
      <c r="H4193" s="24"/>
      <c r="I4193" s="26">
        <f t="shared" si="182"/>
        <v>44551</v>
      </c>
      <c r="J4193" s="27">
        <f t="shared" si="183"/>
        <v>1546</v>
      </c>
      <c r="K4193" s="24" t="str">
        <f t="shared" si="184"/>
        <v>&gt;360</v>
      </c>
      <c r="L4193" s="11">
        <v>46097</v>
      </c>
      <c r="M4193" s="23">
        <f>YEAR(Таблица1[[#This Row],[Дата отчета]])</f>
        <v>2026</v>
      </c>
      <c r="N4193" s="24"/>
      <c r="O4193" s="24"/>
      <c r="P4193" s="24"/>
      <c r="Q4193" s="24"/>
    </row>
    <row r="4194" spans="1:17" x14ac:dyDescent="0.25">
      <c r="A4194" s="24" t="s">
        <v>12</v>
      </c>
      <c r="B4194" s="24" t="s">
        <v>467</v>
      </c>
      <c r="C4194" s="24" t="s">
        <v>4381</v>
      </c>
      <c r="D4194" s="24" t="s">
        <v>4445</v>
      </c>
      <c r="E4194" s="24" t="s">
        <v>4498</v>
      </c>
      <c r="F4194" s="25">
        <v>285343.27</v>
      </c>
      <c r="G4194" s="24"/>
      <c r="H4194" s="24"/>
      <c r="I4194" s="26">
        <f t="shared" si="182"/>
        <v>46093</v>
      </c>
      <c r="J4194" s="27">
        <f t="shared" si="183"/>
        <v>4</v>
      </c>
      <c r="K4194" s="24" t="str">
        <f t="shared" si="184"/>
        <v>0-30</v>
      </c>
      <c r="L4194" s="11">
        <v>46097</v>
      </c>
      <c r="M4194" s="23">
        <f>YEAR(Таблица1[[#This Row],[Дата отчета]])</f>
        <v>2026</v>
      </c>
      <c r="N4194" s="24"/>
      <c r="O4194" s="24"/>
      <c r="P4194" s="24"/>
      <c r="Q4194" s="24"/>
    </row>
    <row r="4195" spans="1:17" x14ac:dyDescent="0.25">
      <c r="A4195" s="24" t="s">
        <v>12</v>
      </c>
      <c r="B4195" s="24" t="s">
        <v>471</v>
      </c>
      <c r="C4195" s="24" t="s">
        <v>472</v>
      </c>
      <c r="D4195" s="24" t="s">
        <v>473</v>
      </c>
      <c r="E4195" s="24" t="s">
        <v>429</v>
      </c>
      <c r="F4195" s="25">
        <v>25866</v>
      </c>
      <c r="G4195" s="24"/>
      <c r="H4195" s="24"/>
      <c r="I4195" s="26">
        <f t="shared" si="182"/>
        <v>45897</v>
      </c>
      <c r="J4195" s="27">
        <f t="shared" si="183"/>
        <v>200</v>
      </c>
      <c r="K4195" s="24" t="str">
        <f t="shared" si="184"/>
        <v>181-270</v>
      </c>
      <c r="L4195" s="11">
        <v>46097</v>
      </c>
      <c r="M4195" s="23">
        <f>YEAR(Таблица1[[#This Row],[Дата отчета]])</f>
        <v>2026</v>
      </c>
      <c r="N4195" s="24"/>
      <c r="O4195" s="24"/>
      <c r="P4195" s="24"/>
      <c r="Q4195" s="24"/>
    </row>
    <row r="4196" spans="1:17" x14ac:dyDescent="0.25">
      <c r="A4196" s="24" t="s">
        <v>12</v>
      </c>
      <c r="B4196" s="24" t="s">
        <v>474</v>
      </c>
      <c r="C4196" s="24" t="s">
        <v>475</v>
      </c>
      <c r="D4196" s="24" t="s">
        <v>476</v>
      </c>
      <c r="E4196" s="24" t="s">
        <v>477</v>
      </c>
      <c r="F4196" s="25">
        <v>300</v>
      </c>
      <c r="G4196" s="24"/>
      <c r="H4196" s="24"/>
      <c r="I4196" s="26">
        <f t="shared" si="182"/>
        <v>45401</v>
      </c>
      <c r="J4196" s="27">
        <f t="shared" si="183"/>
        <v>696</v>
      </c>
      <c r="K4196" s="24" t="str">
        <f t="shared" si="184"/>
        <v>&gt;360</v>
      </c>
      <c r="L4196" s="11">
        <v>46097</v>
      </c>
      <c r="M4196" s="23">
        <f>YEAR(Таблица1[[#This Row],[Дата отчета]])</f>
        <v>2026</v>
      </c>
      <c r="N4196" s="24"/>
      <c r="O4196" s="24"/>
      <c r="P4196" s="24"/>
      <c r="Q4196" s="24"/>
    </row>
    <row r="4197" spans="1:17" x14ac:dyDescent="0.25">
      <c r="A4197" s="24" t="s">
        <v>12</v>
      </c>
      <c r="B4197" s="24" t="s">
        <v>481</v>
      </c>
      <c r="C4197" s="24" t="s">
        <v>482</v>
      </c>
      <c r="D4197" s="24" t="s">
        <v>483</v>
      </c>
      <c r="E4197" s="24" t="s">
        <v>70</v>
      </c>
      <c r="F4197" s="25">
        <v>0.02</v>
      </c>
      <c r="G4197" s="24"/>
      <c r="H4197" s="24"/>
      <c r="I4197" s="26">
        <f t="shared" si="182"/>
        <v>45979</v>
      </c>
      <c r="J4197" s="27">
        <f t="shared" si="183"/>
        <v>118</v>
      </c>
      <c r="K4197" s="24" t="str">
        <f t="shared" si="184"/>
        <v>91-120</v>
      </c>
      <c r="L4197" s="11">
        <v>46097</v>
      </c>
      <c r="M4197" s="23">
        <f>YEAR(Таблица1[[#This Row],[Дата отчета]])</f>
        <v>2026</v>
      </c>
      <c r="N4197" s="24"/>
      <c r="O4197" s="24"/>
      <c r="P4197" s="24"/>
      <c r="Q4197" s="24"/>
    </row>
    <row r="4198" spans="1:17" x14ac:dyDescent="0.25">
      <c r="A4198" s="24" t="s">
        <v>12</v>
      </c>
      <c r="B4198" s="24" t="s">
        <v>481</v>
      </c>
      <c r="C4198" s="24" t="s">
        <v>484</v>
      </c>
      <c r="D4198" s="24" t="s">
        <v>485</v>
      </c>
      <c r="E4198" s="24" t="s">
        <v>486</v>
      </c>
      <c r="F4198" s="25">
        <v>0.01</v>
      </c>
      <c r="G4198" s="24"/>
      <c r="H4198" s="24"/>
      <c r="I4198" s="26">
        <f t="shared" si="182"/>
        <v>45848</v>
      </c>
      <c r="J4198" s="27">
        <f t="shared" si="183"/>
        <v>249</v>
      </c>
      <c r="K4198" s="24" t="str">
        <f t="shared" si="184"/>
        <v>181-270</v>
      </c>
      <c r="L4198" s="11">
        <v>46097</v>
      </c>
      <c r="M4198" s="23">
        <f>YEAR(Таблица1[[#This Row],[Дата отчета]])</f>
        <v>2026</v>
      </c>
      <c r="N4198" s="24"/>
      <c r="O4198" s="24"/>
      <c r="P4198" s="24"/>
      <c r="Q4198" s="24"/>
    </row>
    <row r="4199" spans="1:17" x14ac:dyDescent="0.25">
      <c r="A4199" s="24" t="s">
        <v>12</v>
      </c>
      <c r="B4199" s="24" t="s">
        <v>487</v>
      </c>
      <c r="C4199" s="24" t="s">
        <v>488</v>
      </c>
      <c r="D4199" s="24" t="s">
        <v>489</v>
      </c>
      <c r="E4199" s="24" t="s">
        <v>490</v>
      </c>
      <c r="F4199" s="25">
        <v>299500</v>
      </c>
      <c r="G4199" s="24"/>
      <c r="H4199" s="24"/>
      <c r="I4199" s="26">
        <f t="shared" si="182"/>
        <v>45631</v>
      </c>
      <c r="J4199" s="27">
        <f t="shared" si="183"/>
        <v>466</v>
      </c>
      <c r="K4199" s="24" t="str">
        <f t="shared" si="184"/>
        <v>&gt;360</v>
      </c>
      <c r="L4199" s="11">
        <v>46097</v>
      </c>
      <c r="M4199" s="23">
        <f>YEAR(Таблица1[[#This Row],[Дата отчета]])</f>
        <v>2026</v>
      </c>
      <c r="N4199" s="7" t="s">
        <v>4554</v>
      </c>
      <c r="O4199" s="24"/>
      <c r="P4199" s="24"/>
      <c r="Q4199" s="24"/>
    </row>
    <row r="4200" spans="1:17" x14ac:dyDescent="0.25">
      <c r="A4200" s="24" t="s">
        <v>12</v>
      </c>
      <c r="B4200" s="24" t="s">
        <v>491</v>
      </c>
      <c r="C4200" s="24" t="s">
        <v>492</v>
      </c>
      <c r="D4200" s="24" t="s">
        <v>493</v>
      </c>
      <c r="E4200" s="24" t="s">
        <v>165</v>
      </c>
      <c r="F4200" s="25">
        <v>23700000</v>
      </c>
      <c r="G4200" s="24"/>
      <c r="H4200" s="24"/>
      <c r="I4200" s="26">
        <f t="shared" si="182"/>
        <v>46073</v>
      </c>
      <c r="J4200" s="27">
        <f t="shared" si="183"/>
        <v>24</v>
      </c>
      <c r="K4200" s="24" t="str">
        <f t="shared" si="184"/>
        <v>0-30</v>
      </c>
      <c r="L4200" s="11">
        <v>46097</v>
      </c>
      <c r="M4200" s="23">
        <f>YEAR(Таблица1[[#This Row],[Дата отчета]])</f>
        <v>2026</v>
      </c>
      <c r="N4200" s="24"/>
      <c r="O4200" s="24"/>
      <c r="P4200" s="24"/>
      <c r="Q4200" s="24"/>
    </row>
    <row r="4201" spans="1:17" x14ac:dyDescent="0.25">
      <c r="A4201" s="24" t="s">
        <v>12</v>
      </c>
      <c r="B4201" s="24" t="s">
        <v>494</v>
      </c>
      <c r="C4201" s="24" t="s">
        <v>495</v>
      </c>
      <c r="D4201" s="24" t="s">
        <v>496</v>
      </c>
      <c r="E4201" s="24" t="s">
        <v>497</v>
      </c>
      <c r="F4201" s="25">
        <v>23544</v>
      </c>
      <c r="G4201" s="24"/>
      <c r="H4201" s="24"/>
      <c r="I4201" s="26">
        <f t="shared" si="182"/>
        <v>45875</v>
      </c>
      <c r="J4201" s="27">
        <f t="shared" si="183"/>
        <v>222</v>
      </c>
      <c r="K4201" s="24" t="str">
        <f t="shared" si="184"/>
        <v>181-270</v>
      </c>
      <c r="L4201" s="11">
        <v>46097</v>
      </c>
      <c r="M4201" s="23">
        <f>YEAR(Таблица1[[#This Row],[Дата отчета]])</f>
        <v>2026</v>
      </c>
      <c r="N4201" s="24"/>
      <c r="O4201" s="24"/>
      <c r="P4201" s="24"/>
      <c r="Q4201" s="24"/>
    </row>
    <row r="4202" spans="1:17" x14ac:dyDescent="0.25">
      <c r="A4202" s="24" t="s">
        <v>12</v>
      </c>
      <c r="B4202" s="24" t="s">
        <v>498</v>
      </c>
      <c r="C4202" s="24" t="s">
        <v>499</v>
      </c>
      <c r="D4202" s="24" t="s">
        <v>500</v>
      </c>
      <c r="E4202" s="24" t="s">
        <v>501</v>
      </c>
      <c r="F4202" s="25">
        <v>28000</v>
      </c>
      <c r="G4202" s="24"/>
      <c r="H4202" s="24"/>
      <c r="I4202" s="26">
        <f t="shared" si="182"/>
        <v>45940</v>
      </c>
      <c r="J4202" s="27">
        <f t="shared" si="183"/>
        <v>157</v>
      </c>
      <c r="K4202" s="24" t="str">
        <f t="shared" si="184"/>
        <v>121-180</v>
      </c>
      <c r="L4202" s="11">
        <v>46097</v>
      </c>
      <c r="M4202" s="23">
        <f>YEAR(Таблица1[[#This Row],[Дата отчета]])</f>
        <v>2026</v>
      </c>
      <c r="N4202" s="24"/>
      <c r="O4202" s="24"/>
      <c r="P4202" s="24"/>
      <c r="Q4202" s="24"/>
    </row>
    <row r="4203" spans="1:17" x14ac:dyDescent="0.25">
      <c r="A4203" s="24" t="s">
        <v>12</v>
      </c>
      <c r="B4203" s="24" t="s">
        <v>502</v>
      </c>
      <c r="C4203" s="24" t="s">
        <v>503</v>
      </c>
      <c r="D4203" s="24" t="s">
        <v>504</v>
      </c>
      <c r="E4203" s="24" t="s">
        <v>505</v>
      </c>
      <c r="F4203" s="25">
        <v>1334.4</v>
      </c>
      <c r="G4203" s="24"/>
      <c r="H4203" s="24"/>
      <c r="I4203" s="26">
        <f t="shared" si="182"/>
        <v>45587</v>
      </c>
      <c r="J4203" s="27">
        <f t="shared" si="183"/>
        <v>510</v>
      </c>
      <c r="K4203" s="24" t="str">
        <f t="shared" si="184"/>
        <v>&gt;360</v>
      </c>
      <c r="L4203" s="11">
        <v>46097</v>
      </c>
      <c r="M4203" s="23">
        <f>YEAR(Таблица1[[#This Row],[Дата отчета]])</f>
        <v>2026</v>
      </c>
      <c r="N4203" s="7" t="s">
        <v>4538</v>
      </c>
      <c r="O4203" s="24"/>
      <c r="P4203" s="24"/>
      <c r="Q4203" s="24"/>
    </row>
    <row r="4204" spans="1:17" x14ac:dyDescent="0.25">
      <c r="A4204" s="24" t="s">
        <v>12</v>
      </c>
      <c r="B4204" s="24" t="s">
        <v>502</v>
      </c>
      <c r="C4204" s="24" t="s">
        <v>506</v>
      </c>
      <c r="D4204" s="24" t="s">
        <v>507</v>
      </c>
      <c r="E4204" s="24" t="s">
        <v>508</v>
      </c>
      <c r="F4204" s="25">
        <v>6990</v>
      </c>
      <c r="G4204" s="24"/>
      <c r="H4204" s="24"/>
      <c r="I4204" s="26">
        <f t="shared" si="182"/>
        <v>45593</v>
      </c>
      <c r="J4204" s="27">
        <f t="shared" si="183"/>
        <v>504</v>
      </c>
      <c r="K4204" s="24" t="str">
        <f t="shared" si="184"/>
        <v>&gt;360</v>
      </c>
      <c r="L4204" s="11">
        <v>46097</v>
      </c>
      <c r="M4204" s="23">
        <f>YEAR(Таблица1[[#This Row],[Дата отчета]])</f>
        <v>2026</v>
      </c>
      <c r="N4204" s="7" t="s">
        <v>4538</v>
      </c>
      <c r="O4204" s="24"/>
      <c r="P4204" s="24"/>
      <c r="Q4204" s="24"/>
    </row>
    <row r="4205" spans="1:17" x14ac:dyDescent="0.25">
      <c r="A4205" s="24" t="s">
        <v>12</v>
      </c>
      <c r="B4205" s="24" t="s">
        <v>509</v>
      </c>
      <c r="C4205" s="24" t="s">
        <v>510</v>
      </c>
      <c r="D4205" s="24" t="s">
        <v>511</v>
      </c>
      <c r="E4205" s="24" t="s">
        <v>70</v>
      </c>
      <c r="F4205" s="25">
        <v>300000</v>
      </c>
      <c r="G4205" s="24"/>
      <c r="H4205" s="24"/>
      <c r="I4205" s="26">
        <f t="shared" ref="I4205:I4268" si="185">E4205*1</f>
        <v>45979</v>
      </c>
      <c r="J4205" s="27">
        <f t="shared" ref="J4205:J4268" si="186">L4205-I4205</f>
        <v>118</v>
      </c>
      <c r="K4205" s="24" t="str">
        <f t="shared" ref="K4205:K4268" si="187">IF(J4205&lt;=30,"0-30",IF(J4205&lt;=90,"31-90",IF(J4205&lt;=120,"91-120",IF(J4205&lt;=180,"121-180",IF(J4205&lt;=270,"181-270",IF(J4205&lt;=360,"271-360","&gt;360"))))))</f>
        <v>91-120</v>
      </c>
      <c r="L4205" s="11">
        <v>46097</v>
      </c>
      <c r="M4205" s="23">
        <f>YEAR(Таблица1[[#This Row],[Дата отчета]])</f>
        <v>2026</v>
      </c>
      <c r="N4205" s="24"/>
      <c r="O4205" s="24"/>
      <c r="P4205" s="24"/>
      <c r="Q4205" s="24"/>
    </row>
    <row r="4206" spans="1:17" x14ac:dyDescent="0.25">
      <c r="A4206" s="24" t="s">
        <v>12</v>
      </c>
      <c r="B4206" s="24" t="s">
        <v>512</v>
      </c>
      <c r="C4206" s="24" t="s">
        <v>513</v>
      </c>
      <c r="D4206" s="24" t="s">
        <v>514</v>
      </c>
      <c r="E4206" s="24" t="s">
        <v>183</v>
      </c>
      <c r="F4206" s="25">
        <v>24500</v>
      </c>
      <c r="G4206" s="24"/>
      <c r="H4206" s="24"/>
      <c r="I4206" s="26">
        <f t="shared" si="185"/>
        <v>45817</v>
      </c>
      <c r="J4206" s="27">
        <f t="shared" si="186"/>
        <v>280</v>
      </c>
      <c r="K4206" s="24" t="str">
        <f t="shared" si="187"/>
        <v>271-360</v>
      </c>
      <c r="L4206" s="11">
        <v>46097</v>
      </c>
      <c r="M4206" s="23">
        <f>YEAR(Таблица1[[#This Row],[Дата отчета]])</f>
        <v>2026</v>
      </c>
      <c r="N4206" s="24"/>
      <c r="O4206" s="24"/>
      <c r="P4206" s="24"/>
      <c r="Q4206" s="24"/>
    </row>
    <row r="4207" spans="1:17" x14ac:dyDescent="0.25">
      <c r="A4207" s="24" t="s">
        <v>12</v>
      </c>
      <c r="B4207" s="24" t="s">
        <v>512</v>
      </c>
      <c r="C4207" s="24" t="s">
        <v>515</v>
      </c>
      <c r="D4207" s="24" t="s">
        <v>516</v>
      </c>
      <c r="E4207" s="24" t="s">
        <v>517</v>
      </c>
      <c r="F4207" s="25">
        <v>58485</v>
      </c>
      <c r="G4207" s="24"/>
      <c r="H4207" s="24"/>
      <c r="I4207" s="26">
        <f t="shared" si="185"/>
        <v>45797</v>
      </c>
      <c r="J4207" s="27">
        <f t="shared" si="186"/>
        <v>300</v>
      </c>
      <c r="K4207" s="24" t="str">
        <f t="shared" si="187"/>
        <v>271-360</v>
      </c>
      <c r="L4207" s="11">
        <v>46097</v>
      </c>
      <c r="M4207" s="23">
        <f>YEAR(Таблица1[[#This Row],[Дата отчета]])</f>
        <v>2026</v>
      </c>
      <c r="N4207" s="24"/>
      <c r="O4207" s="24"/>
      <c r="P4207" s="24"/>
      <c r="Q4207" s="24"/>
    </row>
    <row r="4208" spans="1:17" x14ac:dyDescent="0.25">
      <c r="A4208" s="24" t="s">
        <v>12</v>
      </c>
      <c r="B4208" s="24" t="s">
        <v>512</v>
      </c>
      <c r="C4208" s="24" t="s">
        <v>518</v>
      </c>
      <c r="D4208" s="24" t="s">
        <v>519</v>
      </c>
      <c r="E4208" s="24" t="s">
        <v>520</v>
      </c>
      <c r="F4208" s="25">
        <v>2690</v>
      </c>
      <c r="G4208" s="24"/>
      <c r="H4208" s="24"/>
      <c r="I4208" s="26">
        <f t="shared" si="185"/>
        <v>45811</v>
      </c>
      <c r="J4208" s="27">
        <f t="shared" si="186"/>
        <v>286</v>
      </c>
      <c r="K4208" s="24" t="str">
        <f t="shared" si="187"/>
        <v>271-360</v>
      </c>
      <c r="L4208" s="11">
        <v>46097</v>
      </c>
      <c r="M4208" s="23">
        <f>YEAR(Таблица1[[#This Row],[Дата отчета]])</f>
        <v>2026</v>
      </c>
      <c r="N4208" s="24"/>
      <c r="O4208" s="24"/>
      <c r="P4208" s="24"/>
      <c r="Q4208" s="24"/>
    </row>
    <row r="4209" spans="1:17" x14ac:dyDescent="0.25">
      <c r="A4209" s="24" t="s">
        <v>12</v>
      </c>
      <c r="B4209" s="24" t="s">
        <v>512</v>
      </c>
      <c r="C4209" s="24" t="s">
        <v>521</v>
      </c>
      <c r="D4209" s="24" t="s">
        <v>522</v>
      </c>
      <c r="E4209" s="24" t="s">
        <v>83</v>
      </c>
      <c r="F4209" s="25">
        <v>16020</v>
      </c>
      <c r="G4209" s="24"/>
      <c r="H4209" s="24"/>
      <c r="I4209" s="26">
        <f t="shared" si="185"/>
        <v>45852</v>
      </c>
      <c r="J4209" s="27">
        <f t="shared" si="186"/>
        <v>245</v>
      </c>
      <c r="K4209" s="24" t="str">
        <f t="shared" si="187"/>
        <v>181-270</v>
      </c>
      <c r="L4209" s="11">
        <v>46097</v>
      </c>
      <c r="M4209" s="23">
        <f>YEAR(Таблица1[[#This Row],[Дата отчета]])</f>
        <v>2026</v>
      </c>
      <c r="N4209" s="24"/>
      <c r="O4209" s="24"/>
      <c r="P4209" s="24"/>
      <c r="Q4209" s="24"/>
    </row>
    <row r="4210" spans="1:17" x14ac:dyDescent="0.25">
      <c r="A4210" s="24" t="s">
        <v>12</v>
      </c>
      <c r="B4210" s="24" t="s">
        <v>512</v>
      </c>
      <c r="C4210" s="24" t="s">
        <v>523</v>
      </c>
      <c r="D4210" s="24" t="s">
        <v>524</v>
      </c>
      <c r="E4210" s="24" t="s">
        <v>525</v>
      </c>
      <c r="F4210" s="25">
        <v>29748</v>
      </c>
      <c r="G4210" s="24"/>
      <c r="H4210" s="24"/>
      <c r="I4210" s="26">
        <f t="shared" si="185"/>
        <v>45954</v>
      </c>
      <c r="J4210" s="27">
        <f t="shared" si="186"/>
        <v>143</v>
      </c>
      <c r="K4210" s="24" t="str">
        <f t="shared" si="187"/>
        <v>121-180</v>
      </c>
      <c r="L4210" s="11">
        <v>46097</v>
      </c>
      <c r="M4210" s="23">
        <f>YEAR(Таблица1[[#This Row],[Дата отчета]])</f>
        <v>2026</v>
      </c>
      <c r="N4210" s="24"/>
      <c r="O4210" s="24"/>
      <c r="P4210" s="24"/>
      <c r="Q4210" s="24"/>
    </row>
    <row r="4211" spans="1:17" x14ac:dyDescent="0.25">
      <c r="A4211" s="24" t="s">
        <v>12</v>
      </c>
      <c r="B4211" s="24" t="s">
        <v>526</v>
      </c>
      <c r="C4211" s="24" t="s">
        <v>269</v>
      </c>
      <c r="D4211" s="24" t="s">
        <v>527</v>
      </c>
      <c r="E4211" s="24" t="s">
        <v>528</v>
      </c>
      <c r="F4211" s="25">
        <v>1348876.52</v>
      </c>
      <c r="G4211" s="24"/>
      <c r="H4211" s="24"/>
      <c r="I4211" s="26">
        <f t="shared" si="185"/>
        <v>45985</v>
      </c>
      <c r="J4211" s="27">
        <f t="shared" si="186"/>
        <v>112</v>
      </c>
      <c r="K4211" s="24" t="str">
        <f t="shared" si="187"/>
        <v>91-120</v>
      </c>
      <c r="L4211" s="11">
        <v>46097</v>
      </c>
      <c r="M4211" s="23">
        <f>YEAR(Таблица1[[#This Row],[Дата отчета]])</f>
        <v>2026</v>
      </c>
      <c r="N4211" s="24"/>
      <c r="O4211" s="24"/>
      <c r="P4211" s="24"/>
      <c r="Q4211" s="24"/>
    </row>
    <row r="4212" spans="1:17" x14ac:dyDescent="0.25">
      <c r="A4212" s="24" t="s">
        <v>12</v>
      </c>
      <c r="B4212" s="24" t="s">
        <v>526</v>
      </c>
      <c r="C4212" s="24" t="s">
        <v>269</v>
      </c>
      <c r="D4212" s="24" t="s">
        <v>4446</v>
      </c>
      <c r="E4212" s="24" t="s">
        <v>4497</v>
      </c>
      <c r="F4212" s="25">
        <v>3978834.48</v>
      </c>
      <c r="G4212" s="24"/>
      <c r="H4212" s="24"/>
      <c r="I4212" s="26">
        <f t="shared" si="185"/>
        <v>46086</v>
      </c>
      <c r="J4212" s="27">
        <f t="shared" si="186"/>
        <v>11</v>
      </c>
      <c r="K4212" s="24" t="str">
        <f t="shared" si="187"/>
        <v>0-30</v>
      </c>
      <c r="L4212" s="11">
        <v>46097</v>
      </c>
      <c r="M4212" s="23">
        <f>YEAR(Таблица1[[#This Row],[Дата отчета]])</f>
        <v>2026</v>
      </c>
      <c r="N4212" s="24"/>
      <c r="O4212" s="24"/>
      <c r="P4212" s="24"/>
      <c r="Q4212" s="24"/>
    </row>
    <row r="4213" spans="1:17" x14ac:dyDescent="0.25">
      <c r="A4213" s="24" t="s">
        <v>12</v>
      </c>
      <c r="B4213" s="24" t="s">
        <v>529</v>
      </c>
      <c r="C4213" s="24" t="s">
        <v>530</v>
      </c>
      <c r="D4213" s="24" t="s">
        <v>531</v>
      </c>
      <c r="E4213" s="24" t="s">
        <v>532</v>
      </c>
      <c r="F4213" s="25">
        <v>5900</v>
      </c>
      <c r="G4213" s="24"/>
      <c r="H4213" s="24"/>
      <c r="I4213" s="26">
        <f t="shared" si="185"/>
        <v>45813</v>
      </c>
      <c r="J4213" s="27">
        <f t="shared" si="186"/>
        <v>284</v>
      </c>
      <c r="K4213" s="24" t="str">
        <f t="shared" si="187"/>
        <v>271-360</v>
      </c>
      <c r="L4213" s="11">
        <v>46097</v>
      </c>
      <c r="M4213" s="23">
        <f>YEAR(Таблица1[[#This Row],[Дата отчета]])</f>
        <v>2026</v>
      </c>
      <c r="N4213" s="24"/>
      <c r="O4213" s="24"/>
      <c r="P4213" s="24"/>
      <c r="Q4213" s="24"/>
    </row>
    <row r="4214" spans="1:17" x14ac:dyDescent="0.25">
      <c r="A4214" s="24" t="s">
        <v>12</v>
      </c>
      <c r="B4214" s="24" t="s">
        <v>529</v>
      </c>
      <c r="C4214" s="24" t="s">
        <v>533</v>
      </c>
      <c r="D4214" s="24" t="s">
        <v>534</v>
      </c>
      <c r="E4214" s="24" t="s">
        <v>535</v>
      </c>
      <c r="F4214" s="25">
        <v>76000</v>
      </c>
      <c r="G4214" s="24"/>
      <c r="H4214" s="24"/>
      <c r="I4214" s="26">
        <f t="shared" si="185"/>
        <v>45796</v>
      </c>
      <c r="J4214" s="27">
        <f t="shared" si="186"/>
        <v>301</v>
      </c>
      <c r="K4214" s="24" t="str">
        <f t="shared" si="187"/>
        <v>271-360</v>
      </c>
      <c r="L4214" s="11">
        <v>46097</v>
      </c>
      <c r="M4214" s="23">
        <f>YEAR(Таблица1[[#This Row],[Дата отчета]])</f>
        <v>2026</v>
      </c>
      <c r="N4214" s="24"/>
      <c r="O4214" s="24"/>
      <c r="P4214" s="24"/>
      <c r="Q4214" s="24"/>
    </row>
    <row r="4215" spans="1:17" x14ac:dyDescent="0.25">
      <c r="A4215" s="24" t="s">
        <v>12</v>
      </c>
      <c r="B4215" s="24" t="s">
        <v>536</v>
      </c>
      <c r="C4215" s="24" t="s">
        <v>537</v>
      </c>
      <c r="D4215" s="24" t="s">
        <v>538</v>
      </c>
      <c r="E4215" s="24" t="s">
        <v>91</v>
      </c>
      <c r="F4215" s="25">
        <v>9000</v>
      </c>
      <c r="G4215" s="24"/>
      <c r="H4215" s="24"/>
      <c r="I4215" s="26">
        <f t="shared" si="185"/>
        <v>45723</v>
      </c>
      <c r="J4215" s="27">
        <f t="shared" si="186"/>
        <v>374</v>
      </c>
      <c r="K4215" s="24" t="str">
        <f t="shared" si="187"/>
        <v>&gt;360</v>
      </c>
      <c r="L4215" s="11">
        <v>46097</v>
      </c>
      <c r="M4215" s="23">
        <f>YEAR(Таблица1[[#This Row],[Дата отчета]])</f>
        <v>2026</v>
      </c>
      <c r="N4215" s="2" t="s">
        <v>807</v>
      </c>
      <c r="O4215" s="24"/>
      <c r="P4215" s="24"/>
      <c r="Q4215" s="24"/>
    </row>
    <row r="4216" spans="1:17" x14ac:dyDescent="0.25">
      <c r="A4216" s="24" t="s">
        <v>12</v>
      </c>
      <c r="B4216" s="24" t="s">
        <v>539</v>
      </c>
      <c r="C4216" s="24" t="s">
        <v>540</v>
      </c>
      <c r="D4216" s="24" t="s">
        <v>541</v>
      </c>
      <c r="E4216" s="24" t="s">
        <v>87</v>
      </c>
      <c r="F4216" s="25">
        <v>23320</v>
      </c>
      <c r="G4216" s="24"/>
      <c r="H4216" s="24"/>
      <c r="I4216" s="26">
        <f t="shared" si="185"/>
        <v>46020</v>
      </c>
      <c r="J4216" s="27">
        <f t="shared" si="186"/>
        <v>77</v>
      </c>
      <c r="K4216" s="24" t="str">
        <f t="shared" si="187"/>
        <v>31-90</v>
      </c>
      <c r="L4216" s="11">
        <v>46097</v>
      </c>
      <c r="M4216" s="23">
        <f>YEAR(Таблица1[[#This Row],[Дата отчета]])</f>
        <v>2026</v>
      </c>
      <c r="N4216" s="24"/>
      <c r="O4216" s="24"/>
      <c r="P4216" s="24"/>
      <c r="Q4216" s="24"/>
    </row>
    <row r="4217" spans="1:17" x14ac:dyDescent="0.25">
      <c r="A4217" s="24" t="s">
        <v>12</v>
      </c>
      <c r="B4217" s="24" t="s">
        <v>539</v>
      </c>
      <c r="C4217" s="24" t="s">
        <v>542</v>
      </c>
      <c r="D4217" s="24" t="s">
        <v>543</v>
      </c>
      <c r="E4217" s="24" t="s">
        <v>392</v>
      </c>
      <c r="F4217" s="25">
        <v>427500</v>
      </c>
      <c r="G4217" s="24"/>
      <c r="H4217" s="24"/>
      <c r="I4217" s="26">
        <f t="shared" si="185"/>
        <v>45952</v>
      </c>
      <c r="J4217" s="27">
        <f t="shared" si="186"/>
        <v>145</v>
      </c>
      <c r="K4217" s="24" t="str">
        <f t="shared" si="187"/>
        <v>121-180</v>
      </c>
      <c r="L4217" s="11">
        <v>46097</v>
      </c>
      <c r="M4217" s="23">
        <f>YEAR(Таблица1[[#This Row],[Дата отчета]])</f>
        <v>2026</v>
      </c>
      <c r="N4217" s="24"/>
      <c r="O4217" s="24"/>
      <c r="P4217" s="24"/>
      <c r="Q4217" s="24"/>
    </row>
    <row r="4218" spans="1:17" x14ac:dyDescent="0.25">
      <c r="A4218" s="24" t="s">
        <v>12</v>
      </c>
      <c r="B4218" s="24" t="s">
        <v>544</v>
      </c>
      <c r="C4218" s="24" t="s">
        <v>545</v>
      </c>
      <c r="D4218" s="24" t="s">
        <v>546</v>
      </c>
      <c r="E4218" s="24" t="s">
        <v>528</v>
      </c>
      <c r="F4218" s="25">
        <v>5088000</v>
      </c>
      <c r="G4218" s="24"/>
      <c r="H4218" s="24"/>
      <c r="I4218" s="26">
        <f t="shared" si="185"/>
        <v>45985</v>
      </c>
      <c r="J4218" s="27">
        <f t="shared" si="186"/>
        <v>112</v>
      </c>
      <c r="K4218" s="24" t="str">
        <f t="shared" si="187"/>
        <v>91-120</v>
      </c>
      <c r="L4218" s="11">
        <v>46097</v>
      </c>
      <c r="M4218" s="23">
        <f>YEAR(Таблица1[[#This Row],[Дата отчета]])</f>
        <v>2026</v>
      </c>
      <c r="N4218" s="24"/>
      <c r="O4218" s="24"/>
      <c r="P4218" s="24"/>
      <c r="Q4218" s="24"/>
    </row>
    <row r="4219" spans="1:17" x14ac:dyDescent="0.25">
      <c r="A4219" s="24" t="s">
        <v>12</v>
      </c>
      <c r="B4219" s="24" t="s">
        <v>544</v>
      </c>
      <c r="C4219" s="24" t="s">
        <v>545</v>
      </c>
      <c r="D4219" s="24" t="s">
        <v>4447</v>
      </c>
      <c r="E4219" s="24" t="s">
        <v>4501</v>
      </c>
      <c r="F4219" s="25">
        <v>169600</v>
      </c>
      <c r="G4219" s="24"/>
      <c r="H4219" s="24"/>
      <c r="I4219" s="26">
        <f t="shared" si="185"/>
        <v>46084</v>
      </c>
      <c r="J4219" s="27">
        <f t="shared" si="186"/>
        <v>13</v>
      </c>
      <c r="K4219" s="24" t="str">
        <f t="shared" si="187"/>
        <v>0-30</v>
      </c>
      <c r="L4219" s="11">
        <v>46097</v>
      </c>
      <c r="M4219" s="23">
        <f>YEAR(Таблица1[[#This Row],[Дата отчета]])</f>
        <v>2026</v>
      </c>
      <c r="N4219" s="24"/>
      <c r="O4219" s="24"/>
      <c r="P4219" s="24"/>
      <c r="Q4219" s="24"/>
    </row>
    <row r="4220" spans="1:17" x14ac:dyDescent="0.25">
      <c r="A4220" s="24" t="s">
        <v>12</v>
      </c>
      <c r="B4220" s="24" t="s">
        <v>544</v>
      </c>
      <c r="C4220" s="24" t="s">
        <v>545</v>
      </c>
      <c r="D4220" s="24" t="s">
        <v>4448</v>
      </c>
      <c r="E4220" s="24" t="s">
        <v>4501</v>
      </c>
      <c r="F4220" s="25">
        <v>5088000</v>
      </c>
      <c r="G4220" s="24"/>
      <c r="H4220" s="24"/>
      <c r="I4220" s="26">
        <f t="shared" si="185"/>
        <v>46084</v>
      </c>
      <c r="J4220" s="27">
        <f t="shared" si="186"/>
        <v>13</v>
      </c>
      <c r="K4220" s="24" t="str">
        <f t="shared" si="187"/>
        <v>0-30</v>
      </c>
      <c r="L4220" s="11">
        <v>46097</v>
      </c>
      <c r="M4220" s="23">
        <f>YEAR(Таблица1[[#This Row],[Дата отчета]])</f>
        <v>2026</v>
      </c>
      <c r="N4220" s="24"/>
      <c r="O4220" s="24"/>
      <c r="P4220" s="24"/>
      <c r="Q4220" s="24"/>
    </row>
    <row r="4221" spans="1:17" x14ac:dyDescent="0.25">
      <c r="A4221" s="24" t="s">
        <v>12</v>
      </c>
      <c r="B4221" s="24" t="s">
        <v>544</v>
      </c>
      <c r="C4221" s="24" t="s">
        <v>547</v>
      </c>
      <c r="D4221" s="24" t="s">
        <v>548</v>
      </c>
      <c r="E4221" s="24" t="s">
        <v>528</v>
      </c>
      <c r="F4221" s="25">
        <v>4563000</v>
      </c>
      <c r="G4221" s="24"/>
      <c r="H4221" s="24"/>
      <c r="I4221" s="26">
        <f t="shared" si="185"/>
        <v>45985</v>
      </c>
      <c r="J4221" s="27">
        <f t="shared" si="186"/>
        <v>112</v>
      </c>
      <c r="K4221" s="24" t="str">
        <f t="shared" si="187"/>
        <v>91-120</v>
      </c>
      <c r="L4221" s="11">
        <v>46097</v>
      </c>
      <c r="M4221" s="23">
        <f>YEAR(Таблица1[[#This Row],[Дата отчета]])</f>
        <v>2026</v>
      </c>
      <c r="N4221" s="24"/>
      <c r="O4221" s="24"/>
      <c r="P4221" s="24"/>
      <c r="Q4221" s="24"/>
    </row>
    <row r="4222" spans="1:17" x14ac:dyDescent="0.25">
      <c r="A4222" s="24" t="s">
        <v>12</v>
      </c>
      <c r="B4222" s="24" t="s">
        <v>544</v>
      </c>
      <c r="C4222" s="24" t="s">
        <v>547</v>
      </c>
      <c r="D4222" s="24" t="s">
        <v>4449</v>
      </c>
      <c r="E4222" s="24" t="s">
        <v>4501</v>
      </c>
      <c r="F4222" s="25">
        <v>152100</v>
      </c>
      <c r="G4222" s="24"/>
      <c r="H4222" s="24"/>
      <c r="I4222" s="26">
        <f t="shared" si="185"/>
        <v>46084</v>
      </c>
      <c r="J4222" s="27">
        <f t="shared" si="186"/>
        <v>13</v>
      </c>
      <c r="K4222" s="24" t="str">
        <f t="shared" si="187"/>
        <v>0-30</v>
      </c>
      <c r="L4222" s="11">
        <v>46097</v>
      </c>
      <c r="M4222" s="23">
        <f>YEAR(Таблица1[[#This Row],[Дата отчета]])</f>
        <v>2026</v>
      </c>
      <c r="N4222" s="24"/>
      <c r="O4222" s="24"/>
      <c r="P4222" s="24"/>
      <c r="Q4222" s="24"/>
    </row>
    <row r="4223" spans="1:17" x14ac:dyDescent="0.25">
      <c r="A4223" s="24" t="s">
        <v>12</v>
      </c>
      <c r="B4223" s="24" t="s">
        <v>544</v>
      </c>
      <c r="C4223" s="24" t="s">
        <v>547</v>
      </c>
      <c r="D4223" s="24" t="s">
        <v>4450</v>
      </c>
      <c r="E4223" s="24" t="s">
        <v>4501</v>
      </c>
      <c r="F4223" s="25">
        <v>4563000</v>
      </c>
      <c r="G4223" s="24"/>
      <c r="H4223" s="24"/>
      <c r="I4223" s="26">
        <f t="shared" si="185"/>
        <v>46084</v>
      </c>
      <c r="J4223" s="27">
        <f t="shared" si="186"/>
        <v>13</v>
      </c>
      <c r="K4223" s="24" t="str">
        <f t="shared" si="187"/>
        <v>0-30</v>
      </c>
      <c r="L4223" s="11">
        <v>46097</v>
      </c>
      <c r="M4223" s="23">
        <f>YEAR(Таблица1[[#This Row],[Дата отчета]])</f>
        <v>2026</v>
      </c>
      <c r="N4223" s="24"/>
      <c r="O4223" s="24"/>
      <c r="P4223" s="24"/>
      <c r="Q4223" s="24"/>
    </row>
    <row r="4224" spans="1:17" x14ac:dyDescent="0.25">
      <c r="A4224" s="24" t="s">
        <v>12</v>
      </c>
      <c r="B4224" s="24" t="s">
        <v>544</v>
      </c>
      <c r="C4224" s="24" t="s">
        <v>549</v>
      </c>
      <c r="D4224" s="24" t="s">
        <v>550</v>
      </c>
      <c r="E4224" s="24" t="s">
        <v>528</v>
      </c>
      <c r="F4224" s="25">
        <v>492000</v>
      </c>
      <c r="G4224" s="24"/>
      <c r="H4224" s="24"/>
      <c r="I4224" s="26">
        <f t="shared" si="185"/>
        <v>45985</v>
      </c>
      <c r="J4224" s="27">
        <f t="shared" si="186"/>
        <v>112</v>
      </c>
      <c r="K4224" s="24" t="str">
        <f t="shared" si="187"/>
        <v>91-120</v>
      </c>
      <c r="L4224" s="11">
        <v>46097</v>
      </c>
      <c r="M4224" s="23">
        <f>YEAR(Таблица1[[#This Row],[Дата отчета]])</f>
        <v>2026</v>
      </c>
      <c r="N4224" s="24"/>
      <c r="O4224" s="24"/>
      <c r="P4224" s="24"/>
      <c r="Q4224" s="24"/>
    </row>
    <row r="4225" spans="1:17" x14ac:dyDescent="0.25">
      <c r="A4225" s="24" t="s">
        <v>12</v>
      </c>
      <c r="B4225" s="24" t="s">
        <v>544</v>
      </c>
      <c r="C4225" s="24" t="s">
        <v>549</v>
      </c>
      <c r="D4225" s="24" t="s">
        <v>4451</v>
      </c>
      <c r="E4225" s="24" t="s">
        <v>4501</v>
      </c>
      <c r="F4225" s="25">
        <v>16400</v>
      </c>
      <c r="G4225" s="24"/>
      <c r="H4225" s="24"/>
      <c r="I4225" s="26">
        <f t="shared" si="185"/>
        <v>46084</v>
      </c>
      <c r="J4225" s="27">
        <f t="shared" si="186"/>
        <v>13</v>
      </c>
      <c r="K4225" s="24" t="str">
        <f t="shared" si="187"/>
        <v>0-30</v>
      </c>
      <c r="L4225" s="11">
        <v>46097</v>
      </c>
      <c r="M4225" s="23">
        <f>YEAR(Таблица1[[#This Row],[Дата отчета]])</f>
        <v>2026</v>
      </c>
      <c r="N4225" s="24"/>
      <c r="O4225" s="24"/>
      <c r="P4225" s="24"/>
      <c r="Q4225" s="24"/>
    </row>
    <row r="4226" spans="1:17" x14ac:dyDescent="0.25">
      <c r="A4226" s="24" t="s">
        <v>12</v>
      </c>
      <c r="B4226" s="24" t="s">
        <v>544</v>
      </c>
      <c r="C4226" s="24" t="s">
        <v>549</v>
      </c>
      <c r="D4226" s="24" t="s">
        <v>4452</v>
      </c>
      <c r="E4226" s="24" t="s">
        <v>4501</v>
      </c>
      <c r="F4226" s="25">
        <v>492000</v>
      </c>
      <c r="G4226" s="24"/>
      <c r="H4226" s="24"/>
      <c r="I4226" s="26">
        <f t="shared" si="185"/>
        <v>46084</v>
      </c>
      <c r="J4226" s="27">
        <f t="shared" si="186"/>
        <v>13</v>
      </c>
      <c r="K4226" s="24" t="str">
        <f t="shared" si="187"/>
        <v>0-30</v>
      </c>
      <c r="L4226" s="11">
        <v>46097</v>
      </c>
      <c r="M4226" s="23">
        <f>YEAR(Таблица1[[#This Row],[Дата отчета]])</f>
        <v>2026</v>
      </c>
      <c r="N4226" s="24"/>
      <c r="O4226" s="24"/>
      <c r="P4226" s="24"/>
      <c r="Q4226" s="24"/>
    </row>
    <row r="4227" spans="1:17" x14ac:dyDescent="0.25">
      <c r="A4227" s="24" t="s">
        <v>12</v>
      </c>
      <c r="B4227" s="24" t="s">
        <v>544</v>
      </c>
      <c r="C4227" s="24" t="s">
        <v>551</v>
      </c>
      <c r="D4227" s="24" t="s">
        <v>552</v>
      </c>
      <c r="E4227" s="24" t="s">
        <v>528</v>
      </c>
      <c r="F4227" s="25">
        <v>8808000</v>
      </c>
      <c r="G4227" s="24"/>
      <c r="H4227" s="24"/>
      <c r="I4227" s="26">
        <f t="shared" si="185"/>
        <v>45985</v>
      </c>
      <c r="J4227" s="27">
        <f t="shared" si="186"/>
        <v>112</v>
      </c>
      <c r="K4227" s="24" t="str">
        <f t="shared" si="187"/>
        <v>91-120</v>
      </c>
      <c r="L4227" s="11">
        <v>46097</v>
      </c>
      <c r="M4227" s="23">
        <f>YEAR(Таблица1[[#This Row],[Дата отчета]])</f>
        <v>2026</v>
      </c>
      <c r="N4227" s="24"/>
      <c r="O4227" s="24"/>
      <c r="P4227" s="24"/>
      <c r="Q4227" s="24"/>
    </row>
    <row r="4228" spans="1:17" x14ac:dyDescent="0.25">
      <c r="A4228" s="24" t="s">
        <v>12</v>
      </c>
      <c r="B4228" s="24" t="s">
        <v>544</v>
      </c>
      <c r="C4228" s="24" t="s">
        <v>551</v>
      </c>
      <c r="D4228" s="24" t="s">
        <v>4453</v>
      </c>
      <c r="E4228" s="24" t="s">
        <v>4501</v>
      </c>
      <c r="F4228" s="25">
        <v>293600</v>
      </c>
      <c r="G4228" s="24"/>
      <c r="H4228" s="24"/>
      <c r="I4228" s="26">
        <f t="shared" si="185"/>
        <v>46084</v>
      </c>
      <c r="J4228" s="27">
        <f t="shared" si="186"/>
        <v>13</v>
      </c>
      <c r="K4228" s="24" t="str">
        <f t="shared" si="187"/>
        <v>0-30</v>
      </c>
      <c r="L4228" s="11">
        <v>46097</v>
      </c>
      <c r="M4228" s="23">
        <f>YEAR(Таблица1[[#This Row],[Дата отчета]])</f>
        <v>2026</v>
      </c>
      <c r="N4228" s="24"/>
      <c r="O4228" s="24"/>
      <c r="P4228" s="24"/>
      <c r="Q4228" s="24"/>
    </row>
    <row r="4229" spans="1:17" x14ac:dyDescent="0.25">
      <c r="A4229" s="24" t="s">
        <v>12</v>
      </c>
      <c r="B4229" s="24" t="s">
        <v>544</v>
      </c>
      <c r="C4229" s="24" t="s">
        <v>551</v>
      </c>
      <c r="D4229" s="24" t="s">
        <v>4454</v>
      </c>
      <c r="E4229" s="24" t="s">
        <v>4501</v>
      </c>
      <c r="F4229" s="25">
        <v>8808000</v>
      </c>
      <c r="G4229" s="24"/>
      <c r="H4229" s="24"/>
      <c r="I4229" s="26">
        <f t="shared" si="185"/>
        <v>46084</v>
      </c>
      <c r="J4229" s="27">
        <f t="shared" si="186"/>
        <v>13</v>
      </c>
      <c r="K4229" s="24" t="str">
        <f t="shared" si="187"/>
        <v>0-30</v>
      </c>
      <c r="L4229" s="11">
        <v>46097</v>
      </c>
      <c r="M4229" s="23">
        <f>YEAR(Таблица1[[#This Row],[Дата отчета]])</f>
        <v>2026</v>
      </c>
      <c r="N4229" s="24"/>
      <c r="O4229" s="24"/>
      <c r="P4229" s="24"/>
      <c r="Q4229" s="24"/>
    </row>
    <row r="4230" spans="1:17" x14ac:dyDescent="0.25">
      <c r="A4230" s="24" t="s">
        <v>12</v>
      </c>
      <c r="B4230" s="24" t="s">
        <v>544</v>
      </c>
      <c r="C4230" s="24" t="s">
        <v>553</v>
      </c>
      <c r="D4230" s="24" t="s">
        <v>554</v>
      </c>
      <c r="E4230" s="24" t="s">
        <v>303</v>
      </c>
      <c r="F4230" s="25">
        <v>2857301</v>
      </c>
      <c r="G4230" s="24"/>
      <c r="H4230" s="24"/>
      <c r="I4230" s="26">
        <f t="shared" si="185"/>
        <v>46059</v>
      </c>
      <c r="J4230" s="27">
        <f t="shared" si="186"/>
        <v>38</v>
      </c>
      <c r="K4230" s="24" t="str">
        <f t="shared" si="187"/>
        <v>31-90</v>
      </c>
      <c r="L4230" s="11">
        <v>46097</v>
      </c>
      <c r="M4230" s="23">
        <f>YEAR(Таблица1[[#This Row],[Дата отчета]])</f>
        <v>2026</v>
      </c>
      <c r="N4230" s="24"/>
      <c r="O4230" s="24"/>
      <c r="P4230" s="24"/>
      <c r="Q4230" s="24"/>
    </row>
    <row r="4231" spans="1:17" x14ac:dyDescent="0.25">
      <c r="A4231" s="24" t="s">
        <v>12</v>
      </c>
      <c r="B4231" s="24" t="s">
        <v>544</v>
      </c>
      <c r="C4231" s="24" t="s">
        <v>555</v>
      </c>
      <c r="D4231" s="24" t="s">
        <v>556</v>
      </c>
      <c r="E4231" s="24" t="s">
        <v>303</v>
      </c>
      <c r="F4231" s="25">
        <v>7210200</v>
      </c>
      <c r="G4231" s="24"/>
      <c r="H4231" s="24"/>
      <c r="I4231" s="26">
        <f t="shared" si="185"/>
        <v>46059</v>
      </c>
      <c r="J4231" s="27">
        <f t="shared" si="186"/>
        <v>38</v>
      </c>
      <c r="K4231" s="24" t="str">
        <f t="shared" si="187"/>
        <v>31-90</v>
      </c>
      <c r="L4231" s="11">
        <v>46097</v>
      </c>
      <c r="M4231" s="23">
        <f>YEAR(Таблица1[[#This Row],[Дата отчета]])</f>
        <v>2026</v>
      </c>
      <c r="N4231" s="24"/>
      <c r="O4231" s="24"/>
      <c r="P4231" s="24"/>
      <c r="Q4231" s="24"/>
    </row>
    <row r="4232" spans="1:17" x14ac:dyDescent="0.25">
      <c r="A4232" s="24" t="s">
        <v>12</v>
      </c>
      <c r="B4232" s="24" t="s">
        <v>557</v>
      </c>
      <c r="C4232" s="24" t="s">
        <v>558</v>
      </c>
      <c r="D4232" s="24" t="s">
        <v>559</v>
      </c>
      <c r="E4232" s="24" t="s">
        <v>560</v>
      </c>
      <c r="F4232" s="25">
        <v>36736.230000000003</v>
      </c>
      <c r="G4232" s="24"/>
      <c r="H4232" s="24"/>
      <c r="I4232" s="26">
        <f t="shared" si="185"/>
        <v>45805</v>
      </c>
      <c r="J4232" s="27">
        <f t="shared" si="186"/>
        <v>292</v>
      </c>
      <c r="K4232" s="24" t="str">
        <f t="shared" si="187"/>
        <v>271-360</v>
      </c>
      <c r="L4232" s="11">
        <v>46097</v>
      </c>
      <c r="M4232" s="23">
        <f>YEAR(Таблица1[[#This Row],[Дата отчета]])</f>
        <v>2026</v>
      </c>
      <c r="N4232" s="24"/>
      <c r="O4232" s="24"/>
      <c r="P4232" s="24"/>
      <c r="Q4232" s="24"/>
    </row>
    <row r="4233" spans="1:17" x14ac:dyDescent="0.25">
      <c r="A4233" s="24" t="s">
        <v>12</v>
      </c>
      <c r="B4233" s="24" t="s">
        <v>561</v>
      </c>
      <c r="C4233" s="24" t="s">
        <v>562</v>
      </c>
      <c r="D4233" s="24" t="s">
        <v>563</v>
      </c>
      <c r="E4233" s="24" t="s">
        <v>31</v>
      </c>
      <c r="F4233" s="25">
        <v>59150000</v>
      </c>
      <c r="G4233" s="24"/>
      <c r="H4233" s="24"/>
      <c r="I4233" s="26">
        <f t="shared" si="185"/>
        <v>46015</v>
      </c>
      <c r="J4233" s="27">
        <f t="shared" si="186"/>
        <v>82</v>
      </c>
      <c r="K4233" s="24" t="str">
        <f t="shared" si="187"/>
        <v>31-90</v>
      </c>
      <c r="L4233" s="11">
        <v>46097</v>
      </c>
      <c r="M4233" s="23">
        <f>YEAR(Таблица1[[#This Row],[Дата отчета]])</f>
        <v>2026</v>
      </c>
      <c r="N4233" s="24"/>
      <c r="O4233" s="24"/>
      <c r="P4233" s="24"/>
      <c r="Q4233" s="24"/>
    </row>
    <row r="4234" spans="1:17" x14ac:dyDescent="0.25">
      <c r="A4234" s="24" t="s">
        <v>12</v>
      </c>
      <c r="B4234" s="24" t="s">
        <v>561</v>
      </c>
      <c r="C4234" s="24" t="s">
        <v>564</v>
      </c>
      <c r="D4234" s="24" t="s">
        <v>567</v>
      </c>
      <c r="E4234" s="24" t="s">
        <v>568</v>
      </c>
      <c r="F4234" s="25">
        <v>378936.67</v>
      </c>
      <c r="G4234" s="24"/>
      <c r="H4234" s="24"/>
      <c r="I4234" s="26">
        <f t="shared" si="185"/>
        <v>45527</v>
      </c>
      <c r="J4234" s="27">
        <f t="shared" si="186"/>
        <v>570</v>
      </c>
      <c r="K4234" s="24" t="str">
        <f t="shared" si="187"/>
        <v>&gt;360</v>
      </c>
      <c r="L4234" s="11">
        <v>46097</v>
      </c>
      <c r="M4234" s="23">
        <f>YEAR(Таблица1[[#This Row],[Дата отчета]])</f>
        <v>2026</v>
      </c>
      <c r="N4234" s="24"/>
      <c r="O4234" s="24"/>
      <c r="P4234" s="24"/>
      <c r="Q4234" s="24"/>
    </row>
    <row r="4235" spans="1:17" x14ac:dyDescent="0.25">
      <c r="A4235" s="24" t="s">
        <v>12</v>
      </c>
      <c r="B4235" s="24" t="s">
        <v>561</v>
      </c>
      <c r="C4235" s="24" t="s">
        <v>569</v>
      </c>
      <c r="D4235" s="24" t="s">
        <v>570</v>
      </c>
      <c r="E4235" s="24" t="s">
        <v>571</v>
      </c>
      <c r="F4235" s="25">
        <v>969720.57</v>
      </c>
      <c r="G4235" s="24"/>
      <c r="H4235" s="24"/>
      <c r="I4235" s="26">
        <f t="shared" si="185"/>
        <v>45951</v>
      </c>
      <c r="J4235" s="27">
        <f t="shared" si="186"/>
        <v>146</v>
      </c>
      <c r="K4235" s="24" t="str">
        <f t="shared" si="187"/>
        <v>121-180</v>
      </c>
      <c r="L4235" s="11">
        <v>46097</v>
      </c>
      <c r="M4235" s="23">
        <f>YEAR(Таблица1[[#This Row],[Дата отчета]])</f>
        <v>2026</v>
      </c>
      <c r="N4235" s="24"/>
      <c r="O4235" s="24"/>
      <c r="P4235" s="24"/>
      <c r="Q4235" s="24"/>
    </row>
    <row r="4236" spans="1:17" x14ac:dyDescent="0.25">
      <c r="A4236" s="24" t="s">
        <v>12</v>
      </c>
      <c r="B4236" s="24" t="s">
        <v>561</v>
      </c>
      <c r="C4236" s="24" t="s">
        <v>569</v>
      </c>
      <c r="D4236" s="24" t="s">
        <v>572</v>
      </c>
      <c r="E4236" s="24" t="s">
        <v>525</v>
      </c>
      <c r="F4236" s="25">
        <v>389696.13</v>
      </c>
      <c r="G4236" s="24"/>
      <c r="H4236" s="24"/>
      <c r="I4236" s="26">
        <f t="shared" si="185"/>
        <v>45954</v>
      </c>
      <c r="J4236" s="27">
        <f t="shared" si="186"/>
        <v>143</v>
      </c>
      <c r="K4236" s="24" t="str">
        <f t="shared" si="187"/>
        <v>121-180</v>
      </c>
      <c r="L4236" s="11">
        <v>46097</v>
      </c>
      <c r="M4236" s="23">
        <f>YEAR(Таблица1[[#This Row],[Дата отчета]])</f>
        <v>2026</v>
      </c>
      <c r="N4236" s="24"/>
      <c r="O4236" s="24"/>
      <c r="P4236" s="24"/>
      <c r="Q4236" s="24"/>
    </row>
    <row r="4237" spans="1:17" x14ac:dyDescent="0.25">
      <c r="A4237" s="24" t="s">
        <v>12</v>
      </c>
      <c r="B4237" s="24" t="s">
        <v>561</v>
      </c>
      <c r="C4237" s="24" t="s">
        <v>569</v>
      </c>
      <c r="D4237" s="24" t="s">
        <v>573</v>
      </c>
      <c r="E4237" s="24" t="s">
        <v>525</v>
      </c>
      <c r="F4237" s="25">
        <v>1002946.15</v>
      </c>
      <c r="G4237" s="24"/>
      <c r="H4237" s="24"/>
      <c r="I4237" s="26">
        <f t="shared" si="185"/>
        <v>45954</v>
      </c>
      <c r="J4237" s="27">
        <f t="shared" si="186"/>
        <v>143</v>
      </c>
      <c r="K4237" s="24" t="str">
        <f t="shared" si="187"/>
        <v>121-180</v>
      </c>
      <c r="L4237" s="11">
        <v>46097</v>
      </c>
      <c r="M4237" s="23">
        <f>YEAR(Таблица1[[#This Row],[Дата отчета]])</f>
        <v>2026</v>
      </c>
      <c r="N4237" s="24"/>
      <c r="O4237" s="24"/>
      <c r="P4237" s="24"/>
      <c r="Q4237" s="24"/>
    </row>
    <row r="4238" spans="1:17" x14ac:dyDescent="0.25">
      <c r="A4238" s="24" t="s">
        <v>12</v>
      </c>
      <c r="B4238" s="24" t="s">
        <v>561</v>
      </c>
      <c r="C4238" s="24" t="s">
        <v>574</v>
      </c>
      <c r="D4238" s="24" t="s">
        <v>575</v>
      </c>
      <c r="E4238" s="24" t="s">
        <v>576</v>
      </c>
      <c r="F4238" s="25">
        <v>9675994.3599999994</v>
      </c>
      <c r="G4238" s="24"/>
      <c r="H4238" s="24"/>
      <c r="I4238" s="26">
        <f t="shared" si="185"/>
        <v>46064</v>
      </c>
      <c r="J4238" s="27">
        <f t="shared" si="186"/>
        <v>33</v>
      </c>
      <c r="K4238" s="24" t="str">
        <f t="shared" si="187"/>
        <v>31-90</v>
      </c>
      <c r="L4238" s="11">
        <v>46097</v>
      </c>
      <c r="M4238" s="23">
        <f>YEAR(Таблица1[[#This Row],[Дата отчета]])</f>
        <v>2026</v>
      </c>
      <c r="N4238" s="24"/>
      <c r="O4238" s="24"/>
      <c r="P4238" s="24"/>
      <c r="Q4238" s="24"/>
    </row>
    <row r="4239" spans="1:17" x14ac:dyDescent="0.25">
      <c r="A4239" s="24" t="s">
        <v>12</v>
      </c>
      <c r="B4239" s="24" t="s">
        <v>561</v>
      </c>
      <c r="C4239" s="24" t="s">
        <v>577</v>
      </c>
      <c r="D4239" s="24" t="s">
        <v>578</v>
      </c>
      <c r="E4239" s="24" t="s">
        <v>48</v>
      </c>
      <c r="F4239" s="25">
        <v>27479576.449999999</v>
      </c>
      <c r="G4239" s="24"/>
      <c r="H4239" s="24"/>
      <c r="I4239" s="26">
        <f t="shared" si="185"/>
        <v>46078</v>
      </c>
      <c r="J4239" s="27">
        <f t="shared" si="186"/>
        <v>19</v>
      </c>
      <c r="K4239" s="24" t="str">
        <f t="shared" si="187"/>
        <v>0-30</v>
      </c>
      <c r="L4239" s="11">
        <v>46097</v>
      </c>
      <c r="M4239" s="23">
        <f>YEAR(Таблица1[[#This Row],[Дата отчета]])</f>
        <v>2026</v>
      </c>
      <c r="N4239" s="24"/>
      <c r="O4239" s="24"/>
      <c r="P4239" s="24"/>
      <c r="Q4239" s="24"/>
    </row>
    <row r="4240" spans="1:17" x14ac:dyDescent="0.25">
      <c r="A4240" s="24" t="s">
        <v>12</v>
      </c>
      <c r="B4240" s="24" t="s">
        <v>561</v>
      </c>
      <c r="C4240" s="24" t="s">
        <v>579</v>
      </c>
      <c r="D4240" s="24" t="s">
        <v>580</v>
      </c>
      <c r="E4240" s="24" t="s">
        <v>576</v>
      </c>
      <c r="F4240" s="25">
        <v>710983.33</v>
      </c>
      <c r="G4240" s="24"/>
      <c r="H4240" s="24"/>
      <c r="I4240" s="26">
        <f t="shared" si="185"/>
        <v>46064</v>
      </c>
      <c r="J4240" s="27">
        <f t="shared" si="186"/>
        <v>33</v>
      </c>
      <c r="K4240" s="24" t="str">
        <f t="shared" si="187"/>
        <v>31-90</v>
      </c>
      <c r="L4240" s="11">
        <v>46097</v>
      </c>
      <c r="M4240" s="23">
        <f>YEAR(Таблица1[[#This Row],[Дата отчета]])</f>
        <v>2026</v>
      </c>
      <c r="N4240" s="24"/>
      <c r="O4240" s="24"/>
      <c r="P4240" s="24"/>
      <c r="Q4240" s="24"/>
    </row>
    <row r="4241" spans="1:17" x14ac:dyDescent="0.25">
      <c r="A4241" s="24" t="s">
        <v>12</v>
      </c>
      <c r="B4241" s="24" t="s">
        <v>561</v>
      </c>
      <c r="C4241" s="24" t="s">
        <v>581</v>
      </c>
      <c r="D4241" s="24" t="s">
        <v>582</v>
      </c>
      <c r="E4241" s="24" t="s">
        <v>576</v>
      </c>
      <c r="F4241" s="25">
        <v>949199.4</v>
      </c>
      <c r="G4241" s="24"/>
      <c r="H4241" s="24"/>
      <c r="I4241" s="26">
        <f t="shared" si="185"/>
        <v>46064</v>
      </c>
      <c r="J4241" s="27">
        <f t="shared" si="186"/>
        <v>33</v>
      </c>
      <c r="K4241" s="24" t="str">
        <f t="shared" si="187"/>
        <v>31-90</v>
      </c>
      <c r="L4241" s="11">
        <v>46097</v>
      </c>
      <c r="M4241" s="23">
        <f>YEAR(Таблица1[[#This Row],[Дата отчета]])</f>
        <v>2026</v>
      </c>
      <c r="N4241" s="24"/>
      <c r="O4241" s="24"/>
      <c r="P4241" s="24"/>
      <c r="Q4241" s="24"/>
    </row>
    <row r="4242" spans="1:17" x14ac:dyDescent="0.25">
      <c r="A4242" s="24" t="s">
        <v>12</v>
      </c>
      <c r="B4242" s="24" t="s">
        <v>561</v>
      </c>
      <c r="C4242" s="24" t="s">
        <v>4382</v>
      </c>
      <c r="D4242" s="24" t="s">
        <v>4455</v>
      </c>
      <c r="E4242" s="24" t="s">
        <v>4496</v>
      </c>
      <c r="F4242" s="25">
        <v>7028020.8300000001</v>
      </c>
      <c r="G4242" s="24"/>
      <c r="H4242" s="24"/>
      <c r="I4242" s="26">
        <f t="shared" si="185"/>
        <v>46091</v>
      </c>
      <c r="J4242" s="27">
        <f t="shared" si="186"/>
        <v>6</v>
      </c>
      <c r="K4242" s="24" t="str">
        <f t="shared" si="187"/>
        <v>0-30</v>
      </c>
      <c r="L4242" s="11">
        <v>46097</v>
      </c>
      <c r="M4242" s="23">
        <f>YEAR(Таблица1[[#This Row],[Дата отчета]])</f>
        <v>2026</v>
      </c>
      <c r="N4242" s="24"/>
      <c r="O4242" s="24"/>
      <c r="P4242" s="24"/>
      <c r="Q4242" s="24"/>
    </row>
    <row r="4243" spans="1:17" x14ac:dyDescent="0.25">
      <c r="A4243" s="24" t="s">
        <v>12</v>
      </c>
      <c r="B4243" s="24" t="s">
        <v>561</v>
      </c>
      <c r="C4243" s="24" t="s">
        <v>4383</v>
      </c>
      <c r="D4243" s="24" t="s">
        <v>4456</v>
      </c>
      <c r="E4243" s="24" t="s">
        <v>4495</v>
      </c>
      <c r="F4243" s="25">
        <v>2193904.63</v>
      </c>
      <c r="G4243" s="24"/>
      <c r="H4243" s="24"/>
      <c r="I4243" s="26">
        <f t="shared" si="185"/>
        <v>46092</v>
      </c>
      <c r="J4243" s="27">
        <f t="shared" si="186"/>
        <v>5</v>
      </c>
      <c r="K4243" s="24" t="str">
        <f t="shared" si="187"/>
        <v>0-30</v>
      </c>
      <c r="L4243" s="11">
        <v>46097</v>
      </c>
      <c r="M4243" s="23">
        <f>YEAR(Таблица1[[#This Row],[Дата отчета]])</f>
        <v>2026</v>
      </c>
      <c r="N4243" s="24"/>
      <c r="O4243" s="24"/>
      <c r="P4243" s="24"/>
      <c r="Q4243" s="24"/>
    </row>
    <row r="4244" spans="1:17" x14ac:dyDescent="0.25">
      <c r="A4244" s="24" t="s">
        <v>12</v>
      </c>
      <c r="B4244" s="24" t="s">
        <v>561</v>
      </c>
      <c r="C4244" s="24" t="s">
        <v>4384</v>
      </c>
      <c r="D4244" s="24" t="s">
        <v>4457</v>
      </c>
      <c r="E4244" s="24" t="s">
        <v>4495</v>
      </c>
      <c r="F4244" s="25">
        <v>610581.68000000005</v>
      </c>
      <c r="G4244" s="24"/>
      <c r="H4244" s="24"/>
      <c r="I4244" s="26">
        <f t="shared" si="185"/>
        <v>46092</v>
      </c>
      <c r="J4244" s="27">
        <f t="shared" si="186"/>
        <v>5</v>
      </c>
      <c r="K4244" s="24" t="str">
        <f t="shared" si="187"/>
        <v>0-30</v>
      </c>
      <c r="L4244" s="11">
        <v>46097</v>
      </c>
      <c r="M4244" s="23">
        <f>YEAR(Таблица1[[#This Row],[Дата отчета]])</f>
        <v>2026</v>
      </c>
      <c r="N4244" s="24"/>
      <c r="O4244" s="24"/>
      <c r="P4244" s="24"/>
      <c r="Q4244" s="24"/>
    </row>
    <row r="4245" spans="1:17" x14ac:dyDescent="0.25">
      <c r="A4245" s="24" t="s">
        <v>12</v>
      </c>
      <c r="B4245" s="24" t="s">
        <v>561</v>
      </c>
      <c r="C4245" s="24" t="s">
        <v>1529</v>
      </c>
      <c r="D4245" s="24" t="s">
        <v>1530</v>
      </c>
      <c r="E4245" s="24" t="s">
        <v>1795</v>
      </c>
      <c r="F4245" s="25">
        <v>5092824.9400000004</v>
      </c>
      <c r="G4245" s="24"/>
      <c r="H4245" s="24"/>
      <c r="I4245" s="26">
        <f t="shared" si="185"/>
        <v>45391</v>
      </c>
      <c r="J4245" s="27">
        <f t="shared" si="186"/>
        <v>706</v>
      </c>
      <c r="K4245" s="24" t="str">
        <f t="shared" si="187"/>
        <v>&gt;360</v>
      </c>
      <c r="L4245" s="11">
        <v>46097</v>
      </c>
      <c r="M4245" s="23">
        <f>YEAR(Таблица1[[#This Row],[Дата отчета]])</f>
        <v>2026</v>
      </c>
      <c r="N4245" s="24"/>
      <c r="O4245" s="24"/>
      <c r="P4245" s="24"/>
      <c r="Q4245" s="24"/>
    </row>
    <row r="4246" spans="1:17" x14ac:dyDescent="0.25">
      <c r="A4246" s="24" t="s">
        <v>12</v>
      </c>
      <c r="B4246" s="24" t="s">
        <v>561</v>
      </c>
      <c r="C4246" s="24" t="s">
        <v>1531</v>
      </c>
      <c r="D4246" s="24" t="s">
        <v>1532</v>
      </c>
      <c r="E4246" s="24" t="s">
        <v>765</v>
      </c>
      <c r="F4246" s="25">
        <v>38458.660000000003</v>
      </c>
      <c r="G4246" s="24"/>
      <c r="H4246" s="24"/>
      <c r="I4246" s="26">
        <f t="shared" si="185"/>
        <v>45751</v>
      </c>
      <c r="J4246" s="27">
        <f t="shared" si="186"/>
        <v>346</v>
      </c>
      <c r="K4246" s="24" t="str">
        <f t="shared" si="187"/>
        <v>271-360</v>
      </c>
      <c r="L4246" s="11">
        <v>46097</v>
      </c>
      <c r="M4246" s="23">
        <f>YEAR(Таблица1[[#This Row],[Дата отчета]])</f>
        <v>2026</v>
      </c>
      <c r="N4246" s="24"/>
      <c r="O4246" s="24"/>
      <c r="P4246" s="24"/>
      <c r="Q4246" s="24"/>
    </row>
    <row r="4247" spans="1:17" x14ac:dyDescent="0.25">
      <c r="A4247" s="24" t="s">
        <v>12</v>
      </c>
      <c r="B4247" s="24" t="s">
        <v>561</v>
      </c>
      <c r="C4247" s="24" t="s">
        <v>1533</v>
      </c>
      <c r="D4247" s="24" t="s">
        <v>1534</v>
      </c>
      <c r="E4247" s="24" t="s">
        <v>175</v>
      </c>
      <c r="F4247" s="25">
        <v>0.02</v>
      </c>
      <c r="G4247" s="24"/>
      <c r="H4247" s="24"/>
      <c r="I4247" s="26">
        <f t="shared" si="185"/>
        <v>45399</v>
      </c>
      <c r="J4247" s="27">
        <f t="shared" si="186"/>
        <v>698</v>
      </c>
      <c r="K4247" s="24" t="str">
        <f t="shared" si="187"/>
        <v>&gt;360</v>
      </c>
      <c r="L4247" s="11">
        <v>46097</v>
      </c>
      <c r="M4247" s="23">
        <f>YEAR(Таблица1[[#This Row],[Дата отчета]])</f>
        <v>2026</v>
      </c>
      <c r="N4247" s="24"/>
      <c r="O4247" s="24"/>
      <c r="P4247" s="24"/>
      <c r="Q4247" s="24"/>
    </row>
    <row r="4248" spans="1:17" x14ac:dyDescent="0.25">
      <c r="A4248" s="24" t="s">
        <v>12</v>
      </c>
      <c r="B4248" s="24" t="s">
        <v>561</v>
      </c>
      <c r="C4248" s="24" t="s">
        <v>1535</v>
      </c>
      <c r="D4248" s="24" t="s">
        <v>1536</v>
      </c>
      <c r="E4248" s="24" t="s">
        <v>1796</v>
      </c>
      <c r="F4248" s="25">
        <v>42035.61</v>
      </c>
      <c r="G4248" s="24"/>
      <c r="H4248" s="24"/>
      <c r="I4248" s="26">
        <f t="shared" si="185"/>
        <v>45763</v>
      </c>
      <c r="J4248" s="27">
        <f t="shared" si="186"/>
        <v>334</v>
      </c>
      <c r="K4248" s="24" t="str">
        <f t="shared" si="187"/>
        <v>271-360</v>
      </c>
      <c r="L4248" s="11">
        <v>46097</v>
      </c>
      <c r="M4248" s="23">
        <f>YEAR(Таблица1[[#This Row],[Дата отчета]])</f>
        <v>2026</v>
      </c>
      <c r="N4248" s="24"/>
      <c r="O4248" s="24"/>
      <c r="P4248" s="24"/>
      <c r="Q4248" s="24"/>
    </row>
    <row r="4249" spans="1:17" x14ac:dyDescent="0.25">
      <c r="A4249" s="24" t="s">
        <v>12</v>
      </c>
      <c r="B4249" s="24" t="s">
        <v>561</v>
      </c>
      <c r="C4249" s="24" t="s">
        <v>1537</v>
      </c>
      <c r="D4249" s="24" t="s">
        <v>1538</v>
      </c>
      <c r="E4249" s="24" t="s">
        <v>1797</v>
      </c>
      <c r="F4249" s="25">
        <v>30.6</v>
      </c>
      <c r="G4249" s="24"/>
      <c r="H4249" s="24"/>
      <c r="I4249" s="26">
        <f t="shared" si="185"/>
        <v>45784</v>
      </c>
      <c r="J4249" s="27">
        <f t="shared" si="186"/>
        <v>313</v>
      </c>
      <c r="K4249" s="24" t="str">
        <f t="shared" si="187"/>
        <v>271-360</v>
      </c>
      <c r="L4249" s="11">
        <v>46097</v>
      </c>
      <c r="M4249" s="23">
        <f>YEAR(Таблица1[[#This Row],[Дата отчета]])</f>
        <v>2026</v>
      </c>
      <c r="N4249" s="24"/>
      <c r="O4249" s="24"/>
      <c r="P4249" s="24"/>
      <c r="Q4249" s="24"/>
    </row>
    <row r="4250" spans="1:17" x14ac:dyDescent="0.25">
      <c r="A4250" s="24" t="s">
        <v>12</v>
      </c>
      <c r="B4250" s="24" t="s">
        <v>561</v>
      </c>
      <c r="C4250" s="24" t="s">
        <v>1539</v>
      </c>
      <c r="D4250" s="24" t="s">
        <v>1540</v>
      </c>
      <c r="E4250" s="24" t="s">
        <v>535</v>
      </c>
      <c r="F4250" s="25">
        <v>175922.59</v>
      </c>
      <c r="G4250" s="24"/>
      <c r="H4250" s="24"/>
      <c r="I4250" s="26">
        <f t="shared" si="185"/>
        <v>45796</v>
      </c>
      <c r="J4250" s="27">
        <f t="shared" si="186"/>
        <v>301</v>
      </c>
      <c r="K4250" s="24" t="str">
        <f t="shared" si="187"/>
        <v>271-360</v>
      </c>
      <c r="L4250" s="11">
        <v>46097</v>
      </c>
      <c r="M4250" s="23">
        <f>YEAR(Таблица1[[#This Row],[Дата отчета]])</f>
        <v>2026</v>
      </c>
      <c r="N4250" s="24"/>
      <c r="O4250" s="24"/>
      <c r="P4250" s="24"/>
      <c r="Q4250" s="24"/>
    </row>
    <row r="4251" spans="1:17" x14ac:dyDescent="0.25">
      <c r="A4251" s="24" t="s">
        <v>12</v>
      </c>
      <c r="B4251" s="24" t="s">
        <v>561</v>
      </c>
      <c r="C4251" s="24" t="s">
        <v>1543</v>
      </c>
      <c r="D4251" s="24" t="s">
        <v>1544</v>
      </c>
      <c r="E4251" s="24" t="s">
        <v>1798</v>
      </c>
      <c r="F4251" s="25">
        <v>2474.62</v>
      </c>
      <c r="G4251" s="24"/>
      <c r="H4251" s="24"/>
      <c r="I4251" s="26">
        <f t="shared" si="185"/>
        <v>45470</v>
      </c>
      <c r="J4251" s="27">
        <f t="shared" si="186"/>
        <v>627</v>
      </c>
      <c r="K4251" s="24" t="str">
        <f t="shared" si="187"/>
        <v>&gt;360</v>
      </c>
      <c r="L4251" s="11">
        <v>46097</v>
      </c>
      <c r="M4251" s="23">
        <f>YEAR(Таблица1[[#This Row],[Дата отчета]])</f>
        <v>2026</v>
      </c>
      <c r="N4251" s="24"/>
      <c r="O4251" s="24"/>
      <c r="P4251" s="24"/>
      <c r="Q4251" s="24"/>
    </row>
    <row r="4252" spans="1:17" x14ac:dyDescent="0.25">
      <c r="A4252" s="24" t="s">
        <v>12</v>
      </c>
      <c r="B4252" s="24" t="s">
        <v>561</v>
      </c>
      <c r="C4252" s="24" t="s">
        <v>1546</v>
      </c>
      <c r="D4252" s="24" t="s">
        <v>1547</v>
      </c>
      <c r="E4252" s="24" t="s">
        <v>1255</v>
      </c>
      <c r="F4252" s="25">
        <v>318089.56</v>
      </c>
      <c r="G4252" s="24"/>
      <c r="H4252" s="24"/>
      <c r="I4252" s="26">
        <f t="shared" si="185"/>
        <v>45841</v>
      </c>
      <c r="J4252" s="27">
        <f t="shared" si="186"/>
        <v>256</v>
      </c>
      <c r="K4252" s="24" t="str">
        <f t="shared" si="187"/>
        <v>181-270</v>
      </c>
      <c r="L4252" s="11">
        <v>46097</v>
      </c>
      <c r="M4252" s="23">
        <f>YEAR(Таблица1[[#This Row],[Дата отчета]])</f>
        <v>2026</v>
      </c>
      <c r="N4252" s="24"/>
      <c r="O4252" s="24"/>
      <c r="P4252" s="24"/>
      <c r="Q4252" s="24"/>
    </row>
    <row r="4253" spans="1:17" x14ac:dyDescent="0.25">
      <c r="A4253" s="24" t="s">
        <v>12</v>
      </c>
      <c r="B4253" s="24" t="s">
        <v>561</v>
      </c>
      <c r="C4253" s="24" t="s">
        <v>1548</v>
      </c>
      <c r="D4253" s="24" t="s">
        <v>1549</v>
      </c>
      <c r="E4253" s="24" t="s">
        <v>1799</v>
      </c>
      <c r="F4253" s="25">
        <v>2.4</v>
      </c>
      <c r="G4253" s="24"/>
      <c r="H4253" s="24"/>
      <c r="I4253" s="26">
        <f t="shared" si="185"/>
        <v>45478</v>
      </c>
      <c r="J4253" s="27">
        <f t="shared" si="186"/>
        <v>619</v>
      </c>
      <c r="K4253" s="24" t="str">
        <f t="shared" si="187"/>
        <v>&gt;360</v>
      </c>
      <c r="L4253" s="11">
        <v>46097</v>
      </c>
      <c r="M4253" s="23">
        <f>YEAR(Таблица1[[#This Row],[Дата отчета]])</f>
        <v>2026</v>
      </c>
      <c r="N4253" s="24"/>
      <c r="O4253" s="24"/>
      <c r="P4253" s="24"/>
      <c r="Q4253" s="24"/>
    </row>
    <row r="4254" spans="1:17" x14ac:dyDescent="0.25">
      <c r="A4254" s="24" t="s">
        <v>12</v>
      </c>
      <c r="B4254" s="24" t="s">
        <v>561</v>
      </c>
      <c r="C4254" s="24" t="s">
        <v>1551</v>
      </c>
      <c r="D4254" s="24" t="s">
        <v>1552</v>
      </c>
      <c r="E4254" s="24" t="s">
        <v>183</v>
      </c>
      <c r="F4254" s="25">
        <v>16764.38</v>
      </c>
      <c r="G4254" s="24"/>
      <c r="H4254" s="24"/>
      <c r="I4254" s="26">
        <f t="shared" si="185"/>
        <v>45817</v>
      </c>
      <c r="J4254" s="27">
        <f t="shared" si="186"/>
        <v>280</v>
      </c>
      <c r="K4254" s="24" t="str">
        <f t="shared" si="187"/>
        <v>271-360</v>
      </c>
      <c r="L4254" s="11">
        <v>46097</v>
      </c>
      <c r="M4254" s="23">
        <f>YEAR(Таблица1[[#This Row],[Дата отчета]])</f>
        <v>2026</v>
      </c>
      <c r="N4254" s="24"/>
      <c r="O4254" s="24"/>
      <c r="P4254" s="24"/>
      <c r="Q4254" s="24"/>
    </row>
    <row r="4255" spans="1:17" x14ac:dyDescent="0.25">
      <c r="A4255" s="24" t="s">
        <v>12</v>
      </c>
      <c r="B4255" s="24" t="s">
        <v>561</v>
      </c>
      <c r="C4255" s="24" t="s">
        <v>1557</v>
      </c>
      <c r="D4255" s="24" t="s">
        <v>1558</v>
      </c>
      <c r="E4255" s="24" t="s">
        <v>146</v>
      </c>
      <c r="F4255" s="25">
        <v>115791.98</v>
      </c>
      <c r="G4255" s="24"/>
      <c r="H4255" s="24"/>
      <c r="I4255" s="26">
        <f t="shared" si="185"/>
        <v>45838</v>
      </c>
      <c r="J4255" s="27">
        <f t="shared" si="186"/>
        <v>259</v>
      </c>
      <c r="K4255" s="24" t="str">
        <f t="shared" si="187"/>
        <v>181-270</v>
      </c>
      <c r="L4255" s="11">
        <v>46097</v>
      </c>
      <c r="M4255" s="23">
        <f>YEAR(Таблица1[[#This Row],[Дата отчета]])</f>
        <v>2026</v>
      </c>
      <c r="N4255" s="24"/>
      <c r="O4255" s="24"/>
      <c r="P4255" s="24"/>
      <c r="Q4255" s="24"/>
    </row>
    <row r="4256" spans="1:17" x14ac:dyDescent="0.25">
      <c r="A4256" s="24" t="s">
        <v>12</v>
      </c>
      <c r="B4256" s="24" t="s">
        <v>561</v>
      </c>
      <c r="C4256" s="24" t="s">
        <v>1560</v>
      </c>
      <c r="D4256" s="24" t="s">
        <v>1561</v>
      </c>
      <c r="E4256" s="24" t="s">
        <v>739</v>
      </c>
      <c r="F4256" s="25">
        <v>673.94</v>
      </c>
      <c r="G4256" s="24"/>
      <c r="H4256" s="24"/>
      <c r="I4256" s="26">
        <f t="shared" si="185"/>
        <v>45839</v>
      </c>
      <c r="J4256" s="27">
        <f t="shared" si="186"/>
        <v>258</v>
      </c>
      <c r="K4256" s="24" t="str">
        <f t="shared" si="187"/>
        <v>181-270</v>
      </c>
      <c r="L4256" s="11">
        <v>46097</v>
      </c>
      <c r="M4256" s="23">
        <f>YEAR(Таблица1[[#This Row],[Дата отчета]])</f>
        <v>2026</v>
      </c>
      <c r="N4256" s="24"/>
      <c r="O4256" s="24"/>
      <c r="P4256" s="24"/>
      <c r="Q4256" s="24"/>
    </row>
    <row r="4257" spans="1:17" x14ac:dyDescent="0.25">
      <c r="A4257" s="24" t="s">
        <v>12</v>
      </c>
      <c r="B4257" s="24" t="s">
        <v>561</v>
      </c>
      <c r="C4257" s="24" t="s">
        <v>1562</v>
      </c>
      <c r="D4257" s="24" t="s">
        <v>1563</v>
      </c>
      <c r="E4257" s="24" t="s">
        <v>1800</v>
      </c>
      <c r="F4257" s="25">
        <v>13920</v>
      </c>
      <c r="G4257" s="24"/>
      <c r="H4257" s="24"/>
      <c r="I4257" s="26">
        <f t="shared" si="185"/>
        <v>45512</v>
      </c>
      <c r="J4257" s="27">
        <f t="shared" si="186"/>
        <v>585</v>
      </c>
      <c r="K4257" s="24" t="str">
        <f t="shared" si="187"/>
        <v>&gt;360</v>
      </c>
      <c r="L4257" s="11">
        <v>46097</v>
      </c>
      <c r="M4257" s="23">
        <f>YEAR(Таблица1[[#This Row],[Дата отчета]])</f>
        <v>2026</v>
      </c>
      <c r="N4257" s="24"/>
      <c r="O4257" s="24"/>
      <c r="P4257" s="24"/>
      <c r="Q4257" s="24"/>
    </row>
    <row r="4258" spans="1:17" x14ac:dyDescent="0.25">
      <c r="A4258" s="24" t="s">
        <v>12</v>
      </c>
      <c r="B4258" s="24" t="s">
        <v>561</v>
      </c>
      <c r="C4258" s="24" t="s">
        <v>1566</v>
      </c>
      <c r="D4258" s="24" t="s">
        <v>1567</v>
      </c>
      <c r="E4258" s="24" t="s">
        <v>1801</v>
      </c>
      <c r="F4258" s="25">
        <v>355885.99</v>
      </c>
      <c r="G4258" s="24"/>
      <c r="H4258" s="24"/>
      <c r="I4258" s="26">
        <f t="shared" si="185"/>
        <v>45524</v>
      </c>
      <c r="J4258" s="27">
        <f t="shared" si="186"/>
        <v>573</v>
      </c>
      <c r="K4258" s="24" t="str">
        <f t="shared" si="187"/>
        <v>&gt;360</v>
      </c>
      <c r="L4258" s="11">
        <v>46097</v>
      </c>
      <c r="M4258" s="23">
        <f>YEAR(Таблица1[[#This Row],[Дата отчета]])</f>
        <v>2026</v>
      </c>
      <c r="N4258" s="24"/>
      <c r="O4258" s="24"/>
      <c r="P4258" s="24"/>
      <c r="Q4258" s="24"/>
    </row>
    <row r="4259" spans="1:17" x14ac:dyDescent="0.25">
      <c r="A4259" s="24" t="s">
        <v>12</v>
      </c>
      <c r="B4259" s="24" t="s">
        <v>561</v>
      </c>
      <c r="C4259" s="24" t="s">
        <v>1568</v>
      </c>
      <c r="D4259" s="24" t="s">
        <v>1569</v>
      </c>
      <c r="E4259" s="24" t="s">
        <v>1802</v>
      </c>
      <c r="F4259" s="25">
        <v>21441.599999999999</v>
      </c>
      <c r="G4259" s="24"/>
      <c r="H4259" s="24"/>
      <c r="I4259" s="26">
        <f t="shared" si="185"/>
        <v>45531</v>
      </c>
      <c r="J4259" s="27">
        <f t="shared" si="186"/>
        <v>566</v>
      </c>
      <c r="K4259" s="24" t="str">
        <f t="shared" si="187"/>
        <v>&gt;360</v>
      </c>
      <c r="L4259" s="11">
        <v>46097</v>
      </c>
      <c r="M4259" s="23">
        <f>YEAR(Таблица1[[#This Row],[Дата отчета]])</f>
        <v>2026</v>
      </c>
      <c r="N4259" s="24"/>
      <c r="O4259" s="24"/>
      <c r="P4259" s="24"/>
      <c r="Q4259" s="24"/>
    </row>
    <row r="4260" spans="1:17" x14ac:dyDescent="0.25">
      <c r="A4260" s="24" t="s">
        <v>12</v>
      </c>
      <c r="B4260" s="24" t="s">
        <v>561</v>
      </c>
      <c r="C4260" s="24" t="s">
        <v>1570</v>
      </c>
      <c r="D4260" s="24" t="s">
        <v>1571</v>
      </c>
      <c r="E4260" s="24" t="s">
        <v>734</v>
      </c>
      <c r="F4260" s="25">
        <v>121190.09</v>
      </c>
      <c r="G4260" s="24"/>
      <c r="H4260" s="24"/>
      <c r="I4260" s="26">
        <f t="shared" si="185"/>
        <v>45541</v>
      </c>
      <c r="J4260" s="27">
        <f t="shared" si="186"/>
        <v>556</v>
      </c>
      <c r="K4260" s="24" t="str">
        <f t="shared" si="187"/>
        <v>&gt;360</v>
      </c>
      <c r="L4260" s="11">
        <v>46097</v>
      </c>
      <c r="M4260" s="23">
        <f>YEAR(Таблица1[[#This Row],[Дата отчета]])</f>
        <v>2026</v>
      </c>
      <c r="N4260" s="24"/>
      <c r="O4260" s="24"/>
      <c r="P4260" s="24"/>
      <c r="Q4260" s="24"/>
    </row>
    <row r="4261" spans="1:17" x14ac:dyDescent="0.25">
      <c r="A4261" s="24" t="s">
        <v>12</v>
      </c>
      <c r="B4261" s="24" t="s">
        <v>561</v>
      </c>
      <c r="C4261" s="24" t="s">
        <v>1582</v>
      </c>
      <c r="D4261" s="24" t="s">
        <v>1583</v>
      </c>
      <c r="E4261" s="24" t="s">
        <v>1167</v>
      </c>
      <c r="F4261" s="25">
        <v>10340.5</v>
      </c>
      <c r="G4261" s="24"/>
      <c r="H4261" s="24"/>
      <c r="I4261" s="26">
        <f t="shared" si="185"/>
        <v>45908</v>
      </c>
      <c r="J4261" s="27">
        <f t="shared" si="186"/>
        <v>189</v>
      </c>
      <c r="K4261" s="24" t="str">
        <f t="shared" si="187"/>
        <v>181-270</v>
      </c>
      <c r="L4261" s="11">
        <v>46097</v>
      </c>
      <c r="M4261" s="23">
        <f>YEAR(Таблица1[[#This Row],[Дата отчета]])</f>
        <v>2026</v>
      </c>
      <c r="N4261" s="24"/>
      <c r="O4261" s="24"/>
      <c r="P4261" s="24"/>
      <c r="Q4261" s="24"/>
    </row>
    <row r="4262" spans="1:17" x14ac:dyDescent="0.25">
      <c r="A4262" s="24" t="s">
        <v>12</v>
      </c>
      <c r="B4262" s="24" t="s">
        <v>561</v>
      </c>
      <c r="C4262" s="24" t="s">
        <v>1588</v>
      </c>
      <c r="D4262" s="24" t="s">
        <v>1589</v>
      </c>
      <c r="E4262" s="24" t="s">
        <v>215</v>
      </c>
      <c r="F4262" s="25">
        <v>209866.35</v>
      </c>
      <c r="G4262" s="24"/>
      <c r="H4262" s="24"/>
      <c r="I4262" s="26">
        <f t="shared" si="185"/>
        <v>45929</v>
      </c>
      <c r="J4262" s="27">
        <f t="shared" si="186"/>
        <v>168</v>
      </c>
      <c r="K4262" s="24" t="str">
        <f t="shared" si="187"/>
        <v>121-180</v>
      </c>
      <c r="L4262" s="11">
        <v>46097</v>
      </c>
      <c r="M4262" s="23">
        <f>YEAR(Таблица1[[#This Row],[Дата отчета]])</f>
        <v>2026</v>
      </c>
      <c r="N4262" s="24"/>
      <c r="O4262" s="24"/>
      <c r="P4262" s="24"/>
      <c r="Q4262" s="24"/>
    </row>
    <row r="4263" spans="1:17" x14ac:dyDescent="0.25">
      <c r="A4263" s="24" t="s">
        <v>12</v>
      </c>
      <c r="B4263" s="24" t="s">
        <v>561</v>
      </c>
      <c r="C4263" s="24" t="s">
        <v>1592</v>
      </c>
      <c r="D4263" s="24" t="s">
        <v>1593</v>
      </c>
      <c r="E4263" s="24" t="s">
        <v>841</v>
      </c>
      <c r="F4263" s="25">
        <v>214217.64</v>
      </c>
      <c r="G4263" s="24"/>
      <c r="H4263" s="24"/>
      <c r="I4263" s="26">
        <f t="shared" si="185"/>
        <v>45925</v>
      </c>
      <c r="J4263" s="27">
        <f t="shared" si="186"/>
        <v>172</v>
      </c>
      <c r="K4263" s="24" t="str">
        <f t="shared" si="187"/>
        <v>121-180</v>
      </c>
      <c r="L4263" s="11">
        <v>46097</v>
      </c>
      <c r="M4263" s="23">
        <f>YEAR(Таблица1[[#This Row],[Дата отчета]])</f>
        <v>2026</v>
      </c>
      <c r="N4263" s="24"/>
      <c r="O4263" s="24"/>
      <c r="P4263" s="24"/>
      <c r="Q4263" s="24"/>
    </row>
    <row r="4264" spans="1:17" x14ac:dyDescent="0.25">
      <c r="A4264" s="24" t="s">
        <v>12</v>
      </c>
      <c r="B4264" s="24" t="s">
        <v>561</v>
      </c>
      <c r="C4264" s="24" t="s">
        <v>1596</v>
      </c>
      <c r="D4264" s="24" t="s">
        <v>1597</v>
      </c>
      <c r="E4264" s="24" t="s">
        <v>215</v>
      </c>
      <c r="F4264" s="25">
        <v>6114.02</v>
      </c>
      <c r="G4264" s="24"/>
      <c r="H4264" s="24"/>
      <c r="I4264" s="26">
        <f t="shared" si="185"/>
        <v>45929</v>
      </c>
      <c r="J4264" s="27">
        <f t="shared" si="186"/>
        <v>168</v>
      </c>
      <c r="K4264" s="24" t="str">
        <f t="shared" si="187"/>
        <v>121-180</v>
      </c>
      <c r="L4264" s="11">
        <v>46097</v>
      </c>
      <c r="M4264" s="23">
        <f>YEAR(Таблица1[[#This Row],[Дата отчета]])</f>
        <v>2026</v>
      </c>
      <c r="N4264" s="24"/>
      <c r="O4264" s="24"/>
      <c r="P4264" s="24"/>
      <c r="Q4264" s="24"/>
    </row>
    <row r="4265" spans="1:17" x14ac:dyDescent="0.25">
      <c r="A4265" s="24" t="s">
        <v>12</v>
      </c>
      <c r="B4265" s="24" t="s">
        <v>561</v>
      </c>
      <c r="C4265" s="24" t="s">
        <v>4385</v>
      </c>
      <c r="D4265" s="24" t="s">
        <v>4458</v>
      </c>
      <c r="E4265" s="24" t="s">
        <v>45</v>
      </c>
      <c r="F4265" s="25">
        <v>669027.43999999994</v>
      </c>
      <c r="G4265" s="24"/>
      <c r="H4265" s="24"/>
      <c r="I4265" s="26">
        <f t="shared" si="185"/>
        <v>45938</v>
      </c>
      <c r="J4265" s="27">
        <f t="shared" si="186"/>
        <v>159</v>
      </c>
      <c r="K4265" s="24" t="str">
        <f t="shared" si="187"/>
        <v>121-180</v>
      </c>
      <c r="L4265" s="11">
        <v>46097</v>
      </c>
      <c r="M4265" s="23">
        <f>YEAR(Таблица1[[#This Row],[Дата отчета]])</f>
        <v>2026</v>
      </c>
      <c r="N4265" s="24"/>
      <c r="O4265" s="24"/>
      <c r="P4265" s="24"/>
      <c r="Q4265" s="24"/>
    </row>
    <row r="4266" spans="1:17" x14ac:dyDescent="0.25">
      <c r="A4266" s="24" t="s">
        <v>12</v>
      </c>
      <c r="B4266" s="24" t="s">
        <v>561</v>
      </c>
      <c r="C4266" s="24" t="s">
        <v>4386</v>
      </c>
      <c r="D4266" s="24" t="s">
        <v>4459</v>
      </c>
      <c r="E4266" s="24" t="s">
        <v>332</v>
      </c>
      <c r="F4266" s="25">
        <v>482410.85</v>
      </c>
      <c r="G4266" s="24"/>
      <c r="H4266" s="24"/>
      <c r="I4266" s="26">
        <f t="shared" si="185"/>
        <v>45936</v>
      </c>
      <c r="J4266" s="27">
        <f t="shared" si="186"/>
        <v>161</v>
      </c>
      <c r="K4266" s="24" t="str">
        <f t="shared" si="187"/>
        <v>121-180</v>
      </c>
      <c r="L4266" s="11">
        <v>46097</v>
      </c>
      <c r="M4266" s="23">
        <f>YEAR(Таблица1[[#This Row],[Дата отчета]])</f>
        <v>2026</v>
      </c>
      <c r="N4266" s="24"/>
      <c r="O4266" s="24"/>
      <c r="P4266" s="24"/>
      <c r="Q4266" s="24"/>
    </row>
    <row r="4267" spans="1:17" x14ac:dyDescent="0.25">
      <c r="A4267" s="24" t="s">
        <v>12</v>
      </c>
      <c r="B4267" s="24" t="s">
        <v>561</v>
      </c>
      <c r="C4267" s="24" t="s">
        <v>4387</v>
      </c>
      <c r="D4267" s="24" t="s">
        <v>4460</v>
      </c>
      <c r="E4267" s="24" t="s">
        <v>45</v>
      </c>
      <c r="F4267" s="25">
        <v>602962.17000000004</v>
      </c>
      <c r="G4267" s="24"/>
      <c r="H4267" s="24"/>
      <c r="I4267" s="26">
        <f t="shared" si="185"/>
        <v>45938</v>
      </c>
      <c r="J4267" s="27">
        <f t="shared" si="186"/>
        <v>159</v>
      </c>
      <c r="K4267" s="24" t="str">
        <f t="shared" si="187"/>
        <v>121-180</v>
      </c>
      <c r="L4267" s="11">
        <v>46097</v>
      </c>
      <c r="M4267" s="23">
        <f>YEAR(Таблица1[[#This Row],[Дата отчета]])</f>
        <v>2026</v>
      </c>
      <c r="N4267" s="24"/>
      <c r="O4267" s="24"/>
      <c r="P4267" s="24"/>
      <c r="Q4267" s="24"/>
    </row>
    <row r="4268" spans="1:17" x14ac:dyDescent="0.25">
      <c r="A4268" s="24" t="s">
        <v>12</v>
      </c>
      <c r="B4268" s="24" t="s">
        <v>561</v>
      </c>
      <c r="C4268" s="24" t="s">
        <v>4388</v>
      </c>
      <c r="D4268" s="24" t="s">
        <v>4461</v>
      </c>
      <c r="E4268" s="24" t="s">
        <v>462</v>
      </c>
      <c r="F4268" s="25">
        <v>688503.75</v>
      </c>
      <c r="G4268" s="24"/>
      <c r="H4268" s="24"/>
      <c r="I4268" s="26">
        <f t="shared" si="185"/>
        <v>45945</v>
      </c>
      <c r="J4268" s="27">
        <f t="shared" si="186"/>
        <v>152</v>
      </c>
      <c r="K4268" s="24" t="str">
        <f t="shared" si="187"/>
        <v>121-180</v>
      </c>
      <c r="L4268" s="11">
        <v>46097</v>
      </c>
      <c r="M4268" s="23">
        <f>YEAR(Таблица1[[#This Row],[Дата отчета]])</f>
        <v>2026</v>
      </c>
      <c r="N4268" s="24"/>
      <c r="O4268" s="24"/>
      <c r="P4268" s="24"/>
      <c r="Q4268" s="24"/>
    </row>
    <row r="4269" spans="1:17" x14ac:dyDescent="0.25">
      <c r="A4269" s="24" t="s">
        <v>12</v>
      </c>
      <c r="B4269" s="24" t="s">
        <v>561</v>
      </c>
      <c r="C4269" s="24" t="s">
        <v>4389</v>
      </c>
      <c r="D4269" s="24" t="s">
        <v>4462</v>
      </c>
      <c r="E4269" s="24" t="s">
        <v>462</v>
      </c>
      <c r="F4269" s="25">
        <v>144652.26999999999</v>
      </c>
      <c r="G4269" s="24"/>
      <c r="H4269" s="24"/>
      <c r="I4269" s="26">
        <f t="shared" ref="I4269:I4332" si="188">E4269*1</f>
        <v>45945</v>
      </c>
      <c r="J4269" s="27">
        <f t="shared" ref="J4269:J4332" si="189">L4269-I4269</f>
        <v>152</v>
      </c>
      <c r="K4269" s="24" t="str">
        <f t="shared" ref="K4269:K4332" si="190">IF(J4269&lt;=30,"0-30",IF(J4269&lt;=90,"31-90",IF(J4269&lt;=120,"91-120",IF(J4269&lt;=180,"121-180",IF(J4269&lt;=270,"181-270",IF(J4269&lt;=360,"271-360","&gt;360"))))))</f>
        <v>121-180</v>
      </c>
      <c r="L4269" s="11">
        <v>46097</v>
      </c>
      <c r="M4269" s="23">
        <f>YEAR(Таблица1[[#This Row],[Дата отчета]])</f>
        <v>2026</v>
      </c>
      <c r="N4269" s="24"/>
      <c r="O4269" s="24"/>
      <c r="P4269" s="24"/>
      <c r="Q4269" s="24"/>
    </row>
    <row r="4270" spans="1:17" x14ac:dyDescent="0.25">
      <c r="A4270" s="24" t="s">
        <v>12</v>
      </c>
      <c r="B4270" s="24" t="s">
        <v>561</v>
      </c>
      <c r="C4270" s="24" t="s">
        <v>4390</v>
      </c>
      <c r="D4270" s="24" t="s">
        <v>4463</v>
      </c>
      <c r="E4270" s="24" t="s">
        <v>218</v>
      </c>
      <c r="F4270" s="25">
        <v>26049.02</v>
      </c>
      <c r="G4270" s="24"/>
      <c r="H4270" s="24"/>
      <c r="I4270" s="26">
        <f t="shared" si="188"/>
        <v>45947</v>
      </c>
      <c r="J4270" s="27">
        <f t="shared" si="189"/>
        <v>150</v>
      </c>
      <c r="K4270" s="24" t="str">
        <f t="shared" si="190"/>
        <v>121-180</v>
      </c>
      <c r="L4270" s="11">
        <v>46097</v>
      </c>
      <c r="M4270" s="23">
        <f>YEAR(Таблица1[[#This Row],[Дата отчета]])</f>
        <v>2026</v>
      </c>
      <c r="N4270" s="24"/>
      <c r="O4270" s="24"/>
      <c r="P4270" s="24"/>
      <c r="Q4270" s="24"/>
    </row>
    <row r="4271" spans="1:17" x14ac:dyDescent="0.25">
      <c r="A4271" s="24" t="s">
        <v>12</v>
      </c>
      <c r="B4271" s="24" t="s">
        <v>561</v>
      </c>
      <c r="C4271" s="24" t="s">
        <v>4391</v>
      </c>
      <c r="D4271" s="24" t="s">
        <v>4464</v>
      </c>
      <c r="E4271" s="24" t="s">
        <v>218</v>
      </c>
      <c r="F4271" s="25">
        <v>50680.08</v>
      </c>
      <c r="G4271" s="24"/>
      <c r="H4271" s="24"/>
      <c r="I4271" s="26">
        <f t="shared" si="188"/>
        <v>45947</v>
      </c>
      <c r="J4271" s="27">
        <f t="shared" si="189"/>
        <v>150</v>
      </c>
      <c r="K4271" s="24" t="str">
        <f t="shared" si="190"/>
        <v>121-180</v>
      </c>
      <c r="L4271" s="11">
        <v>46097</v>
      </c>
      <c r="M4271" s="23">
        <f>YEAR(Таблица1[[#This Row],[Дата отчета]])</f>
        <v>2026</v>
      </c>
      <c r="N4271" s="24"/>
      <c r="O4271" s="24"/>
      <c r="P4271" s="24"/>
      <c r="Q4271" s="24"/>
    </row>
    <row r="4272" spans="1:17" x14ac:dyDescent="0.25">
      <c r="A4272" s="24" t="s">
        <v>12</v>
      </c>
      <c r="B4272" s="24" t="s">
        <v>561</v>
      </c>
      <c r="C4272" s="24" t="s">
        <v>4392</v>
      </c>
      <c r="D4272" s="24" t="s">
        <v>4465</v>
      </c>
      <c r="E4272" s="24" t="s">
        <v>571</v>
      </c>
      <c r="F4272" s="25">
        <v>1508294.29</v>
      </c>
      <c r="G4272" s="24"/>
      <c r="H4272" s="24"/>
      <c r="I4272" s="26">
        <f t="shared" si="188"/>
        <v>45951</v>
      </c>
      <c r="J4272" s="27">
        <f t="shared" si="189"/>
        <v>146</v>
      </c>
      <c r="K4272" s="24" t="str">
        <f t="shared" si="190"/>
        <v>121-180</v>
      </c>
      <c r="L4272" s="11">
        <v>46097</v>
      </c>
      <c r="M4272" s="23">
        <f>YEAR(Таблица1[[#This Row],[Дата отчета]])</f>
        <v>2026</v>
      </c>
      <c r="N4272" s="24"/>
      <c r="O4272" s="24"/>
      <c r="P4272" s="24"/>
      <c r="Q4272" s="24"/>
    </row>
    <row r="4273" spans="1:17" x14ac:dyDescent="0.25">
      <c r="A4273" s="24" t="s">
        <v>12</v>
      </c>
      <c r="B4273" s="24" t="s">
        <v>561</v>
      </c>
      <c r="C4273" s="24" t="s">
        <v>4393</v>
      </c>
      <c r="D4273" s="24" t="s">
        <v>570</v>
      </c>
      <c r="E4273" s="24" t="s">
        <v>571</v>
      </c>
      <c r="F4273" s="25">
        <v>131546.95000000001</v>
      </c>
      <c r="G4273" s="24"/>
      <c r="H4273" s="24"/>
      <c r="I4273" s="26">
        <f t="shared" si="188"/>
        <v>45951</v>
      </c>
      <c r="J4273" s="27">
        <f t="shared" si="189"/>
        <v>146</v>
      </c>
      <c r="K4273" s="24" t="str">
        <f t="shared" si="190"/>
        <v>121-180</v>
      </c>
      <c r="L4273" s="11">
        <v>46097</v>
      </c>
      <c r="M4273" s="23">
        <f>YEAR(Таблица1[[#This Row],[Дата отчета]])</f>
        <v>2026</v>
      </c>
      <c r="N4273" s="24"/>
      <c r="O4273" s="24"/>
      <c r="P4273" s="24"/>
      <c r="Q4273" s="24"/>
    </row>
    <row r="4274" spans="1:17" x14ac:dyDescent="0.25">
      <c r="A4274" s="24" t="s">
        <v>12</v>
      </c>
      <c r="B4274" s="24" t="s">
        <v>561</v>
      </c>
      <c r="C4274" s="24" t="s">
        <v>1600</v>
      </c>
      <c r="D4274" s="24" t="s">
        <v>1601</v>
      </c>
      <c r="E4274" s="24" t="s">
        <v>1803</v>
      </c>
      <c r="F4274" s="25">
        <v>3399271.54</v>
      </c>
      <c r="G4274" s="24"/>
      <c r="H4274" s="24"/>
      <c r="I4274" s="26">
        <f t="shared" si="188"/>
        <v>45673</v>
      </c>
      <c r="J4274" s="27">
        <f t="shared" si="189"/>
        <v>424</v>
      </c>
      <c r="K4274" s="24" t="str">
        <f t="shared" si="190"/>
        <v>&gt;360</v>
      </c>
      <c r="L4274" s="11">
        <v>46097</v>
      </c>
      <c r="M4274" s="23">
        <f>YEAR(Таблица1[[#This Row],[Дата отчета]])</f>
        <v>2026</v>
      </c>
      <c r="N4274" s="24"/>
      <c r="O4274" s="24"/>
      <c r="P4274" s="24"/>
      <c r="Q4274" s="24"/>
    </row>
    <row r="4275" spans="1:17" x14ac:dyDescent="0.25">
      <c r="A4275" s="24" t="s">
        <v>12</v>
      </c>
      <c r="B4275" s="24" t="s">
        <v>561</v>
      </c>
      <c r="C4275" s="24" t="s">
        <v>583</v>
      </c>
      <c r="D4275" s="24" t="s">
        <v>584</v>
      </c>
      <c r="E4275" s="24" t="s">
        <v>106</v>
      </c>
      <c r="F4275" s="25">
        <v>3536597.4</v>
      </c>
      <c r="G4275" s="24"/>
      <c r="H4275" s="24"/>
      <c r="I4275" s="26">
        <f t="shared" si="188"/>
        <v>46017</v>
      </c>
      <c r="J4275" s="27">
        <f t="shared" si="189"/>
        <v>80</v>
      </c>
      <c r="K4275" s="24" t="str">
        <f t="shared" si="190"/>
        <v>31-90</v>
      </c>
      <c r="L4275" s="11">
        <v>46097</v>
      </c>
      <c r="M4275" s="23">
        <f>YEAR(Таблица1[[#This Row],[Дата отчета]])</f>
        <v>2026</v>
      </c>
      <c r="N4275" s="24"/>
      <c r="O4275" s="24"/>
      <c r="P4275" s="24"/>
      <c r="Q4275" s="24"/>
    </row>
    <row r="4276" spans="1:17" x14ac:dyDescent="0.25">
      <c r="A4276" s="24" t="s">
        <v>12</v>
      </c>
      <c r="B4276" s="24" t="s">
        <v>561</v>
      </c>
      <c r="C4276" s="24" t="s">
        <v>585</v>
      </c>
      <c r="D4276" s="24" t="s">
        <v>586</v>
      </c>
      <c r="E4276" s="24" t="s">
        <v>106</v>
      </c>
      <c r="F4276" s="25">
        <v>1857916.08</v>
      </c>
      <c r="G4276" s="24"/>
      <c r="H4276" s="24"/>
      <c r="I4276" s="26">
        <f t="shared" si="188"/>
        <v>46017</v>
      </c>
      <c r="J4276" s="27">
        <f t="shared" si="189"/>
        <v>80</v>
      </c>
      <c r="K4276" s="24" t="str">
        <f t="shared" si="190"/>
        <v>31-90</v>
      </c>
      <c r="L4276" s="11">
        <v>46097</v>
      </c>
      <c r="M4276" s="23">
        <f>YEAR(Таблица1[[#This Row],[Дата отчета]])</f>
        <v>2026</v>
      </c>
      <c r="N4276" s="24"/>
      <c r="O4276" s="24"/>
      <c r="P4276" s="24"/>
      <c r="Q4276" s="24"/>
    </row>
    <row r="4277" spans="1:17" x14ac:dyDescent="0.25">
      <c r="A4277" s="24" t="s">
        <v>12</v>
      </c>
      <c r="B4277" s="24" t="s">
        <v>561</v>
      </c>
      <c r="C4277" s="24" t="s">
        <v>587</v>
      </c>
      <c r="D4277" s="24" t="s">
        <v>588</v>
      </c>
      <c r="E4277" s="24" t="s">
        <v>408</v>
      </c>
      <c r="F4277" s="25">
        <v>4806964.25</v>
      </c>
      <c r="G4277" s="24"/>
      <c r="H4277" s="24"/>
      <c r="I4277" s="26">
        <f t="shared" si="188"/>
        <v>46010</v>
      </c>
      <c r="J4277" s="27">
        <f t="shared" si="189"/>
        <v>87</v>
      </c>
      <c r="K4277" s="24" t="str">
        <f t="shared" si="190"/>
        <v>31-90</v>
      </c>
      <c r="L4277" s="11">
        <v>46097</v>
      </c>
      <c r="M4277" s="23">
        <f>YEAR(Таблица1[[#This Row],[Дата отчета]])</f>
        <v>2026</v>
      </c>
      <c r="N4277" s="24"/>
      <c r="O4277" s="24"/>
      <c r="P4277" s="24"/>
      <c r="Q4277" s="24"/>
    </row>
    <row r="4278" spans="1:17" x14ac:dyDescent="0.25">
      <c r="A4278" s="24" t="s">
        <v>12</v>
      </c>
      <c r="B4278" s="24" t="s">
        <v>2641</v>
      </c>
      <c r="C4278" s="24" t="s">
        <v>2642</v>
      </c>
      <c r="D4278" s="24" t="s">
        <v>4466</v>
      </c>
      <c r="E4278" s="24" t="s">
        <v>4501</v>
      </c>
      <c r="F4278" s="25">
        <v>9975</v>
      </c>
      <c r="G4278" s="24"/>
      <c r="H4278" s="24"/>
      <c r="I4278" s="26">
        <f t="shared" si="188"/>
        <v>46084</v>
      </c>
      <c r="J4278" s="27">
        <f t="shared" si="189"/>
        <v>13</v>
      </c>
      <c r="K4278" s="24" t="str">
        <f t="shared" si="190"/>
        <v>0-30</v>
      </c>
      <c r="L4278" s="11">
        <v>46097</v>
      </c>
      <c r="M4278" s="23">
        <f>YEAR(Таблица1[[#This Row],[Дата отчета]])</f>
        <v>2026</v>
      </c>
      <c r="N4278" s="24"/>
      <c r="O4278" s="24"/>
      <c r="P4278" s="24"/>
      <c r="Q4278" s="24"/>
    </row>
    <row r="4279" spans="1:17" x14ac:dyDescent="0.25">
      <c r="A4279" s="24" t="s">
        <v>12</v>
      </c>
      <c r="B4279" s="24" t="s">
        <v>4514</v>
      </c>
      <c r="C4279" s="24" t="s">
        <v>4520</v>
      </c>
      <c r="D4279" s="24" t="s">
        <v>4528</v>
      </c>
      <c r="E4279" s="24" t="s">
        <v>4534</v>
      </c>
      <c r="F4279" s="25">
        <v>112850</v>
      </c>
      <c r="G4279" s="24"/>
      <c r="H4279" s="24"/>
      <c r="I4279" s="26">
        <f t="shared" si="188"/>
        <v>46094</v>
      </c>
      <c r="J4279" s="27">
        <f t="shared" si="189"/>
        <v>3</v>
      </c>
      <c r="K4279" s="24" t="str">
        <f t="shared" si="190"/>
        <v>0-30</v>
      </c>
      <c r="L4279" s="11">
        <v>46097</v>
      </c>
      <c r="M4279" s="23">
        <f>YEAR(Таблица1[[#This Row],[Дата отчета]])</f>
        <v>2026</v>
      </c>
      <c r="N4279" s="24"/>
      <c r="O4279" s="24"/>
      <c r="P4279" s="24"/>
      <c r="Q4279" s="24"/>
    </row>
    <row r="4280" spans="1:17" x14ac:dyDescent="0.25">
      <c r="A4280" s="24" t="s">
        <v>12</v>
      </c>
      <c r="B4280" s="24" t="s">
        <v>589</v>
      </c>
      <c r="C4280" s="24" t="s">
        <v>590</v>
      </c>
      <c r="D4280" s="24" t="s">
        <v>591</v>
      </c>
      <c r="E4280" s="24" t="s">
        <v>592</v>
      </c>
      <c r="F4280" s="25">
        <v>904.82</v>
      </c>
      <c r="G4280" s="24"/>
      <c r="H4280" s="24"/>
      <c r="I4280" s="26">
        <f t="shared" si="188"/>
        <v>45966</v>
      </c>
      <c r="J4280" s="27">
        <f t="shared" si="189"/>
        <v>131</v>
      </c>
      <c r="K4280" s="24" t="str">
        <f t="shared" si="190"/>
        <v>121-180</v>
      </c>
      <c r="L4280" s="11">
        <v>46097</v>
      </c>
      <c r="M4280" s="23">
        <f>YEAR(Таблица1[[#This Row],[Дата отчета]])</f>
        <v>2026</v>
      </c>
      <c r="N4280" s="24"/>
      <c r="O4280" s="24"/>
      <c r="P4280" s="24"/>
      <c r="Q4280" s="24"/>
    </row>
    <row r="4281" spans="1:17" x14ac:dyDescent="0.25">
      <c r="A4281" s="24" t="s">
        <v>12</v>
      </c>
      <c r="B4281" s="24" t="s">
        <v>589</v>
      </c>
      <c r="C4281" s="24" t="s">
        <v>590</v>
      </c>
      <c r="D4281" s="24" t="s">
        <v>593</v>
      </c>
      <c r="E4281" s="24" t="s">
        <v>211</v>
      </c>
      <c r="F4281" s="25">
        <v>2000</v>
      </c>
      <c r="G4281" s="24"/>
      <c r="H4281" s="24"/>
      <c r="I4281" s="26">
        <f t="shared" si="188"/>
        <v>46056</v>
      </c>
      <c r="J4281" s="27">
        <f t="shared" si="189"/>
        <v>41</v>
      </c>
      <c r="K4281" s="24" t="str">
        <f t="shared" si="190"/>
        <v>31-90</v>
      </c>
      <c r="L4281" s="11">
        <v>46097</v>
      </c>
      <c r="M4281" s="23">
        <f>YEAR(Таблица1[[#This Row],[Дата отчета]])</f>
        <v>2026</v>
      </c>
      <c r="N4281" s="24"/>
      <c r="O4281" s="24"/>
      <c r="P4281" s="24"/>
      <c r="Q4281" s="24"/>
    </row>
    <row r="4282" spans="1:17" x14ac:dyDescent="0.25">
      <c r="A4282" s="24" t="s">
        <v>12</v>
      </c>
      <c r="B4282" s="24" t="s">
        <v>589</v>
      </c>
      <c r="C4282" s="24" t="s">
        <v>594</v>
      </c>
      <c r="D4282" s="24" t="s">
        <v>595</v>
      </c>
      <c r="E4282" s="24" t="s">
        <v>211</v>
      </c>
      <c r="F4282" s="25">
        <v>2534.89</v>
      </c>
      <c r="G4282" s="24"/>
      <c r="H4282" s="24"/>
      <c r="I4282" s="26">
        <f t="shared" si="188"/>
        <v>46056</v>
      </c>
      <c r="J4282" s="27">
        <f t="shared" si="189"/>
        <v>41</v>
      </c>
      <c r="K4282" s="24" t="str">
        <f t="shared" si="190"/>
        <v>31-90</v>
      </c>
      <c r="L4282" s="11">
        <v>46097</v>
      </c>
      <c r="M4282" s="23">
        <f>YEAR(Таблица1[[#This Row],[Дата отчета]])</f>
        <v>2026</v>
      </c>
      <c r="N4282" s="24"/>
      <c r="O4282" s="24"/>
      <c r="P4282" s="24"/>
      <c r="Q4282" s="24"/>
    </row>
    <row r="4283" spans="1:17" x14ac:dyDescent="0.25">
      <c r="A4283" s="24" t="s">
        <v>12</v>
      </c>
      <c r="B4283" s="24" t="s">
        <v>589</v>
      </c>
      <c r="C4283" s="24" t="s">
        <v>596</v>
      </c>
      <c r="D4283" s="24" t="s">
        <v>597</v>
      </c>
      <c r="E4283" s="24" t="s">
        <v>59</v>
      </c>
      <c r="F4283" s="25">
        <v>7952.65</v>
      </c>
      <c r="G4283" s="24"/>
      <c r="H4283" s="24"/>
      <c r="I4283" s="26">
        <f t="shared" si="188"/>
        <v>46077</v>
      </c>
      <c r="J4283" s="27">
        <f t="shared" si="189"/>
        <v>20</v>
      </c>
      <c r="K4283" s="24" t="str">
        <f t="shared" si="190"/>
        <v>0-30</v>
      </c>
      <c r="L4283" s="11">
        <v>46097</v>
      </c>
      <c r="M4283" s="23">
        <f>YEAR(Таблица1[[#This Row],[Дата отчета]])</f>
        <v>2026</v>
      </c>
      <c r="N4283" s="24"/>
      <c r="O4283" s="24"/>
      <c r="P4283" s="24"/>
      <c r="Q4283" s="24"/>
    </row>
    <row r="4284" spans="1:17" x14ac:dyDescent="0.25">
      <c r="A4284" s="24" t="s">
        <v>12</v>
      </c>
      <c r="B4284" s="24" t="s">
        <v>589</v>
      </c>
      <c r="C4284" s="24" t="s">
        <v>598</v>
      </c>
      <c r="D4284" s="24" t="s">
        <v>599</v>
      </c>
      <c r="E4284" s="24" t="s">
        <v>600</v>
      </c>
      <c r="F4284" s="25">
        <v>45.91</v>
      </c>
      <c r="G4284" s="24"/>
      <c r="H4284" s="24"/>
      <c r="I4284" s="26">
        <f t="shared" si="188"/>
        <v>43560</v>
      </c>
      <c r="J4284" s="27">
        <f t="shared" si="189"/>
        <v>2537</v>
      </c>
      <c r="K4284" s="24" t="str">
        <f t="shared" si="190"/>
        <v>&gt;360</v>
      </c>
      <c r="L4284" s="11">
        <v>46097</v>
      </c>
      <c r="M4284" s="23">
        <f>YEAR(Таблица1[[#This Row],[Дата отчета]])</f>
        <v>2026</v>
      </c>
      <c r="N4284" s="24"/>
      <c r="O4284" s="24"/>
      <c r="P4284" s="24"/>
      <c r="Q4284" s="24"/>
    </row>
    <row r="4285" spans="1:17" x14ac:dyDescent="0.25">
      <c r="A4285" s="24" t="s">
        <v>12</v>
      </c>
      <c r="B4285" s="24" t="s">
        <v>589</v>
      </c>
      <c r="C4285" s="24" t="s">
        <v>601</v>
      </c>
      <c r="D4285" s="24" t="s">
        <v>602</v>
      </c>
      <c r="E4285" s="24" t="s">
        <v>592</v>
      </c>
      <c r="F4285" s="25">
        <v>2028.51</v>
      </c>
      <c r="G4285" s="24"/>
      <c r="H4285" s="24"/>
      <c r="I4285" s="26">
        <f t="shared" si="188"/>
        <v>45966</v>
      </c>
      <c r="J4285" s="27">
        <f t="shared" si="189"/>
        <v>131</v>
      </c>
      <c r="K4285" s="24" t="str">
        <f t="shared" si="190"/>
        <v>121-180</v>
      </c>
      <c r="L4285" s="11">
        <v>46097</v>
      </c>
      <c r="M4285" s="23">
        <f>YEAR(Таблица1[[#This Row],[Дата отчета]])</f>
        <v>2026</v>
      </c>
      <c r="N4285" s="24"/>
      <c r="O4285" s="24"/>
      <c r="P4285" s="24"/>
      <c r="Q4285" s="24"/>
    </row>
    <row r="4286" spans="1:17" x14ac:dyDescent="0.25">
      <c r="A4286" s="24" t="s">
        <v>12</v>
      </c>
      <c r="B4286" s="24" t="s">
        <v>589</v>
      </c>
      <c r="C4286" s="24" t="s">
        <v>601</v>
      </c>
      <c r="D4286" s="24" t="s">
        <v>603</v>
      </c>
      <c r="E4286" s="24" t="s">
        <v>211</v>
      </c>
      <c r="F4286" s="25">
        <v>2000</v>
      </c>
      <c r="G4286" s="24"/>
      <c r="H4286" s="24"/>
      <c r="I4286" s="26">
        <f t="shared" si="188"/>
        <v>46056</v>
      </c>
      <c r="J4286" s="27">
        <f t="shared" si="189"/>
        <v>41</v>
      </c>
      <c r="K4286" s="24" t="str">
        <f t="shared" si="190"/>
        <v>31-90</v>
      </c>
      <c r="L4286" s="11">
        <v>46097</v>
      </c>
      <c r="M4286" s="23">
        <f>YEAR(Таблица1[[#This Row],[Дата отчета]])</f>
        <v>2026</v>
      </c>
      <c r="N4286" s="24"/>
      <c r="O4286" s="24"/>
      <c r="P4286" s="24"/>
      <c r="Q4286" s="24"/>
    </row>
    <row r="4287" spans="1:17" x14ac:dyDescent="0.25">
      <c r="A4287" s="24" t="s">
        <v>12</v>
      </c>
      <c r="B4287" s="24" t="s">
        <v>589</v>
      </c>
      <c r="C4287" s="24" t="s">
        <v>604</v>
      </c>
      <c r="D4287" s="24" t="s">
        <v>605</v>
      </c>
      <c r="E4287" s="24" t="s">
        <v>606</v>
      </c>
      <c r="F4287" s="25">
        <v>316.13</v>
      </c>
      <c r="G4287" s="24"/>
      <c r="H4287" s="24"/>
      <c r="I4287" s="26">
        <f t="shared" si="188"/>
        <v>45873</v>
      </c>
      <c r="J4287" s="27">
        <f t="shared" si="189"/>
        <v>224</v>
      </c>
      <c r="K4287" s="24" t="str">
        <f t="shared" si="190"/>
        <v>181-270</v>
      </c>
      <c r="L4287" s="11">
        <v>46097</v>
      </c>
      <c r="M4287" s="23">
        <f>YEAR(Таблица1[[#This Row],[Дата отчета]])</f>
        <v>2026</v>
      </c>
      <c r="N4287" s="24"/>
      <c r="O4287" s="24"/>
      <c r="P4287" s="24"/>
      <c r="Q4287" s="24"/>
    </row>
    <row r="4288" spans="1:17" x14ac:dyDescent="0.25">
      <c r="A4288" s="24" t="s">
        <v>12</v>
      </c>
      <c r="B4288" s="24" t="s">
        <v>589</v>
      </c>
      <c r="C4288" s="24" t="s">
        <v>607</v>
      </c>
      <c r="D4288" s="24" t="s">
        <v>608</v>
      </c>
      <c r="E4288" s="24" t="s">
        <v>609</v>
      </c>
      <c r="F4288" s="25">
        <v>771.25</v>
      </c>
      <c r="G4288" s="24"/>
      <c r="H4288" s="24"/>
      <c r="I4288" s="26">
        <f t="shared" si="188"/>
        <v>45233</v>
      </c>
      <c r="J4288" s="27">
        <f t="shared" si="189"/>
        <v>864</v>
      </c>
      <c r="K4288" s="24" t="str">
        <f t="shared" si="190"/>
        <v>&gt;360</v>
      </c>
      <c r="L4288" s="11">
        <v>46097</v>
      </c>
      <c r="M4288" s="23">
        <f>YEAR(Таблица1[[#This Row],[Дата отчета]])</f>
        <v>2026</v>
      </c>
      <c r="N4288" s="24"/>
      <c r="O4288" s="24"/>
      <c r="P4288" s="24"/>
      <c r="Q4288" s="24"/>
    </row>
    <row r="4289" spans="1:17" x14ac:dyDescent="0.25">
      <c r="A4289" s="24" t="s">
        <v>12</v>
      </c>
      <c r="B4289" s="24" t="s">
        <v>589</v>
      </c>
      <c r="C4289" s="24" t="s">
        <v>607</v>
      </c>
      <c r="D4289" s="24" t="s">
        <v>610</v>
      </c>
      <c r="E4289" s="24" t="s">
        <v>611</v>
      </c>
      <c r="F4289" s="25">
        <v>500</v>
      </c>
      <c r="G4289" s="24"/>
      <c r="H4289" s="24"/>
      <c r="I4289" s="26">
        <f t="shared" si="188"/>
        <v>45335</v>
      </c>
      <c r="J4289" s="27">
        <f t="shared" si="189"/>
        <v>762</v>
      </c>
      <c r="K4289" s="24" t="str">
        <f t="shared" si="190"/>
        <v>&gt;360</v>
      </c>
      <c r="L4289" s="11">
        <v>46097</v>
      </c>
      <c r="M4289" s="23">
        <f>YEAR(Таблица1[[#This Row],[Дата отчета]])</f>
        <v>2026</v>
      </c>
      <c r="N4289" s="24"/>
      <c r="O4289" s="24"/>
      <c r="P4289" s="24"/>
      <c r="Q4289" s="24"/>
    </row>
    <row r="4290" spans="1:17" x14ac:dyDescent="0.25">
      <c r="A4290" s="24" t="s">
        <v>12</v>
      </c>
      <c r="B4290" s="24" t="s">
        <v>589</v>
      </c>
      <c r="C4290" s="24" t="s">
        <v>612</v>
      </c>
      <c r="D4290" s="24" t="s">
        <v>613</v>
      </c>
      <c r="E4290" s="24" t="s">
        <v>592</v>
      </c>
      <c r="F4290" s="25">
        <v>2124.0700000000002</v>
      </c>
      <c r="G4290" s="24"/>
      <c r="H4290" s="24"/>
      <c r="I4290" s="26">
        <f t="shared" si="188"/>
        <v>45966</v>
      </c>
      <c r="J4290" s="27">
        <f t="shared" si="189"/>
        <v>131</v>
      </c>
      <c r="K4290" s="24" t="str">
        <f t="shared" si="190"/>
        <v>121-180</v>
      </c>
      <c r="L4290" s="11">
        <v>46097</v>
      </c>
      <c r="M4290" s="23">
        <f>YEAR(Таблица1[[#This Row],[Дата отчета]])</f>
        <v>2026</v>
      </c>
      <c r="N4290" s="24"/>
      <c r="O4290" s="24"/>
      <c r="P4290" s="24"/>
      <c r="Q4290" s="24"/>
    </row>
    <row r="4291" spans="1:17" x14ac:dyDescent="0.25">
      <c r="A4291" s="24" t="s">
        <v>12</v>
      </c>
      <c r="B4291" s="24" t="s">
        <v>589</v>
      </c>
      <c r="C4291" s="24" t="s">
        <v>612</v>
      </c>
      <c r="D4291" s="24" t="s">
        <v>614</v>
      </c>
      <c r="E4291" s="24" t="s">
        <v>211</v>
      </c>
      <c r="F4291" s="25">
        <v>2000</v>
      </c>
      <c r="G4291" s="24"/>
      <c r="H4291" s="24"/>
      <c r="I4291" s="26">
        <f t="shared" si="188"/>
        <v>46056</v>
      </c>
      <c r="J4291" s="27">
        <f t="shared" si="189"/>
        <v>41</v>
      </c>
      <c r="K4291" s="24" t="str">
        <f t="shared" si="190"/>
        <v>31-90</v>
      </c>
      <c r="L4291" s="11">
        <v>46097</v>
      </c>
      <c r="M4291" s="23">
        <f>YEAR(Таблица1[[#This Row],[Дата отчета]])</f>
        <v>2026</v>
      </c>
      <c r="N4291" s="24"/>
      <c r="O4291" s="24"/>
      <c r="P4291" s="24"/>
      <c r="Q4291" s="24"/>
    </row>
    <row r="4292" spans="1:17" x14ac:dyDescent="0.25">
      <c r="A4292" s="24" t="s">
        <v>12</v>
      </c>
      <c r="B4292" s="24" t="s">
        <v>589</v>
      </c>
      <c r="C4292" s="24" t="s">
        <v>615</v>
      </c>
      <c r="D4292" s="24" t="s">
        <v>616</v>
      </c>
      <c r="E4292" s="24" t="s">
        <v>617</v>
      </c>
      <c r="F4292" s="25">
        <v>127.6</v>
      </c>
      <c r="G4292" s="24"/>
      <c r="H4292" s="24"/>
      <c r="I4292" s="26">
        <f t="shared" si="188"/>
        <v>42468</v>
      </c>
      <c r="J4292" s="27">
        <f t="shared" si="189"/>
        <v>3629</v>
      </c>
      <c r="K4292" s="24" t="str">
        <f t="shared" si="190"/>
        <v>&gt;360</v>
      </c>
      <c r="L4292" s="11">
        <v>46097</v>
      </c>
      <c r="M4292" s="23">
        <f>YEAR(Таблица1[[#This Row],[Дата отчета]])</f>
        <v>2026</v>
      </c>
      <c r="N4292" s="24"/>
      <c r="O4292" s="24"/>
      <c r="P4292" s="24"/>
      <c r="Q4292" s="24"/>
    </row>
    <row r="4293" spans="1:17" x14ac:dyDescent="0.25">
      <c r="A4293" s="24" t="s">
        <v>12</v>
      </c>
      <c r="B4293" s="24" t="s">
        <v>589</v>
      </c>
      <c r="C4293" s="24" t="s">
        <v>615</v>
      </c>
      <c r="D4293" s="24" t="s">
        <v>618</v>
      </c>
      <c r="E4293" s="24" t="s">
        <v>619</v>
      </c>
      <c r="F4293" s="25">
        <v>430</v>
      </c>
      <c r="G4293" s="24"/>
      <c r="H4293" s="24"/>
      <c r="I4293" s="26">
        <f t="shared" si="188"/>
        <v>42501</v>
      </c>
      <c r="J4293" s="27">
        <f t="shared" si="189"/>
        <v>3596</v>
      </c>
      <c r="K4293" s="24" t="str">
        <f t="shared" si="190"/>
        <v>&gt;360</v>
      </c>
      <c r="L4293" s="11">
        <v>46097</v>
      </c>
      <c r="M4293" s="23">
        <f>YEAR(Таблица1[[#This Row],[Дата отчета]])</f>
        <v>2026</v>
      </c>
      <c r="N4293" s="24"/>
      <c r="O4293" s="24"/>
      <c r="P4293" s="24"/>
      <c r="Q4293" s="24"/>
    </row>
    <row r="4294" spans="1:17" x14ac:dyDescent="0.25">
      <c r="A4294" s="24" t="s">
        <v>12</v>
      </c>
      <c r="B4294" s="24" t="s">
        <v>589</v>
      </c>
      <c r="C4294" s="24" t="s">
        <v>615</v>
      </c>
      <c r="D4294" s="24" t="s">
        <v>620</v>
      </c>
      <c r="E4294" s="24" t="s">
        <v>621</v>
      </c>
      <c r="F4294" s="25">
        <v>0.01</v>
      </c>
      <c r="G4294" s="24"/>
      <c r="H4294" s="24"/>
      <c r="I4294" s="26">
        <f t="shared" si="188"/>
        <v>43817</v>
      </c>
      <c r="J4294" s="27">
        <f t="shared" si="189"/>
        <v>2280</v>
      </c>
      <c r="K4294" s="24" t="str">
        <f t="shared" si="190"/>
        <v>&gt;360</v>
      </c>
      <c r="L4294" s="11">
        <v>46097</v>
      </c>
      <c r="M4294" s="23">
        <f>YEAR(Таблица1[[#This Row],[Дата отчета]])</f>
        <v>2026</v>
      </c>
      <c r="N4294" s="24"/>
      <c r="O4294" s="24"/>
      <c r="P4294" s="24"/>
      <c r="Q4294" s="24"/>
    </row>
    <row r="4295" spans="1:17" x14ac:dyDescent="0.25">
      <c r="A4295" s="24" t="s">
        <v>12</v>
      </c>
      <c r="B4295" s="24" t="s">
        <v>589</v>
      </c>
      <c r="C4295" s="24" t="s">
        <v>622</v>
      </c>
      <c r="D4295" s="24"/>
      <c r="E4295" s="24"/>
      <c r="F4295" s="25">
        <v>68.27</v>
      </c>
      <c r="G4295" s="24"/>
      <c r="H4295" s="24"/>
      <c r="I4295" s="26">
        <f t="shared" si="188"/>
        <v>0</v>
      </c>
      <c r="J4295" s="27">
        <f t="shared" si="189"/>
        <v>46097</v>
      </c>
      <c r="K4295" s="24" t="str">
        <f t="shared" si="190"/>
        <v>&gt;360</v>
      </c>
      <c r="L4295" s="11">
        <v>46097</v>
      </c>
      <c r="M4295" s="23">
        <f>YEAR(Таблица1[[#This Row],[Дата отчета]])</f>
        <v>2026</v>
      </c>
      <c r="N4295" s="24"/>
      <c r="O4295" s="24"/>
      <c r="P4295" s="24"/>
      <c r="Q4295" s="24"/>
    </row>
    <row r="4296" spans="1:17" x14ac:dyDescent="0.25">
      <c r="A4296" s="24" t="s">
        <v>12</v>
      </c>
      <c r="B4296" s="24" t="s">
        <v>589</v>
      </c>
      <c r="C4296" s="24" t="s">
        <v>623</v>
      </c>
      <c r="D4296" s="24" t="s">
        <v>624</v>
      </c>
      <c r="E4296" s="24" t="s">
        <v>625</v>
      </c>
      <c r="F4296" s="25">
        <v>799.94</v>
      </c>
      <c r="G4296" s="24"/>
      <c r="H4296" s="24"/>
      <c r="I4296" s="26">
        <f t="shared" si="188"/>
        <v>42429</v>
      </c>
      <c r="J4296" s="27">
        <f t="shared" si="189"/>
        <v>3668</v>
      </c>
      <c r="K4296" s="24" t="str">
        <f t="shared" si="190"/>
        <v>&gt;360</v>
      </c>
      <c r="L4296" s="11">
        <v>46097</v>
      </c>
      <c r="M4296" s="23">
        <f>YEAR(Таблица1[[#This Row],[Дата отчета]])</f>
        <v>2026</v>
      </c>
      <c r="N4296" s="24"/>
      <c r="O4296" s="24"/>
      <c r="P4296" s="24"/>
      <c r="Q4296" s="24"/>
    </row>
    <row r="4297" spans="1:17" x14ac:dyDescent="0.25">
      <c r="A4297" s="24" t="s">
        <v>12</v>
      </c>
      <c r="B4297" s="24" t="s">
        <v>589</v>
      </c>
      <c r="C4297" s="24" t="s">
        <v>626</v>
      </c>
      <c r="D4297" s="24" t="s">
        <v>627</v>
      </c>
      <c r="E4297" s="24" t="s">
        <v>606</v>
      </c>
      <c r="F4297" s="25">
        <v>2356.06</v>
      </c>
      <c r="G4297" s="24"/>
      <c r="H4297" s="24"/>
      <c r="I4297" s="26">
        <f t="shared" si="188"/>
        <v>45873</v>
      </c>
      <c r="J4297" s="27">
        <f t="shared" si="189"/>
        <v>224</v>
      </c>
      <c r="K4297" s="24" t="str">
        <f t="shared" si="190"/>
        <v>181-270</v>
      </c>
      <c r="L4297" s="11">
        <v>46097</v>
      </c>
      <c r="M4297" s="23">
        <f>YEAR(Таблица1[[#This Row],[Дата отчета]])</f>
        <v>2026</v>
      </c>
      <c r="N4297" s="24"/>
      <c r="O4297" s="24"/>
      <c r="P4297" s="24"/>
      <c r="Q4297" s="24"/>
    </row>
    <row r="4298" spans="1:17" x14ac:dyDescent="0.25">
      <c r="A4298" s="24" t="s">
        <v>12</v>
      </c>
      <c r="B4298" s="24" t="s">
        <v>589</v>
      </c>
      <c r="C4298" s="24" t="s">
        <v>626</v>
      </c>
      <c r="D4298" s="24" t="s">
        <v>628</v>
      </c>
      <c r="E4298" s="24" t="s">
        <v>592</v>
      </c>
      <c r="F4298" s="25">
        <v>5000</v>
      </c>
      <c r="G4298" s="24"/>
      <c r="H4298" s="24"/>
      <c r="I4298" s="26">
        <f t="shared" si="188"/>
        <v>45966</v>
      </c>
      <c r="J4298" s="27">
        <f t="shared" si="189"/>
        <v>131</v>
      </c>
      <c r="K4298" s="24" t="str">
        <f t="shared" si="190"/>
        <v>121-180</v>
      </c>
      <c r="L4298" s="11">
        <v>46097</v>
      </c>
      <c r="M4298" s="23">
        <f>YEAR(Таблица1[[#This Row],[Дата отчета]])</f>
        <v>2026</v>
      </c>
      <c r="N4298" s="24"/>
      <c r="O4298" s="24"/>
      <c r="P4298" s="24"/>
      <c r="Q4298" s="24"/>
    </row>
    <row r="4299" spans="1:17" x14ac:dyDescent="0.25">
      <c r="A4299" s="24" t="s">
        <v>12</v>
      </c>
      <c r="B4299" s="24" t="s">
        <v>589</v>
      </c>
      <c r="C4299" s="24" t="s">
        <v>626</v>
      </c>
      <c r="D4299" s="24" t="s">
        <v>629</v>
      </c>
      <c r="E4299" s="24" t="s">
        <v>211</v>
      </c>
      <c r="F4299" s="25">
        <v>2000</v>
      </c>
      <c r="G4299" s="24"/>
      <c r="H4299" s="24"/>
      <c r="I4299" s="26">
        <f t="shared" si="188"/>
        <v>46056</v>
      </c>
      <c r="J4299" s="27">
        <f t="shared" si="189"/>
        <v>41</v>
      </c>
      <c r="K4299" s="24" t="str">
        <f t="shared" si="190"/>
        <v>31-90</v>
      </c>
      <c r="L4299" s="11">
        <v>46097</v>
      </c>
      <c r="M4299" s="23">
        <f>YEAR(Таблица1[[#This Row],[Дата отчета]])</f>
        <v>2026</v>
      </c>
      <c r="N4299" s="24"/>
      <c r="O4299" s="24"/>
      <c r="P4299" s="24"/>
      <c r="Q4299" s="24"/>
    </row>
    <row r="4300" spans="1:17" x14ac:dyDescent="0.25">
      <c r="A4300" s="24" t="s">
        <v>12</v>
      </c>
      <c r="B4300" s="24" t="s">
        <v>589</v>
      </c>
      <c r="C4300" s="24" t="s">
        <v>630</v>
      </c>
      <c r="D4300" s="24" t="s">
        <v>631</v>
      </c>
      <c r="E4300" s="24" t="s">
        <v>528</v>
      </c>
      <c r="F4300" s="25">
        <v>800</v>
      </c>
      <c r="G4300" s="24"/>
      <c r="H4300" s="24"/>
      <c r="I4300" s="26">
        <f t="shared" si="188"/>
        <v>45985</v>
      </c>
      <c r="J4300" s="27">
        <f t="shared" si="189"/>
        <v>112</v>
      </c>
      <c r="K4300" s="24" t="str">
        <f t="shared" si="190"/>
        <v>91-120</v>
      </c>
      <c r="L4300" s="11">
        <v>46097</v>
      </c>
      <c r="M4300" s="23">
        <f>YEAR(Таблица1[[#This Row],[Дата отчета]])</f>
        <v>2026</v>
      </c>
      <c r="N4300" s="24"/>
      <c r="O4300" s="24"/>
      <c r="P4300" s="24"/>
      <c r="Q4300" s="24"/>
    </row>
    <row r="4301" spans="1:17" x14ac:dyDescent="0.25">
      <c r="A4301" s="24" t="s">
        <v>12</v>
      </c>
      <c r="B4301" s="24" t="s">
        <v>632</v>
      </c>
      <c r="C4301" s="24" t="s">
        <v>633</v>
      </c>
      <c r="D4301" s="24" t="s">
        <v>634</v>
      </c>
      <c r="E4301" s="24" t="s">
        <v>635</v>
      </c>
      <c r="F4301" s="25">
        <v>45000</v>
      </c>
      <c r="G4301" s="24"/>
      <c r="H4301" s="24"/>
      <c r="I4301" s="26">
        <f t="shared" si="188"/>
        <v>45910</v>
      </c>
      <c r="J4301" s="27">
        <f t="shared" si="189"/>
        <v>187</v>
      </c>
      <c r="K4301" s="24" t="str">
        <f t="shared" si="190"/>
        <v>181-270</v>
      </c>
      <c r="L4301" s="11">
        <v>46097</v>
      </c>
      <c r="M4301" s="23">
        <f>YEAR(Таблица1[[#This Row],[Дата отчета]])</f>
        <v>2026</v>
      </c>
      <c r="N4301" s="24"/>
      <c r="O4301" s="24"/>
      <c r="P4301" s="24"/>
      <c r="Q4301" s="24"/>
    </row>
    <row r="4302" spans="1:17" x14ac:dyDescent="0.25">
      <c r="A4302" s="24" t="s">
        <v>12</v>
      </c>
      <c r="B4302" s="24" t="s">
        <v>636</v>
      </c>
      <c r="C4302" s="24" t="s">
        <v>637</v>
      </c>
      <c r="D4302" s="24" t="s">
        <v>4467</v>
      </c>
      <c r="E4302" s="24" t="s">
        <v>4495</v>
      </c>
      <c r="F4302" s="25">
        <v>411323.77</v>
      </c>
      <c r="G4302" s="24"/>
      <c r="H4302" s="24"/>
      <c r="I4302" s="26">
        <f t="shared" si="188"/>
        <v>46092</v>
      </c>
      <c r="J4302" s="27">
        <f t="shared" si="189"/>
        <v>5</v>
      </c>
      <c r="K4302" s="24" t="str">
        <f t="shared" si="190"/>
        <v>0-30</v>
      </c>
      <c r="L4302" s="11">
        <v>46097</v>
      </c>
      <c r="M4302" s="23">
        <f>YEAR(Таблица1[[#This Row],[Дата отчета]])</f>
        <v>2026</v>
      </c>
      <c r="N4302" s="24"/>
      <c r="O4302" s="24"/>
      <c r="P4302" s="24"/>
      <c r="Q4302" s="24"/>
    </row>
    <row r="4303" spans="1:17" x14ac:dyDescent="0.25">
      <c r="A4303" s="24" t="s">
        <v>12</v>
      </c>
      <c r="B4303" s="24" t="s">
        <v>636</v>
      </c>
      <c r="C4303" s="24" t="s">
        <v>639</v>
      </c>
      <c r="D4303" s="24" t="s">
        <v>640</v>
      </c>
      <c r="E4303" s="24" t="s">
        <v>455</v>
      </c>
      <c r="F4303" s="25">
        <v>5632282.5</v>
      </c>
      <c r="G4303" s="24"/>
      <c r="H4303" s="24"/>
      <c r="I4303" s="26">
        <f t="shared" si="188"/>
        <v>46080</v>
      </c>
      <c r="J4303" s="27">
        <f t="shared" si="189"/>
        <v>17</v>
      </c>
      <c r="K4303" s="24" t="str">
        <f t="shared" si="190"/>
        <v>0-30</v>
      </c>
      <c r="L4303" s="11">
        <v>46097</v>
      </c>
      <c r="M4303" s="23">
        <f>YEAR(Таблица1[[#This Row],[Дата отчета]])</f>
        <v>2026</v>
      </c>
      <c r="N4303" s="24"/>
      <c r="O4303" s="24"/>
      <c r="P4303" s="24"/>
      <c r="Q4303" s="24"/>
    </row>
    <row r="4304" spans="1:17" x14ac:dyDescent="0.25">
      <c r="A4304" s="24" t="s">
        <v>12</v>
      </c>
      <c r="B4304" s="24" t="s">
        <v>641</v>
      </c>
      <c r="C4304" s="24" t="s">
        <v>642</v>
      </c>
      <c r="D4304" s="24" t="s">
        <v>643</v>
      </c>
      <c r="E4304" s="24" t="s">
        <v>360</v>
      </c>
      <c r="F4304" s="25">
        <v>1750000</v>
      </c>
      <c r="G4304" s="24"/>
      <c r="H4304" s="24"/>
      <c r="I4304" s="26">
        <f t="shared" si="188"/>
        <v>46058</v>
      </c>
      <c r="J4304" s="27">
        <f t="shared" si="189"/>
        <v>39</v>
      </c>
      <c r="K4304" s="24" t="str">
        <f t="shared" si="190"/>
        <v>31-90</v>
      </c>
      <c r="L4304" s="11">
        <v>46097</v>
      </c>
      <c r="M4304" s="23">
        <f>YEAR(Таблица1[[#This Row],[Дата отчета]])</f>
        <v>2026</v>
      </c>
      <c r="N4304" s="24"/>
      <c r="O4304" s="24"/>
      <c r="P4304" s="24"/>
      <c r="Q4304" s="24"/>
    </row>
    <row r="4305" spans="1:17" x14ac:dyDescent="0.25">
      <c r="A4305" s="24" t="s">
        <v>12</v>
      </c>
      <c r="B4305" s="24" t="s">
        <v>641</v>
      </c>
      <c r="C4305" s="24" t="s">
        <v>642</v>
      </c>
      <c r="D4305" s="24" t="s">
        <v>644</v>
      </c>
      <c r="E4305" s="24" t="s">
        <v>455</v>
      </c>
      <c r="F4305" s="25">
        <v>1750000</v>
      </c>
      <c r="G4305" s="24"/>
      <c r="H4305" s="24"/>
      <c r="I4305" s="26">
        <f t="shared" si="188"/>
        <v>46080</v>
      </c>
      <c r="J4305" s="27">
        <f t="shared" si="189"/>
        <v>17</v>
      </c>
      <c r="K4305" s="24" t="str">
        <f t="shared" si="190"/>
        <v>0-30</v>
      </c>
      <c r="L4305" s="11">
        <v>46097</v>
      </c>
      <c r="M4305" s="23">
        <f>YEAR(Таблица1[[#This Row],[Дата отчета]])</f>
        <v>2026</v>
      </c>
      <c r="N4305" s="24"/>
      <c r="O4305" s="24"/>
      <c r="P4305" s="24"/>
      <c r="Q4305" s="24"/>
    </row>
    <row r="4306" spans="1:17" x14ac:dyDescent="0.25">
      <c r="A4306" s="24" t="s">
        <v>12</v>
      </c>
      <c r="B4306" s="24" t="s">
        <v>645</v>
      </c>
      <c r="C4306" s="24" t="s">
        <v>646</v>
      </c>
      <c r="D4306" s="24" t="s">
        <v>647</v>
      </c>
      <c r="E4306" s="24" t="s">
        <v>26</v>
      </c>
      <c r="F4306" s="25">
        <v>9237364.1999999993</v>
      </c>
      <c r="G4306" s="24"/>
      <c r="H4306" s="24"/>
      <c r="I4306" s="26">
        <f t="shared" si="188"/>
        <v>46044</v>
      </c>
      <c r="J4306" s="27">
        <f t="shared" si="189"/>
        <v>53</v>
      </c>
      <c r="K4306" s="24" t="str">
        <f t="shared" si="190"/>
        <v>31-90</v>
      </c>
      <c r="L4306" s="11">
        <v>46097</v>
      </c>
      <c r="M4306" s="23">
        <f>YEAR(Таблица1[[#This Row],[Дата отчета]])</f>
        <v>2026</v>
      </c>
      <c r="N4306" s="24"/>
      <c r="O4306" s="24"/>
      <c r="P4306" s="24"/>
      <c r="Q4306" s="24"/>
    </row>
    <row r="4307" spans="1:17" x14ac:dyDescent="0.25">
      <c r="A4307" s="24" t="s">
        <v>12</v>
      </c>
      <c r="B4307" s="24" t="s">
        <v>645</v>
      </c>
      <c r="C4307" s="24" t="s">
        <v>648</v>
      </c>
      <c r="D4307" s="24" t="s">
        <v>649</v>
      </c>
      <c r="E4307" s="24" t="s">
        <v>576</v>
      </c>
      <c r="F4307" s="25">
        <v>9237364.1999999993</v>
      </c>
      <c r="G4307" s="24"/>
      <c r="H4307" s="24"/>
      <c r="I4307" s="26">
        <f t="shared" si="188"/>
        <v>46064</v>
      </c>
      <c r="J4307" s="27">
        <f t="shared" si="189"/>
        <v>33</v>
      </c>
      <c r="K4307" s="24" t="str">
        <f t="shared" si="190"/>
        <v>31-90</v>
      </c>
      <c r="L4307" s="11">
        <v>46097</v>
      </c>
      <c r="M4307" s="23">
        <f>YEAR(Таблица1[[#This Row],[Дата отчета]])</f>
        <v>2026</v>
      </c>
      <c r="N4307" s="24"/>
      <c r="O4307" s="24"/>
      <c r="P4307" s="24"/>
      <c r="Q4307" s="24"/>
    </row>
    <row r="4308" spans="1:17" x14ac:dyDescent="0.25">
      <c r="A4308" s="24" t="s">
        <v>12</v>
      </c>
      <c r="B4308" s="24" t="s">
        <v>645</v>
      </c>
      <c r="C4308" s="24" t="s">
        <v>650</v>
      </c>
      <c r="D4308" s="24" t="s">
        <v>651</v>
      </c>
      <c r="E4308" s="24" t="s">
        <v>652</v>
      </c>
      <c r="F4308" s="25">
        <v>456108</v>
      </c>
      <c r="G4308" s="24"/>
      <c r="H4308" s="24"/>
      <c r="I4308" s="26">
        <f t="shared" si="188"/>
        <v>45971</v>
      </c>
      <c r="J4308" s="27">
        <f t="shared" si="189"/>
        <v>126</v>
      </c>
      <c r="K4308" s="24" t="str">
        <f t="shared" si="190"/>
        <v>121-180</v>
      </c>
      <c r="L4308" s="11">
        <v>46097</v>
      </c>
      <c r="M4308" s="23">
        <f>YEAR(Таблица1[[#This Row],[Дата отчета]])</f>
        <v>2026</v>
      </c>
      <c r="N4308" s="24"/>
      <c r="O4308" s="24"/>
      <c r="P4308" s="24"/>
      <c r="Q4308" s="24"/>
    </row>
    <row r="4309" spans="1:17" x14ac:dyDescent="0.25">
      <c r="A4309" s="24" t="s">
        <v>12</v>
      </c>
      <c r="B4309" s="24" t="s">
        <v>653</v>
      </c>
      <c r="C4309" s="24" t="s">
        <v>654</v>
      </c>
      <c r="D4309" s="24" t="s">
        <v>655</v>
      </c>
      <c r="E4309" s="24" t="s">
        <v>656</v>
      </c>
      <c r="F4309" s="25">
        <v>2210602</v>
      </c>
      <c r="G4309" s="24"/>
      <c r="H4309" s="24"/>
      <c r="I4309" s="26">
        <f t="shared" si="188"/>
        <v>46052</v>
      </c>
      <c r="J4309" s="27">
        <f t="shared" si="189"/>
        <v>45</v>
      </c>
      <c r="K4309" s="24" t="str">
        <f t="shared" si="190"/>
        <v>31-90</v>
      </c>
      <c r="L4309" s="11">
        <v>46097</v>
      </c>
      <c r="M4309" s="23">
        <f>YEAR(Таблица1[[#This Row],[Дата отчета]])</f>
        <v>2026</v>
      </c>
      <c r="N4309" s="24"/>
      <c r="O4309" s="24"/>
      <c r="P4309" s="24"/>
      <c r="Q4309" s="24"/>
    </row>
    <row r="4310" spans="1:17" x14ac:dyDescent="0.25">
      <c r="A4310" s="24" t="s">
        <v>12</v>
      </c>
      <c r="B4310" s="24" t="s">
        <v>653</v>
      </c>
      <c r="C4310" s="24" t="s">
        <v>657</v>
      </c>
      <c r="D4310" s="24" t="s">
        <v>658</v>
      </c>
      <c r="E4310" s="24" t="s">
        <v>350</v>
      </c>
      <c r="F4310" s="25">
        <v>20163208.710000001</v>
      </c>
      <c r="G4310" s="24"/>
      <c r="H4310" s="24"/>
      <c r="I4310" s="26">
        <f t="shared" si="188"/>
        <v>46057</v>
      </c>
      <c r="J4310" s="27">
        <f t="shared" si="189"/>
        <v>40</v>
      </c>
      <c r="K4310" s="24" t="str">
        <f t="shared" si="190"/>
        <v>31-90</v>
      </c>
      <c r="L4310" s="11">
        <v>46097</v>
      </c>
      <c r="M4310" s="23">
        <f>YEAR(Таблица1[[#This Row],[Дата отчета]])</f>
        <v>2026</v>
      </c>
      <c r="N4310" s="24"/>
      <c r="O4310" s="24"/>
      <c r="P4310" s="24"/>
      <c r="Q4310" s="24"/>
    </row>
    <row r="4311" spans="1:17" x14ac:dyDescent="0.25">
      <c r="A4311" s="24" t="s">
        <v>12</v>
      </c>
      <c r="B4311" s="24" t="s">
        <v>4351</v>
      </c>
      <c r="C4311" s="24" t="s">
        <v>4394</v>
      </c>
      <c r="D4311" s="24" t="s">
        <v>4468</v>
      </c>
      <c r="E4311" s="24" t="s">
        <v>4497</v>
      </c>
      <c r="F4311" s="25">
        <v>1048818.73</v>
      </c>
      <c r="G4311" s="24"/>
      <c r="H4311" s="24"/>
      <c r="I4311" s="26">
        <f t="shared" si="188"/>
        <v>46086</v>
      </c>
      <c r="J4311" s="27">
        <f t="shared" si="189"/>
        <v>11</v>
      </c>
      <c r="K4311" s="24" t="str">
        <f t="shared" si="190"/>
        <v>0-30</v>
      </c>
      <c r="L4311" s="11">
        <v>46097</v>
      </c>
      <c r="M4311" s="23">
        <f>YEAR(Таблица1[[#This Row],[Дата отчета]])</f>
        <v>2026</v>
      </c>
      <c r="N4311" s="24"/>
      <c r="O4311" s="24"/>
      <c r="P4311" s="24"/>
      <c r="Q4311" s="24"/>
    </row>
    <row r="4312" spans="1:17" x14ac:dyDescent="0.25">
      <c r="A4312" s="24" t="s">
        <v>12</v>
      </c>
      <c r="B4312" s="24" t="s">
        <v>659</v>
      </c>
      <c r="C4312" s="24" t="s">
        <v>660</v>
      </c>
      <c r="D4312" s="24" t="s">
        <v>661</v>
      </c>
      <c r="E4312" s="24" t="s">
        <v>662</v>
      </c>
      <c r="F4312" s="25">
        <v>7568</v>
      </c>
      <c r="G4312" s="24"/>
      <c r="H4312" s="24"/>
      <c r="I4312" s="26">
        <f t="shared" si="188"/>
        <v>45932</v>
      </c>
      <c r="J4312" s="27">
        <f t="shared" si="189"/>
        <v>165</v>
      </c>
      <c r="K4312" s="24" t="str">
        <f t="shared" si="190"/>
        <v>121-180</v>
      </c>
      <c r="L4312" s="11">
        <v>46097</v>
      </c>
      <c r="M4312" s="23">
        <f>YEAR(Таблица1[[#This Row],[Дата отчета]])</f>
        <v>2026</v>
      </c>
      <c r="N4312" s="24"/>
      <c r="O4312" s="24"/>
      <c r="P4312" s="24"/>
      <c r="Q4312" s="24"/>
    </row>
    <row r="4313" spans="1:17" x14ac:dyDescent="0.25">
      <c r="A4313" s="24" t="s">
        <v>12</v>
      </c>
      <c r="B4313" s="24" t="s">
        <v>663</v>
      </c>
      <c r="C4313" s="24" t="s">
        <v>664</v>
      </c>
      <c r="D4313" s="24" t="s">
        <v>665</v>
      </c>
      <c r="E4313" s="24" t="s">
        <v>70</v>
      </c>
      <c r="F4313" s="25">
        <v>9550</v>
      </c>
      <c r="G4313" s="24"/>
      <c r="H4313" s="24"/>
      <c r="I4313" s="26">
        <f t="shared" si="188"/>
        <v>45979</v>
      </c>
      <c r="J4313" s="27">
        <f t="shared" si="189"/>
        <v>118</v>
      </c>
      <c r="K4313" s="24" t="str">
        <f t="shared" si="190"/>
        <v>91-120</v>
      </c>
      <c r="L4313" s="11">
        <v>46097</v>
      </c>
      <c r="M4313" s="23">
        <f>YEAR(Таблица1[[#This Row],[Дата отчета]])</f>
        <v>2026</v>
      </c>
      <c r="N4313" s="24"/>
      <c r="O4313" s="24"/>
      <c r="P4313" s="24"/>
      <c r="Q4313" s="24"/>
    </row>
    <row r="4314" spans="1:17" x14ac:dyDescent="0.25">
      <c r="A4314" s="24" t="s">
        <v>12</v>
      </c>
      <c r="B4314" s="24" t="s">
        <v>666</v>
      </c>
      <c r="C4314" s="24" t="s">
        <v>667</v>
      </c>
      <c r="D4314" s="24" t="s">
        <v>668</v>
      </c>
      <c r="E4314" s="24" t="s">
        <v>669</v>
      </c>
      <c r="F4314" s="25">
        <v>25035</v>
      </c>
      <c r="G4314" s="24"/>
      <c r="H4314" s="24"/>
      <c r="I4314" s="26">
        <f t="shared" si="188"/>
        <v>45930</v>
      </c>
      <c r="J4314" s="27">
        <f t="shared" si="189"/>
        <v>167</v>
      </c>
      <c r="K4314" s="24" t="str">
        <f t="shared" si="190"/>
        <v>121-180</v>
      </c>
      <c r="L4314" s="11">
        <v>46097</v>
      </c>
      <c r="M4314" s="23">
        <f>YEAR(Таблица1[[#This Row],[Дата отчета]])</f>
        <v>2026</v>
      </c>
      <c r="N4314" s="24"/>
      <c r="O4314" s="24"/>
      <c r="P4314" s="24"/>
      <c r="Q4314" s="24"/>
    </row>
    <row r="4315" spans="1:17" x14ac:dyDescent="0.25">
      <c r="A4315" s="24" t="s">
        <v>12</v>
      </c>
      <c r="B4315" s="24" t="s">
        <v>670</v>
      </c>
      <c r="C4315" s="24" t="s">
        <v>671</v>
      </c>
      <c r="D4315" s="24" t="s">
        <v>672</v>
      </c>
      <c r="E4315" s="24" t="s">
        <v>673</v>
      </c>
      <c r="F4315" s="25">
        <v>114.79</v>
      </c>
      <c r="G4315" s="24"/>
      <c r="H4315" s="24"/>
      <c r="I4315" s="26">
        <f t="shared" si="188"/>
        <v>45775</v>
      </c>
      <c r="J4315" s="27">
        <f t="shared" si="189"/>
        <v>322</v>
      </c>
      <c r="K4315" s="24" t="str">
        <f t="shared" si="190"/>
        <v>271-360</v>
      </c>
      <c r="L4315" s="11">
        <v>46097</v>
      </c>
      <c r="M4315" s="23">
        <f>YEAR(Таблица1[[#This Row],[Дата отчета]])</f>
        <v>2026</v>
      </c>
      <c r="N4315" s="24"/>
      <c r="O4315" s="24"/>
      <c r="P4315" s="24"/>
      <c r="Q4315" s="24"/>
    </row>
    <row r="4316" spans="1:17" x14ac:dyDescent="0.25">
      <c r="A4316" s="24" t="s">
        <v>12</v>
      </c>
      <c r="B4316" s="24" t="s">
        <v>674</v>
      </c>
      <c r="C4316" s="24" t="s">
        <v>675</v>
      </c>
      <c r="D4316" s="24" t="s">
        <v>676</v>
      </c>
      <c r="E4316" s="24" t="s">
        <v>350</v>
      </c>
      <c r="F4316" s="25">
        <v>830516.83</v>
      </c>
      <c r="G4316" s="24"/>
      <c r="H4316" s="24"/>
      <c r="I4316" s="26">
        <f t="shared" si="188"/>
        <v>46057</v>
      </c>
      <c r="J4316" s="27">
        <f t="shared" si="189"/>
        <v>40</v>
      </c>
      <c r="K4316" s="24" t="str">
        <f t="shared" si="190"/>
        <v>31-90</v>
      </c>
      <c r="L4316" s="11">
        <v>46097</v>
      </c>
      <c r="M4316" s="23">
        <f>YEAR(Таблица1[[#This Row],[Дата отчета]])</f>
        <v>2026</v>
      </c>
      <c r="N4316" s="24"/>
      <c r="O4316" s="24"/>
      <c r="P4316" s="24"/>
      <c r="Q4316" s="24"/>
    </row>
    <row r="4317" spans="1:17" x14ac:dyDescent="0.25">
      <c r="A4317" s="24" t="s">
        <v>12</v>
      </c>
      <c r="B4317" s="24" t="s">
        <v>677</v>
      </c>
      <c r="C4317" s="24" t="s">
        <v>678</v>
      </c>
      <c r="D4317" s="24" t="s">
        <v>679</v>
      </c>
      <c r="E4317" s="24" t="s">
        <v>239</v>
      </c>
      <c r="F4317" s="25">
        <v>0.01</v>
      </c>
      <c r="G4317" s="24"/>
      <c r="H4317" s="24"/>
      <c r="I4317" s="26">
        <f t="shared" si="188"/>
        <v>45996</v>
      </c>
      <c r="J4317" s="27">
        <f t="shared" si="189"/>
        <v>101</v>
      </c>
      <c r="K4317" s="24" t="str">
        <f t="shared" si="190"/>
        <v>91-120</v>
      </c>
      <c r="L4317" s="11">
        <v>46097</v>
      </c>
      <c r="M4317" s="23">
        <f>YEAR(Таблица1[[#This Row],[Дата отчета]])</f>
        <v>2026</v>
      </c>
      <c r="N4317" s="24"/>
      <c r="O4317" s="24"/>
      <c r="P4317" s="24"/>
      <c r="Q4317" s="24"/>
    </row>
    <row r="4318" spans="1:17" x14ac:dyDescent="0.25">
      <c r="A4318" s="24" t="s">
        <v>12</v>
      </c>
      <c r="B4318" s="24" t="s">
        <v>677</v>
      </c>
      <c r="C4318" s="24" t="s">
        <v>269</v>
      </c>
      <c r="D4318" s="24"/>
      <c r="E4318" s="24"/>
      <c r="F4318" s="25">
        <v>49553</v>
      </c>
      <c r="G4318" s="24"/>
      <c r="H4318" s="24"/>
      <c r="I4318" s="26">
        <f t="shared" si="188"/>
        <v>0</v>
      </c>
      <c r="J4318" s="27">
        <f t="shared" si="189"/>
        <v>46097</v>
      </c>
      <c r="K4318" s="24" t="str">
        <f t="shared" si="190"/>
        <v>&gt;360</v>
      </c>
      <c r="L4318" s="11">
        <v>46097</v>
      </c>
      <c r="M4318" s="23">
        <f>YEAR(Таблица1[[#This Row],[Дата отчета]])</f>
        <v>2026</v>
      </c>
      <c r="N4318" s="24"/>
      <c r="O4318" s="24"/>
      <c r="P4318" s="24"/>
      <c r="Q4318" s="24"/>
    </row>
    <row r="4319" spans="1:17" x14ac:dyDescent="0.25">
      <c r="A4319" s="24" t="s">
        <v>12</v>
      </c>
      <c r="B4319" s="24" t="s">
        <v>2238</v>
      </c>
      <c r="C4319" s="24" t="s">
        <v>4395</v>
      </c>
      <c r="D4319" s="24" t="s">
        <v>4469</v>
      </c>
      <c r="E4319" s="24" t="s">
        <v>4500</v>
      </c>
      <c r="F4319" s="25">
        <v>12119849.550000001</v>
      </c>
      <c r="G4319" s="24"/>
      <c r="H4319" s="24"/>
      <c r="I4319" s="26">
        <f t="shared" si="188"/>
        <v>46087</v>
      </c>
      <c r="J4319" s="27">
        <f t="shared" si="189"/>
        <v>10</v>
      </c>
      <c r="K4319" s="24" t="str">
        <f t="shared" si="190"/>
        <v>0-30</v>
      </c>
      <c r="L4319" s="11">
        <v>46097</v>
      </c>
      <c r="M4319" s="23">
        <f>YEAR(Таблица1[[#This Row],[Дата отчета]])</f>
        <v>2026</v>
      </c>
      <c r="N4319" s="24"/>
      <c r="O4319" s="24"/>
      <c r="P4319" s="24"/>
      <c r="Q4319" s="24"/>
    </row>
    <row r="4320" spans="1:17" x14ac:dyDescent="0.25">
      <c r="A4320" s="24" t="s">
        <v>12</v>
      </c>
      <c r="B4320" s="24" t="s">
        <v>2238</v>
      </c>
      <c r="C4320" s="24" t="s">
        <v>4395</v>
      </c>
      <c r="D4320" s="24" t="s">
        <v>4470</v>
      </c>
      <c r="E4320" s="24" t="s">
        <v>4495</v>
      </c>
      <c r="F4320" s="25">
        <v>12119849.550000001</v>
      </c>
      <c r="G4320" s="24"/>
      <c r="H4320" s="24"/>
      <c r="I4320" s="26">
        <f t="shared" si="188"/>
        <v>46092</v>
      </c>
      <c r="J4320" s="27">
        <f t="shared" si="189"/>
        <v>5</v>
      </c>
      <c r="K4320" s="24" t="str">
        <f t="shared" si="190"/>
        <v>0-30</v>
      </c>
      <c r="L4320" s="11">
        <v>46097</v>
      </c>
      <c r="M4320" s="23">
        <f>YEAR(Таблица1[[#This Row],[Дата отчета]])</f>
        <v>2026</v>
      </c>
      <c r="N4320" s="24"/>
      <c r="O4320" s="24"/>
      <c r="P4320" s="24"/>
      <c r="Q4320" s="24"/>
    </row>
    <row r="4321" spans="1:17" x14ac:dyDescent="0.25">
      <c r="A4321" s="24" t="s">
        <v>12</v>
      </c>
      <c r="B4321" s="24" t="s">
        <v>4352</v>
      </c>
      <c r="C4321" s="24" t="s">
        <v>4396</v>
      </c>
      <c r="D4321" s="24" t="s">
        <v>4471</v>
      </c>
      <c r="E4321" s="24" t="s">
        <v>4496</v>
      </c>
      <c r="F4321" s="25">
        <v>50000</v>
      </c>
      <c r="G4321" s="24"/>
      <c r="H4321" s="24"/>
      <c r="I4321" s="26">
        <f t="shared" si="188"/>
        <v>46091</v>
      </c>
      <c r="J4321" s="27">
        <f t="shared" si="189"/>
        <v>6</v>
      </c>
      <c r="K4321" s="24" t="str">
        <f t="shared" si="190"/>
        <v>0-30</v>
      </c>
      <c r="L4321" s="11">
        <v>46097</v>
      </c>
      <c r="M4321" s="23">
        <f>YEAR(Таблица1[[#This Row],[Дата отчета]])</f>
        <v>2026</v>
      </c>
      <c r="N4321" s="24"/>
      <c r="O4321" s="24"/>
      <c r="P4321" s="24"/>
      <c r="Q4321" s="24"/>
    </row>
    <row r="4322" spans="1:17" x14ac:dyDescent="0.25">
      <c r="A4322" s="24" t="s">
        <v>12</v>
      </c>
      <c r="B4322" s="24" t="s">
        <v>680</v>
      </c>
      <c r="C4322" s="24" t="s">
        <v>681</v>
      </c>
      <c r="D4322" s="24" t="s">
        <v>682</v>
      </c>
      <c r="E4322" s="24" t="s">
        <v>683</v>
      </c>
      <c r="F4322" s="25">
        <v>25739.47</v>
      </c>
      <c r="G4322" s="24"/>
      <c r="H4322" s="24"/>
      <c r="I4322" s="26">
        <f t="shared" si="188"/>
        <v>45748</v>
      </c>
      <c r="J4322" s="27">
        <f t="shared" si="189"/>
        <v>349</v>
      </c>
      <c r="K4322" s="24" t="str">
        <f t="shared" si="190"/>
        <v>271-360</v>
      </c>
      <c r="L4322" s="11">
        <v>46097</v>
      </c>
      <c r="M4322" s="23">
        <f>YEAR(Таблица1[[#This Row],[Дата отчета]])</f>
        <v>2026</v>
      </c>
      <c r="N4322" s="24"/>
      <c r="O4322" s="24"/>
      <c r="P4322" s="24"/>
      <c r="Q4322" s="24"/>
    </row>
    <row r="4323" spans="1:17" ht="26.25" x14ac:dyDescent="0.25">
      <c r="A4323" s="24" t="s">
        <v>12</v>
      </c>
      <c r="B4323" s="24" t="s">
        <v>684</v>
      </c>
      <c r="C4323" s="24" t="s">
        <v>685</v>
      </c>
      <c r="D4323" s="24" t="s">
        <v>686</v>
      </c>
      <c r="E4323" s="24" t="s">
        <v>687</v>
      </c>
      <c r="F4323" s="25">
        <v>231787.21</v>
      </c>
      <c r="G4323" s="24"/>
      <c r="H4323" s="24"/>
      <c r="I4323" s="26">
        <f t="shared" si="188"/>
        <v>45771</v>
      </c>
      <c r="J4323" s="27">
        <f t="shared" si="189"/>
        <v>326</v>
      </c>
      <c r="K4323" s="24" t="str">
        <f t="shared" si="190"/>
        <v>271-360</v>
      </c>
      <c r="L4323" s="11">
        <v>46097</v>
      </c>
      <c r="M4323" s="23">
        <f>YEAR(Таблица1[[#This Row],[Дата отчета]])</f>
        <v>2026</v>
      </c>
      <c r="N4323" s="29" t="s">
        <v>4535</v>
      </c>
      <c r="O4323" s="32"/>
      <c r="P4323" s="24"/>
      <c r="Q4323" s="24"/>
    </row>
    <row r="4324" spans="1:17" ht="26.25" x14ac:dyDescent="0.25">
      <c r="A4324" s="24" t="s">
        <v>12</v>
      </c>
      <c r="B4324" s="24" t="s">
        <v>684</v>
      </c>
      <c r="C4324" s="24" t="s">
        <v>685</v>
      </c>
      <c r="D4324" s="24" t="s">
        <v>4529</v>
      </c>
      <c r="E4324" s="24" t="s">
        <v>4534</v>
      </c>
      <c r="F4324" s="25">
        <v>166496.65</v>
      </c>
      <c r="G4324" s="24"/>
      <c r="H4324" s="24"/>
      <c r="I4324" s="26">
        <f t="shared" si="188"/>
        <v>46094</v>
      </c>
      <c r="J4324" s="27">
        <f t="shared" si="189"/>
        <v>3</v>
      </c>
      <c r="K4324" s="24" t="str">
        <f t="shared" si="190"/>
        <v>0-30</v>
      </c>
      <c r="L4324" s="11">
        <v>46097</v>
      </c>
      <c r="M4324" s="23">
        <f>YEAR(Таблица1[[#This Row],[Дата отчета]])</f>
        <v>2026</v>
      </c>
      <c r="N4324" s="29" t="s">
        <v>4535</v>
      </c>
      <c r="O4324" s="32"/>
      <c r="P4324" s="24"/>
      <c r="Q4324" s="24"/>
    </row>
    <row r="4325" spans="1:17" ht="26.25" x14ac:dyDescent="0.25">
      <c r="A4325" s="24" t="s">
        <v>12</v>
      </c>
      <c r="B4325" s="24" t="s">
        <v>684</v>
      </c>
      <c r="C4325" s="24" t="s">
        <v>688</v>
      </c>
      <c r="D4325" s="24" t="s">
        <v>689</v>
      </c>
      <c r="E4325" s="24" t="s">
        <v>690</v>
      </c>
      <c r="F4325" s="25">
        <v>1109648.04</v>
      </c>
      <c r="G4325" s="24"/>
      <c r="H4325" s="24"/>
      <c r="I4325" s="26">
        <f t="shared" si="188"/>
        <v>45958</v>
      </c>
      <c r="J4325" s="27">
        <f t="shared" si="189"/>
        <v>139</v>
      </c>
      <c r="K4325" s="24" t="str">
        <f t="shared" si="190"/>
        <v>121-180</v>
      </c>
      <c r="L4325" s="11">
        <v>46097</v>
      </c>
      <c r="M4325" s="23">
        <f>YEAR(Таблица1[[#This Row],[Дата отчета]])</f>
        <v>2026</v>
      </c>
      <c r="N4325" s="29" t="s">
        <v>4535</v>
      </c>
      <c r="O4325" s="32"/>
      <c r="P4325" s="24"/>
      <c r="Q4325" s="24"/>
    </row>
    <row r="4326" spans="1:17" ht="26.25" x14ac:dyDescent="0.25">
      <c r="A4326" s="24" t="s">
        <v>12</v>
      </c>
      <c r="B4326" s="24" t="s">
        <v>684</v>
      </c>
      <c r="C4326" s="24" t="s">
        <v>688</v>
      </c>
      <c r="D4326" s="24" t="s">
        <v>691</v>
      </c>
      <c r="E4326" s="24" t="s">
        <v>692</v>
      </c>
      <c r="F4326" s="25">
        <v>623307.19999999995</v>
      </c>
      <c r="G4326" s="24"/>
      <c r="H4326" s="24"/>
      <c r="I4326" s="26">
        <f t="shared" si="188"/>
        <v>45982</v>
      </c>
      <c r="J4326" s="27">
        <f t="shared" si="189"/>
        <v>115</v>
      </c>
      <c r="K4326" s="24" t="str">
        <f t="shared" si="190"/>
        <v>91-120</v>
      </c>
      <c r="L4326" s="11">
        <v>46097</v>
      </c>
      <c r="M4326" s="23">
        <f>YEAR(Таблица1[[#This Row],[Дата отчета]])</f>
        <v>2026</v>
      </c>
      <c r="N4326" s="29" t="s">
        <v>4535</v>
      </c>
      <c r="O4326" s="32"/>
      <c r="P4326" s="24"/>
      <c r="Q4326" s="24"/>
    </row>
    <row r="4327" spans="1:17" ht="26.25" x14ac:dyDescent="0.25">
      <c r="A4327" s="24" t="s">
        <v>12</v>
      </c>
      <c r="B4327" s="24" t="s">
        <v>684</v>
      </c>
      <c r="C4327" s="24" t="s">
        <v>688</v>
      </c>
      <c r="D4327" s="24" t="s">
        <v>4530</v>
      </c>
      <c r="E4327" s="24" t="s">
        <v>4534</v>
      </c>
      <c r="F4327" s="25">
        <v>90513.19</v>
      </c>
      <c r="G4327" s="24"/>
      <c r="H4327" s="24"/>
      <c r="I4327" s="26">
        <f t="shared" si="188"/>
        <v>46094</v>
      </c>
      <c r="J4327" s="27">
        <f t="shared" si="189"/>
        <v>3</v>
      </c>
      <c r="K4327" s="24" t="str">
        <f t="shared" si="190"/>
        <v>0-30</v>
      </c>
      <c r="L4327" s="11">
        <v>46097</v>
      </c>
      <c r="M4327" s="23">
        <f>YEAR(Таблица1[[#This Row],[Дата отчета]])</f>
        <v>2026</v>
      </c>
      <c r="N4327" s="29" t="s">
        <v>4535</v>
      </c>
      <c r="O4327" s="32"/>
      <c r="P4327" s="24"/>
      <c r="Q4327" s="24"/>
    </row>
    <row r="4328" spans="1:17" ht="26.25" x14ac:dyDescent="0.25">
      <c r="A4328" s="24" t="s">
        <v>12</v>
      </c>
      <c r="B4328" s="24" t="s">
        <v>684</v>
      </c>
      <c r="C4328" s="24" t="s">
        <v>688</v>
      </c>
      <c r="D4328" s="24" t="s">
        <v>4531</v>
      </c>
      <c r="E4328" s="24" t="s">
        <v>4534</v>
      </c>
      <c r="F4328" s="25">
        <v>104725.24</v>
      </c>
      <c r="G4328" s="24"/>
      <c r="H4328" s="24"/>
      <c r="I4328" s="26">
        <f t="shared" si="188"/>
        <v>46094</v>
      </c>
      <c r="J4328" s="27">
        <f t="shared" si="189"/>
        <v>3</v>
      </c>
      <c r="K4328" s="24" t="str">
        <f t="shared" si="190"/>
        <v>0-30</v>
      </c>
      <c r="L4328" s="11">
        <v>46097</v>
      </c>
      <c r="M4328" s="23">
        <f>YEAR(Таблица1[[#This Row],[Дата отчета]])</f>
        <v>2026</v>
      </c>
      <c r="N4328" s="29" t="s">
        <v>4535</v>
      </c>
      <c r="O4328" s="32"/>
      <c r="P4328" s="24"/>
      <c r="Q4328" s="24"/>
    </row>
    <row r="4329" spans="1:17" ht="26.25" x14ac:dyDescent="0.25">
      <c r="A4329" s="24" t="s">
        <v>12</v>
      </c>
      <c r="B4329" s="24" t="s">
        <v>684</v>
      </c>
      <c r="C4329" s="24" t="s">
        <v>688</v>
      </c>
      <c r="D4329" s="24" t="s">
        <v>4532</v>
      </c>
      <c r="E4329" s="24" t="s">
        <v>4534</v>
      </c>
      <c r="F4329" s="25">
        <v>853438.38</v>
      </c>
      <c r="G4329" s="24"/>
      <c r="H4329" s="24"/>
      <c r="I4329" s="26">
        <f t="shared" si="188"/>
        <v>46094</v>
      </c>
      <c r="J4329" s="27">
        <f t="shared" si="189"/>
        <v>3</v>
      </c>
      <c r="K4329" s="24" t="str">
        <f t="shared" si="190"/>
        <v>0-30</v>
      </c>
      <c r="L4329" s="11">
        <v>46097</v>
      </c>
      <c r="M4329" s="23">
        <f>YEAR(Таблица1[[#This Row],[Дата отчета]])</f>
        <v>2026</v>
      </c>
      <c r="N4329" s="29" t="s">
        <v>4535</v>
      </c>
      <c r="O4329" s="32"/>
      <c r="P4329" s="24"/>
      <c r="Q4329" s="24"/>
    </row>
    <row r="4330" spans="1:17" ht="26.25" x14ac:dyDescent="0.25">
      <c r="A4330" s="24" t="s">
        <v>12</v>
      </c>
      <c r="B4330" s="24" t="s">
        <v>684</v>
      </c>
      <c r="C4330" s="24" t="s">
        <v>693</v>
      </c>
      <c r="D4330" s="24" t="s">
        <v>694</v>
      </c>
      <c r="E4330" s="24" t="s">
        <v>156</v>
      </c>
      <c r="F4330" s="25">
        <v>662388</v>
      </c>
      <c r="G4330" s="24"/>
      <c r="H4330" s="24"/>
      <c r="I4330" s="26">
        <f t="shared" si="188"/>
        <v>46051</v>
      </c>
      <c r="J4330" s="27">
        <f t="shared" si="189"/>
        <v>46</v>
      </c>
      <c r="K4330" s="24" t="str">
        <f t="shared" si="190"/>
        <v>31-90</v>
      </c>
      <c r="L4330" s="11">
        <v>46097</v>
      </c>
      <c r="M4330" s="23">
        <f>YEAR(Таблица1[[#This Row],[Дата отчета]])</f>
        <v>2026</v>
      </c>
      <c r="N4330" s="29" t="s">
        <v>4535</v>
      </c>
      <c r="O4330" s="32"/>
      <c r="P4330" s="24"/>
      <c r="Q4330" s="24"/>
    </row>
    <row r="4331" spans="1:17" ht="26.25" x14ac:dyDescent="0.25">
      <c r="A4331" s="24" t="s">
        <v>12</v>
      </c>
      <c r="B4331" s="24" t="s">
        <v>684</v>
      </c>
      <c r="C4331" s="24" t="s">
        <v>695</v>
      </c>
      <c r="D4331" s="24" t="s">
        <v>696</v>
      </c>
      <c r="E4331" s="24" t="s">
        <v>218</v>
      </c>
      <c r="F4331" s="25">
        <v>140313</v>
      </c>
      <c r="G4331" s="24"/>
      <c r="H4331" s="24"/>
      <c r="I4331" s="26">
        <f t="shared" si="188"/>
        <v>45947</v>
      </c>
      <c r="J4331" s="27">
        <f t="shared" si="189"/>
        <v>150</v>
      </c>
      <c r="K4331" s="24" t="str">
        <f t="shared" si="190"/>
        <v>121-180</v>
      </c>
      <c r="L4331" s="11">
        <v>46097</v>
      </c>
      <c r="M4331" s="23">
        <f>YEAR(Таблица1[[#This Row],[Дата отчета]])</f>
        <v>2026</v>
      </c>
      <c r="N4331" s="29" t="s">
        <v>4535</v>
      </c>
      <c r="O4331" s="32"/>
      <c r="P4331" s="24"/>
      <c r="Q4331" s="24"/>
    </row>
    <row r="4332" spans="1:17" x14ac:dyDescent="0.25">
      <c r="A4332" s="24" t="s">
        <v>12</v>
      </c>
      <c r="B4332" s="24" t="s">
        <v>684</v>
      </c>
      <c r="C4332" s="24" t="s">
        <v>697</v>
      </c>
      <c r="D4332" s="24" t="s">
        <v>698</v>
      </c>
      <c r="E4332" s="24" t="s">
        <v>699</v>
      </c>
      <c r="F4332" s="25">
        <v>172161</v>
      </c>
      <c r="G4332" s="24"/>
      <c r="H4332" s="24"/>
      <c r="I4332" s="26">
        <f t="shared" si="188"/>
        <v>45218</v>
      </c>
      <c r="J4332" s="27">
        <f t="shared" si="189"/>
        <v>879</v>
      </c>
      <c r="K4332" s="24" t="str">
        <f t="shared" si="190"/>
        <v>&gt;360</v>
      </c>
      <c r="L4332" s="11">
        <v>46097</v>
      </c>
      <c r="M4332" s="23">
        <f>YEAR(Таблица1[[#This Row],[Дата отчета]])</f>
        <v>2026</v>
      </c>
      <c r="N4332" s="2" t="s">
        <v>4535</v>
      </c>
      <c r="O4332" s="32"/>
      <c r="P4332" s="24"/>
      <c r="Q4332" s="24"/>
    </row>
    <row r="4333" spans="1:17" ht="26.25" x14ac:dyDescent="0.25">
      <c r="A4333" s="24" t="s">
        <v>12</v>
      </c>
      <c r="B4333" s="24" t="s">
        <v>684</v>
      </c>
      <c r="C4333" s="24" t="s">
        <v>700</v>
      </c>
      <c r="D4333" s="24" t="s">
        <v>701</v>
      </c>
      <c r="E4333" s="24" t="s">
        <v>702</v>
      </c>
      <c r="F4333" s="25">
        <v>1192763</v>
      </c>
      <c r="G4333" s="24"/>
      <c r="H4333" s="24"/>
      <c r="I4333" s="26">
        <f t="shared" ref="I4333:I4396" si="191">E4333*1</f>
        <v>45943</v>
      </c>
      <c r="J4333" s="27">
        <f t="shared" ref="J4333:J4396" si="192">L4333-I4333</f>
        <v>154</v>
      </c>
      <c r="K4333" s="24" t="str">
        <f t="shared" ref="K4333:K4396" si="193">IF(J4333&lt;=30,"0-30",IF(J4333&lt;=90,"31-90",IF(J4333&lt;=120,"91-120",IF(J4333&lt;=180,"121-180",IF(J4333&lt;=270,"181-270",IF(J4333&lt;=360,"271-360","&gt;360"))))))</f>
        <v>121-180</v>
      </c>
      <c r="L4333" s="11">
        <v>46097</v>
      </c>
      <c r="M4333" s="23">
        <f>YEAR(Таблица1[[#This Row],[Дата отчета]])</f>
        <v>2026</v>
      </c>
      <c r="N4333" s="29" t="s">
        <v>4535</v>
      </c>
      <c r="O4333" s="32"/>
      <c r="P4333" s="24"/>
      <c r="Q4333" s="24"/>
    </row>
    <row r="4334" spans="1:17" ht="26.25" x14ac:dyDescent="0.25">
      <c r="A4334" s="24" t="s">
        <v>12</v>
      </c>
      <c r="B4334" s="24" t="s">
        <v>684</v>
      </c>
      <c r="C4334" s="24" t="s">
        <v>703</v>
      </c>
      <c r="D4334" s="24" t="s">
        <v>704</v>
      </c>
      <c r="E4334" s="24" t="s">
        <v>702</v>
      </c>
      <c r="F4334" s="25">
        <v>546480</v>
      </c>
      <c r="G4334" s="24"/>
      <c r="H4334" s="24"/>
      <c r="I4334" s="26">
        <f t="shared" si="191"/>
        <v>45943</v>
      </c>
      <c r="J4334" s="27">
        <f t="shared" si="192"/>
        <v>154</v>
      </c>
      <c r="K4334" s="24" t="str">
        <f t="shared" si="193"/>
        <v>121-180</v>
      </c>
      <c r="L4334" s="11">
        <v>46097</v>
      </c>
      <c r="M4334" s="23">
        <f>YEAR(Таблица1[[#This Row],[Дата отчета]])</f>
        <v>2026</v>
      </c>
      <c r="N4334" s="29" t="s">
        <v>4535</v>
      </c>
      <c r="O4334" s="32"/>
      <c r="P4334" s="24"/>
      <c r="Q4334" s="24"/>
    </row>
    <row r="4335" spans="1:17" x14ac:dyDescent="0.25">
      <c r="A4335" s="24" t="s">
        <v>12</v>
      </c>
      <c r="B4335" s="24" t="s">
        <v>705</v>
      </c>
      <c r="C4335" s="24" t="s">
        <v>706</v>
      </c>
      <c r="D4335" s="24" t="s">
        <v>707</v>
      </c>
      <c r="E4335" s="24" t="s">
        <v>70</v>
      </c>
      <c r="F4335" s="25">
        <v>876000</v>
      </c>
      <c r="G4335" s="24"/>
      <c r="H4335" s="24"/>
      <c r="I4335" s="26">
        <f t="shared" si="191"/>
        <v>45979</v>
      </c>
      <c r="J4335" s="27">
        <f t="shared" si="192"/>
        <v>118</v>
      </c>
      <c r="K4335" s="24" t="str">
        <f t="shared" si="193"/>
        <v>91-120</v>
      </c>
      <c r="L4335" s="11">
        <v>46097</v>
      </c>
      <c r="M4335" s="23">
        <f>YEAR(Таблица1[[#This Row],[Дата отчета]])</f>
        <v>2026</v>
      </c>
      <c r="N4335" s="24"/>
      <c r="O4335" s="24"/>
      <c r="P4335" s="24"/>
      <c r="Q4335" s="24"/>
    </row>
    <row r="4336" spans="1:17" x14ac:dyDescent="0.25">
      <c r="A4336" s="24" t="s">
        <v>12</v>
      </c>
      <c r="B4336" s="24" t="s">
        <v>708</v>
      </c>
      <c r="C4336" s="24" t="s">
        <v>709</v>
      </c>
      <c r="D4336" s="24" t="s">
        <v>710</v>
      </c>
      <c r="E4336" s="24" t="s">
        <v>711</v>
      </c>
      <c r="F4336" s="25">
        <v>344584</v>
      </c>
      <c r="G4336" s="24"/>
      <c r="H4336" s="24"/>
      <c r="I4336" s="26">
        <f t="shared" si="191"/>
        <v>46069</v>
      </c>
      <c r="J4336" s="27">
        <f t="shared" si="192"/>
        <v>28</v>
      </c>
      <c r="K4336" s="24" t="str">
        <f t="shared" si="193"/>
        <v>0-30</v>
      </c>
      <c r="L4336" s="11">
        <v>46097</v>
      </c>
      <c r="M4336" s="23">
        <f>YEAR(Таблица1[[#This Row],[Дата отчета]])</f>
        <v>2026</v>
      </c>
      <c r="N4336" s="24"/>
      <c r="O4336" s="24"/>
      <c r="P4336" s="24"/>
      <c r="Q4336" s="24"/>
    </row>
    <row r="4337" spans="1:17" x14ac:dyDescent="0.25">
      <c r="A4337" s="24" t="s">
        <v>12</v>
      </c>
      <c r="B4337" s="24" t="s">
        <v>712</v>
      </c>
      <c r="C4337" s="24" t="s">
        <v>713</v>
      </c>
      <c r="D4337" s="24" t="s">
        <v>714</v>
      </c>
      <c r="E4337" s="24" t="s">
        <v>57</v>
      </c>
      <c r="F4337" s="25">
        <v>500000</v>
      </c>
      <c r="G4337" s="24"/>
      <c r="H4337" s="24"/>
      <c r="I4337" s="26">
        <f t="shared" si="191"/>
        <v>46043</v>
      </c>
      <c r="J4337" s="27">
        <f t="shared" si="192"/>
        <v>54</v>
      </c>
      <c r="K4337" s="24" t="str">
        <f t="shared" si="193"/>
        <v>31-90</v>
      </c>
      <c r="L4337" s="11">
        <v>46097</v>
      </c>
      <c r="M4337" s="23">
        <f>YEAR(Таблица1[[#This Row],[Дата отчета]])</f>
        <v>2026</v>
      </c>
      <c r="N4337" s="24"/>
      <c r="O4337" s="24"/>
      <c r="P4337" s="24"/>
      <c r="Q4337" s="24"/>
    </row>
    <row r="4338" spans="1:17" x14ac:dyDescent="0.25">
      <c r="A4338" s="24" t="s">
        <v>12</v>
      </c>
      <c r="B4338" s="24" t="s">
        <v>715</v>
      </c>
      <c r="C4338" s="24" t="s">
        <v>4521</v>
      </c>
      <c r="D4338" s="24" t="s">
        <v>717</v>
      </c>
      <c r="E4338" s="24" t="s">
        <v>718</v>
      </c>
      <c r="F4338" s="25">
        <v>129919697.09999999</v>
      </c>
      <c r="G4338" s="24"/>
      <c r="H4338" s="24"/>
      <c r="I4338" s="26">
        <f t="shared" si="191"/>
        <v>45999</v>
      </c>
      <c r="J4338" s="27">
        <f t="shared" si="192"/>
        <v>98</v>
      </c>
      <c r="K4338" s="24" t="str">
        <f t="shared" si="193"/>
        <v>91-120</v>
      </c>
      <c r="L4338" s="11">
        <v>46097</v>
      </c>
      <c r="M4338" s="23">
        <f>YEAR(Таблица1[[#This Row],[Дата отчета]])</f>
        <v>2026</v>
      </c>
      <c r="N4338" s="24"/>
      <c r="O4338" s="24"/>
      <c r="P4338" s="24"/>
      <c r="Q4338" s="24"/>
    </row>
    <row r="4339" spans="1:17" x14ac:dyDescent="0.25">
      <c r="A4339" s="24" t="s">
        <v>12</v>
      </c>
      <c r="B4339" s="24" t="s">
        <v>719</v>
      </c>
      <c r="C4339" s="24" t="s">
        <v>720</v>
      </c>
      <c r="D4339" s="24" t="s">
        <v>721</v>
      </c>
      <c r="E4339" s="24" t="s">
        <v>113</v>
      </c>
      <c r="F4339" s="25">
        <v>236250</v>
      </c>
      <c r="G4339" s="24"/>
      <c r="H4339" s="24"/>
      <c r="I4339" s="26">
        <f t="shared" si="191"/>
        <v>46009</v>
      </c>
      <c r="J4339" s="27">
        <f t="shared" si="192"/>
        <v>88</v>
      </c>
      <c r="K4339" s="24" t="str">
        <f t="shared" si="193"/>
        <v>31-90</v>
      </c>
      <c r="L4339" s="11">
        <v>46097</v>
      </c>
      <c r="M4339" s="23">
        <f>YEAR(Таблица1[[#This Row],[Дата отчета]])</f>
        <v>2026</v>
      </c>
      <c r="N4339" s="24"/>
      <c r="O4339" s="8">
        <v>46099</v>
      </c>
      <c r="P4339" s="24"/>
      <c r="Q4339" s="24"/>
    </row>
    <row r="4340" spans="1:17" x14ac:dyDescent="0.25">
      <c r="A4340" s="24" t="s">
        <v>12</v>
      </c>
      <c r="B4340" s="24" t="s">
        <v>719</v>
      </c>
      <c r="C4340" s="24" t="s">
        <v>722</v>
      </c>
      <c r="D4340" s="24" t="s">
        <v>723</v>
      </c>
      <c r="E4340" s="24" t="s">
        <v>183</v>
      </c>
      <c r="F4340" s="25">
        <v>1181250</v>
      </c>
      <c r="G4340" s="24"/>
      <c r="H4340" s="24"/>
      <c r="I4340" s="26">
        <f t="shared" si="191"/>
        <v>45817</v>
      </c>
      <c r="J4340" s="27">
        <f t="shared" si="192"/>
        <v>280</v>
      </c>
      <c r="K4340" s="24" t="str">
        <f t="shared" si="193"/>
        <v>271-360</v>
      </c>
      <c r="L4340" s="11">
        <v>46097</v>
      </c>
      <c r="M4340" s="23">
        <f>YEAR(Таблица1[[#This Row],[Дата отчета]])</f>
        <v>2026</v>
      </c>
      <c r="N4340" s="24"/>
      <c r="O4340" s="8">
        <v>46099</v>
      </c>
      <c r="P4340" s="24"/>
      <c r="Q4340" s="24"/>
    </row>
    <row r="4341" spans="1:17" x14ac:dyDescent="0.25">
      <c r="A4341" s="24" t="s">
        <v>12</v>
      </c>
      <c r="B4341" s="24" t="s">
        <v>719</v>
      </c>
      <c r="C4341" s="24" t="s">
        <v>722</v>
      </c>
      <c r="D4341" s="24" t="s">
        <v>724</v>
      </c>
      <c r="E4341" s="24" t="s">
        <v>725</v>
      </c>
      <c r="F4341" s="25">
        <v>236250</v>
      </c>
      <c r="G4341" s="24"/>
      <c r="H4341" s="24"/>
      <c r="I4341" s="26">
        <f t="shared" si="191"/>
        <v>46002</v>
      </c>
      <c r="J4341" s="27">
        <f t="shared" si="192"/>
        <v>95</v>
      </c>
      <c r="K4341" s="24" t="str">
        <f t="shared" si="193"/>
        <v>91-120</v>
      </c>
      <c r="L4341" s="11">
        <v>46097</v>
      </c>
      <c r="M4341" s="23">
        <f>YEAR(Таблица1[[#This Row],[Дата отчета]])</f>
        <v>2026</v>
      </c>
      <c r="N4341" s="24"/>
      <c r="O4341" s="8">
        <v>46099</v>
      </c>
      <c r="P4341" s="24"/>
      <c r="Q4341" s="24"/>
    </row>
    <row r="4342" spans="1:17" x14ac:dyDescent="0.25">
      <c r="A4342" s="24" t="s">
        <v>12</v>
      </c>
      <c r="B4342" s="24" t="s">
        <v>2720</v>
      </c>
      <c r="C4342" s="24" t="s">
        <v>4397</v>
      </c>
      <c r="D4342" s="24" t="s">
        <v>4472</v>
      </c>
      <c r="E4342" s="24" t="s">
        <v>4501</v>
      </c>
      <c r="F4342" s="25">
        <v>1419480</v>
      </c>
      <c r="G4342" s="24"/>
      <c r="H4342" s="24"/>
      <c r="I4342" s="26">
        <f t="shared" si="191"/>
        <v>46084</v>
      </c>
      <c r="J4342" s="27">
        <f t="shared" si="192"/>
        <v>13</v>
      </c>
      <c r="K4342" s="24" t="str">
        <f t="shared" si="193"/>
        <v>0-30</v>
      </c>
      <c r="L4342" s="11">
        <v>46097</v>
      </c>
      <c r="M4342" s="23">
        <f>YEAR(Таблица1[[#This Row],[Дата отчета]])</f>
        <v>2026</v>
      </c>
      <c r="N4342" s="24"/>
      <c r="O4342" s="24"/>
      <c r="P4342" s="24"/>
      <c r="Q4342" s="24"/>
    </row>
    <row r="4343" spans="1:17" x14ac:dyDescent="0.25">
      <c r="A4343" s="24" t="s">
        <v>12</v>
      </c>
      <c r="B4343" s="24" t="s">
        <v>726</v>
      </c>
      <c r="C4343" s="24" t="s">
        <v>727</v>
      </c>
      <c r="D4343" s="24" t="s">
        <v>728</v>
      </c>
      <c r="E4343" s="24" t="s">
        <v>729</v>
      </c>
      <c r="F4343" s="25">
        <v>6869.56</v>
      </c>
      <c r="G4343" s="24"/>
      <c r="H4343" s="24"/>
      <c r="I4343" s="26">
        <f t="shared" si="191"/>
        <v>45799</v>
      </c>
      <c r="J4343" s="27">
        <f t="shared" si="192"/>
        <v>298</v>
      </c>
      <c r="K4343" s="24" t="str">
        <f t="shared" si="193"/>
        <v>271-360</v>
      </c>
      <c r="L4343" s="11">
        <v>46097</v>
      </c>
      <c r="M4343" s="23">
        <f>YEAR(Таблица1[[#This Row],[Дата отчета]])</f>
        <v>2026</v>
      </c>
      <c r="N4343" s="2" t="s">
        <v>807</v>
      </c>
      <c r="O4343" s="24"/>
      <c r="P4343" s="24"/>
      <c r="Q4343" s="24"/>
    </row>
    <row r="4344" spans="1:17" x14ac:dyDescent="0.25">
      <c r="A4344" s="24" t="s">
        <v>12</v>
      </c>
      <c r="B4344" s="24" t="s">
        <v>726</v>
      </c>
      <c r="C4344" s="24" t="s">
        <v>730</v>
      </c>
      <c r="D4344" s="24" t="s">
        <v>731</v>
      </c>
      <c r="E4344" s="24" t="s">
        <v>535</v>
      </c>
      <c r="F4344" s="25">
        <v>16930</v>
      </c>
      <c r="G4344" s="24"/>
      <c r="H4344" s="24"/>
      <c r="I4344" s="26">
        <f t="shared" si="191"/>
        <v>45796</v>
      </c>
      <c r="J4344" s="27">
        <f t="shared" si="192"/>
        <v>301</v>
      </c>
      <c r="K4344" s="24" t="str">
        <f t="shared" si="193"/>
        <v>271-360</v>
      </c>
      <c r="L4344" s="11">
        <v>46097</v>
      </c>
      <c r="M4344" s="23">
        <f>YEAR(Таблица1[[#This Row],[Дата отчета]])</f>
        <v>2026</v>
      </c>
      <c r="N4344" s="2" t="s">
        <v>807</v>
      </c>
      <c r="O4344" s="24"/>
      <c r="P4344" s="24"/>
      <c r="Q4344" s="24"/>
    </row>
    <row r="4345" spans="1:17" x14ac:dyDescent="0.25">
      <c r="A4345" s="24" t="s">
        <v>12</v>
      </c>
      <c r="B4345" s="24" t="s">
        <v>726</v>
      </c>
      <c r="C4345" s="24" t="s">
        <v>732</v>
      </c>
      <c r="D4345" s="24" t="s">
        <v>733</v>
      </c>
      <c r="E4345" s="24" t="s">
        <v>734</v>
      </c>
      <c r="F4345" s="25">
        <v>2163.48</v>
      </c>
      <c r="G4345" s="24"/>
      <c r="H4345" s="24"/>
      <c r="I4345" s="26">
        <f t="shared" si="191"/>
        <v>45541</v>
      </c>
      <c r="J4345" s="27">
        <f t="shared" si="192"/>
        <v>556</v>
      </c>
      <c r="K4345" s="24" t="str">
        <f t="shared" si="193"/>
        <v>&gt;360</v>
      </c>
      <c r="L4345" s="11">
        <v>46097</v>
      </c>
      <c r="M4345" s="23">
        <f>YEAR(Таблица1[[#This Row],[Дата отчета]])</f>
        <v>2026</v>
      </c>
      <c r="N4345" s="2" t="s">
        <v>807</v>
      </c>
      <c r="O4345" s="24"/>
      <c r="P4345" s="24"/>
      <c r="Q4345" s="24"/>
    </row>
    <row r="4346" spans="1:17" x14ac:dyDescent="0.25">
      <c r="A4346" s="24" t="s">
        <v>12</v>
      </c>
      <c r="B4346" s="24" t="s">
        <v>726</v>
      </c>
      <c r="C4346" s="24" t="s">
        <v>735</v>
      </c>
      <c r="D4346" s="24" t="s">
        <v>736</v>
      </c>
      <c r="E4346" s="24" t="s">
        <v>247</v>
      </c>
      <c r="F4346" s="25">
        <v>35983.96</v>
      </c>
      <c r="G4346" s="24"/>
      <c r="H4346" s="24"/>
      <c r="I4346" s="26">
        <f t="shared" si="191"/>
        <v>45798</v>
      </c>
      <c r="J4346" s="27">
        <f t="shared" si="192"/>
        <v>299</v>
      </c>
      <c r="K4346" s="24" t="str">
        <f t="shared" si="193"/>
        <v>271-360</v>
      </c>
      <c r="L4346" s="11">
        <v>46097</v>
      </c>
      <c r="M4346" s="23">
        <f>YEAR(Таблица1[[#This Row],[Дата отчета]])</f>
        <v>2026</v>
      </c>
      <c r="N4346" s="2" t="s">
        <v>807</v>
      </c>
      <c r="O4346" s="24"/>
      <c r="P4346" s="24"/>
      <c r="Q4346" s="24"/>
    </row>
    <row r="4347" spans="1:17" x14ac:dyDescent="0.25">
      <c r="A4347" s="24" t="s">
        <v>12</v>
      </c>
      <c r="B4347" s="24" t="s">
        <v>726</v>
      </c>
      <c r="C4347" s="24" t="s">
        <v>737</v>
      </c>
      <c r="D4347" s="24" t="s">
        <v>738</v>
      </c>
      <c r="E4347" s="24" t="s">
        <v>739</v>
      </c>
      <c r="F4347" s="25">
        <v>3413.74</v>
      </c>
      <c r="G4347" s="24"/>
      <c r="H4347" s="24"/>
      <c r="I4347" s="26">
        <f t="shared" si="191"/>
        <v>45839</v>
      </c>
      <c r="J4347" s="27">
        <f t="shared" si="192"/>
        <v>258</v>
      </c>
      <c r="K4347" s="24" t="str">
        <f t="shared" si="193"/>
        <v>181-270</v>
      </c>
      <c r="L4347" s="11">
        <v>46097</v>
      </c>
      <c r="M4347" s="23">
        <f>YEAR(Таблица1[[#This Row],[Дата отчета]])</f>
        <v>2026</v>
      </c>
      <c r="N4347" s="2" t="s">
        <v>807</v>
      </c>
      <c r="O4347" s="24"/>
      <c r="P4347" s="24"/>
      <c r="Q4347" s="24"/>
    </row>
    <row r="4348" spans="1:17" x14ac:dyDescent="0.25">
      <c r="A4348" s="24" t="s">
        <v>12</v>
      </c>
      <c r="B4348" s="24" t="s">
        <v>740</v>
      </c>
      <c r="C4348" s="24" t="s">
        <v>741</v>
      </c>
      <c r="D4348" s="24" t="s">
        <v>742</v>
      </c>
      <c r="E4348" s="24" t="s">
        <v>75</v>
      </c>
      <c r="F4348" s="25">
        <v>2223000</v>
      </c>
      <c r="G4348" s="24"/>
      <c r="H4348" s="24"/>
      <c r="I4348" s="26">
        <f t="shared" si="191"/>
        <v>46016</v>
      </c>
      <c r="J4348" s="27">
        <f t="shared" si="192"/>
        <v>81</v>
      </c>
      <c r="K4348" s="24" t="str">
        <f t="shared" si="193"/>
        <v>31-90</v>
      </c>
      <c r="L4348" s="11">
        <v>46097</v>
      </c>
      <c r="M4348" s="23">
        <f>YEAR(Таблица1[[#This Row],[Дата отчета]])</f>
        <v>2026</v>
      </c>
      <c r="N4348" s="24"/>
      <c r="O4348" s="24"/>
      <c r="P4348" s="24"/>
      <c r="Q4348" s="24"/>
    </row>
    <row r="4349" spans="1:17" x14ac:dyDescent="0.25">
      <c r="A4349" s="24" t="s">
        <v>12</v>
      </c>
      <c r="B4349" s="24" t="s">
        <v>740</v>
      </c>
      <c r="C4349" s="24" t="s">
        <v>741</v>
      </c>
      <c r="D4349" s="24" t="s">
        <v>743</v>
      </c>
      <c r="E4349" s="24" t="s">
        <v>365</v>
      </c>
      <c r="F4349" s="25">
        <v>123500</v>
      </c>
      <c r="G4349" s="24"/>
      <c r="H4349" s="24"/>
      <c r="I4349" s="26">
        <f t="shared" si="191"/>
        <v>46062</v>
      </c>
      <c r="J4349" s="27">
        <f t="shared" si="192"/>
        <v>35</v>
      </c>
      <c r="K4349" s="24" t="str">
        <f t="shared" si="193"/>
        <v>31-90</v>
      </c>
      <c r="L4349" s="11">
        <v>46097</v>
      </c>
      <c r="M4349" s="23">
        <f>YEAR(Таблица1[[#This Row],[Дата отчета]])</f>
        <v>2026</v>
      </c>
      <c r="N4349" s="24"/>
      <c r="O4349" s="24"/>
      <c r="P4349" s="24"/>
      <c r="Q4349" s="24"/>
    </row>
    <row r="4350" spans="1:17" x14ac:dyDescent="0.25">
      <c r="A4350" s="24" t="s">
        <v>12</v>
      </c>
      <c r="B4350" s="24" t="s">
        <v>740</v>
      </c>
      <c r="C4350" s="24" t="s">
        <v>741</v>
      </c>
      <c r="D4350" s="24" t="s">
        <v>744</v>
      </c>
      <c r="E4350" s="24" t="s">
        <v>365</v>
      </c>
      <c r="F4350" s="25">
        <v>5187000</v>
      </c>
      <c r="G4350" s="24"/>
      <c r="H4350" s="24"/>
      <c r="I4350" s="26">
        <f t="shared" si="191"/>
        <v>46062</v>
      </c>
      <c r="J4350" s="27">
        <f t="shared" si="192"/>
        <v>35</v>
      </c>
      <c r="K4350" s="24" t="str">
        <f t="shared" si="193"/>
        <v>31-90</v>
      </c>
      <c r="L4350" s="11">
        <v>46097</v>
      </c>
      <c r="M4350" s="23">
        <f>YEAR(Таблица1[[#This Row],[Дата отчета]])</f>
        <v>2026</v>
      </c>
      <c r="N4350" s="24"/>
      <c r="O4350" s="24"/>
      <c r="P4350" s="24"/>
      <c r="Q4350" s="24"/>
    </row>
    <row r="4351" spans="1:17" x14ac:dyDescent="0.25">
      <c r="A4351" s="24" t="s">
        <v>12</v>
      </c>
      <c r="B4351" s="24" t="s">
        <v>745</v>
      </c>
      <c r="C4351" s="24" t="s">
        <v>4398</v>
      </c>
      <c r="D4351" s="24" t="s">
        <v>4473</v>
      </c>
      <c r="E4351" s="24" t="s">
        <v>4496</v>
      </c>
      <c r="F4351" s="25">
        <v>14233</v>
      </c>
      <c r="G4351" s="24"/>
      <c r="H4351" s="24"/>
      <c r="I4351" s="26">
        <f t="shared" si="191"/>
        <v>46091</v>
      </c>
      <c r="J4351" s="27">
        <f t="shared" si="192"/>
        <v>6</v>
      </c>
      <c r="K4351" s="24" t="str">
        <f t="shared" si="193"/>
        <v>0-30</v>
      </c>
      <c r="L4351" s="11">
        <v>46097</v>
      </c>
      <c r="M4351" s="23">
        <f>YEAR(Таблица1[[#This Row],[Дата отчета]])</f>
        <v>2026</v>
      </c>
      <c r="N4351" s="24"/>
      <c r="O4351" s="24"/>
      <c r="P4351" s="24"/>
      <c r="Q4351" s="24"/>
    </row>
    <row r="4352" spans="1:17" x14ac:dyDescent="0.25">
      <c r="A4352" s="24" t="s">
        <v>12</v>
      </c>
      <c r="B4352" s="24" t="s">
        <v>745</v>
      </c>
      <c r="C4352" s="24" t="s">
        <v>4398</v>
      </c>
      <c r="D4352" s="24" t="s">
        <v>4474</v>
      </c>
      <c r="E4352" s="24" t="s">
        <v>4496</v>
      </c>
      <c r="F4352" s="25">
        <v>135434</v>
      </c>
      <c r="G4352" s="24"/>
      <c r="H4352" s="24"/>
      <c r="I4352" s="26">
        <f t="shared" si="191"/>
        <v>46091</v>
      </c>
      <c r="J4352" s="27">
        <f t="shared" si="192"/>
        <v>6</v>
      </c>
      <c r="K4352" s="24" t="str">
        <f t="shared" si="193"/>
        <v>0-30</v>
      </c>
      <c r="L4352" s="11">
        <v>46097</v>
      </c>
      <c r="M4352" s="23">
        <f>YEAR(Таблица1[[#This Row],[Дата отчета]])</f>
        <v>2026</v>
      </c>
      <c r="N4352" s="24"/>
      <c r="O4352" s="24"/>
      <c r="P4352" s="24"/>
      <c r="Q4352" s="24"/>
    </row>
    <row r="4353" spans="1:17" x14ac:dyDescent="0.25">
      <c r="A4353" s="24" t="s">
        <v>12</v>
      </c>
      <c r="B4353" s="24" t="s">
        <v>745</v>
      </c>
      <c r="C4353" s="24" t="s">
        <v>746</v>
      </c>
      <c r="D4353" s="24" t="s">
        <v>747</v>
      </c>
      <c r="E4353" s="24" t="s">
        <v>748</v>
      </c>
      <c r="F4353" s="25">
        <v>2798.49</v>
      </c>
      <c r="G4353" s="24"/>
      <c r="H4353" s="24"/>
      <c r="I4353" s="26">
        <f t="shared" si="191"/>
        <v>45580</v>
      </c>
      <c r="J4353" s="27">
        <f t="shared" si="192"/>
        <v>517</v>
      </c>
      <c r="K4353" s="24" t="str">
        <f t="shared" si="193"/>
        <v>&gt;360</v>
      </c>
      <c r="L4353" s="11">
        <v>46097</v>
      </c>
      <c r="M4353" s="23">
        <f>YEAR(Таблица1[[#This Row],[Дата отчета]])</f>
        <v>2026</v>
      </c>
      <c r="N4353" s="24"/>
      <c r="O4353" s="24"/>
      <c r="P4353" s="24"/>
      <c r="Q4353" s="24"/>
    </row>
    <row r="4354" spans="1:17" x14ac:dyDescent="0.25">
      <c r="A4354" s="24" t="s">
        <v>12</v>
      </c>
      <c r="B4354" s="24" t="s">
        <v>749</v>
      </c>
      <c r="C4354" s="24" t="s">
        <v>750</v>
      </c>
      <c r="D4354" s="24" t="s">
        <v>751</v>
      </c>
      <c r="E4354" s="24" t="s">
        <v>576</v>
      </c>
      <c r="F4354" s="25">
        <v>2778000</v>
      </c>
      <c r="G4354" s="24"/>
      <c r="H4354" s="24"/>
      <c r="I4354" s="26">
        <f t="shared" si="191"/>
        <v>46064</v>
      </c>
      <c r="J4354" s="27">
        <f t="shared" si="192"/>
        <v>33</v>
      </c>
      <c r="K4354" s="24" t="str">
        <f t="shared" si="193"/>
        <v>31-90</v>
      </c>
      <c r="L4354" s="11">
        <v>46097</v>
      </c>
      <c r="M4354" s="23">
        <f>YEAR(Таблица1[[#This Row],[Дата отчета]])</f>
        <v>2026</v>
      </c>
      <c r="N4354" s="24"/>
      <c r="O4354" s="24"/>
      <c r="P4354" s="24"/>
      <c r="Q4354" s="24"/>
    </row>
    <row r="4355" spans="1:17" x14ac:dyDescent="0.25">
      <c r="A4355" s="24" t="s">
        <v>12</v>
      </c>
      <c r="B4355" s="24" t="s">
        <v>752</v>
      </c>
      <c r="C4355" s="24" t="s">
        <v>753</v>
      </c>
      <c r="D4355" s="24" t="s">
        <v>754</v>
      </c>
      <c r="E4355" s="24" t="s">
        <v>350</v>
      </c>
      <c r="F4355" s="25">
        <v>130000</v>
      </c>
      <c r="G4355" s="24"/>
      <c r="H4355" s="24"/>
      <c r="I4355" s="26">
        <f t="shared" si="191"/>
        <v>46057</v>
      </c>
      <c r="J4355" s="27">
        <f t="shared" si="192"/>
        <v>40</v>
      </c>
      <c r="K4355" s="24" t="str">
        <f t="shared" si="193"/>
        <v>31-90</v>
      </c>
      <c r="L4355" s="11">
        <v>46097</v>
      </c>
      <c r="M4355" s="23">
        <f>YEAR(Таблица1[[#This Row],[Дата отчета]])</f>
        <v>2026</v>
      </c>
      <c r="N4355" s="24"/>
      <c r="O4355" s="24"/>
      <c r="P4355" s="24"/>
      <c r="Q4355" s="24"/>
    </row>
    <row r="4356" spans="1:17" x14ac:dyDescent="0.25">
      <c r="A4356" s="24" t="s">
        <v>12</v>
      </c>
      <c r="B4356" s="24" t="s">
        <v>752</v>
      </c>
      <c r="C4356" s="24" t="s">
        <v>4399</v>
      </c>
      <c r="D4356" s="24" t="s">
        <v>4475</v>
      </c>
      <c r="E4356" s="24" t="s">
        <v>4502</v>
      </c>
      <c r="F4356" s="25">
        <v>402560.21</v>
      </c>
      <c r="G4356" s="24"/>
      <c r="H4356" s="24"/>
      <c r="I4356" s="26">
        <f t="shared" si="191"/>
        <v>46083</v>
      </c>
      <c r="J4356" s="27">
        <f t="shared" si="192"/>
        <v>14</v>
      </c>
      <c r="K4356" s="24" t="str">
        <f t="shared" si="193"/>
        <v>0-30</v>
      </c>
      <c r="L4356" s="11">
        <v>46097</v>
      </c>
      <c r="M4356" s="23">
        <f>YEAR(Таблица1[[#This Row],[Дата отчета]])</f>
        <v>2026</v>
      </c>
      <c r="N4356" s="24"/>
      <c r="O4356" s="24"/>
      <c r="P4356" s="24"/>
      <c r="Q4356" s="24"/>
    </row>
    <row r="4357" spans="1:17" x14ac:dyDescent="0.25">
      <c r="A4357" s="24" t="s">
        <v>12</v>
      </c>
      <c r="B4357" s="24" t="s">
        <v>752</v>
      </c>
      <c r="C4357" s="24" t="s">
        <v>4400</v>
      </c>
      <c r="D4357" s="24" t="s">
        <v>4476</v>
      </c>
      <c r="E4357" s="24" t="s">
        <v>4495</v>
      </c>
      <c r="F4357" s="25">
        <v>187190.33</v>
      </c>
      <c r="G4357" s="24"/>
      <c r="H4357" s="24"/>
      <c r="I4357" s="26">
        <f t="shared" si="191"/>
        <v>46092</v>
      </c>
      <c r="J4357" s="27">
        <f t="shared" si="192"/>
        <v>5</v>
      </c>
      <c r="K4357" s="24" t="str">
        <f t="shared" si="193"/>
        <v>0-30</v>
      </c>
      <c r="L4357" s="11">
        <v>46097</v>
      </c>
      <c r="M4357" s="23">
        <f>YEAR(Таблица1[[#This Row],[Дата отчета]])</f>
        <v>2026</v>
      </c>
      <c r="N4357" s="24"/>
      <c r="O4357" s="24"/>
      <c r="P4357" s="24"/>
      <c r="Q4357" s="24"/>
    </row>
    <row r="4358" spans="1:17" x14ac:dyDescent="0.25">
      <c r="A4358" s="24" t="s">
        <v>12</v>
      </c>
      <c r="B4358" s="24" t="s">
        <v>758</v>
      </c>
      <c r="C4358" s="24" t="s">
        <v>759</v>
      </c>
      <c r="D4358" s="24" t="s">
        <v>760</v>
      </c>
      <c r="E4358" s="24" t="s">
        <v>761</v>
      </c>
      <c r="F4358" s="25">
        <v>0.3</v>
      </c>
      <c r="G4358" s="24"/>
      <c r="H4358" s="24"/>
      <c r="I4358" s="26">
        <f t="shared" si="191"/>
        <v>45803</v>
      </c>
      <c r="J4358" s="27">
        <f t="shared" si="192"/>
        <v>294</v>
      </c>
      <c r="K4358" s="24" t="str">
        <f t="shared" si="193"/>
        <v>271-360</v>
      </c>
      <c r="L4358" s="11">
        <v>46097</v>
      </c>
      <c r="M4358" s="23">
        <f>YEAR(Таблица1[[#This Row],[Дата отчета]])</f>
        <v>2026</v>
      </c>
      <c r="N4358" s="24"/>
      <c r="O4358" s="24"/>
      <c r="P4358" s="24"/>
      <c r="Q4358" s="24"/>
    </row>
    <row r="4359" spans="1:17" x14ac:dyDescent="0.25">
      <c r="A4359" s="24" t="s">
        <v>12</v>
      </c>
      <c r="B4359" s="24" t="s">
        <v>762</v>
      </c>
      <c r="C4359" s="24" t="s">
        <v>763</v>
      </c>
      <c r="D4359" s="24" t="s">
        <v>764</v>
      </c>
      <c r="E4359" s="24" t="s">
        <v>765</v>
      </c>
      <c r="F4359" s="25">
        <v>1425</v>
      </c>
      <c r="G4359" s="24"/>
      <c r="H4359" s="24"/>
      <c r="I4359" s="26">
        <f t="shared" si="191"/>
        <v>45751</v>
      </c>
      <c r="J4359" s="27">
        <f t="shared" si="192"/>
        <v>346</v>
      </c>
      <c r="K4359" s="24" t="str">
        <f t="shared" si="193"/>
        <v>271-360</v>
      </c>
      <c r="L4359" s="11">
        <v>46097</v>
      </c>
      <c r="M4359" s="23">
        <f>YEAR(Таблица1[[#This Row],[Дата отчета]])</f>
        <v>2026</v>
      </c>
      <c r="N4359" s="7" t="s">
        <v>4550</v>
      </c>
      <c r="O4359" s="24"/>
      <c r="P4359" s="24"/>
      <c r="Q4359" s="24"/>
    </row>
    <row r="4360" spans="1:17" x14ac:dyDescent="0.25">
      <c r="A4360" s="24" t="s">
        <v>12</v>
      </c>
      <c r="B4360" s="24" t="s">
        <v>766</v>
      </c>
      <c r="C4360" s="24" t="s">
        <v>767</v>
      </c>
      <c r="D4360" s="24" t="s">
        <v>768</v>
      </c>
      <c r="E4360" s="24" t="s">
        <v>769</v>
      </c>
      <c r="F4360" s="25">
        <v>163072</v>
      </c>
      <c r="G4360" s="24"/>
      <c r="H4360" s="24"/>
      <c r="I4360" s="26">
        <f t="shared" si="191"/>
        <v>45825</v>
      </c>
      <c r="J4360" s="27">
        <f t="shared" si="192"/>
        <v>272</v>
      </c>
      <c r="K4360" s="24" t="str">
        <f t="shared" si="193"/>
        <v>271-360</v>
      </c>
      <c r="L4360" s="11">
        <v>46097</v>
      </c>
      <c r="M4360" s="23">
        <f>YEAR(Таблица1[[#This Row],[Дата отчета]])</f>
        <v>2026</v>
      </c>
      <c r="N4360" s="2" t="s">
        <v>4538</v>
      </c>
      <c r="O4360" s="24"/>
      <c r="P4360" s="24"/>
      <c r="Q4360" s="24"/>
    </row>
    <row r="4361" spans="1:17" x14ac:dyDescent="0.25">
      <c r="A4361" s="24" t="s">
        <v>12</v>
      </c>
      <c r="B4361" s="24" t="s">
        <v>770</v>
      </c>
      <c r="C4361" s="24" t="s">
        <v>771</v>
      </c>
      <c r="D4361" s="24" t="s">
        <v>772</v>
      </c>
      <c r="E4361" s="24" t="s">
        <v>773</v>
      </c>
      <c r="F4361" s="25">
        <v>11240</v>
      </c>
      <c r="G4361" s="24"/>
      <c r="H4361" s="24"/>
      <c r="I4361" s="26">
        <f t="shared" si="191"/>
        <v>45888</v>
      </c>
      <c r="J4361" s="27">
        <f t="shared" si="192"/>
        <v>209</v>
      </c>
      <c r="K4361" s="24" t="str">
        <f t="shared" si="193"/>
        <v>181-270</v>
      </c>
      <c r="L4361" s="11">
        <v>46097</v>
      </c>
      <c r="M4361" s="23">
        <f>YEAR(Таблица1[[#This Row],[Дата отчета]])</f>
        <v>2026</v>
      </c>
      <c r="N4361" s="24"/>
      <c r="O4361" s="24"/>
      <c r="P4361" s="24"/>
      <c r="Q4361" s="24"/>
    </row>
    <row r="4362" spans="1:17" x14ac:dyDescent="0.25">
      <c r="A4362" s="24" t="s">
        <v>12</v>
      </c>
      <c r="B4362" s="24" t="s">
        <v>4091</v>
      </c>
      <c r="C4362" s="24" t="s">
        <v>4401</v>
      </c>
      <c r="D4362" s="24" t="s">
        <v>4477</v>
      </c>
      <c r="E4362" s="24" t="s">
        <v>4496</v>
      </c>
      <c r="F4362" s="25">
        <v>363721.16</v>
      </c>
      <c r="G4362" s="24"/>
      <c r="H4362" s="24"/>
      <c r="I4362" s="26">
        <f t="shared" si="191"/>
        <v>46091</v>
      </c>
      <c r="J4362" s="27">
        <f t="shared" si="192"/>
        <v>6</v>
      </c>
      <c r="K4362" s="24" t="str">
        <f t="shared" si="193"/>
        <v>0-30</v>
      </c>
      <c r="L4362" s="11">
        <v>46097</v>
      </c>
      <c r="M4362" s="23">
        <f>YEAR(Таблица1[[#This Row],[Дата отчета]])</f>
        <v>2026</v>
      </c>
      <c r="N4362" s="24"/>
      <c r="O4362" s="24"/>
      <c r="P4362" s="24"/>
      <c r="Q4362" s="24"/>
    </row>
    <row r="4363" spans="1:17" x14ac:dyDescent="0.25">
      <c r="A4363" s="24" t="s">
        <v>12</v>
      </c>
      <c r="B4363" s="24" t="s">
        <v>777</v>
      </c>
      <c r="C4363" s="24" t="s">
        <v>778</v>
      </c>
      <c r="D4363" s="24" t="s">
        <v>779</v>
      </c>
      <c r="E4363" s="24" t="s">
        <v>780</v>
      </c>
      <c r="F4363" s="25">
        <v>196.02</v>
      </c>
      <c r="G4363" s="24"/>
      <c r="H4363" s="24"/>
      <c r="I4363" s="26">
        <f t="shared" si="191"/>
        <v>44868</v>
      </c>
      <c r="J4363" s="27">
        <f t="shared" si="192"/>
        <v>1229</v>
      </c>
      <c r="K4363" s="24" t="str">
        <f t="shared" si="193"/>
        <v>&gt;360</v>
      </c>
      <c r="L4363" s="11">
        <v>46097</v>
      </c>
      <c r="M4363" s="23">
        <f>YEAR(Таблица1[[#This Row],[Дата отчета]])</f>
        <v>2026</v>
      </c>
      <c r="N4363" s="2" t="s">
        <v>807</v>
      </c>
      <c r="O4363" s="24"/>
      <c r="P4363" s="24"/>
      <c r="Q4363" s="24"/>
    </row>
    <row r="4364" spans="1:17" x14ac:dyDescent="0.25">
      <c r="A4364" s="24" t="s">
        <v>12</v>
      </c>
      <c r="B4364" s="24" t="s">
        <v>781</v>
      </c>
      <c r="C4364" s="24" t="s">
        <v>782</v>
      </c>
      <c r="D4364" s="24" t="s">
        <v>783</v>
      </c>
      <c r="E4364" s="24" t="s">
        <v>259</v>
      </c>
      <c r="F4364" s="25">
        <v>1819352.97</v>
      </c>
      <c r="G4364" s="24"/>
      <c r="H4364" s="24"/>
      <c r="I4364" s="26">
        <f t="shared" si="191"/>
        <v>46071</v>
      </c>
      <c r="J4364" s="27">
        <f t="shared" si="192"/>
        <v>26</v>
      </c>
      <c r="K4364" s="24" t="str">
        <f t="shared" si="193"/>
        <v>0-30</v>
      </c>
      <c r="L4364" s="11">
        <v>46097</v>
      </c>
      <c r="M4364" s="23">
        <f>YEAR(Таблица1[[#This Row],[Дата отчета]])</f>
        <v>2026</v>
      </c>
      <c r="N4364" s="24"/>
      <c r="O4364" s="24"/>
      <c r="P4364" s="24"/>
      <c r="Q4364" s="24"/>
    </row>
    <row r="4365" spans="1:17" x14ac:dyDescent="0.25">
      <c r="A4365" s="24" t="s">
        <v>12</v>
      </c>
      <c r="B4365" s="24" t="s">
        <v>1676</v>
      </c>
      <c r="C4365" s="24" t="s">
        <v>4522</v>
      </c>
      <c r="D4365" s="24" t="s">
        <v>4533</v>
      </c>
      <c r="E4365" s="24" t="s">
        <v>4534</v>
      </c>
      <c r="F4365" s="25">
        <v>189588</v>
      </c>
      <c r="G4365" s="24"/>
      <c r="H4365" s="24"/>
      <c r="I4365" s="26">
        <f t="shared" si="191"/>
        <v>46094</v>
      </c>
      <c r="J4365" s="27">
        <f t="shared" si="192"/>
        <v>3</v>
      </c>
      <c r="K4365" s="24" t="str">
        <f t="shared" si="193"/>
        <v>0-30</v>
      </c>
      <c r="L4365" s="11">
        <v>46097</v>
      </c>
      <c r="M4365" s="23">
        <f>YEAR(Таблица1[[#This Row],[Дата отчета]])</f>
        <v>2026</v>
      </c>
      <c r="N4365" s="24"/>
      <c r="O4365" s="24"/>
      <c r="P4365" s="24"/>
      <c r="Q4365" s="24"/>
    </row>
    <row r="4366" spans="1:17" x14ac:dyDescent="0.25">
      <c r="A4366" s="24" t="s">
        <v>12</v>
      </c>
      <c r="B4366" s="24" t="s">
        <v>784</v>
      </c>
      <c r="C4366" s="24" t="s">
        <v>785</v>
      </c>
      <c r="D4366" s="24" t="s">
        <v>786</v>
      </c>
      <c r="E4366" s="24" t="s">
        <v>211</v>
      </c>
      <c r="F4366" s="25">
        <v>12083389.800000001</v>
      </c>
      <c r="G4366" s="24"/>
      <c r="H4366" s="24"/>
      <c r="I4366" s="26">
        <f t="shared" si="191"/>
        <v>46056</v>
      </c>
      <c r="J4366" s="27">
        <f t="shared" si="192"/>
        <v>41</v>
      </c>
      <c r="K4366" s="24" t="str">
        <f t="shared" si="193"/>
        <v>31-90</v>
      </c>
      <c r="L4366" s="11">
        <v>46097</v>
      </c>
      <c r="M4366" s="23">
        <f>YEAR(Таблица1[[#This Row],[Дата отчета]])</f>
        <v>2026</v>
      </c>
      <c r="N4366" s="24"/>
      <c r="O4366" s="24"/>
      <c r="P4366" s="24"/>
      <c r="Q4366" s="24"/>
    </row>
    <row r="4367" spans="1:17" x14ac:dyDescent="0.25">
      <c r="A4367" s="24" t="s">
        <v>12</v>
      </c>
      <c r="B4367" s="24" t="s">
        <v>784</v>
      </c>
      <c r="C4367" s="24" t="s">
        <v>787</v>
      </c>
      <c r="D4367" s="24" t="s">
        <v>788</v>
      </c>
      <c r="E4367" s="24" t="s">
        <v>350</v>
      </c>
      <c r="F4367" s="25">
        <v>1446946.5</v>
      </c>
      <c r="G4367" s="24"/>
      <c r="H4367" s="24"/>
      <c r="I4367" s="26">
        <f t="shared" si="191"/>
        <v>46057</v>
      </c>
      <c r="J4367" s="27">
        <f t="shared" si="192"/>
        <v>40</v>
      </c>
      <c r="K4367" s="24" t="str">
        <f t="shared" si="193"/>
        <v>31-90</v>
      </c>
      <c r="L4367" s="11">
        <v>46097</v>
      </c>
      <c r="M4367" s="23">
        <f>YEAR(Таблица1[[#This Row],[Дата отчета]])</f>
        <v>2026</v>
      </c>
      <c r="N4367" s="24"/>
      <c r="O4367" s="24"/>
      <c r="P4367" s="24"/>
      <c r="Q4367" s="24"/>
    </row>
    <row r="4368" spans="1:17" x14ac:dyDescent="0.25">
      <c r="A4368" s="24" t="s">
        <v>12</v>
      </c>
      <c r="B4368" s="24" t="s">
        <v>784</v>
      </c>
      <c r="C4368" s="24" t="s">
        <v>789</v>
      </c>
      <c r="D4368" s="24" t="s">
        <v>790</v>
      </c>
      <c r="E4368" s="24" t="s">
        <v>281</v>
      </c>
      <c r="F4368" s="25">
        <v>895000</v>
      </c>
      <c r="G4368" s="24"/>
      <c r="H4368" s="24"/>
      <c r="I4368" s="26">
        <f t="shared" si="191"/>
        <v>46065</v>
      </c>
      <c r="J4368" s="27">
        <f t="shared" si="192"/>
        <v>32</v>
      </c>
      <c r="K4368" s="24" t="str">
        <f t="shared" si="193"/>
        <v>31-90</v>
      </c>
      <c r="L4368" s="11">
        <v>46097</v>
      </c>
      <c r="M4368" s="23">
        <f>YEAR(Таблица1[[#This Row],[Дата отчета]])</f>
        <v>2026</v>
      </c>
      <c r="N4368" s="24"/>
      <c r="O4368" s="24"/>
      <c r="P4368" s="24"/>
      <c r="Q4368" s="24"/>
    </row>
    <row r="4369" spans="1:17" x14ac:dyDescent="0.25">
      <c r="A4369" s="24" t="s">
        <v>12</v>
      </c>
      <c r="B4369" s="24" t="s">
        <v>793</v>
      </c>
      <c r="C4369" s="24" t="s">
        <v>794</v>
      </c>
      <c r="D4369" s="24" t="s">
        <v>795</v>
      </c>
      <c r="E4369" s="24" t="s">
        <v>796</v>
      </c>
      <c r="F4369" s="25">
        <v>650</v>
      </c>
      <c r="G4369" s="24"/>
      <c r="H4369" s="24"/>
      <c r="I4369" s="26">
        <f t="shared" si="191"/>
        <v>44889</v>
      </c>
      <c r="J4369" s="27">
        <f t="shared" si="192"/>
        <v>1208</v>
      </c>
      <c r="K4369" s="24" t="str">
        <f t="shared" si="193"/>
        <v>&gt;360</v>
      </c>
      <c r="L4369" s="11">
        <v>46097</v>
      </c>
      <c r="M4369" s="23">
        <f>YEAR(Таблица1[[#This Row],[Дата отчета]])</f>
        <v>2026</v>
      </c>
      <c r="N4369" s="2" t="s">
        <v>807</v>
      </c>
      <c r="O4369" s="24"/>
      <c r="P4369" s="24"/>
      <c r="Q4369" s="24"/>
    </row>
    <row r="4370" spans="1:17" x14ac:dyDescent="0.25">
      <c r="A4370" s="24" t="s">
        <v>12</v>
      </c>
      <c r="B4370" s="24" t="s">
        <v>801</v>
      </c>
      <c r="C4370" s="24" t="s">
        <v>802</v>
      </c>
      <c r="D4370" s="24" t="s">
        <v>803</v>
      </c>
      <c r="E4370" s="24" t="s">
        <v>161</v>
      </c>
      <c r="F4370" s="25">
        <v>1117.75</v>
      </c>
      <c r="G4370" s="24"/>
      <c r="H4370" s="24"/>
      <c r="I4370" s="26">
        <f t="shared" si="191"/>
        <v>45890</v>
      </c>
      <c r="J4370" s="27">
        <f t="shared" si="192"/>
        <v>207</v>
      </c>
      <c r="K4370" s="24" t="str">
        <f t="shared" si="193"/>
        <v>181-270</v>
      </c>
      <c r="L4370" s="11">
        <v>46097</v>
      </c>
      <c r="M4370" s="23">
        <f>YEAR(Таблица1[[#This Row],[Дата отчета]])</f>
        <v>2026</v>
      </c>
      <c r="N4370" s="24"/>
      <c r="O4370" s="24"/>
      <c r="P4370" s="24"/>
      <c r="Q4370" s="24"/>
    </row>
    <row r="4371" spans="1:17" x14ac:dyDescent="0.25">
      <c r="A4371" s="24" t="s">
        <v>12</v>
      </c>
      <c r="B4371" s="24" t="s">
        <v>804</v>
      </c>
      <c r="C4371" s="24" t="s">
        <v>805</v>
      </c>
      <c r="D4371" s="24" t="s">
        <v>806</v>
      </c>
      <c r="E4371" s="24" t="s">
        <v>276</v>
      </c>
      <c r="F4371" s="25">
        <v>8840</v>
      </c>
      <c r="G4371" s="24"/>
      <c r="H4371" s="24"/>
      <c r="I4371" s="26">
        <f t="shared" si="191"/>
        <v>45827</v>
      </c>
      <c r="J4371" s="27">
        <f t="shared" si="192"/>
        <v>270</v>
      </c>
      <c r="K4371" s="24" t="str">
        <f t="shared" si="193"/>
        <v>181-270</v>
      </c>
      <c r="L4371" s="11">
        <v>46097</v>
      </c>
      <c r="M4371" s="23">
        <f>YEAR(Таблица1[[#This Row],[Дата отчета]])</f>
        <v>2026</v>
      </c>
      <c r="N4371" s="24"/>
      <c r="O4371" s="24"/>
      <c r="P4371" s="24"/>
      <c r="Q4371" s="24"/>
    </row>
    <row r="4372" spans="1:17" x14ac:dyDescent="0.25">
      <c r="A4372" s="24" t="s">
        <v>12</v>
      </c>
      <c r="B4372" s="24" t="s">
        <v>804</v>
      </c>
      <c r="C4372" s="24" t="s">
        <v>4402</v>
      </c>
      <c r="D4372" s="24" t="s">
        <v>4478</v>
      </c>
      <c r="E4372" s="24" t="s">
        <v>4502</v>
      </c>
      <c r="F4372" s="25">
        <v>385000</v>
      </c>
      <c r="G4372" s="24"/>
      <c r="H4372" s="24"/>
      <c r="I4372" s="26">
        <f t="shared" si="191"/>
        <v>46083</v>
      </c>
      <c r="J4372" s="27">
        <f t="shared" si="192"/>
        <v>14</v>
      </c>
      <c r="K4372" s="24" t="str">
        <f t="shared" si="193"/>
        <v>0-30</v>
      </c>
      <c r="L4372" s="11">
        <v>46097</v>
      </c>
      <c r="M4372" s="23">
        <f>YEAR(Таблица1[[#This Row],[Дата отчета]])</f>
        <v>2026</v>
      </c>
      <c r="N4372" s="24"/>
      <c r="O4372" s="24"/>
      <c r="P4372" s="24"/>
      <c r="Q4372" s="24"/>
    </row>
    <row r="4373" spans="1:17" x14ac:dyDescent="0.25">
      <c r="A4373" s="24" t="s">
        <v>12</v>
      </c>
      <c r="B4373" s="24" t="s">
        <v>804</v>
      </c>
      <c r="C4373" s="24" t="s">
        <v>808</v>
      </c>
      <c r="D4373" s="24" t="s">
        <v>809</v>
      </c>
      <c r="E4373" s="24" t="s">
        <v>810</v>
      </c>
      <c r="F4373" s="25">
        <v>192230</v>
      </c>
      <c r="G4373" s="24"/>
      <c r="H4373" s="24"/>
      <c r="I4373" s="26">
        <f t="shared" si="191"/>
        <v>46063</v>
      </c>
      <c r="J4373" s="27">
        <f t="shared" si="192"/>
        <v>34</v>
      </c>
      <c r="K4373" s="24" t="str">
        <f t="shared" si="193"/>
        <v>31-90</v>
      </c>
      <c r="L4373" s="11">
        <v>46097</v>
      </c>
      <c r="M4373" s="23">
        <f>YEAR(Таблица1[[#This Row],[Дата отчета]])</f>
        <v>2026</v>
      </c>
      <c r="N4373" s="24"/>
      <c r="O4373" s="24"/>
      <c r="P4373" s="24"/>
      <c r="Q4373" s="24"/>
    </row>
    <row r="4374" spans="1:17" x14ac:dyDescent="0.25">
      <c r="A4374" s="24" t="s">
        <v>12</v>
      </c>
      <c r="B4374" s="24" t="s">
        <v>804</v>
      </c>
      <c r="C4374" s="24" t="s">
        <v>811</v>
      </c>
      <c r="D4374" s="24" t="s">
        <v>812</v>
      </c>
      <c r="E4374" s="24" t="s">
        <v>37</v>
      </c>
      <c r="F4374" s="25">
        <v>850000</v>
      </c>
      <c r="G4374" s="24"/>
      <c r="H4374" s="24"/>
      <c r="I4374" s="26">
        <f t="shared" si="191"/>
        <v>46066</v>
      </c>
      <c r="J4374" s="27">
        <f t="shared" si="192"/>
        <v>31</v>
      </c>
      <c r="K4374" s="24" t="str">
        <f t="shared" si="193"/>
        <v>31-90</v>
      </c>
      <c r="L4374" s="11">
        <v>46097</v>
      </c>
      <c r="M4374" s="23">
        <f>YEAR(Таблица1[[#This Row],[Дата отчета]])</f>
        <v>2026</v>
      </c>
      <c r="N4374" s="24"/>
      <c r="O4374" s="24"/>
      <c r="P4374" s="24"/>
      <c r="Q4374" s="24"/>
    </row>
    <row r="4375" spans="1:17" x14ac:dyDescent="0.25">
      <c r="A4375" s="24" t="s">
        <v>12</v>
      </c>
      <c r="B4375" s="24" t="s">
        <v>804</v>
      </c>
      <c r="C4375" s="24" t="s">
        <v>813</v>
      </c>
      <c r="D4375" s="24" t="s">
        <v>814</v>
      </c>
      <c r="E4375" s="24" t="s">
        <v>37</v>
      </c>
      <c r="F4375" s="25">
        <v>850000</v>
      </c>
      <c r="G4375" s="24"/>
      <c r="H4375" s="24"/>
      <c r="I4375" s="26">
        <f t="shared" si="191"/>
        <v>46066</v>
      </c>
      <c r="J4375" s="27">
        <f t="shared" si="192"/>
        <v>31</v>
      </c>
      <c r="K4375" s="24" t="str">
        <f t="shared" si="193"/>
        <v>31-90</v>
      </c>
      <c r="L4375" s="11">
        <v>46097</v>
      </c>
      <c r="M4375" s="23">
        <f>YEAR(Таблица1[[#This Row],[Дата отчета]])</f>
        <v>2026</v>
      </c>
      <c r="N4375" s="24"/>
      <c r="O4375" s="24"/>
      <c r="P4375" s="24"/>
      <c r="Q4375" s="24"/>
    </row>
    <row r="4376" spans="1:17" x14ac:dyDescent="0.25">
      <c r="A4376" s="24" t="s">
        <v>12</v>
      </c>
      <c r="B4376" s="24" t="s">
        <v>804</v>
      </c>
      <c r="C4376" s="24" t="s">
        <v>815</v>
      </c>
      <c r="D4376" s="24" t="s">
        <v>816</v>
      </c>
      <c r="E4376" s="24" t="s">
        <v>259</v>
      </c>
      <c r="F4376" s="25">
        <v>850000</v>
      </c>
      <c r="G4376" s="24"/>
      <c r="H4376" s="24"/>
      <c r="I4376" s="26">
        <f t="shared" si="191"/>
        <v>46071</v>
      </c>
      <c r="J4376" s="27">
        <f t="shared" si="192"/>
        <v>26</v>
      </c>
      <c r="K4376" s="24" t="str">
        <f t="shared" si="193"/>
        <v>0-30</v>
      </c>
      <c r="L4376" s="11">
        <v>46097</v>
      </c>
      <c r="M4376" s="23">
        <f>YEAR(Таблица1[[#This Row],[Дата отчета]])</f>
        <v>2026</v>
      </c>
      <c r="N4376" s="24"/>
      <c r="O4376" s="24"/>
      <c r="P4376" s="24"/>
      <c r="Q4376" s="24"/>
    </row>
    <row r="4377" spans="1:17" x14ac:dyDescent="0.25">
      <c r="A4377" s="24" t="s">
        <v>12</v>
      </c>
      <c r="B4377" s="24" t="s">
        <v>804</v>
      </c>
      <c r="C4377" s="24" t="s">
        <v>817</v>
      </c>
      <c r="D4377" s="24" t="s">
        <v>818</v>
      </c>
      <c r="E4377" s="24" t="s">
        <v>59</v>
      </c>
      <c r="F4377" s="25">
        <v>850000</v>
      </c>
      <c r="G4377" s="24"/>
      <c r="H4377" s="24"/>
      <c r="I4377" s="26">
        <f t="shared" si="191"/>
        <v>46077</v>
      </c>
      <c r="J4377" s="27">
        <f t="shared" si="192"/>
        <v>20</v>
      </c>
      <c r="K4377" s="24" t="str">
        <f t="shared" si="193"/>
        <v>0-30</v>
      </c>
      <c r="L4377" s="11">
        <v>46097</v>
      </c>
      <c r="M4377" s="23">
        <f>YEAR(Таблица1[[#This Row],[Дата отчета]])</f>
        <v>2026</v>
      </c>
      <c r="N4377" s="24"/>
      <c r="O4377" s="24"/>
      <c r="P4377" s="24"/>
      <c r="Q4377" s="24"/>
    </row>
    <row r="4378" spans="1:17" x14ac:dyDescent="0.25">
      <c r="A4378" s="24" t="s">
        <v>12</v>
      </c>
      <c r="B4378" s="24" t="s">
        <v>804</v>
      </c>
      <c r="C4378" s="24" t="s">
        <v>819</v>
      </c>
      <c r="D4378" s="24" t="s">
        <v>820</v>
      </c>
      <c r="E4378" s="24" t="s">
        <v>821</v>
      </c>
      <c r="F4378" s="25">
        <v>56500</v>
      </c>
      <c r="G4378" s="24"/>
      <c r="H4378" s="24"/>
      <c r="I4378" s="26">
        <f t="shared" si="191"/>
        <v>45924</v>
      </c>
      <c r="J4378" s="27">
        <f t="shared" si="192"/>
        <v>173</v>
      </c>
      <c r="K4378" s="24" t="str">
        <f t="shared" si="193"/>
        <v>121-180</v>
      </c>
      <c r="L4378" s="11">
        <v>46097</v>
      </c>
      <c r="M4378" s="23">
        <f>YEAR(Таблица1[[#This Row],[Дата отчета]])</f>
        <v>2026</v>
      </c>
      <c r="N4378" s="24"/>
      <c r="O4378" s="24"/>
      <c r="P4378" s="24"/>
      <c r="Q4378" s="24"/>
    </row>
    <row r="4379" spans="1:17" x14ac:dyDescent="0.25">
      <c r="A4379" s="24" t="s">
        <v>12</v>
      </c>
      <c r="B4379" s="24" t="s">
        <v>804</v>
      </c>
      <c r="C4379" s="24" t="s">
        <v>4403</v>
      </c>
      <c r="D4379" s="24" t="s">
        <v>4479</v>
      </c>
      <c r="E4379" s="24" t="s">
        <v>4499</v>
      </c>
      <c r="F4379" s="25">
        <v>1530000</v>
      </c>
      <c r="G4379" s="24"/>
      <c r="H4379" s="24"/>
      <c r="I4379" s="26">
        <f t="shared" si="191"/>
        <v>46085</v>
      </c>
      <c r="J4379" s="27">
        <f t="shared" si="192"/>
        <v>12</v>
      </c>
      <c r="K4379" s="24" t="str">
        <f t="shared" si="193"/>
        <v>0-30</v>
      </c>
      <c r="L4379" s="11">
        <v>46097</v>
      </c>
      <c r="M4379" s="23">
        <f>YEAR(Таблица1[[#This Row],[Дата отчета]])</f>
        <v>2026</v>
      </c>
      <c r="N4379" s="24"/>
      <c r="O4379" s="24"/>
      <c r="P4379" s="24"/>
      <c r="Q4379" s="24"/>
    </row>
    <row r="4380" spans="1:17" x14ac:dyDescent="0.25">
      <c r="A4380" s="24" t="s">
        <v>12</v>
      </c>
      <c r="B4380" s="24" t="s">
        <v>804</v>
      </c>
      <c r="C4380" s="24" t="s">
        <v>822</v>
      </c>
      <c r="D4380" s="24" t="s">
        <v>823</v>
      </c>
      <c r="E4380" s="24" t="s">
        <v>824</v>
      </c>
      <c r="F4380" s="25">
        <v>500000</v>
      </c>
      <c r="G4380" s="24"/>
      <c r="H4380" s="24"/>
      <c r="I4380" s="26">
        <f t="shared" si="191"/>
        <v>45975</v>
      </c>
      <c r="J4380" s="27">
        <f t="shared" si="192"/>
        <v>122</v>
      </c>
      <c r="K4380" s="24" t="str">
        <f t="shared" si="193"/>
        <v>121-180</v>
      </c>
      <c r="L4380" s="11">
        <v>46097</v>
      </c>
      <c r="M4380" s="23">
        <f>YEAR(Таблица1[[#This Row],[Дата отчета]])</f>
        <v>2026</v>
      </c>
      <c r="N4380" s="24"/>
      <c r="O4380" s="24"/>
      <c r="P4380" s="24"/>
      <c r="Q4380" s="24"/>
    </row>
    <row r="4381" spans="1:17" x14ac:dyDescent="0.25">
      <c r="A4381" s="24" t="s">
        <v>12</v>
      </c>
      <c r="B4381" s="24" t="s">
        <v>804</v>
      </c>
      <c r="C4381" s="24" t="s">
        <v>825</v>
      </c>
      <c r="D4381" s="24" t="s">
        <v>826</v>
      </c>
      <c r="E4381" s="24" t="s">
        <v>827</v>
      </c>
      <c r="F4381" s="25">
        <v>132000</v>
      </c>
      <c r="G4381" s="24"/>
      <c r="H4381" s="24"/>
      <c r="I4381" s="26">
        <f t="shared" si="191"/>
        <v>45981</v>
      </c>
      <c r="J4381" s="27">
        <f t="shared" si="192"/>
        <v>116</v>
      </c>
      <c r="K4381" s="24" t="str">
        <f t="shared" si="193"/>
        <v>91-120</v>
      </c>
      <c r="L4381" s="11">
        <v>46097</v>
      </c>
      <c r="M4381" s="23">
        <f>YEAR(Таблица1[[#This Row],[Дата отчета]])</f>
        <v>2026</v>
      </c>
      <c r="N4381" s="24"/>
      <c r="O4381" s="24"/>
      <c r="P4381" s="24"/>
      <c r="Q4381" s="24"/>
    </row>
    <row r="4382" spans="1:17" x14ac:dyDescent="0.25">
      <c r="A4382" s="24" t="s">
        <v>12</v>
      </c>
      <c r="B4382" s="24" t="s">
        <v>804</v>
      </c>
      <c r="C4382" s="24" t="s">
        <v>828</v>
      </c>
      <c r="D4382" s="24" t="s">
        <v>829</v>
      </c>
      <c r="E4382" s="24" t="s">
        <v>830</v>
      </c>
      <c r="F4382" s="25">
        <v>36000</v>
      </c>
      <c r="G4382" s="24"/>
      <c r="H4382" s="24"/>
      <c r="I4382" s="26">
        <f t="shared" si="191"/>
        <v>46006</v>
      </c>
      <c r="J4382" s="27">
        <f t="shared" si="192"/>
        <v>91</v>
      </c>
      <c r="K4382" s="24" t="str">
        <f t="shared" si="193"/>
        <v>91-120</v>
      </c>
      <c r="L4382" s="11">
        <v>46097</v>
      </c>
      <c r="M4382" s="23">
        <f>YEAR(Таблица1[[#This Row],[Дата отчета]])</f>
        <v>2026</v>
      </c>
      <c r="N4382" s="24"/>
      <c r="O4382" s="24"/>
      <c r="P4382" s="24"/>
      <c r="Q4382" s="24"/>
    </row>
    <row r="4383" spans="1:17" x14ac:dyDescent="0.25">
      <c r="A4383" s="24" t="s">
        <v>12</v>
      </c>
      <c r="B4383" s="24" t="s">
        <v>804</v>
      </c>
      <c r="C4383" s="24" t="s">
        <v>4404</v>
      </c>
      <c r="D4383" s="24" t="s">
        <v>4480</v>
      </c>
      <c r="E4383" s="24" t="s">
        <v>4496</v>
      </c>
      <c r="F4383" s="25">
        <v>1530000</v>
      </c>
      <c r="G4383" s="24"/>
      <c r="H4383" s="24"/>
      <c r="I4383" s="26">
        <f t="shared" si="191"/>
        <v>46091</v>
      </c>
      <c r="J4383" s="27">
        <f t="shared" si="192"/>
        <v>6</v>
      </c>
      <c r="K4383" s="24" t="str">
        <f t="shared" si="193"/>
        <v>0-30</v>
      </c>
      <c r="L4383" s="11">
        <v>46097</v>
      </c>
      <c r="M4383" s="23">
        <f>YEAR(Таблица1[[#This Row],[Дата отчета]])</f>
        <v>2026</v>
      </c>
      <c r="N4383" s="24"/>
      <c r="O4383" s="24"/>
      <c r="P4383" s="24"/>
      <c r="Q4383" s="24"/>
    </row>
    <row r="4384" spans="1:17" x14ac:dyDescent="0.25">
      <c r="A4384" s="24" t="s">
        <v>12</v>
      </c>
      <c r="B4384" s="24" t="s">
        <v>804</v>
      </c>
      <c r="C4384" s="24" t="s">
        <v>4405</v>
      </c>
      <c r="D4384" s="24" t="s">
        <v>4481</v>
      </c>
      <c r="E4384" s="24" t="s">
        <v>4498</v>
      </c>
      <c r="F4384" s="25">
        <v>1480000</v>
      </c>
      <c r="G4384" s="24"/>
      <c r="H4384" s="24"/>
      <c r="I4384" s="26">
        <f t="shared" si="191"/>
        <v>46093</v>
      </c>
      <c r="J4384" s="27">
        <f t="shared" si="192"/>
        <v>4</v>
      </c>
      <c r="K4384" s="24" t="str">
        <f t="shared" si="193"/>
        <v>0-30</v>
      </c>
      <c r="L4384" s="11">
        <v>46097</v>
      </c>
      <c r="M4384" s="23">
        <f>YEAR(Таблица1[[#This Row],[Дата отчета]])</f>
        <v>2026</v>
      </c>
      <c r="N4384" s="24"/>
      <c r="O4384" s="24"/>
      <c r="P4384" s="24"/>
      <c r="Q4384" s="24"/>
    </row>
    <row r="4385" spans="1:17" x14ac:dyDescent="0.25">
      <c r="A4385" s="24" t="s">
        <v>12</v>
      </c>
      <c r="B4385" s="24" t="s">
        <v>804</v>
      </c>
      <c r="C4385" s="24" t="s">
        <v>4406</v>
      </c>
      <c r="D4385" s="24" t="s">
        <v>4482</v>
      </c>
      <c r="E4385" s="24" t="s">
        <v>4498</v>
      </c>
      <c r="F4385" s="25">
        <v>1480000</v>
      </c>
      <c r="G4385" s="24"/>
      <c r="H4385" s="24"/>
      <c r="I4385" s="26">
        <f t="shared" si="191"/>
        <v>46093</v>
      </c>
      <c r="J4385" s="27">
        <f t="shared" si="192"/>
        <v>4</v>
      </c>
      <c r="K4385" s="24" t="str">
        <f t="shared" si="193"/>
        <v>0-30</v>
      </c>
      <c r="L4385" s="11">
        <v>46097</v>
      </c>
      <c r="M4385" s="23">
        <f>YEAR(Таблица1[[#This Row],[Дата отчета]])</f>
        <v>2026</v>
      </c>
      <c r="N4385" s="24"/>
      <c r="O4385" s="24"/>
      <c r="P4385" s="24"/>
      <c r="Q4385" s="24"/>
    </row>
    <row r="4386" spans="1:17" x14ac:dyDescent="0.25">
      <c r="A4386" s="24" t="s">
        <v>12</v>
      </c>
      <c r="B4386" s="24" t="s">
        <v>804</v>
      </c>
      <c r="C4386" s="24" t="s">
        <v>4407</v>
      </c>
      <c r="D4386" s="24" t="s">
        <v>4483</v>
      </c>
      <c r="E4386" s="24" t="s">
        <v>4498</v>
      </c>
      <c r="F4386" s="25">
        <v>1520000</v>
      </c>
      <c r="G4386" s="24"/>
      <c r="H4386" s="24"/>
      <c r="I4386" s="26">
        <f t="shared" si="191"/>
        <v>46093</v>
      </c>
      <c r="J4386" s="27">
        <f t="shared" si="192"/>
        <v>4</v>
      </c>
      <c r="K4386" s="24" t="str">
        <f t="shared" si="193"/>
        <v>0-30</v>
      </c>
      <c r="L4386" s="11">
        <v>46097</v>
      </c>
      <c r="M4386" s="23">
        <f>YEAR(Таблица1[[#This Row],[Дата отчета]])</f>
        <v>2026</v>
      </c>
      <c r="N4386" s="24"/>
      <c r="O4386" s="24"/>
      <c r="P4386" s="24"/>
      <c r="Q4386" s="24"/>
    </row>
    <row r="4387" spans="1:17" x14ac:dyDescent="0.25">
      <c r="A4387" s="24" t="s">
        <v>12</v>
      </c>
      <c r="B4387" s="24" t="s">
        <v>831</v>
      </c>
      <c r="C4387" s="24" t="s">
        <v>832</v>
      </c>
      <c r="D4387" s="24" t="s">
        <v>833</v>
      </c>
      <c r="E4387" s="24" t="s">
        <v>834</v>
      </c>
      <c r="F4387" s="25">
        <v>1.8</v>
      </c>
      <c r="G4387" s="24"/>
      <c r="H4387" s="24"/>
      <c r="I4387" s="26">
        <f t="shared" si="191"/>
        <v>45824</v>
      </c>
      <c r="J4387" s="27">
        <f t="shared" si="192"/>
        <v>273</v>
      </c>
      <c r="K4387" s="24" t="str">
        <f t="shared" si="193"/>
        <v>271-360</v>
      </c>
      <c r="L4387" s="11">
        <v>46097</v>
      </c>
      <c r="M4387" s="23">
        <f>YEAR(Таблица1[[#This Row],[Дата отчета]])</f>
        <v>2026</v>
      </c>
      <c r="N4387" s="24"/>
      <c r="O4387" s="24"/>
      <c r="P4387" s="24"/>
      <c r="Q4387" s="24"/>
    </row>
    <row r="4388" spans="1:17" x14ac:dyDescent="0.25">
      <c r="A4388" s="24" t="s">
        <v>12</v>
      </c>
      <c r="B4388" s="24" t="s">
        <v>835</v>
      </c>
      <c r="C4388" s="24" t="s">
        <v>836</v>
      </c>
      <c r="D4388" s="24" t="s">
        <v>837</v>
      </c>
      <c r="E4388" s="24" t="s">
        <v>360</v>
      </c>
      <c r="F4388" s="25">
        <v>21362245.34</v>
      </c>
      <c r="G4388" s="24"/>
      <c r="H4388" s="24"/>
      <c r="I4388" s="26">
        <f t="shared" si="191"/>
        <v>46058</v>
      </c>
      <c r="J4388" s="27">
        <f t="shared" si="192"/>
        <v>39</v>
      </c>
      <c r="K4388" s="24" t="str">
        <f t="shared" si="193"/>
        <v>31-90</v>
      </c>
      <c r="L4388" s="11">
        <v>46097</v>
      </c>
      <c r="M4388" s="23">
        <f>YEAR(Таблица1[[#This Row],[Дата отчета]])</f>
        <v>2026</v>
      </c>
      <c r="N4388" s="24"/>
      <c r="O4388" s="24"/>
      <c r="P4388" s="24"/>
      <c r="Q4388" s="24"/>
    </row>
    <row r="4389" spans="1:17" x14ac:dyDescent="0.25">
      <c r="A4389" s="24" t="s">
        <v>12</v>
      </c>
      <c r="B4389" s="24" t="s">
        <v>835</v>
      </c>
      <c r="C4389" s="24" t="s">
        <v>4408</v>
      </c>
      <c r="D4389" s="24" t="s">
        <v>4484</v>
      </c>
      <c r="E4389" s="24" t="s">
        <v>4501</v>
      </c>
      <c r="F4389" s="25">
        <v>4773790.7300000004</v>
      </c>
      <c r="G4389" s="24"/>
      <c r="H4389" s="24"/>
      <c r="I4389" s="26">
        <f t="shared" si="191"/>
        <v>46084</v>
      </c>
      <c r="J4389" s="27">
        <f t="shared" si="192"/>
        <v>13</v>
      </c>
      <c r="K4389" s="24" t="str">
        <f t="shared" si="193"/>
        <v>0-30</v>
      </c>
      <c r="L4389" s="11">
        <v>46097</v>
      </c>
      <c r="M4389" s="23">
        <f>YEAR(Таблица1[[#This Row],[Дата отчета]])</f>
        <v>2026</v>
      </c>
      <c r="N4389" s="24"/>
      <c r="O4389" s="24"/>
      <c r="P4389" s="24"/>
      <c r="Q4389" s="24"/>
    </row>
    <row r="4390" spans="1:17" x14ac:dyDescent="0.25">
      <c r="A4390" s="24" t="s">
        <v>12</v>
      </c>
      <c r="B4390" s="24" t="s">
        <v>838</v>
      </c>
      <c r="C4390" s="24" t="s">
        <v>839</v>
      </c>
      <c r="D4390" s="24" t="s">
        <v>840</v>
      </c>
      <c r="E4390" s="24" t="s">
        <v>841</v>
      </c>
      <c r="F4390" s="25">
        <v>21420</v>
      </c>
      <c r="G4390" s="24"/>
      <c r="H4390" s="24"/>
      <c r="I4390" s="26">
        <f t="shared" si="191"/>
        <v>45925</v>
      </c>
      <c r="J4390" s="27">
        <f t="shared" si="192"/>
        <v>172</v>
      </c>
      <c r="K4390" s="24" t="str">
        <f t="shared" si="193"/>
        <v>121-180</v>
      </c>
      <c r="L4390" s="11">
        <v>46097</v>
      </c>
      <c r="M4390" s="23">
        <f>YEAR(Таблица1[[#This Row],[Дата отчета]])</f>
        <v>2026</v>
      </c>
      <c r="N4390" s="24"/>
      <c r="O4390" s="24"/>
      <c r="P4390" s="24"/>
      <c r="Q4390" s="24"/>
    </row>
    <row r="4391" spans="1:17" x14ac:dyDescent="0.25">
      <c r="A4391" s="24" t="s">
        <v>12</v>
      </c>
      <c r="B4391" s="24" t="s">
        <v>838</v>
      </c>
      <c r="C4391" s="24" t="s">
        <v>842</v>
      </c>
      <c r="D4391" s="24" t="s">
        <v>843</v>
      </c>
      <c r="E4391" s="24" t="s">
        <v>841</v>
      </c>
      <c r="F4391" s="25">
        <v>26000</v>
      </c>
      <c r="G4391" s="24"/>
      <c r="H4391" s="24"/>
      <c r="I4391" s="26">
        <f t="shared" si="191"/>
        <v>45925</v>
      </c>
      <c r="J4391" s="27">
        <f t="shared" si="192"/>
        <v>172</v>
      </c>
      <c r="K4391" s="24" t="str">
        <f t="shared" si="193"/>
        <v>121-180</v>
      </c>
      <c r="L4391" s="11">
        <v>46097</v>
      </c>
      <c r="M4391" s="23">
        <f>YEAR(Таблица1[[#This Row],[Дата отчета]])</f>
        <v>2026</v>
      </c>
      <c r="N4391" s="24"/>
      <c r="O4391" s="24"/>
      <c r="P4391" s="24"/>
      <c r="Q4391" s="24"/>
    </row>
    <row r="4392" spans="1:17" x14ac:dyDescent="0.25">
      <c r="A4392" s="24" t="s">
        <v>12</v>
      </c>
      <c r="B4392" s="24" t="s">
        <v>844</v>
      </c>
      <c r="C4392" s="24" t="s">
        <v>845</v>
      </c>
      <c r="D4392" s="24" t="s">
        <v>846</v>
      </c>
      <c r="E4392" s="24" t="s">
        <v>847</v>
      </c>
      <c r="F4392" s="25">
        <v>11834</v>
      </c>
      <c r="G4392" s="24"/>
      <c r="H4392" s="24"/>
      <c r="I4392" s="26">
        <f t="shared" si="191"/>
        <v>45200</v>
      </c>
      <c r="J4392" s="27">
        <f t="shared" si="192"/>
        <v>897</v>
      </c>
      <c r="K4392" s="24" t="str">
        <f t="shared" si="193"/>
        <v>&gt;360</v>
      </c>
      <c r="L4392" s="11">
        <v>46097</v>
      </c>
      <c r="M4392" s="23">
        <f>YEAR(Таблица1[[#This Row],[Дата отчета]])</f>
        <v>2026</v>
      </c>
      <c r="N4392" s="2" t="s">
        <v>807</v>
      </c>
      <c r="O4392" s="24"/>
      <c r="P4392" s="24"/>
      <c r="Q4392" s="24"/>
    </row>
    <row r="4393" spans="1:17" x14ac:dyDescent="0.25">
      <c r="A4393" s="24" t="s">
        <v>12</v>
      </c>
      <c r="B4393" s="24" t="s">
        <v>848</v>
      </c>
      <c r="C4393" s="24" t="s">
        <v>849</v>
      </c>
      <c r="D4393" s="24" t="s">
        <v>850</v>
      </c>
      <c r="E4393" s="24" t="s">
        <v>211</v>
      </c>
      <c r="F4393" s="25">
        <v>47390</v>
      </c>
      <c r="G4393" s="24"/>
      <c r="H4393" s="24"/>
      <c r="I4393" s="26">
        <f t="shared" si="191"/>
        <v>46056</v>
      </c>
      <c r="J4393" s="27">
        <f t="shared" si="192"/>
        <v>41</v>
      </c>
      <c r="K4393" s="24" t="str">
        <f t="shared" si="193"/>
        <v>31-90</v>
      </c>
      <c r="L4393" s="11">
        <v>46097</v>
      </c>
      <c r="M4393" s="23">
        <f>YEAR(Таблица1[[#This Row],[Дата отчета]])</f>
        <v>2026</v>
      </c>
      <c r="N4393" s="24"/>
      <c r="O4393" s="24"/>
      <c r="P4393" s="24"/>
      <c r="Q4393" s="24"/>
    </row>
    <row r="4394" spans="1:17" x14ac:dyDescent="0.25">
      <c r="A4394" s="24" t="s">
        <v>12</v>
      </c>
      <c r="B4394" s="24" t="s">
        <v>851</v>
      </c>
      <c r="C4394" s="24" t="s">
        <v>852</v>
      </c>
      <c r="D4394" s="24" t="s">
        <v>853</v>
      </c>
      <c r="E4394" s="24" t="s">
        <v>169</v>
      </c>
      <c r="F4394" s="25">
        <v>157500</v>
      </c>
      <c r="G4394" s="24"/>
      <c r="H4394" s="24"/>
      <c r="I4394" s="26">
        <f t="shared" si="191"/>
        <v>46050</v>
      </c>
      <c r="J4394" s="27">
        <f t="shared" si="192"/>
        <v>47</v>
      </c>
      <c r="K4394" s="24" t="str">
        <f t="shared" si="193"/>
        <v>31-90</v>
      </c>
      <c r="L4394" s="11">
        <v>46097</v>
      </c>
      <c r="M4394" s="23">
        <f>YEAR(Таблица1[[#This Row],[Дата отчета]])</f>
        <v>2026</v>
      </c>
      <c r="N4394" s="24"/>
      <c r="O4394" s="24"/>
      <c r="P4394" s="24"/>
      <c r="Q4394" s="24"/>
    </row>
    <row r="4395" spans="1:17" x14ac:dyDescent="0.25">
      <c r="A4395" s="24" t="s">
        <v>12</v>
      </c>
      <c r="B4395" s="24" t="s">
        <v>854</v>
      </c>
      <c r="C4395" s="24" t="s">
        <v>855</v>
      </c>
      <c r="D4395" s="24" t="s">
        <v>856</v>
      </c>
      <c r="E4395" s="24" t="s">
        <v>773</v>
      </c>
      <c r="F4395" s="25">
        <v>3000</v>
      </c>
      <c r="G4395" s="24"/>
      <c r="H4395" s="24"/>
      <c r="I4395" s="26">
        <f t="shared" si="191"/>
        <v>45888</v>
      </c>
      <c r="J4395" s="27">
        <f t="shared" si="192"/>
        <v>209</v>
      </c>
      <c r="K4395" s="24" t="str">
        <f t="shared" si="193"/>
        <v>181-270</v>
      </c>
      <c r="L4395" s="11">
        <v>46097</v>
      </c>
      <c r="M4395" s="23">
        <f>YEAR(Таблица1[[#This Row],[Дата отчета]])</f>
        <v>2026</v>
      </c>
      <c r="N4395" s="24"/>
      <c r="O4395" s="24"/>
      <c r="P4395" s="24"/>
      <c r="Q4395" s="24"/>
    </row>
    <row r="4396" spans="1:17" x14ac:dyDescent="0.25">
      <c r="A4396" s="24" t="s">
        <v>12</v>
      </c>
      <c r="B4396" s="24" t="s">
        <v>854</v>
      </c>
      <c r="C4396" s="24" t="s">
        <v>857</v>
      </c>
      <c r="D4396" s="24" t="s">
        <v>858</v>
      </c>
      <c r="E4396" s="24" t="s">
        <v>859</v>
      </c>
      <c r="F4396" s="25">
        <v>9250</v>
      </c>
      <c r="G4396" s="24"/>
      <c r="H4396" s="24"/>
      <c r="I4396" s="26">
        <f t="shared" si="191"/>
        <v>45110</v>
      </c>
      <c r="J4396" s="27">
        <f t="shared" si="192"/>
        <v>987</v>
      </c>
      <c r="K4396" s="24" t="str">
        <f t="shared" si="193"/>
        <v>&gt;360</v>
      </c>
      <c r="L4396" s="11">
        <v>46097</v>
      </c>
      <c r="M4396" s="23">
        <f>YEAR(Таблица1[[#This Row],[Дата отчета]])</f>
        <v>2026</v>
      </c>
      <c r="N4396" s="2" t="s">
        <v>807</v>
      </c>
      <c r="O4396" s="24"/>
      <c r="P4396" s="24"/>
      <c r="Q4396" s="24"/>
    </row>
    <row r="4397" spans="1:17" x14ac:dyDescent="0.25">
      <c r="A4397" s="24" t="s">
        <v>12</v>
      </c>
      <c r="B4397" s="24" t="s">
        <v>854</v>
      </c>
      <c r="C4397" s="24" t="s">
        <v>860</v>
      </c>
      <c r="D4397" s="24" t="s">
        <v>861</v>
      </c>
      <c r="E4397" s="24" t="s">
        <v>862</v>
      </c>
      <c r="F4397" s="25">
        <v>4996</v>
      </c>
      <c r="G4397" s="24"/>
      <c r="H4397" s="24"/>
      <c r="I4397" s="26">
        <f t="shared" ref="I4397:I4460" si="194">E4397*1</f>
        <v>45187</v>
      </c>
      <c r="J4397" s="27">
        <f t="shared" ref="J4397:J4460" si="195">L4397-I4397</f>
        <v>910</v>
      </c>
      <c r="K4397" s="24" t="str">
        <f t="shared" ref="K4397:K4460" si="196">IF(J4397&lt;=30,"0-30",IF(J4397&lt;=90,"31-90",IF(J4397&lt;=120,"91-120",IF(J4397&lt;=180,"121-180",IF(J4397&lt;=270,"181-270",IF(J4397&lt;=360,"271-360","&gt;360"))))))</f>
        <v>&gt;360</v>
      </c>
      <c r="L4397" s="11">
        <v>46097</v>
      </c>
      <c r="M4397" s="23">
        <f>YEAR(Таблица1[[#This Row],[Дата отчета]])</f>
        <v>2026</v>
      </c>
      <c r="N4397" s="2" t="s">
        <v>807</v>
      </c>
      <c r="O4397" s="24"/>
      <c r="P4397" s="24"/>
      <c r="Q4397" s="24"/>
    </row>
    <row r="4398" spans="1:17" x14ac:dyDescent="0.25">
      <c r="A4398" s="24" t="s">
        <v>12</v>
      </c>
      <c r="B4398" s="24" t="s">
        <v>854</v>
      </c>
      <c r="C4398" s="24" t="s">
        <v>863</v>
      </c>
      <c r="D4398" s="24" t="s">
        <v>864</v>
      </c>
      <c r="E4398" s="24" t="s">
        <v>865</v>
      </c>
      <c r="F4398" s="25">
        <v>3100</v>
      </c>
      <c r="G4398" s="24"/>
      <c r="H4398" s="24"/>
      <c r="I4398" s="26">
        <f t="shared" si="194"/>
        <v>45456</v>
      </c>
      <c r="J4398" s="27">
        <f t="shared" si="195"/>
        <v>641</v>
      </c>
      <c r="K4398" s="24" t="str">
        <f t="shared" si="196"/>
        <v>&gt;360</v>
      </c>
      <c r="L4398" s="11">
        <v>46097</v>
      </c>
      <c r="M4398" s="23">
        <f>YEAR(Таблица1[[#This Row],[Дата отчета]])</f>
        <v>2026</v>
      </c>
      <c r="N4398" s="2" t="s">
        <v>807</v>
      </c>
      <c r="O4398" s="24"/>
      <c r="P4398" s="24"/>
      <c r="Q4398" s="24"/>
    </row>
    <row r="4399" spans="1:17" x14ac:dyDescent="0.25">
      <c r="A4399" s="24" t="s">
        <v>12</v>
      </c>
      <c r="B4399" s="24" t="s">
        <v>854</v>
      </c>
      <c r="C4399" s="24" t="s">
        <v>866</v>
      </c>
      <c r="D4399" s="24" t="s">
        <v>867</v>
      </c>
      <c r="E4399" s="24" t="s">
        <v>868</v>
      </c>
      <c r="F4399" s="25">
        <v>2640</v>
      </c>
      <c r="G4399" s="24"/>
      <c r="H4399" s="24"/>
      <c r="I4399" s="26">
        <f t="shared" si="194"/>
        <v>45252</v>
      </c>
      <c r="J4399" s="27">
        <f t="shared" si="195"/>
        <v>845</v>
      </c>
      <c r="K4399" s="24" t="str">
        <f t="shared" si="196"/>
        <v>&gt;360</v>
      </c>
      <c r="L4399" s="11">
        <v>46097</v>
      </c>
      <c r="M4399" s="23">
        <f>YEAR(Таблица1[[#This Row],[Дата отчета]])</f>
        <v>2026</v>
      </c>
      <c r="N4399" s="2" t="s">
        <v>807</v>
      </c>
      <c r="O4399" s="24"/>
      <c r="P4399" s="24"/>
      <c r="Q4399" s="24"/>
    </row>
    <row r="4400" spans="1:17" x14ac:dyDescent="0.25">
      <c r="A4400" s="24" t="s">
        <v>12</v>
      </c>
      <c r="B4400" s="24" t="s">
        <v>854</v>
      </c>
      <c r="C4400" s="24" t="s">
        <v>869</v>
      </c>
      <c r="D4400" s="24" t="s">
        <v>870</v>
      </c>
      <c r="E4400" s="24" t="s">
        <v>360</v>
      </c>
      <c r="F4400" s="25">
        <v>71968</v>
      </c>
      <c r="G4400" s="24"/>
      <c r="H4400" s="24"/>
      <c r="I4400" s="26">
        <f t="shared" si="194"/>
        <v>46058</v>
      </c>
      <c r="J4400" s="27">
        <f t="shared" si="195"/>
        <v>39</v>
      </c>
      <c r="K4400" s="24" t="str">
        <f t="shared" si="196"/>
        <v>31-90</v>
      </c>
      <c r="L4400" s="11">
        <v>46097</v>
      </c>
      <c r="M4400" s="23">
        <f>YEAR(Таблица1[[#This Row],[Дата отчета]])</f>
        <v>2026</v>
      </c>
      <c r="N4400" s="24"/>
      <c r="O4400" s="24"/>
      <c r="P4400" s="24"/>
      <c r="Q4400" s="24"/>
    </row>
    <row r="4401" spans="1:17" x14ac:dyDescent="0.25">
      <c r="A4401" s="24" t="s">
        <v>12</v>
      </c>
      <c r="B4401" s="24" t="s">
        <v>854</v>
      </c>
      <c r="C4401" s="24" t="s">
        <v>871</v>
      </c>
      <c r="D4401" s="24" t="s">
        <v>872</v>
      </c>
      <c r="E4401" s="24" t="s">
        <v>360</v>
      </c>
      <c r="F4401" s="25">
        <v>129179</v>
      </c>
      <c r="G4401" s="24"/>
      <c r="H4401" s="24"/>
      <c r="I4401" s="26">
        <f t="shared" si="194"/>
        <v>46058</v>
      </c>
      <c r="J4401" s="27">
        <f t="shared" si="195"/>
        <v>39</v>
      </c>
      <c r="K4401" s="24" t="str">
        <f t="shared" si="196"/>
        <v>31-90</v>
      </c>
      <c r="L4401" s="11">
        <v>46097</v>
      </c>
      <c r="M4401" s="23">
        <f>YEAR(Таблица1[[#This Row],[Дата отчета]])</f>
        <v>2026</v>
      </c>
      <c r="N4401" s="24"/>
      <c r="O4401" s="24"/>
      <c r="P4401" s="24"/>
      <c r="Q4401" s="24"/>
    </row>
    <row r="4402" spans="1:17" x14ac:dyDescent="0.25">
      <c r="A4402" s="24" t="s">
        <v>12</v>
      </c>
      <c r="B4402" s="24" t="s">
        <v>854</v>
      </c>
      <c r="C4402" s="24" t="s">
        <v>873</v>
      </c>
      <c r="D4402" s="24" t="s">
        <v>874</v>
      </c>
      <c r="E4402" s="24" t="s">
        <v>360</v>
      </c>
      <c r="F4402" s="25">
        <v>120800</v>
      </c>
      <c r="G4402" s="24"/>
      <c r="H4402" s="24"/>
      <c r="I4402" s="26">
        <f t="shared" si="194"/>
        <v>46058</v>
      </c>
      <c r="J4402" s="27">
        <f t="shared" si="195"/>
        <v>39</v>
      </c>
      <c r="K4402" s="24" t="str">
        <f t="shared" si="196"/>
        <v>31-90</v>
      </c>
      <c r="L4402" s="11">
        <v>46097</v>
      </c>
      <c r="M4402" s="23">
        <f>YEAR(Таблица1[[#This Row],[Дата отчета]])</f>
        <v>2026</v>
      </c>
      <c r="N4402" s="24"/>
      <c r="O4402" s="24"/>
      <c r="P4402" s="24"/>
      <c r="Q4402" s="24"/>
    </row>
    <row r="4403" spans="1:17" x14ac:dyDescent="0.25">
      <c r="A4403" s="24" t="s">
        <v>12</v>
      </c>
      <c r="B4403" s="24" t="s">
        <v>854</v>
      </c>
      <c r="C4403" s="24" t="s">
        <v>875</v>
      </c>
      <c r="D4403" s="24" t="s">
        <v>876</v>
      </c>
      <c r="E4403" s="24" t="s">
        <v>360</v>
      </c>
      <c r="F4403" s="25">
        <v>13490</v>
      </c>
      <c r="G4403" s="24"/>
      <c r="H4403" s="24"/>
      <c r="I4403" s="26">
        <f t="shared" si="194"/>
        <v>46058</v>
      </c>
      <c r="J4403" s="27">
        <f t="shared" si="195"/>
        <v>39</v>
      </c>
      <c r="K4403" s="24" t="str">
        <f t="shared" si="196"/>
        <v>31-90</v>
      </c>
      <c r="L4403" s="11">
        <v>46097</v>
      </c>
      <c r="M4403" s="23">
        <f>YEAR(Таблица1[[#This Row],[Дата отчета]])</f>
        <v>2026</v>
      </c>
      <c r="N4403" s="24"/>
      <c r="O4403" s="24"/>
      <c r="P4403" s="24"/>
      <c r="Q4403" s="24"/>
    </row>
    <row r="4404" spans="1:17" x14ac:dyDescent="0.25">
      <c r="A4404" s="24" t="s">
        <v>12</v>
      </c>
      <c r="B4404" s="24" t="s">
        <v>854</v>
      </c>
      <c r="C4404" s="24" t="s">
        <v>877</v>
      </c>
      <c r="D4404" s="24" t="s">
        <v>878</v>
      </c>
      <c r="E4404" s="24" t="s">
        <v>810</v>
      </c>
      <c r="F4404" s="25">
        <v>53809</v>
      </c>
      <c r="G4404" s="24"/>
      <c r="H4404" s="24"/>
      <c r="I4404" s="26">
        <f t="shared" si="194"/>
        <v>46063</v>
      </c>
      <c r="J4404" s="27">
        <f t="shared" si="195"/>
        <v>34</v>
      </c>
      <c r="K4404" s="24" t="str">
        <f t="shared" si="196"/>
        <v>31-90</v>
      </c>
      <c r="L4404" s="11">
        <v>46097</v>
      </c>
      <c r="M4404" s="23">
        <f>YEAR(Таблица1[[#This Row],[Дата отчета]])</f>
        <v>2026</v>
      </c>
      <c r="N4404" s="24"/>
      <c r="O4404" s="24"/>
      <c r="P4404" s="24"/>
      <c r="Q4404" s="24"/>
    </row>
    <row r="4405" spans="1:17" x14ac:dyDescent="0.25">
      <c r="A4405" s="24" t="s">
        <v>12</v>
      </c>
      <c r="B4405" s="24" t="s">
        <v>854</v>
      </c>
      <c r="C4405" s="24" t="s">
        <v>879</v>
      </c>
      <c r="D4405" s="24" t="s">
        <v>880</v>
      </c>
      <c r="E4405" s="24" t="s">
        <v>711</v>
      </c>
      <c r="F4405" s="25">
        <v>7200</v>
      </c>
      <c r="G4405" s="24"/>
      <c r="H4405" s="24"/>
      <c r="I4405" s="26">
        <f t="shared" si="194"/>
        <v>46069</v>
      </c>
      <c r="J4405" s="27">
        <f t="shared" si="195"/>
        <v>28</v>
      </c>
      <c r="K4405" s="24" t="str">
        <f t="shared" si="196"/>
        <v>0-30</v>
      </c>
      <c r="L4405" s="11">
        <v>46097</v>
      </c>
      <c r="M4405" s="23">
        <f>YEAR(Таблица1[[#This Row],[Дата отчета]])</f>
        <v>2026</v>
      </c>
      <c r="N4405" s="24"/>
      <c r="O4405" s="24"/>
      <c r="P4405" s="24"/>
      <c r="Q4405" s="24"/>
    </row>
    <row r="4406" spans="1:17" x14ac:dyDescent="0.25">
      <c r="A4406" s="24" t="s">
        <v>12</v>
      </c>
      <c r="B4406" s="24" t="s">
        <v>854</v>
      </c>
      <c r="C4406" s="24" t="s">
        <v>881</v>
      </c>
      <c r="D4406" s="24" t="s">
        <v>882</v>
      </c>
      <c r="E4406" s="24" t="s">
        <v>48</v>
      </c>
      <c r="F4406" s="25">
        <v>52079</v>
      </c>
      <c r="G4406" s="24"/>
      <c r="H4406" s="24"/>
      <c r="I4406" s="26">
        <f t="shared" si="194"/>
        <v>46078</v>
      </c>
      <c r="J4406" s="27">
        <f t="shared" si="195"/>
        <v>19</v>
      </c>
      <c r="K4406" s="24" t="str">
        <f t="shared" si="196"/>
        <v>0-30</v>
      </c>
      <c r="L4406" s="11">
        <v>46097</v>
      </c>
      <c r="M4406" s="23">
        <f>YEAR(Таблица1[[#This Row],[Дата отчета]])</f>
        <v>2026</v>
      </c>
      <c r="N4406" s="24"/>
      <c r="O4406" s="24"/>
      <c r="P4406" s="24"/>
      <c r="Q4406" s="24"/>
    </row>
    <row r="4407" spans="1:17" x14ac:dyDescent="0.25">
      <c r="A4407" s="24" t="s">
        <v>12</v>
      </c>
      <c r="B4407" s="24" t="s">
        <v>854</v>
      </c>
      <c r="C4407" s="24" t="s">
        <v>4409</v>
      </c>
      <c r="D4407" s="24" t="s">
        <v>4485</v>
      </c>
      <c r="E4407" s="24" t="s">
        <v>4501</v>
      </c>
      <c r="F4407" s="25">
        <v>18560</v>
      </c>
      <c r="G4407" s="24"/>
      <c r="H4407" s="24"/>
      <c r="I4407" s="26">
        <f t="shared" si="194"/>
        <v>46084</v>
      </c>
      <c r="J4407" s="27">
        <f t="shared" si="195"/>
        <v>13</v>
      </c>
      <c r="K4407" s="24" t="str">
        <f t="shared" si="196"/>
        <v>0-30</v>
      </c>
      <c r="L4407" s="11">
        <v>46097</v>
      </c>
      <c r="M4407" s="23">
        <f>YEAR(Таблица1[[#This Row],[Дата отчета]])</f>
        <v>2026</v>
      </c>
      <c r="N4407" s="24"/>
      <c r="O4407" s="24"/>
      <c r="P4407" s="24"/>
      <c r="Q4407" s="24"/>
    </row>
    <row r="4408" spans="1:17" x14ac:dyDescent="0.25">
      <c r="A4408" s="24" t="s">
        <v>12</v>
      </c>
      <c r="B4408" s="24" t="s">
        <v>854</v>
      </c>
      <c r="C4408" s="24" t="s">
        <v>883</v>
      </c>
      <c r="D4408" s="24" t="s">
        <v>884</v>
      </c>
      <c r="E4408" s="24" t="s">
        <v>885</v>
      </c>
      <c r="F4408" s="25">
        <v>22290</v>
      </c>
      <c r="G4408" s="24"/>
      <c r="H4408" s="24"/>
      <c r="I4408" s="26">
        <f t="shared" si="194"/>
        <v>45783</v>
      </c>
      <c r="J4408" s="27">
        <f t="shared" si="195"/>
        <v>314</v>
      </c>
      <c r="K4408" s="24" t="str">
        <f t="shared" si="196"/>
        <v>271-360</v>
      </c>
      <c r="L4408" s="11">
        <v>46097</v>
      </c>
      <c r="M4408" s="23">
        <f>YEAR(Таблица1[[#This Row],[Дата отчета]])</f>
        <v>2026</v>
      </c>
      <c r="N4408" s="2" t="s">
        <v>807</v>
      </c>
      <c r="O4408" s="24"/>
      <c r="P4408" s="24"/>
      <c r="Q4408" s="24"/>
    </row>
    <row r="4409" spans="1:17" x14ac:dyDescent="0.25">
      <c r="A4409" s="24" t="s">
        <v>12</v>
      </c>
      <c r="B4409" s="24" t="s">
        <v>854</v>
      </c>
      <c r="C4409" s="24" t="s">
        <v>883</v>
      </c>
      <c r="D4409" s="24" t="s">
        <v>886</v>
      </c>
      <c r="E4409" s="24" t="s">
        <v>669</v>
      </c>
      <c r="F4409" s="25">
        <v>2000</v>
      </c>
      <c r="G4409" s="24"/>
      <c r="H4409" s="24"/>
      <c r="I4409" s="26">
        <f t="shared" si="194"/>
        <v>45930</v>
      </c>
      <c r="J4409" s="27">
        <f t="shared" si="195"/>
        <v>167</v>
      </c>
      <c r="K4409" s="24" t="str">
        <f t="shared" si="196"/>
        <v>121-180</v>
      </c>
      <c r="L4409" s="11">
        <v>46097</v>
      </c>
      <c r="M4409" s="23">
        <f>YEAR(Таблица1[[#This Row],[Дата отчета]])</f>
        <v>2026</v>
      </c>
      <c r="N4409" s="24"/>
      <c r="O4409" s="24"/>
      <c r="P4409" s="24"/>
      <c r="Q4409" s="24"/>
    </row>
    <row r="4410" spans="1:17" x14ac:dyDescent="0.25">
      <c r="A4410" s="24" t="s">
        <v>12</v>
      </c>
      <c r="B4410" s="24" t="s">
        <v>854</v>
      </c>
      <c r="C4410" s="24" t="s">
        <v>883</v>
      </c>
      <c r="D4410" s="24" t="s">
        <v>887</v>
      </c>
      <c r="E4410" s="24" t="s">
        <v>231</v>
      </c>
      <c r="F4410" s="25">
        <v>4100</v>
      </c>
      <c r="G4410" s="24"/>
      <c r="H4410" s="24"/>
      <c r="I4410" s="26">
        <f t="shared" si="194"/>
        <v>45992</v>
      </c>
      <c r="J4410" s="27">
        <f t="shared" si="195"/>
        <v>105</v>
      </c>
      <c r="K4410" s="24" t="str">
        <f t="shared" si="196"/>
        <v>91-120</v>
      </c>
      <c r="L4410" s="11">
        <v>46097</v>
      </c>
      <c r="M4410" s="23">
        <f>YEAR(Таблица1[[#This Row],[Дата отчета]])</f>
        <v>2026</v>
      </c>
      <c r="N4410" s="24"/>
      <c r="O4410" s="24"/>
      <c r="P4410" s="24"/>
      <c r="Q4410" s="24"/>
    </row>
    <row r="4411" spans="1:17" x14ac:dyDescent="0.25">
      <c r="A4411" s="24" t="s">
        <v>12</v>
      </c>
      <c r="B4411" s="24" t="s">
        <v>854</v>
      </c>
      <c r="C4411" s="24" t="s">
        <v>888</v>
      </c>
      <c r="D4411" s="24" t="s">
        <v>889</v>
      </c>
      <c r="E4411" s="24" t="s">
        <v>890</v>
      </c>
      <c r="F4411" s="25">
        <v>3000</v>
      </c>
      <c r="G4411" s="24"/>
      <c r="H4411" s="24"/>
      <c r="I4411" s="26">
        <f t="shared" si="194"/>
        <v>45894</v>
      </c>
      <c r="J4411" s="27">
        <f t="shared" si="195"/>
        <v>203</v>
      </c>
      <c r="K4411" s="24" t="str">
        <f t="shared" si="196"/>
        <v>181-270</v>
      </c>
      <c r="L4411" s="11">
        <v>46097</v>
      </c>
      <c r="M4411" s="23">
        <f>YEAR(Таблица1[[#This Row],[Дата отчета]])</f>
        <v>2026</v>
      </c>
      <c r="N4411" s="24"/>
      <c r="O4411" s="24"/>
      <c r="P4411" s="24"/>
      <c r="Q4411" s="24"/>
    </row>
    <row r="4412" spans="1:17" x14ac:dyDescent="0.25">
      <c r="A4412" s="24" t="s">
        <v>12</v>
      </c>
      <c r="B4412" s="24" t="s">
        <v>854</v>
      </c>
      <c r="C4412" s="24" t="s">
        <v>891</v>
      </c>
      <c r="D4412" s="24" t="s">
        <v>892</v>
      </c>
      <c r="E4412" s="24" t="s">
        <v>893</v>
      </c>
      <c r="F4412" s="25">
        <v>29300</v>
      </c>
      <c r="G4412" s="24"/>
      <c r="H4412" s="24"/>
      <c r="I4412" s="26">
        <f t="shared" si="194"/>
        <v>45898</v>
      </c>
      <c r="J4412" s="27">
        <f t="shared" si="195"/>
        <v>199</v>
      </c>
      <c r="K4412" s="24" t="str">
        <f t="shared" si="196"/>
        <v>181-270</v>
      </c>
      <c r="L4412" s="11">
        <v>46097</v>
      </c>
      <c r="M4412" s="23">
        <f>YEAR(Таблица1[[#This Row],[Дата отчета]])</f>
        <v>2026</v>
      </c>
      <c r="N4412" s="24"/>
      <c r="O4412" s="24"/>
      <c r="P4412" s="24"/>
      <c r="Q4412" s="24"/>
    </row>
    <row r="4413" spans="1:17" x14ac:dyDescent="0.25">
      <c r="A4413" s="24" t="s">
        <v>12</v>
      </c>
      <c r="B4413" s="24" t="s">
        <v>894</v>
      </c>
      <c r="C4413" s="24" t="s">
        <v>895</v>
      </c>
      <c r="D4413" s="24" t="s">
        <v>896</v>
      </c>
      <c r="E4413" s="24" t="s">
        <v>897</v>
      </c>
      <c r="F4413" s="25">
        <v>2400</v>
      </c>
      <c r="G4413" s="24"/>
      <c r="H4413" s="24"/>
      <c r="I4413" s="26">
        <f t="shared" si="194"/>
        <v>45022</v>
      </c>
      <c r="J4413" s="27">
        <f t="shared" si="195"/>
        <v>1075</v>
      </c>
      <c r="K4413" s="24" t="str">
        <f t="shared" si="196"/>
        <v>&gt;360</v>
      </c>
      <c r="L4413" s="11">
        <v>46097</v>
      </c>
      <c r="M4413" s="23">
        <f>YEAR(Таблица1[[#This Row],[Дата отчета]])</f>
        <v>2026</v>
      </c>
      <c r="N4413" s="2" t="s">
        <v>807</v>
      </c>
      <c r="O4413" s="24"/>
      <c r="P4413" s="24"/>
      <c r="Q4413" s="24"/>
    </row>
    <row r="4414" spans="1:17" x14ac:dyDescent="0.25">
      <c r="A4414" s="24" t="s">
        <v>12</v>
      </c>
      <c r="B4414" s="24" t="s">
        <v>894</v>
      </c>
      <c r="C4414" s="24" t="s">
        <v>898</v>
      </c>
      <c r="D4414" s="24" t="s">
        <v>899</v>
      </c>
      <c r="E4414" s="24" t="s">
        <v>900</v>
      </c>
      <c r="F4414" s="25">
        <v>22029</v>
      </c>
      <c r="G4414" s="24"/>
      <c r="H4414" s="24"/>
      <c r="I4414" s="26">
        <f t="shared" si="194"/>
        <v>45203</v>
      </c>
      <c r="J4414" s="27">
        <f t="shared" si="195"/>
        <v>894</v>
      </c>
      <c r="K4414" s="24" t="str">
        <f t="shared" si="196"/>
        <v>&gt;360</v>
      </c>
      <c r="L4414" s="11">
        <v>46097</v>
      </c>
      <c r="M4414" s="23">
        <f>YEAR(Таблица1[[#This Row],[Дата отчета]])</f>
        <v>2026</v>
      </c>
      <c r="N4414" s="2" t="s">
        <v>807</v>
      </c>
      <c r="O4414" s="24"/>
      <c r="P4414" s="24"/>
      <c r="Q4414" s="24"/>
    </row>
    <row r="4415" spans="1:17" x14ac:dyDescent="0.25">
      <c r="A4415" s="24" t="s">
        <v>12</v>
      </c>
      <c r="B4415" s="24" t="s">
        <v>901</v>
      </c>
      <c r="C4415" s="24" t="s">
        <v>775</v>
      </c>
      <c r="D4415" s="24" t="s">
        <v>902</v>
      </c>
      <c r="E4415" s="24" t="s">
        <v>903</v>
      </c>
      <c r="F4415" s="25">
        <v>270</v>
      </c>
      <c r="G4415" s="24"/>
      <c r="H4415" s="24"/>
      <c r="I4415" s="26">
        <f t="shared" si="194"/>
        <v>43679</v>
      </c>
      <c r="J4415" s="27">
        <f t="shared" si="195"/>
        <v>2418</v>
      </c>
      <c r="K4415" s="24" t="str">
        <f t="shared" si="196"/>
        <v>&gt;360</v>
      </c>
      <c r="L4415" s="11">
        <v>46097</v>
      </c>
      <c r="M4415" s="23">
        <f>YEAR(Таблица1[[#This Row],[Дата отчета]])</f>
        <v>2026</v>
      </c>
      <c r="N4415" s="2" t="s">
        <v>807</v>
      </c>
      <c r="O4415" s="24"/>
      <c r="P4415" s="24"/>
      <c r="Q4415" s="24"/>
    </row>
    <row r="4416" spans="1:17" x14ac:dyDescent="0.25">
      <c r="A4416" s="24" t="s">
        <v>12</v>
      </c>
      <c r="B4416" s="24" t="s">
        <v>904</v>
      </c>
      <c r="C4416" s="24" t="s">
        <v>905</v>
      </c>
      <c r="D4416" s="24" t="s">
        <v>906</v>
      </c>
      <c r="E4416" s="24" t="s">
        <v>907</v>
      </c>
      <c r="F4416" s="25">
        <v>479100</v>
      </c>
      <c r="G4416" s="24"/>
      <c r="H4416" s="24"/>
      <c r="I4416" s="26">
        <f t="shared" si="194"/>
        <v>45909</v>
      </c>
      <c r="J4416" s="27">
        <f t="shared" si="195"/>
        <v>188</v>
      </c>
      <c r="K4416" s="24" t="str">
        <f t="shared" si="196"/>
        <v>181-270</v>
      </c>
      <c r="L4416" s="11">
        <v>46097</v>
      </c>
      <c r="M4416" s="23">
        <f>YEAR(Таблица1[[#This Row],[Дата отчета]])</f>
        <v>2026</v>
      </c>
      <c r="N4416" s="24"/>
      <c r="O4416" s="24"/>
      <c r="P4416" s="24"/>
      <c r="Q4416" s="24"/>
    </row>
    <row r="4417" spans="1:17" x14ac:dyDescent="0.25">
      <c r="A4417" s="24" t="s">
        <v>12</v>
      </c>
      <c r="B4417" s="24" t="s">
        <v>904</v>
      </c>
      <c r="C4417" s="24" t="s">
        <v>908</v>
      </c>
      <c r="D4417" s="24" t="s">
        <v>909</v>
      </c>
      <c r="E4417" s="24" t="s">
        <v>702</v>
      </c>
      <c r="F4417" s="25">
        <v>855000</v>
      </c>
      <c r="G4417" s="24"/>
      <c r="H4417" s="24"/>
      <c r="I4417" s="26">
        <f t="shared" si="194"/>
        <v>45943</v>
      </c>
      <c r="J4417" s="27">
        <f t="shared" si="195"/>
        <v>154</v>
      </c>
      <c r="K4417" s="24" t="str">
        <f t="shared" si="196"/>
        <v>121-180</v>
      </c>
      <c r="L4417" s="11">
        <v>46097</v>
      </c>
      <c r="M4417" s="23">
        <f>YEAR(Таблица1[[#This Row],[Дата отчета]])</f>
        <v>2026</v>
      </c>
      <c r="N4417" s="24"/>
      <c r="O4417" s="24"/>
      <c r="P4417" s="24"/>
      <c r="Q4417" s="24"/>
    </row>
    <row r="4418" spans="1:17" x14ac:dyDescent="0.25">
      <c r="A4418" s="24" t="s">
        <v>12</v>
      </c>
      <c r="B4418" s="24" t="s">
        <v>904</v>
      </c>
      <c r="C4418" s="24" t="s">
        <v>910</v>
      </c>
      <c r="D4418" s="24" t="s">
        <v>911</v>
      </c>
      <c r="E4418" s="24" t="s">
        <v>169</v>
      </c>
      <c r="F4418" s="25">
        <v>4479987</v>
      </c>
      <c r="G4418" s="24"/>
      <c r="H4418" s="24"/>
      <c r="I4418" s="26">
        <f t="shared" si="194"/>
        <v>46050</v>
      </c>
      <c r="J4418" s="27">
        <f t="shared" si="195"/>
        <v>47</v>
      </c>
      <c r="K4418" s="24" t="str">
        <f t="shared" si="196"/>
        <v>31-90</v>
      </c>
      <c r="L4418" s="11">
        <v>46097</v>
      </c>
      <c r="M4418" s="23">
        <f>YEAR(Таблица1[[#This Row],[Дата отчета]])</f>
        <v>2026</v>
      </c>
      <c r="N4418" s="24"/>
      <c r="O4418" s="24"/>
      <c r="P4418" s="24"/>
      <c r="Q4418" s="24"/>
    </row>
    <row r="4419" spans="1:17" x14ac:dyDescent="0.25">
      <c r="A4419" s="24" t="s">
        <v>12</v>
      </c>
      <c r="B4419" s="24" t="s">
        <v>904</v>
      </c>
      <c r="C4419" s="24" t="s">
        <v>4410</v>
      </c>
      <c r="D4419" s="24" t="s">
        <v>4486</v>
      </c>
      <c r="E4419" s="24" t="s">
        <v>4498</v>
      </c>
      <c r="F4419" s="25">
        <v>401268</v>
      </c>
      <c r="G4419" s="24"/>
      <c r="H4419" s="24"/>
      <c r="I4419" s="26">
        <f t="shared" si="194"/>
        <v>46093</v>
      </c>
      <c r="J4419" s="27">
        <f t="shared" si="195"/>
        <v>4</v>
      </c>
      <c r="K4419" s="24" t="str">
        <f t="shared" si="196"/>
        <v>0-30</v>
      </c>
      <c r="L4419" s="11">
        <v>46097</v>
      </c>
      <c r="M4419" s="23">
        <f>YEAR(Таблица1[[#This Row],[Дата отчета]])</f>
        <v>2026</v>
      </c>
      <c r="N4419" s="24"/>
      <c r="O4419" s="24"/>
      <c r="P4419" s="24"/>
      <c r="Q4419" s="24"/>
    </row>
    <row r="4420" spans="1:17" x14ac:dyDescent="0.25">
      <c r="A4420" s="24" t="s">
        <v>12</v>
      </c>
      <c r="B4420" s="24" t="s">
        <v>912</v>
      </c>
      <c r="C4420" s="24" t="s">
        <v>913</v>
      </c>
      <c r="D4420" s="24" t="s">
        <v>914</v>
      </c>
      <c r="E4420" s="24" t="s">
        <v>156</v>
      </c>
      <c r="F4420" s="25">
        <v>207200</v>
      </c>
      <c r="G4420" s="24"/>
      <c r="H4420" s="24"/>
      <c r="I4420" s="26">
        <f t="shared" si="194"/>
        <v>46051</v>
      </c>
      <c r="J4420" s="27">
        <f t="shared" si="195"/>
        <v>46</v>
      </c>
      <c r="K4420" s="24" t="str">
        <f t="shared" si="196"/>
        <v>31-90</v>
      </c>
      <c r="L4420" s="11">
        <v>46097</v>
      </c>
      <c r="M4420" s="23">
        <f>YEAR(Таблица1[[#This Row],[Дата отчета]])</f>
        <v>2026</v>
      </c>
      <c r="N4420" s="24"/>
      <c r="O4420" s="24"/>
      <c r="P4420" s="24"/>
      <c r="Q4420" s="24"/>
    </row>
    <row r="4421" spans="1:17" x14ac:dyDescent="0.25">
      <c r="A4421" s="24" t="s">
        <v>12</v>
      </c>
      <c r="B4421" s="24" t="s">
        <v>915</v>
      </c>
      <c r="C4421" s="24" t="s">
        <v>916</v>
      </c>
      <c r="D4421" s="24" t="s">
        <v>917</v>
      </c>
      <c r="E4421" s="24" t="s">
        <v>571</v>
      </c>
      <c r="F4421" s="25">
        <v>380000</v>
      </c>
      <c r="G4421" s="24"/>
      <c r="H4421" s="24"/>
      <c r="I4421" s="26">
        <f t="shared" si="194"/>
        <v>45951</v>
      </c>
      <c r="J4421" s="27">
        <f t="shared" si="195"/>
        <v>146</v>
      </c>
      <c r="K4421" s="24" t="str">
        <f t="shared" si="196"/>
        <v>121-180</v>
      </c>
      <c r="L4421" s="11">
        <v>46097</v>
      </c>
      <c r="M4421" s="23">
        <f>YEAR(Таблица1[[#This Row],[Дата отчета]])</f>
        <v>2026</v>
      </c>
      <c r="N4421" s="24"/>
      <c r="O4421" s="24"/>
      <c r="P4421" s="24"/>
      <c r="Q4421" s="24"/>
    </row>
    <row r="4422" spans="1:17" x14ac:dyDescent="0.25">
      <c r="A4422" s="24" t="s">
        <v>12</v>
      </c>
      <c r="B4422" s="24" t="s">
        <v>915</v>
      </c>
      <c r="C4422" s="24" t="s">
        <v>918</v>
      </c>
      <c r="D4422" s="24" t="s">
        <v>919</v>
      </c>
      <c r="E4422" s="24" t="s">
        <v>920</v>
      </c>
      <c r="F4422" s="25">
        <v>37500</v>
      </c>
      <c r="G4422" s="24"/>
      <c r="H4422" s="24"/>
      <c r="I4422" s="26">
        <f t="shared" si="194"/>
        <v>45392</v>
      </c>
      <c r="J4422" s="27">
        <f t="shared" si="195"/>
        <v>705</v>
      </c>
      <c r="K4422" s="24" t="str">
        <f t="shared" si="196"/>
        <v>&gt;360</v>
      </c>
      <c r="L4422" s="11">
        <v>46097</v>
      </c>
      <c r="M4422" s="23">
        <f>YEAR(Таблица1[[#This Row],[Дата отчета]])</f>
        <v>2026</v>
      </c>
      <c r="N4422" s="2" t="s">
        <v>4538</v>
      </c>
      <c r="O4422" s="24"/>
      <c r="P4422" s="24"/>
      <c r="Q4422" s="24"/>
    </row>
    <row r="4423" spans="1:17" x14ac:dyDescent="0.25">
      <c r="A4423" s="24" t="s">
        <v>12</v>
      </c>
      <c r="B4423" s="24" t="s">
        <v>915</v>
      </c>
      <c r="C4423" s="24" t="s">
        <v>921</v>
      </c>
      <c r="D4423" s="24" t="s">
        <v>922</v>
      </c>
      <c r="E4423" s="24" t="s">
        <v>360</v>
      </c>
      <c r="F4423" s="25">
        <v>6402046.9900000002</v>
      </c>
      <c r="G4423" s="24"/>
      <c r="H4423" s="24"/>
      <c r="I4423" s="26">
        <f t="shared" si="194"/>
        <v>46058</v>
      </c>
      <c r="J4423" s="27">
        <f t="shared" si="195"/>
        <v>39</v>
      </c>
      <c r="K4423" s="24" t="str">
        <f t="shared" si="196"/>
        <v>31-90</v>
      </c>
      <c r="L4423" s="11">
        <v>46097</v>
      </c>
      <c r="M4423" s="23">
        <f>YEAR(Таблица1[[#This Row],[Дата отчета]])</f>
        <v>2026</v>
      </c>
      <c r="N4423" s="24"/>
      <c r="O4423" s="24"/>
      <c r="P4423" s="24"/>
      <c r="Q4423" s="24"/>
    </row>
    <row r="4424" spans="1:17" x14ac:dyDescent="0.25">
      <c r="A4424" s="24" t="s">
        <v>12</v>
      </c>
      <c r="B4424" s="24" t="s">
        <v>915</v>
      </c>
      <c r="C4424" s="24" t="s">
        <v>921</v>
      </c>
      <c r="D4424" s="24" t="s">
        <v>4487</v>
      </c>
      <c r="E4424" s="24" t="s">
        <v>4497</v>
      </c>
      <c r="F4424" s="25">
        <v>708282.15</v>
      </c>
      <c r="G4424" s="24"/>
      <c r="H4424" s="24"/>
      <c r="I4424" s="26">
        <f t="shared" si="194"/>
        <v>46086</v>
      </c>
      <c r="J4424" s="27">
        <f t="shared" si="195"/>
        <v>11</v>
      </c>
      <c r="K4424" s="24" t="str">
        <f t="shared" si="196"/>
        <v>0-30</v>
      </c>
      <c r="L4424" s="11">
        <v>46097</v>
      </c>
      <c r="M4424" s="23">
        <f>YEAR(Таблица1[[#This Row],[Дата отчета]])</f>
        <v>2026</v>
      </c>
      <c r="N4424" s="24"/>
      <c r="O4424" s="24"/>
      <c r="P4424" s="24"/>
      <c r="Q4424" s="24"/>
    </row>
    <row r="4425" spans="1:17" x14ac:dyDescent="0.25">
      <c r="A4425" s="24" t="s">
        <v>12</v>
      </c>
      <c r="B4425" s="24" t="s">
        <v>915</v>
      </c>
      <c r="C4425" s="24" t="s">
        <v>923</v>
      </c>
      <c r="D4425" s="24" t="s">
        <v>924</v>
      </c>
      <c r="E4425" s="24" t="s">
        <v>725</v>
      </c>
      <c r="F4425" s="25">
        <v>10495159.01</v>
      </c>
      <c r="G4425" s="24"/>
      <c r="H4425" s="24"/>
      <c r="I4425" s="26">
        <f t="shared" si="194"/>
        <v>46002</v>
      </c>
      <c r="J4425" s="27">
        <f t="shared" si="195"/>
        <v>95</v>
      </c>
      <c r="K4425" s="24" t="str">
        <f t="shared" si="196"/>
        <v>91-120</v>
      </c>
      <c r="L4425" s="11">
        <v>46097</v>
      </c>
      <c r="M4425" s="23">
        <f>YEAR(Таблица1[[#This Row],[Дата отчета]])</f>
        <v>2026</v>
      </c>
      <c r="N4425" s="24"/>
      <c r="O4425" s="24"/>
      <c r="P4425" s="24"/>
      <c r="Q4425" s="24"/>
    </row>
    <row r="4426" spans="1:17" x14ac:dyDescent="0.25">
      <c r="A4426" s="24" t="s">
        <v>12</v>
      </c>
      <c r="B4426" s="24" t="s">
        <v>925</v>
      </c>
      <c r="C4426" s="24" t="s">
        <v>926</v>
      </c>
      <c r="D4426" s="24" t="s">
        <v>927</v>
      </c>
      <c r="E4426" s="24" t="s">
        <v>662</v>
      </c>
      <c r="F4426" s="25">
        <v>700232.5</v>
      </c>
      <c r="G4426" s="24"/>
      <c r="H4426" s="24"/>
      <c r="I4426" s="26">
        <f t="shared" si="194"/>
        <v>45932</v>
      </c>
      <c r="J4426" s="27">
        <f t="shared" si="195"/>
        <v>165</v>
      </c>
      <c r="K4426" s="24" t="str">
        <f t="shared" si="196"/>
        <v>121-180</v>
      </c>
      <c r="L4426" s="11">
        <v>46097</v>
      </c>
      <c r="M4426" s="23">
        <f>YEAR(Таблица1[[#This Row],[Дата отчета]])</f>
        <v>2026</v>
      </c>
      <c r="N4426" s="24"/>
      <c r="O4426" s="24"/>
      <c r="P4426" s="24"/>
      <c r="Q4426" s="24"/>
    </row>
    <row r="4427" spans="1:17" x14ac:dyDescent="0.25">
      <c r="A4427" s="24" t="s">
        <v>12</v>
      </c>
      <c r="B4427" s="24" t="s">
        <v>925</v>
      </c>
      <c r="C4427" s="24" t="s">
        <v>926</v>
      </c>
      <c r="D4427" s="24" t="s">
        <v>928</v>
      </c>
      <c r="E4427" s="24" t="s">
        <v>929</v>
      </c>
      <c r="F4427" s="25">
        <v>700232.5</v>
      </c>
      <c r="G4427" s="24"/>
      <c r="H4427" s="24"/>
      <c r="I4427" s="26">
        <f t="shared" si="194"/>
        <v>46007</v>
      </c>
      <c r="J4427" s="27">
        <f t="shared" si="195"/>
        <v>90</v>
      </c>
      <c r="K4427" s="24" t="str">
        <f t="shared" si="196"/>
        <v>31-90</v>
      </c>
      <c r="L4427" s="11">
        <v>46097</v>
      </c>
      <c r="M4427" s="23">
        <f>YEAR(Таблица1[[#This Row],[Дата отчета]])</f>
        <v>2026</v>
      </c>
      <c r="N4427" s="24"/>
      <c r="O4427" s="24"/>
      <c r="P4427" s="24"/>
      <c r="Q4427" s="24"/>
    </row>
    <row r="4428" spans="1:17" x14ac:dyDescent="0.25">
      <c r="A4428" s="24" t="s">
        <v>12</v>
      </c>
      <c r="B4428" s="24" t="s">
        <v>925</v>
      </c>
      <c r="C4428" s="24" t="s">
        <v>926</v>
      </c>
      <c r="D4428" s="24" t="s">
        <v>930</v>
      </c>
      <c r="E4428" s="24" t="s">
        <v>254</v>
      </c>
      <c r="F4428" s="25">
        <v>1017148</v>
      </c>
      <c r="G4428" s="24"/>
      <c r="H4428" s="24"/>
      <c r="I4428" s="26">
        <f t="shared" si="194"/>
        <v>46048</v>
      </c>
      <c r="J4428" s="27">
        <f t="shared" si="195"/>
        <v>49</v>
      </c>
      <c r="K4428" s="24" t="str">
        <f t="shared" si="196"/>
        <v>31-90</v>
      </c>
      <c r="L4428" s="11">
        <v>46097</v>
      </c>
      <c r="M4428" s="23">
        <f>YEAR(Таблица1[[#This Row],[Дата отчета]])</f>
        <v>2026</v>
      </c>
      <c r="N4428" s="24"/>
      <c r="O4428" s="24"/>
      <c r="P4428" s="24"/>
      <c r="Q4428" s="24"/>
    </row>
    <row r="4429" spans="1:17" x14ac:dyDescent="0.25">
      <c r="A4429" s="24" t="s">
        <v>12</v>
      </c>
      <c r="B4429" s="24" t="s">
        <v>931</v>
      </c>
      <c r="C4429" s="24" t="s">
        <v>932</v>
      </c>
      <c r="D4429" s="24" t="s">
        <v>933</v>
      </c>
      <c r="E4429" s="24" t="s">
        <v>656</v>
      </c>
      <c r="F4429" s="25">
        <v>585500</v>
      </c>
      <c r="G4429" s="24"/>
      <c r="H4429" s="24"/>
      <c r="I4429" s="26">
        <f t="shared" si="194"/>
        <v>46052</v>
      </c>
      <c r="J4429" s="27">
        <f t="shared" si="195"/>
        <v>45</v>
      </c>
      <c r="K4429" s="24" t="str">
        <f t="shared" si="196"/>
        <v>31-90</v>
      </c>
      <c r="L4429" s="11">
        <v>46097</v>
      </c>
      <c r="M4429" s="23">
        <f>YEAR(Таблица1[[#This Row],[Дата отчета]])</f>
        <v>2026</v>
      </c>
      <c r="N4429" s="24"/>
      <c r="O4429" s="24"/>
      <c r="P4429" s="24"/>
      <c r="Q4429" s="24"/>
    </row>
    <row r="4430" spans="1:17" x14ac:dyDescent="0.25">
      <c r="A4430" s="24" t="s">
        <v>12</v>
      </c>
      <c r="B4430" s="24" t="s">
        <v>931</v>
      </c>
      <c r="C4430" s="24" t="s">
        <v>932</v>
      </c>
      <c r="D4430" s="24" t="s">
        <v>934</v>
      </c>
      <c r="E4430" s="24" t="s">
        <v>711</v>
      </c>
      <c r="F4430" s="25">
        <v>585500</v>
      </c>
      <c r="G4430" s="24"/>
      <c r="H4430" s="24"/>
      <c r="I4430" s="26">
        <f t="shared" si="194"/>
        <v>46069</v>
      </c>
      <c r="J4430" s="27">
        <f t="shared" si="195"/>
        <v>28</v>
      </c>
      <c r="K4430" s="24" t="str">
        <f t="shared" si="196"/>
        <v>0-30</v>
      </c>
      <c r="L4430" s="11">
        <v>46097</v>
      </c>
      <c r="M4430" s="23">
        <f>YEAR(Таблица1[[#This Row],[Дата отчета]])</f>
        <v>2026</v>
      </c>
      <c r="N4430" s="24"/>
      <c r="O4430" s="24"/>
      <c r="P4430" s="24"/>
      <c r="Q4430" s="24"/>
    </row>
    <row r="4431" spans="1:17" x14ac:dyDescent="0.25">
      <c r="A4431" s="24" t="s">
        <v>12</v>
      </c>
      <c r="B4431" s="24" t="s">
        <v>935</v>
      </c>
      <c r="C4431" s="24" t="s">
        <v>938</v>
      </c>
      <c r="D4431" s="24" t="s">
        <v>939</v>
      </c>
      <c r="E4431" s="24" t="s">
        <v>131</v>
      </c>
      <c r="F4431" s="25">
        <v>25650</v>
      </c>
      <c r="G4431" s="24"/>
      <c r="H4431" s="24"/>
      <c r="I4431" s="26">
        <f t="shared" si="194"/>
        <v>45931</v>
      </c>
      <c r="J4431" s="27">
        <f t="shared" si="195"/>
        <v>166</v>
      </c>
      <c r="K4431" s="24" t="str">
        <f t="shared" si="196"/>
        <v>121-180</v>
      </c>
      <c r="L4431" s="11">
        <v>46097</v>
      </c>
      <c r="M4431" s="23">
        <f>YEAR(Таблица1[[#This Row],[Дата отчета]])</f>
        <v>2026</v>
      </c>
      <c r="N4431" s="24"/>
      <c r="O4431" s="24"/>
      <c r="P4431" s="24"/>
      <c r="Q4431" s="24"/>
    </row>
    <row r="4432" spans="1:17" x14ac:dyDescent="0.25">
      <c r="A4432" s="24" t="s">
        <v>12</v>
      </c>
      <c r="B4432" s="24" t="s">
        <v>935</v>
      </c>
      <c r="C4432" s="24" t="s">
        <v>940</v>
      </c>
      <c r="D4432" s="24" t="s">
        <v>941</v>
      </c>
      <c r="E4432" s="24" t="s">
        <v>254</v>
      </c>
      <c r="F4432" s="25">
        <v>91850</v>
      </c>
      <c r="G4432" s="24"/>
      <c r="H4432" s="24"/>
      <c r="I4432" s="26">
        <f t="shared" si="194"/>
        <v>46048</v>
      </c>
      <c r="J4432" s="27">
        <f t="shared" si="195"/>
        <v>49</v>
      </c>
      <c r="K4432" s="24" t="str">
        <f t="shared" si="196"/>
        <v>31-90</v>
      </c>
      <c r="L4432" s="11">
        <v>46097</v>
      </c>
      <c r="M4432" s="23">
        <f>YEAR(Таблица1[[#This Row],[Дата отчета]])</f>
        <v>2026</v>
      </c>
      <c r="N4432" s="24"/>
      <c r="O4432" s="24"/>
      <c r="P4432" s="24"/>
      <c r="Q4432" s="24"/>
    </row>
    <row r="4433" spans="1:17" x14ac:dyDescent="0.25">
      <c r="A4433" s="24" t="s">
        <v>12</v>
      </c>
      <c r="B4433" s="24" t="s">
        <v>935</v>
      </c>
      <c r="C4433" s="24" t="s">
        <v>942</v>
      </c>
      <c r="D4433" s="24" t="s">
        <v>943</v>
      </c>
      <c r="E4433" s="24" t="s">
        <v>944</v>
      </c>
      <c r="F4433" s="25">
        <v>14000</v>
      </c>
      <c r="G4433" s="24"/>
      <c r="H4433" s="24"/>
      <c r="I4433" s="26">
        <f t="shared" si="194"/>
        <v>45749</v>
      </c>
      <c r="J4433" s="27">
        <f t="shared" si="195"/>
        <v>348</v>
      </c>
      <c r="K4433" s="24" t="str">
        <f t="shared" si="196"/>
        <v>271-360</v>
      </c>
      <c r="L4433" s="11">
        <v>46097</v>
      </c>
      <c r="M4433" s="23">
        <f>YEAR(Таблица1[[#This Row],[Дата отчета]])</f>
        <v>2026</v>
      </c>
      <c r="N4433" s="7" t="s">
        <v>4538</v>
      </c>
      <c r="O4433" s="24"/>
      <c r="P4433" s="24"/>
      <c r="Q4433" s="24"/>
    </row>
    <row r="4434" spans="1:17" x14ac:dyDescent="0.25">
      <c r="A4434" s="24" t="s">
        <v>12</v>
      </c>
      <c r="B4434" s="24" t="s">
        <v>945</v>
      </c>
      <c r="C4434" s="24" t="s">
        <v>946</v>
      </c>
      <c r="D4434" s="24" t="s">
        <v>947</v>
      </c>
      <c r="E4434" s="24" t="s">
        <v>79</v>
      </c>
      <c r="F4434" s="25">
        <v>2000</v>
      </c>
      <c r="G4434" s="24"/>
      <c r="H4434" s="24"/>
      <c r="I4434" s="26">
        <f t="shared" si="194"/>
        <v>45980</v>
      </c>
      <c r="J4434" s="27">
        <f t="shared" si="195"/>
        <v>117</v>
      </c>
      <c r="K4434" s="24" t="str">
        <f t="shared" si="196"/>
        <v>91-120</v>
      </c>
      <c r="L4434" s="11">
        <v>46097</v>
      </c>
      <c r="M4434" s="23">
        <f>YEAR(Таблица1[[#This Row],[Дата отчета]])</f>
        <v>2026</v>
      </c>
      <c r="N4434" s="24"/>
      <c r="O4434" s="24"/>
      <c r="P4434" s="24"/>
      <c r="Q4434" s="24"/>
    </row>
    <row r="4435" spans="1:17" x14ac:dyDescent="0.25">
      <c r="A4435" s="24" t="s">
        <v>12</v>
      </c>
      <c r="B4435" s="24" t="s">
        <v>948</v>
      </c>
      <c r="C4435" s="24" t="s">
        <v>951</v>
      </c>
      <c r="D4435" s="24" t="s">
        <v>952</v>
      </c>
      <c r="E4435" s="24" t="s">
        <v>360</v>
      </c>
      <c r="F4435" s="25">
        <v>194345</v>
      </c>
      <c r="G4435" s="24"/>
      <c r="H4435" s="24"/>
      <c r="I4435" s="26">
        <f t="shared" si="194"/>
        <v>46058</v>
      </c>
      <c r="J4435" s="27">
        <f t="shared" si="195"/>
        <v>39</v>
      </c>
      <c r="K4435" s="24" t="str">
        <f t="shared" si="196"/>
        <v>31-90</v>
      </c>
      <c r="L4435" s="11">
        <v>46097</v>
      </c>
      <c r="M4435" s="23">
        <f>YEAR(Таблица1[[#This Row],[Дата отчета]])</f>
        <v>2026</v>
      </c>
      <c r="N4435" s="24"/>
      <c r="O4435" s="24"/>
      <c r="P4435" s="24"/>
      <c r="Q4435" s="24"/>
    </row>
    <row r="4436" spans="1:17" x14ac:dyDescent="0.25">
      <c r="A4436" s="24" t="s">
        <v>12</v>
      </c>
      <c r="B4436" s="24" t="s">
        <v>953</v>
      </c>
      <c r="C4436" s="24" t="s">
        <v>954</v>
      </c>
      <c r="D4436" s="24" t="s">
        <v>955</v>
      </c>
      <c r="E4436" s="24" t="s">
        <v>156</v>
      </c>
      <c r="F4436" s="25">
        <v>3115745.29</v>
      </c>
      <c r="G4436" s="24"/>
      <c r="H4436" s="24"/>
      <c r="I4436" s="26">
        <f t="shared" si="194"/>
        <v>46051</v>
      </c>
      <c r="J4436" s="27">
        <f t="shared" si="195"/>
        <v>46</v>
      </c>
      <c r="K4436" s="24" t="str">
        <f t="shared" si="196"/>
        <v>31-90</v>
      </c>
      <c r="L4436" s="11">
        <v>46097</v>
      </c>
      <c r="M4436" s="23">
        <f>YEAR(Таблица1[[#This Row],[Дата отчета]])</f>
        <v>2026</v>
      </c>
      <c r="N4436" s="24"/>
      <c r="O4436" s="24"/>
      <c r="P4436" s="24"/>
      <c r="Q4436" s="24"/>
    </row>
    <row r="4437" spans="1:17" x14ac:dyDescent="0.25">
      <c r="A4437" s="24" t="s">
        <v>12</v>
      </c>
      <c r="B4437" s="24" t="s">
        <v>956</v>
      </c>
      <c r="C4437" s="24" t="s">
        <v>957</v>
      </c>
      <c r="D4437" s="24" t="s">
        <v>958</v>
      </c>
      <c r="E4437" s="24" t="s">
        <v>360</v>
      </c>
      <c r="F4437" s="25">
        <v>6244997.5</v>
      </c>
      <c r="G4437" s="24"/>
      <c r="H4437" s="24"/>
      <c r="I4437" s="26">
        <f t="shared" si="194"/>
        <v>46058</v>
      </c>
      <c r="J4437" s="27">
        <f t="shared" si="195"/>
        <v>39</v>
      </c>
      <c r="K4437" s="24" t="str">
        <f t="shared" si="196"/>
        <v>31-90</v>
      </c>
      <c r="L4437" s="11">
        <v>46097</v>
      </c>
      <c r="M4437" s="23">
        <f>YEAR(Таблица1[[#This Row],[Дата отчета]])</f>
        <v>2026</v>
      </c>
      <c r="N4437" s="24"/>
      <c r="O4437" s="24"/>
      <c r="P4437" s="24"/>
      <c r="Q4437" s="24"/>
    </row>
    <row r="4438" spans="1:17" x14ac:dyDescent="0.25">
      <c r="A4438" s="24" t="s">
        <v>12</v>
      </c>
      <c r="B4438" s="24" t="s">
        <v>4353</v>
      </c>
      <c r="C4438" s="24" t="s">
        <v>4411</v>
      </c>
      <c r="D4438" s="24" t="s">
        <v>4488</v>
      </c>
      <c r="E4438" s="24" t="s">
        <v>4496</v>
      </c>
      <c r="F4438" s="25">
        <v>10600</v>
      </c>
      <c r="G4438" s="24"/>
      <c r="H4438" s="24"/>
      <c r="I4438" s="26">
        <f t="shared" si="194"/>
        <v>46091</v>
      </c>
      <c r="J4438" s="27">
        <f t="shared" si="195"/>
        <v>6</v>
      </c>
      <c r="K4438" s="24" t="str">
        <f t="shared" si="196"/>
        <v>0-30</v>
      </c>
      <c r="L4438" s="11">
        <v>46097</v>
      </c>
      <c r="M4438" s="23">
        <f>YEAR(Таблица1[[#This Row],[Дата отчета]])</f>
        <v>2026</v>
      </c>
      <c r="N4438" s="24"/>
      <c r="O4438" s="24"/>
      <c r="P4438" s="24"/>
      <c r="Q4438" s="24"/>
    </row>
    <row r="4439" spans="1:17" x14ac:dyDescent="0.25">
      <c r="A4439" s="24" t="s">
        <v>12</v>
      </c>
      <c r="B4439" s="24" t="s">
        <v>959</v>
      </c>
      <c r="C4439" s="24" t="s">
        <v>960</v>
      </c>
      <c r="D4439" s="24" t="s">
        <v>961</v>
      </c>
      <c r="E4439" s="24" t="s">
        <v>61</v>
      </c>
      <c r="F4439" s="25">
        <v>53800</v>
      </c>
      <c r="G4439" s="24"/>
      <c r="H4439" s="24"/>
      <c r="I4439" s="26">
        <f t="shared" si="194"/>
        <v>46079</v>
      </c>
      <c r="J4439" s="27">
        <f t="shared" si="195"/>
        <v>18</v>
      </c>
      <c r="K4439" s="24" t="str">
        <f t="shared" si="196"/>
        <v>0-30</v>
      </c>
      <c r="L4439" s="11">
        <v>46097</v>
      </c>
      <c r="M4439" s="23">
        <f>YEAR(Таблица1[[#This Row],[Дата отчета]])</f>
        <v>2026</v>
      </c>
      <c r="N4439" s="24"/>
      <c r="O4439" s="24"/>
      <c r="P4439" s="24"/>
      <c r="Q4439" s="24"/>
    </row>
    <row r="4440" spans="1:17" x14ac:dyDescent="0.25">
      <c r="A4440" s="24" t="s">
        <v>12</v>
      </c>
      <c r="B4440" s="24" t="s">
        <v>2371</v>
      </c>
      <c r="C4440" s="24" t="s">
        <v>4412</v>
      </c>
      <c r="D4440" s="24" t="s">
        <v>4489</v>
      </c>
      <c r="E4440" s="24" t="s">
        <v>4496</v>
      </c>
      <c r="F4440" s="25">
        <v>14705</v>
      </c>
      <c r="G4440" s="24"/>
      <c r="H4440" s="24"/>
      <c r="I4440" s="26">
        <f t="shared" si="194"/>
        <v>46091</v>
      </c>
      <c r="J4440" s="27">
        <f t="shared" si="195"/>
        <v>6</v>
      </c>
      <c r="K4440" s="24" t="str">
        <f t="shared" si="196"/>
        <v>0-30</v>
      </c>
      <c r="L4440" s="11">
        <v>46097</v>
      </c>
      <c r="M4440" s="23">
        <f>YEAR(Таблица1[[#This Row],[Дата отчета]])</f>
        <v>2026</v>
      </c>
      <c r="N4440" s="24"/>
      <c r="O4440" s="24"/>
      <c r="P4440" s="24"/>
      <c r="Q4440" s="24"/>
    </row>
    <row r="4441" spans="1:17" x14ac:dyDescent="0.25">
      <c r="A4441" s="24" t="s">
        <v>12</v>
      </c>
      <c r="B4441" s="24" t="s">
        <v>965</v>
      </c>
      <c r="C4441" s="24" t="s">
        <v>966</v>
      </c>
      <c r="D4441" s="24" t="s">
        <v>967</v>
      </c>
      <c r="E4441" s="24" t="s">
        <v>968</v>
      </c>
      <c r="F4441" s="25">
        <v>252667.4</v>
      </c>
      <c r="G4441" s="24"/>
      <c r="H4441" s="24"/>
      <c r="I4441" s="26">
        <f t="shared" si="194"/>
        <v>45729</v>
      </c>
      <c r="J4441" s="27">
        <f t="shared" si="195"/>
        <v>368</v>
      </c>
      <c r="K4441" s="24" t="str">
        <f t="shared" si="196"/>
        <v>&gt;360</v>
      </c>
      <c r="L4441" s="11">
        <v>46097</v>
      </c>
      <c r="M4441" s="23">
        <f>YEAR(Таблица1[[#This Row],[Дата отчета]])</f>
        <v>2026</v>
      </c>
      <c r="N4441" s="7" t="s">
        <v>4536</v>
      </c>
      <c r="O4441" s="24"/>
      <c r="P4441" s="24"/>
      <c r="Q4441" s="24"/>
    </row>
    <row r="4442" spans="1:17" x14ac:dyDescent="0.25">
      <c r="A4442" s="24" t="s">
        <v>12</v>
      </c>
      <c r="B4442" s="24" t="s">
        <v>969</v>
      </c>
      <c r="C4442" s="24" t="s">
        <v>970</v>
      </c>
      <c r="D4442" s="24"/>
      <c r="E4442" s="24"/>
      <c r="F4442" s="25">
        <v>400000</v>
      </c>
      <c r="G4442" s="24"/>
      <c r="H4442" s="24"/>
      <c r="I4442" s="26">
        <f t="shared" si="194"/>
        <v>0</v>
      </c>
      <c r="J4442" s="27">
        <f t="shared" si="195"/>
        <v>46097</v>
      </c>
      <c r="K4442" s="24" t="str">
        <f t="shared" si="196"/>
        <v>&gt;360</v>
      </c>
      <c r="L4442" s="11">
        <v>46097</v>
      </c>
      <c r="M4442" s="23">
        <f>YEAR(Таблица1[[#This Row],[Дата отчета]])</f>
        <v>2026</v>
      </c>
      <c r="N4442" s="2" t="s">
        <v>4551</v>
      </c>
      <c r="O4442" s="24"/>
      <c r="P4442" s="2" t="s">
        <v>4546</v>
      </c>
      <c r="Q4442" s="24"/>
    </row>
    <row r="4443" spans="1:17" x14ac:dyDescent="0.25">
      <c r="A4443" s="24" t="s">
        <v>12</v>
      </c>
      <c r="B4443" s="24" t="s">
        <v>971</v>
      </c>
      <c r="C4443" s="24" t="s">
        <v>972</v>
      </c>
      <c r="D4443" s="24" t="s">
        <v>973</v>
      </c>
      <c r="E4443" s="24" t="s">
        <v>592</v>
      </c>
      <c r="F4443" s="25">
        <v>225706.72</v>
      </c>
      <c r="G4443" s="24"/>
      <c r="H4443" s="24"/>
      <c r="I4443" s="26">
        <f t="shared" si="194"/>
        <v>45966</v>
      </c>
      <c r="J4443" s="27">
        <f t="shared" si="195"/>
        <v>131</v>
      </c>
      <c r="K4443" s="24" t="str">
        <f t="shared" si="196"/>
        <v>121-180</v>
      </c>
      <c r="L4443" s="11">
        <v>46097</v>
      </c>
      <c r="M4443" s="23">
        <f>YEAR(Таблица1[[#This Row],[Дата отчета]])</f>
        <v>2026</v>
      </c>
      <c r="N4443" s="24"/>
      <c r="O4443" s="24"/>
      <c r="P4443" s="24"/>
      <c r="Q4443" s="24"/>
    </row>
    <row r="4444" spans="1:17" x14ac:dyDescent="0.25">
      <c r="A4444" s="24" t="s">
        <v>12</v>
      </c>
      <c r="B4444" s="24" t="s">
        <v>971</v>
      </c>
      <c r="C4444" s="24" t="s">
        <v>974</v>
      </c>
      <c r="D4444" s="24" t="s">
        <v>975</v>
      </c>
      <c r="E4444" s="24" t="s">
        <v>592</v>
      </c>
      <c r="F4444" s="25">
        <v>154485.6</v>
      </c>
      <c r="G4444" s="24"/>
      <c r="H4444" s="24"/>
      <c r="I4444" s="26">
        <f t="shared" si="194"/>
        <v>45966</v>
      </c>
      <c r="J4444" s="27">
        <f t="shared" si="195"/>
        <v>131</v>
      </c>
      <c r="K4444" s="24" t="str">
        <f t="shared" si="196"/>
        <v>121-180</v>
      </c>
      <c r="L4444" s="11">
        <v>46097</v>
      </c>
      <c r="M4444" s="23">
        <f>YEAR(Таблица1[[#This Row],[Дата отчета]])</f>
        <v>2026</v>
      </c>
      <c r="N4444" s="24"/>
      <c r="O4444" s="24"/>
      <c r="P4444" s="24"/>
      <c r="Q4444" s="24"/>
    </row>
    <row r="4445" spans="1:17" x14ac:dyDescent="0.25">
      <c r="A4445" s="24" t="s">
        <v>12</v>
      </c>
      <c r="B4445" s="24" t="s">
        <v>976</v>
      </c>
      <c r="C4445" s="24" t="s">
        <v>977</v>
      </c>
      <c r="D4445" s="24" t="s">
        <v>978</v>
      </c>
      <c r="E4445" s="24" t="s">
        <v>979</v>
      </c>
      <c r="F4445" s="25">
        <v>2403856.33</v>
      </c>
      <c r="G4445" s="24"/>
      <c r="H4445" s="24"/>
      <c r="I4445" s="26">
        <f t="shared" si="194"/>
        <v>46049</v>
      </c>
      <c r="J4445" s="27">
        <f t="shared" si="195"/>
        <v>48</v>
      </c>
      <c r="K4445" s="24" t="str">
        <f t="shared" si="196"/>
        <v>31-90</v>
      </c>
      <c r="L4445" s="11">
        <v>46097</v>
      </c>
      <c r="M4445" s="23">
        <f>YEAR(Таблица1[[#This Row],[Дата отчета]])</f>
        <v>2026</v>
      </c>
      <c r="N4445" s="24"/>
      <c r="O4445" s="24"/>
      <c r="P4445" s="24"/>
      <c r="Q4445" s="24"/>
    </row>
    <row r="4446" spans="1:17" x14ac:dyDescent="0.25">
      <c r="A4446" s="24" t="s">
        <v>12</v>
      </c>
      <c r="B4446" s="24" t="s">
        <v>980</v>
      </c>
      <c r="C4446" s="24" t="s">
        <v>981</v>
      </c>
      <c r="D4446" s="24" t="s">
        <v>982</v>
      </c>
      <c r="E4446" s="24" t="s">
        <v>983</v>
      </c>
      <c r="F4446" s="25">
        <v>31000</v>
      </c>
      <c r="G4446" s="24"/>
      <c r="H4446" s="24"/>
      <c r="I4446" s="26">
        <f t="shared" si="194"/>
        <v>45755</v>
      </c>
      <c r="J4446" s="27">
        <f t="shared" si="195"/>
        <v>342</v>
      </c>
      <c r="K4446" s="24" t="str">
        <f t="shared" si="196"/>
        <v>271-360</v>
      </c>
      <c r="L4446" s="11">
        <v>46097</v>
      </c>
      <c r="M4446" s="23">
        <f>YEAR(Таблица1[[#This Row],[Дата отчета]])</f>
        <v>2026</v>
      </c>
      <c r="N4446" s="2" t="s">
        <v>807</v>
      </c>
      <c r="O4446" s="24"/>
      <c r="P4446" s="24"/>
      <c r="Q4446" s="24"/>
    </row>
    <row r="4447" spans="1:17" x14ac:dyDescent="0.25">
      <c r="A4447" s="24" t="s">
        <v>12</v>
      </c>
      <c r="B4447" s="24" t="s">
        <v>984</v>
      </c>
      <c r="C4447" s="24" t="s">
        <v>985</v>
      </c>
      <c r="D4447" s="24" t="s">
        <v>986</v>
      </c>
      <c r="E4447" s="24" t="s">
        <v>987</v>
      </c>
      <c r="F4447" s="25">
        <v>32000</v>
      </c>
      <c r="G4447" s="24"/>
      <c r="H4447" s="24"/>
      <c r="I4447" s="26">
        <f t="shared" si="194"/>
        <v>45747</v>
      </c>
      <c r="J4447" s="27">
        <f t="shared" si="195"/>
        <v>350</v>
      </c>
      <c r="K4447" s="24" t="str">
        <f t="shared" si="196"/>
        <v>271-360</v>
      </c>
      <c r="L4447" s="11">
        <v>46097</v>
      </c>
      <c r="M4447" s="23">
        <f>YEAR(Таблица1[[#This Row],[Дата отчета]])</f>
        <v>2026</v>
      </c>
      <c r="N4447" s="2" t="s">
        <v>807</v>
      </c>
      <c r="O4447" s="24"/>
      <c r="P4447" s="24"/>
      <c r="Q4447" s="24"/>
    </row>
    <row r="4448" spans="1:17" x14ac:dyDescent="0.25">
      <c r="A4448" s="24" t="s">
        <v>12</v>
      </c>
      <c r="B4448" s="24" t="s">
        <v>988</v>
      </c>
      <c r="C4448" s="24" t="s">
        <v>989</v>
      </c>
      <c r="D4448" s="24" t="s">
        <v>990</v>
      </c>
      <c r="E4448" s="24" t="s">
        <v>140</v>
      </c>
      <c r="F4448" s="25">
        <v>214283.5</v>
      </c>
      <c r="G4448" s="24"/>
      <c r="H4448" s="24"/>
      <c r="I4448" s="26">
        <f t="shared" si="194"/>
        <v>45917</v>
      </c>
      <c r="J4448" s="27">
        <f t="shared" si="195"/>
        <v>180</v>
      </c>
      <c r="K4448" s="24" t="str">
        <f t="shared" si="196"/>
        <v>121-180</v>
      </c>
      <c r="L4448" s="11">
        <v>46097</v>
      </c>
      <c r="M4448" s="23">
        <f>YEAR(Таблица1[[#This Row],[Дата отчета]])</f>
        <v>2026</v>
      </c>
      <c r="N4448" s="24"/>
      <c r="O4448" s="24"/>
      <c r="P4448" s="24"/>
      <c r="Q4448" s="24"/>
    </row>
    <row r="4449" spans="1:17" x14ac:dyDescent="0.25">
      <c r="A4449" s="24" t="s">
        <v>12</v>
      </c>
      <c r="B4449" s="24" t="s">
        <v>991</v>
      </c>
      <c r="C4449" s="24" t="s">
        <v>992</v>
      </c>
      <c r="D4449" s="24" t="s">
        <v>993</v>
      </c>
      <c r="E4449" s="24" t="s">
        <v>994</v>
      </c>
      <c r="F4449" s="25">
        <v>20740</v>
      </c>
      <c r="G4449" s="24"/>
      <c r="H4449" s="24"/>
      <c r="I4449" s="26">
        <f t="shared" si="194"/>
        <v>45741</v>
      </c>
      <c r="J4449" s="27">
        <f t="shared" si="195"/>
        <v>356</v>
      </c>
      <c r="K4449" s="24" t="str">
        <f t="shared" si="196"/>
        <v>271-360</v>
      </c>
      <c r="L4449" s="11">
        <v>46097</v>
      </c>
      <c r="M4449" s="23">
        <f>YEAR(Таблица1[[#This Row],[Дата отчета]])</f>
        <v>2026</v>
      </c>
      <c r="N4449" s="7" t="s">
        <v>4538</v>
      </c>
      <c r="O4449" s="24"/>
      <c r="P4449" s="24"/>
      <c r="Q4449" s="24"/>
    </row>
    <row r="4450" spans="1:17" x14ac:dyDescent="0.25">
      <c r="A4450" s="24" t="s">
        <v>12</v>
      </c>
      <c r="B4450" s="24" t="s">
        <v>995</v>
      </c>
      <c r="C4450" s="24" t="s">
        <v>996</v>
      </c>
      <c r="D4450" s="24" t="s">
        <v>997</v>
      </c>
      <c r="E4450" s="24" t="s">
        <v>998</v>
      </c>
      <c r="F4450" s="25">
        <v>401.24</v>
      </c>
      <c r="G4450" s="24"/>
      <c r="H4450" s="24"/>
      <c r="I4450" s="26">
        <f t="shared" si="194"/>
        <v>45534</v>
      </c>
      <c r="J4450" s="27">
        <f t="shared" si="195"/>
        <v>563</v>
      </c>
      <c r="K4450" s="24" t="str">
        <f t="shared" si="196"/>
        <v>&gt;360</v>
      </c>
      <c r="L4450" s="11">
        <v>46097</v>
      </c>
      <c r="M4450" s="23">
        <f>YEAR(Таблица1[[#This Row],[Дата отчета]])</f>
        <v>2026</v>
      </c>
      <c r="N4450" s="7" t="s">
        <v>4536</v>
      </c>
      <c r="O4450" s="24"/>
      <c r="P4450" s="2" t="s">
        <v>4552</v>
      </c>
      <c r="Q4450" s="24"/>
    </row>
    <row r="4451" spans="1:17" x14ac:dyDescent="0.25">
      <c r="A4451" s="24" t="s">
        <v>12</v>
      </c>
      <c r="B4451" s="24" t="s">
        <v>995</v>
      </c>
      <c r="C4451" s="24" t="s">
        <v>999</v>
      </c>
      <c r="D4451" s="24" t="s">
        <v>1000</v>
      </c>
      <c r="E4451" s="24" t="s">
        <v>1001</v>
      </c>
      <c r="F4451" s="25">
        <v>4012.33</v>
      </c>
      <c r="G4451" s="24"/>
      <c r="H4451" s="24"/>
      <c r="I4451" s="26">
        <f t="shared" si="194"/>
        <v>45573</v>
      </c>
      <c r="J4451" s="27">
        <f t="shared" si="195"/>
        <v>524</v>
      </c>
      <c r="K4451" s="24" t="str">
        <f t="shared" si="196"/>
        <v>&gt;360</v>
      </c>
      <c r="L4451" s="11">
        <v>46097</v>
      </c>
      <c r="M4451" s="23">
        <f>YEAR(Таблица1[[#This Row],[Дата отчета]])</f>
        <v>2026</v>
      </c>
      <c r="N4451" s="7" t="s">
        <v>4536</v>
      </c>
      <c r="O4451" s="24"/>
      <c r="P4451" s="2" t="s">
        <v>4552</v>
      </c>
      <c r="Q4451" s="24"/>
    </row>
    <row r="4452" spans="1:17" x14ac:dyDescent="0.25">
      <c r="A4452" s="24" t="s">
        <v>12</v>
      </c>
      <c r="B4452" s="24" t="s">
        <v>1005</v>
      </c>
      <c r="C4452" s="24" t="s">
        <v>1006</v>
      </c>
      <c r="D4452" s="24" t="s">
        <v>1007</v>
      </c>
      <c r="E4452" s="24" t="s">
        <v>360</v>
      </c>
      <c r="F4452" s="25">
        <v>83875</v>
      </c>
      <c r="G4452" s="24"/>
      <c r="H4452" s="24"/>
      <c r="I4452" s="26">
        <f t="shared" si="194"/>
        <v>46058</v>
      </c>
      <c r="J4452" s="27">
        <f t="shared" si="195"/>
        <v>39</v>
      </c>
      <c r="K4452" s="24" t="str">
        <f t="shared" si="196"/>
        <v>31-90</v>
      </c>
      <c r="L4452" s="11">
        <v>46097</v>
      </c>
      <c r="M4452" s="23">
        <f>YEAR(Таблица1[[#This Row],[Дата отчета]])</f>
        <v>2026</v>
      </c>
      <c r="N4452" s="24"/>
      <c r="O4452" s="24"/>
      <c r="P4452" s="24"/>
      <c r="Q4452" s="24"/>
    </row>
    <row r="4453" spans="1:17" x14ac:dyDescent="0.25">
      <c r="A4453" s="24" t="s">
        <v>12</v>
      </c>
      <c r="B4453" s="24" t="s">
        <v>4354</v>
      </c>
      <c r="C4453" s="24" t="s">
        <v>4413</v>
      </c>
      <c r="D4453" s="24" t="s">
        <v>4490</v>
      </c>
      <c r="E4453" s="24" t="s">
        <v>4498</v>
      </c>
      <c r="F4453" s="25">
        <v>253184</v>
      </c>
      <c r="G4453" s="24"/>
      <c r="H4453" s="24"/>
      <c r="I4453" s="26">
        <f t="shared" si="194"/>
        <v>46093</v>
      </c>
      <c r="J4453" s="27">
        <f t="shared" si="195"/>
        <v>4</v>
      </c>
      <c r="K4453" s="24" t="str">
        <f t="shared" si="196"/>
        <v>0-30</v>
      </c>
      <c r="L4453" s="11">
        <v>46097</v>
      </c>
      <c r="M4453" s="23">
        <f>YEAR(Таблица1[[#This Row],[Дата отчета]])</f>
        <v>2026</v>
      </c>
      <c r="N4453" s="24"/>
      <c r="O4453" s="24"/>
      <c r="P4453" s="24"/>
      <c r="Q4453" s="24"/>
    </row>
    <row r="4454" spans="1:17" x14ac:dyDescent="0.25">
      <c r="A4454" s="24" t="s">
        <v>12</v>
      </c>
      <c r="B4454" s="24" t="s">
        <v>1008</v>
      </c>
      <c r="C4454" s="24" t="s">
        <v>775</v>
      </c>
      <c r="D4454" s="24" t="s">
        <v>1009</v>
      </c>
      <c r="E4454" s="24" t="s">
        <v>1010</v>
      </c>
      <c r="F4454" s="25">
        <v>0.1</v>
      </c>
      <c r="G4454" s="24"/>
      <c r="H4454" s="24"/>
      <c r="I4454" s="26">
        <f t="shared" si="194"/>
        <v>45519</v>
      </c>
      <c r="J4454" s="27">
        <f t="shared" si="195"/>
        <v>578</v>
      </c>
      <c r="K4454" s="24" t="str">
        <f t="shared" si="196"/>
        <v>&gt;360</v>
      </c>
      <c r="L4454" s="11">
        <v>46097</v>
      </c>
      <c r="M4454" s="23">
        <f>YEAR(Таблица1[[#This Row],[Дата отчета]])</f>
        <v>2026</v>
      </c>
      <c r="N4454" s="24"/>
      <c r="O4454" s="24"/>
      <c r="P4454" s="24"/>
      <c r="Q4454" s="24"/>
    </row>
    <row r="4455" spans="1:17" x14ac:dyDescent="0.25">
      <c r="A4455" s="24" t="s">
        <v>12</v>
      </c>
      <c r="B4455" s="24" t="s">
        <v>1011</v>
      </c>
      <c r="C4455" s="24" t="s">
        <v>1012</v>
      </c>
      <c r="D4455" s="24" t="s">
        <v>1013</v>
      </c>
      <c r="E4455" s="24" t="s">
        <v>1014</v>
      </c>
      <c r="F4455" s="25">
        <v>0.01</v>
      </c>
      <c r="G4455" s="24"/>
      <c r="H4455" s="24"/>
      <c r="I4455" s="26">
        <f t="shared" si="194"/>
        <v>45224</v>
      </c>
      <c r="J4455" s="27">
        <f t="shared" si="195"/>
        <v>873</v>
      </c>
      <c r="K4455" s="24" t="str">
        <f t="shared" si="196"/>
        <v>&gt;360</v>
      </c>
      <c r="L4455" s="11">
        <v>46097</v>
      </c>
      <c r="M4455" s="23">
        <f>YEAR(Таблица1[[#This Row],[Дата отчета]])</f>
        <v>2026</v>
      </c>
      <c r="N4455" s="24"/>
      <c r="O4455" s="24"/>
      <c r="P4455" s="24"/>
      <c r="Q4455" s="24"/>
    </row>
    <row r="4456" spans="1:17" x14ac:dyDescent="0.25">
      <c r="A4456" s="24" t="s">
        <v>12</v>
      </c>
      <c r="B4456" s="24" t="s">
        <v>1011</v>
      </c>
      <c r="C4456" s="24" t="s">
        <v>1015</v>
      </c>
      <c r="D4456" s="24" t="s">
        <v>1016</v>
      </c>
      <c r="E4456" s="24" t="s">
        <v>123</v>
      </c>
      <c r="F4456" s="25">
        <v>12461.79</v>
      </c>
      <c r="G4456" s="24"/>
      <c r="H4456" s="24"/>
      <c r="I4456" s="26">
        <f t="shared" si="194"/>
        <v>45782</v>
      </c>
      <c r="J4456" s="27">
        <f t="shared" si="195"/>
        <v>315</v>
      </c>
      <c r="K4456" s="24" t="str">
        <f t="shared" si="196"/>
        <v>271-360</v>
      </c>
      <c r="L4456" s="11">
        <v>46097</v>
      </c>
      <c r="M4456" s="23">
        <f>YEAR(Таблица1[[#This Row],[Дата отчета]])</f>
        <v>2026</v>
      </c>
      <c r="N4456" s="7" t="s">
        <v>4536</v>
      </c>
      <c r="O4456" s="24"/>
      <c r="P4456" s="2" t="s">
        <v>4552</v>
      </c>
      <c r="Q4456" s="24"/>
    </row>
    <row r="4457" spans="1:17" x14ac:dyDescent="0.25">
      <c r="A4457" s="24" t="s">
        <v>12</v>
      </c>
      <c r="B4457" s="24" t="s">
        <v>1017</v>
      </c>
      <c r="C4457" s="24" t="s">
        <v>1018</v>
      </c>
      <c r="D4457" s="24" t="s">
        <v>1019</v>
      </c>
      <c r="E4457" s="24" t="s">
        <v>455</v>
      </c>
      <c r="F4457" s="25">
        <v>162000</v>
      </c>
      <c r="G4457" s="24"/>
      <c r="H4457" s="24"/>
      <c r="I4457" s="26">
        <f t="shared" si="194"/>
        <v>46080</v>
      </c>
      <c r="J4457" s="27">
        <f t="shared" si="195"/>
        <v>17</v>
      </c>
      <c r="K4457" s="24" t="str">
        <f t="shared" si="196"/>
        <v>0-30</v>
      </c>
      <c r="L4457" s="11">
        <v>46097</v>
      </c>
      <c r="M4457" s="23">
        <f>YEAR(Таблица1[[#This Row],[Дата отчета]])</f>
        <v>2026</v>
      </c>
      <c r="N4457" s="24"/>
      <c r="O4457" s="24"/>
      <c r="P4457" s="24"/>
      <c r="Q4457" s="24"/>
    </row>
    <row r="4458" spans="1:17" x14ac:dyDescent="0.25">
      <c r="A4458" s="24" t="s">
        <v>12</v>
      </c>
      <c r="B4458" s="24" t="s">
        <v>1020</v>
      </c>
      <c r="C4458" s="24" t="s">
        <v>1021</v>
      </c>
      <c r="D4458" s="24" t="s">
        <v>1022</v>
      </c>
      <c r="E4458" s="24" t="s">
        <v>1023</v>
      </c>
      <c r="F4458" s="25">
        <v>47400</v>
      </c>
      <c r="G4458" s="24"/>
      <c r="H4458" s="24"/>
      <c r="I4458" s="26">
        <f t="shared" si="194"/>
        <v>45728</v>
      </c>
      <c r="J4458" s="27">
        <f t="shared" si="195"/>
        <v>369</v>
      </c>
      <c r="K4458" s="24" t="str">
        <f t="shared" si="196"/>
        <v>&gt;360</v>
      </c>
      <c r="L4458" s="11">
        <v>46097</v>
      </c>
      <c r="M4458" s="23">
        <f>YEAR(Таблица1[[#This Row],[Дата отчета]])</f>
        <v>2026</v>
      </c>
      <c r="N4458" s="2" t="s">
        <v>4553</v>
      </c>
      <c r="O4458" s="24"/>
      <c r="P4458" s="2"/>
      <c r="Q4458" s="24"/>
    </row>
    <row r="4459" spans="1:17" x14ac:dyDescent="0.25">
      <c r="A4459" s="24" t="s">
        <v>12</v>
      </c>
      <c r="B4459" s="24" t="s">
        <v>1024</v>
      </c>
      <c r="C4459" s="24" t="s">
        <v>1025</v>
      </c>
      <c r="D4459" s="24" t="s">
        <v>1026</v>
      </c>
      <c r="E4459" s="24" t="s">
        <v>1027</v>
      </c>
      <c r="F4459" s="25">
        <v>22500</v>
      </c>
      <c r="G4459" s="24"/>
      <c r="H4459" s="24"/>
      <c r="I4459" s="26">
        <f t="shared" si="194"/>
        <v>45896</v>
      </c>
      <c r="J4459" s="27">
        <f t="shared" si="195"/>
        <v>201</v>
      </c>
      <c r="K4459" s="24" t="str">
        <f t="shared" si="196"/>
        <v>181-270</v>
      </c>
      <c r="L4459" s="11">
        <v>46097</v>
      </c>
      <c r="M4459" s="23">
        <f>YEAR(Таблица1[[#This Row],[Дата отчета]])</f>
        <v>2026</v>
      </c>
      <c r="N4459" s="24"/>
      <c r="O4459" s="24"/>
      <c r="P4459" s="24"/>
      <c r="Q4459" s="24"/>
    </row>
    <row r="4460" spans="1:17" x14ac:dyDescent="0.25">
      <c r="A4460" s="24" t="s">
        <v>12</v>
      </c>
      <c r="B4460" s="24" t="s">
        <v>1028</v>
      </c>
      <c r="C4460" s="24" t="s">
        <v>1029</v>
      </c>
      <c r="D4460" s="24" t="s">
        <v>1030</v>
      </c>
      <c r="E4460" s="24" t="s">
        <v>1031</v>
      </c>
      <c r="F4460" s="25">
        <v>60000</v>
      </c>
      <c r="G4460" s="24"/>
      <c r="H4460" s="24"/>
      <c r="I4460" s="26">
        <f t="shared" si="194"/>
        <v>45812</v>
      </c>
      <c r="J4460" s="27">
        <f t="shared" si="195"/>
        <v>285</v>
      </c>
      <c r="K4460" s="24" t="str">
        <f t="shared" si="196"/>
        <v>271-360</v>
      </c>
      <c r="L4460" s="11">
        <v>46097</v>
      </c>
      <c r="M4460" s="23">
        <f>YEAR(Таблица1[[#This Row],[Дата отчета]])</f>
        <v>2026</v>
      </c>
      <c r="N4460" s="2" t="s">
        <v>807</v>
      </c>
      <c r="O4460" s="24"/>
      <c r="P4460" s="24"/>
      <c r="Q4460" s="24"/>
    </row>
    <row r="4461" spans="1:17" x14ac:dyDescent="0.25">
      <c r="A4461" s="24" t="s">
        <v>12</v>
      </c>
      <c r="B4461" s="24" t="s">
        <v>1028</v>
      </c>
      <c r="C4461" s="24" t="s">
        <v>1029</v>
      </c>
      <c r="D4461" s="24" t="s">
        <v>1032</v>
      </c>
      <c r="E4461" s="24" t="s">
        <v>528</v>
      </c>
      <c r="F4461" s="25">
        <v>140000</v>
      </c>
      <c r="G4461" s="24"/>
      <c r="H4461" s="24"/>
      <c r="I4461" s="26">
        <f t="shared" ref="I4461:I4480" si="197">E4461*1</f>
        <v>45985</v>
      </c>
      <c r="J4461" s="27">
        <f t="shared" ref="J4461:J4524" si="198">L4461-I4461</f>
        <v>112</v>
      </c>
      <c r="K4461" s="24" t="str">
        <f t="shared" ref="K4461:K4524" si="199">IF(J4461&lt;=30,"0-30",IF(J4461&lt;=90,"31-90",IF(J4461&lt;=120,"91-120",IF(J4461&lt;=180,"121-180",IF(J4461&lt;=270,"181-270",IF(J4461&lt;=360,"271-360","&gt;360"))))))</f>
        <v>91-120</v>
      </c>
      <c r="L4461" s="11">
        <v>46097</v>
      </c>
      <c r="M4461" s="23">
        <f>YEAR(Таблица1[[#This Row],[Дата отчета]])</f>
        <v>2026</v>
      </c>
      <c r="N4461" s="24"/>
      <c r="O4461" s="24"/>
      <c r="P4461" s="24"/>
      <c r="Q4461" s="24"/>
    </row>
    <row r="4462" spans="1:17" x14ac:dyDescent="0.25">
      <c r="A4462" s="24" t="s">
        <v>12</v>
      </c>
      <c r="B4462" s="24" t="s">
        <v>1028</v>
      </c>
      <c r="C4462" s="24" t="s">
        <v>1033</v>
      </c>
      <c r="D4462" s="24" t="s">
        <v>1034</v>
      </c>
      <c r="E4462" s="24" t="s">
        <v>1031</v>
      </c>
      <c r="F4462" s="25">
        <v>40500</v>
      </c>
      <c r="G4462" s="24"/>
      <c r="H4462" s="24"/>
      <c r="I4462" s="26">
        <f t="shared" si="197"/>
        <v>45812</v>
      </c>
      <c r="J4462" s="27">
        <f t="shared" si="198"/>
        <v>285</v>
      </c>
      <c r="K4462" s="24" t="str">
        <f t="shared" si="199"/>
        <v>271-360</v>
      </c>
      <c r="L4462" s="11">
        <v>46097</v>
      </c>
      <c r="M4462" s="23">
        <f>YEAR(Таблица1[[#This Row],[Дата отчета]])</f>
        <v>2026</v>
      </c>
      <c r="N4462" s="2" t="s">
        <v>807</v>
      </c>
      <c r="O4462" s="24"/>
      <c r="P4462" s="24"/>
      <c r="Q4462" s="24"/>
    </row>
    <row r="4463" spans="1:17" x14ac:dyDescent="0.25">
      <c r="A4463" s="24" t="s">
        <v>12</v>
      </c>
      <c r="B4463" s="24" t="s">
        <v>1028</v>
      </c>
      <c r="C4463" s="24" t="s">
        <v>1033</v>
      </c>
      <c r="D4463" s="24" t="s">
        <v>1035</v>
      </c>
      <c r="E4463" s="24" t="s">
        <v>218</v>
      </c>
      <c r="F4463" s="25">
        <v>74250</v>
      </c>
      <c r="G4463" s="24"/>
      <c r="H4463" s="24"/>
      <c r="I4463" s="26">
        <f t="shared" si="197"/>
        <v>45947</v>
      </c>
      <c r="J4463" s="27">
        <f t="shared" si="198"/>
        <v>150</v>
      </c>
      <c r="K4463" s="24" t="str">
        <f t="shared" si="199"/>
        <v>121-180</v>
      </c>
      <c r="L4463" s="11">
        <v>46097</v>
      </c>
      <c r="M4463" s="23">
        <f>YEAR(Таблица1[[#This Row],[Дата отчета]])</f>
        <v>2026</v>
      </c>
      <c r="N4463" s="24"/>
      <c r="O4463" s="24"/>
      <c r="P4463" s="24"/>
      <c r="Q4463" s="24"/>
    </row>
    <row r="4464" spans="1:17" x14ac:dyDescent="0.25">
      <c r="A4464" s="24" t="s">
        <v>12</v>
      </c>
      <c r="B4464" s="24" t="s">
        <v>1028</v>
      </c>
      <c r="C4464" s="24" t="s">
        <v>1033</v>
      </c>
      <c r="D4464" s="24" t="s">
        <v>1036</v>
      </c>
      <c r="E4464" s="24" t="s">
        <v>528</v>
      </c>
      <c r="F4464" s="25">
        <v>20250</v>
      </c>
      <c r="G4464" s="24"/>
      <c r="H4464" s="24"/>
      <c r="I4464" s="26">
        <f t="shared" si="197"/>
        <v>45985</v>
      </c>
      <c r="J4464" s="27">
        <f t="shared" si="198"/>
        <v>112</v>
      </c>
      <c r="K4464" s="24" t="str">
        <f t="shared" si="199"/>
        <v>91-120</v>
      </c>
      <c r="L4464" s="11">
        <v>46097</v>
      </c>
      <c r="M4464" s="23">
        <f>YEAR(Таблица1[[#This Row],[Дата отчета]])</f>
        <v>2026</v>
      </c>
      <c r="N4464" s="24"/>
      <c r="O4464" s="24"/>
      <c r="P4464" s="24"/>
      <c r="Q4464" s="24"/>
    </row>
    <row r="4465" spans="1:17" x14ac:dyDescent="0.25">
      <c r="A4465" s="24" t="s">
        <v>12</v>
      </c>
      <c r="B4465" s="24" t="s">
        <v>1028</v>
      </c>
      <c r="C4465" s="24" t="s">
        <v>1037</v>
      </c>
      <c r="D4465" s="24" t="s">
        <v>1038</v>
      </c>
      <c r="E4465" s="24" t="s">
        <v>1039</v>
      </c>
      <c r="F4465" s="25">
        <v>90000</v>
      </c>
      <c r="G4465" s="24"/>
      <c r="H4465" s="24"/>
      <c r="I4465" s="26">
        <f t="shared" si="197"/>
        <v>45831</v>
      </c>
      <c r="J4465" s="27">
        <f t="shared" si="198"/>
        <v>266</v>
      </c>
      <c r="K4465" s="24" t="str">
        <f t="shared" si="199"/>
        <v>181-270</v>
      </c>
      <c r="L4465" s="11">
        <v>46097</v>
      </c>
      <c r="M4465" s="23">
        <f>YEAR(Таблица1[[#This Row],[Дата отчета]])</f>
        <v>2026</v>
      </c>
      <c r="N4465" s="2" t="s">
        <v>807</v>
      </c>
      <c r="O4465" s="24"/>
      <c r="P4465" s="24"/>
      <c r="Q4465" s="24"/>
    </row>
    <row r="4466" spans="1:17" x14ac:dyDescent="0.25">
      <c r="A4466" s="24" t="s">
        <v>12</v>
      </c>
      <c r="B4466" s="24" t="s">
        <v>1028</v>
      </c>
      <c r="C4466" s="24" t="s">
        <v>1037</v>
      </c>
      <c r="D4466" s="24" t="s">
        <v>1040</v>
      </c>
      <c r="E4466" s="24" t="s">
        <v>466</v>
      </c>
      <c r="F4466" s="25">
        <v>165000</v>
      </c>
      <c r="G4466" s="24"/>
      <c r="H4466" s="24"/>
      <c r="I4466" s="26">
        <f t="shared" si="197"/>
        <v>45986</v>
      </c>
      <c r="J4466" s="27">
        <f t="shared" si="198"/>
        <v>111</v>
      </c>
      <c r="K4466" s="24" t="str">
        <f t="shared" si="199"/>
        <v>91-120</v>
      </c>
      <c r="L4466" s="11">
        <v>46097</v>
      </c>
      <c r="M4466" s="23">
        <f>YEAR(Таблица1[[#This Row],[Дата отчета]])</f>
        <v>2026</v>
      </c>
      <c r="N4466" s="24"/>
      <c r="O4466" s="24"/>
      <c r="P4466" s="24"/>
      <c r="Q4466" s="24"/>
    </row>
    <row r="4467" spans="1:17" x14ac:dyDescent="0.25">
      <c r="A4467" s="24" t="s">
        <v>12</v>
      </c>
      <c r="B4467" s="24" t="s">
        <v>1028</v>
      </c>
      <c r="C4467" s="24" t="s">
        <v>1041</v>
      </c>
      <c r="D4467" s="24" t="s">
        <v>1042</v>
      </c>
      <c r="E4467" s="24" t="s">
        <v>1039</v>
      </c>
      <c r="F4467" s="25">
        <v>84000</v>
      </c>
      <c r="G4467" s="24"/>
      <c r="H4467" s="24"/>
      <c r="I4467" s="26">
        <f t="shared" si="197"/>
        <v>45831</v>
      </c>
      <c r="J4467" s="27">
        <f t="shared" si="198"/>
        <v>266</v>
      </c>
      <c r="K4467" s="24" t="str">
        <f t="shared" si="199"/>
        <v>181-270</v>
      </c>
      <c r="L4467" s="11">
        <v>46097</v>
      </c>
      <c r="M4467" s="23">
        <f>YEAR(Таблица1[[#This Row],[Дата отчета]])</f>
        <v>2026</v>
      </c>
      <c r="N4467" s="2" t="s">
        <v>807</v>
      </c>
      <c r="O4467" s="24"/>
      <c r="P4467" s="24"/>
      <c r="Q4467" s="24"/>
    </row>
    <row r="4468" spans="1:17" x14ac:dyDescent="0.25">
      <c r="A4468" s="24" t="s">
        <v>12</v>
      </c>
      <c r="B4468" s="24" t="s">
        <v>1043</v>
      </c>
      <c r="C4468" s="24" t="s">
        <v>1044</v>
      </c>
      <c r="D4468" s="24" t="s">
        <v>1045</v>
      </c>
      <c r="E4468" s="24" t="s">
        <v>769</v>
      </c>
      <c r="F4468" s="25">
        <v>1165</v>
      </c>
      <c r="G4468" s="24"/>
      <c r="H4468" s="24"/>
      <c r="I4468" s="26">
        <f t="shared" si="197"/>
        <v>45825</v>
      </c>
      <c r="J4468" s="27">
        <f t="shared" si="198"/>
        <v>272</v>
      </c>
      <c r="K4468" s="24" t="str">
        <f t="shared" si="199"/>
        <v>271-360</v>
      </c>
      <c r="L4468" s="11">
        <v>46097</v>
      </c>
      <c r="M4468" s="23">
        <f>YEAR(Таблица1[[#This Row],[Дата отчета]])</f>
        <v>2026</v>
      </c>
      <c r="N4468" s="7" t="s">
        <v>4536</v>
      </c>
      <c r="O4468" s="24"/>
      <c r="P4468" s="24"/>
      <c r="Q4468" s="24"/>
    </row>
    <row r="4469" spans="1:17" x14ac:dyDescent="0.25">
      <c r="A4469" s="24" t="s">
        <v>12</v>
      </c>
      <c r="B4469" s="24" t="s">
        <v>1046</v>
      </c>
      <c r="C4469" s="24" t="s">
        <v>1047</v>
      </c>
      <c r="D4469" s="24" t="s">
        <v>1048</v>
      </c>
      <c r="E4469" s="24" t="s">
        <v>1049</v>
      </c>
      <c r="F4469" s="25">
        <v>9000</v>
      </c>
      <c r="G4469" s="24"/>
      <c r="H4469" s="24"/>
      <c r="I4469" s="26">
        <f t="shared" si="197"/>
        <v>45861</v>
      </c>
      <c r="J4469" s="27">
        <f t="shared" si="198"/>
        <v>236</v>
      </c>
      <c r="K4469" s="24" t="str">
        <f t="shared" si="199"/>
        <v>181-270</v>
      </c>
      <c r="L4469" s="11">
        <v>46097</v>
      </c>
      <c r="M4469" s="23">
        <f>YEAR(Таблица1[[#This Row],[Дата отчета]])</f>
        <v>2026</v>
      </c>
      <c r="N4469" s="2" t="s">
        <v>807</v>
      </c>
      <c r="O4469" s="24"/>
      <c r="P4469" s="24"/>
      <c r="Q4469" s="24"/>
    </row>
    <row r="4470" spans="1:17" x14ac:dyDescent="0.25">
      <c r="A4470" s="24" t="s">
        <v>12</v>
      </c>
      <c r="B4470" s="24" t="s">
        <v>1050</v>
      </c>
      <c r="C4470" s="24" t="s">
        <v>1051</v>
      </c>
      <c r="D4470" s="24" t="s">
        <v>1052</v>
      </c>
      <c r="E4470" s="24" t="s">
        <v>683</v>
      </c>
      <c r="F4470" s="25">
        <v>86800</v>
      </c>
      <c r="G4470" s="24"/>
      <c r="H4470" s="24"/>
      <c r="I4470" s="26">
        <f t="shared" si="197"/>
        <v>45748</v>
      </c>
      <c r="J4470" s="27">
        <f t="shared" si="198"/>
        <v>349</v>
      </c>
      <c r="K4470" s="24" t="str">
        <f t="shared" si="199"/>
        <v>271-360</v>
      </c>
      <c r="L4470" s="11">
        <v>46097</v>
      </c>
      <c r="M4470" s="23">
        <f>YEAR(Таблица1[[#This Row],[Дата отчета]])</f>
        <v>2026</v>
      </c>
      <c r="N4470" s="2" t="s">
        <v>807</v>
      </c>
      <c r="O4470" s="24"/>
      <c r="P4470" s="24"/>
      <c r="Q4470" s="24"/>
    </row>
    <row r="4471" spans="1:17" x14ac:dyDescent="0.25">
      <c r="A4471" s="24" t="s">
        <v>12</v>
      </c>
      <c r="B4471" s="24" t="s">
        <v>1057</v>
      </c>
      <c r="C4471" s="24" t="s">
        <v>1058</v>
      </c>
      <c r="D4471" s="24" t="s">
        <v>1059</v>
      </c>
      <c r="E4471" s="24" t="s">
        <v>455</v>
      </c>
      <c r="F4471" s="25">
        <v>657833.19999999995</v>
      </c>
      <c r="G4471" s="24"/>
      <c r="H4471" s="24"/>
      <c r="I4471" s="26">
        <f t="shared" si="197"/>
        <v>46080</v>
      </c>
      <c r="J4471" s="27">
        <f t="shared" si="198"/>
        <v>17</v>
      </c>
      <c r="K4471" s="24" t="str">
        <f t="shared" si="199"/>
        <v>0-30</v>
      </c>
      <c r="L4471" s="11">
        <v>46097</v>
      </c>
      <c r="M4471" s="23">
        <f>YEAR(Таблица1[[#This Row],[Дата отчета]])</f>
        <v>2026</v>
      </c>
      <c r="N4471" s="24"/>
      <c r="O4471" s="24"/>
      <c r="P4471" s="24"/>
      <c r="Q4471" s="24"/>
    </row>
    <row r="4472" spans="1:17" x14ac:dyDescent="0.25">
      <c r="A4472" s="24" t="s">
        <v>12</v>
      </c>
      <c r="B4472" s="24" t="s">
        <v>1057</v>
      </c>
      <c r="C4472" s="24" t="s">
        <v>4414</v>
      </c>
      <c r="D4472" s="24" t="s">
        <v>4491</v>
      </c>
      <c r="E4472" s="24" t="s">
        <v>4495</v>
      </c>
      <c r="F4472" s="25">
        <v>2271935.9300000002</v>
      </c>
      <c r="G4472" s="24"/>
      <c r="H4472" s="24"/>
      <c r="I4472" s="26">
        <f t="shared" si="197"/>
        <v>46092</v>
      </c>
      <c r="J4472" s="27">
        <f t="shared" si="198"/>
        <v>5</v>
      </c>
      <c r="K4472" s="24" t="str">
        <f t="shared" si="199"/>
        <v>0-30</v>
      </c>
      <c r="L4472" s="11">
        <v>46097</v>
      </c>
      <c r="M4472" s="23">
        <f>YEAR(Таблица1[[#This Row],[Дата отчета]])</f>
        <v>2026</v>
      </c>
      <c r="N4472" s="24"/>
      <c r="O4472" s="24"/>
      <c r="P4472" s="24"/>
      <c r="Q4472" s="24"/>
    </row>
    <row r="4473" spans="1:17" x14ac:dyDescent="0.25">
      <c r="A4473" s="24" t="s">
        <v>12</v>
      </c>
      <c r="B4473" s="24" t="s">
        <v>1060</v>
      </c>
      <c r="C4473" s="24" t="s">
        <v>1061</v>
      </c>
      <c r="D4473" s="24" t="s">
        <v>1062</v>
      </c>
      <c r="E4473" s="24" t="s">
        <v>127</v>
      </c>
      <c r="F4473" s="25">
        <v>819000</v>
      </c>
      <c r="G4473" s="24"/>
      <c r="H4473" s="24"/>
      <c r="I4473" s="26">
        <f t="shared" si="197"/>
        <v>46037</v>
      </c>
      <c r="J4473" s="27">
        <f t="shared" si="198"/>
        <v>60</v>
      </c>
      <c r="K4473" s="24" t="str">
        <f t="shared" si="199"/>
        <v>31-90</v>
      </c>
      <c r="L4473" s="11">
        <v>46097</v>
      </c>
      <c r="M4473" s="23">
        <f>YEAR(Таблица1[[#This Row],[Дата отчета]])</f>
        <v>2026</v>
      </c>
      <c r="N4473" s="24"/>
      <c r="O4473" s="24"/>
      <c r="P4473" s="24"/>
      <c r="Q4473" s="24"/>
    </row>
    <row r="4474" spans="1:17" x14ac:dyDescent="0.25">
      <c r="A4474" s="24" t="s">
        <v>12</v>
      </c>
      <c r="B4474" s="24" t="s">
        <v>1060</v>
      </c>
      <c r="C4474" s="24" t="s">
        <v>1061</v>
      </c>
      <c r="D4474" s="24" t="s">
        <v>4492</v>
      </c>
      <c r="E4474" s="24" t="s">
        <v>4501</v>
      </c>
      <c r="F4474" s="25">
        <v>546000</v>
      </c>
      <c r="G4474" s="24"/>
      <c r="H4474" s="24"/>
      <c r="I4474" s="26">
        <f t="shared" si="197"/>
        <v>46084</v>
      </c>
      <c r="J4474" s="27">
        <f t="shared" si="198"/>
        <v>13</v>
      </c>
      <c r="K4474" s="24" t="str">
        <f t="shared" si="199"/>
        <v>0-30</v>
      </c>
      <c r="L4474" s="11">
        <v>46097</v>
      </c>
      <c r="M4474" s="23">
        <f>YEAR(Таблица1[[#This Row],[Дата отчета]])</f>
        <v>2026</v>
      </c>
      <c r="N4474" s="24"/>
      <c r="O4474" s="24"/>
      <c r="P4474" s="24"/>
      <c r="Q4474" s="24"/>
    </row>
    <row r="4475" spans="1:17" x14ac:dyDescent="0.25">
      <c r="A4475" s="24" t="s">
        <v>12</v>
      </c>
      <c r="B4475" s="24" t="s">
        <v>1063</v>
      </c>
      <c r="C4475" s="24" t="s">
        <v>1064</v>
      </c>
      <c r="D4475" s="24" t="s">
        <v>1065</v>
      </c>
      <c r="E4475" s="24" t="s">
        <v>51</v>
      </c>
      <c r="F4475" s="25">
        <v>244320</v>
      </c>
      <c r="G4475" s="24"/>
      <c r="H4475" s="24"/>
      <c r="I4475" s="26">
        <f t="shared" si="197"/>
        <v>45939</v>
      </c>
      <c r="J4475" s="27">
        <f t="shared" si="198"/>
        <v>158</v>
      </c>
      <c r="K4475" s="24" t="str">
        <f t="shared" si="199"/>
        <v>121-180</v>
      </c>
      <c r="L4475" s="11">
        <v>46097</v>
      </c>
      <c r="M4475" s="23">
        <f>YEAR(Таблица1[[#This Row],[Дата отчета]])</f>
        <v>2026</v>
      </c>
      <c r="N4475" s="24"/>
      <c r="O4475" s="24"/>
      <c r="P4475" s="24"/>
      <c r="Q4475" s="24"/>
    </row>
    <row r="4476" spans="1:17" x14ac:dyDescent="0.25">
      <c r="A4476" s="24" t="s">
        <v>12</v>
      </c>
      <c r="B4476" s="24" t="s">
        <v>1066</v>
      </c>
      <c r="C4476" s="24" t="s">
        <v>269</v>
      </c>
      <c r="D4476" s="24" t="s">
        <v>1067</v>
      </c>
      <c r="E4476" s="24" t="s">
        <v>528</v>
      </c>
      <c r="F4476" s="25">
        <v>3630</v>
      </c>
      <c r="G4476" s="24"/>
      <c r="H4476" s="24"/>
      <c r="I4476" s="26">
        <f t="shared" si="197"/>
        <v>45985</v>
      </c>
      <c r="J4476" s="27">
        <f t="shared" si="198"/>
        <v>112</v>
      </c>
      <c r="K4476" s="24" t="str">
        <f t="shared" si="199"/>
        <v>91-120</v>
      </c>
      <c r="L4476" s="11">
        <v>46097</v>
      </c>
      <c r="M4476" s="23">
        <f>YEAR(Таблица1[[#This Row],[Дата отчета]])</f>
        <v>2026</v>
      </c>
      <c r="N4476" s="24"/>
      <c r="O4476" s="24"/>
      <c r="P4476" s="24"/>
      <c r="Q4476" s="24"/>
    </row>
    <row r="4477" spans="1:17" x14ac:dyDescent="0.25">
      <c r="A4477" s="24" t="s">
        <v>12</v>
      </c>
      <c r="B4477" s="24" t="s">
        <v>1068</v>
      </c>
      <c r="C4477" s="24" t="s">
        <v>1069</v>
      </c>
      <c r="D4477" s="24" t="s">
        <v>1070</v>
      </c>
      <c r="E4477" s="24" t="s">
        <v>1071</v>
      </c>
      <c r="F4477" s="25">
        <v>4</v>
      </c>
      <c r="G4477" s="24"/>
      <c r="H4477" s="24"/>
      <c r="I4477" s="26">
        <f t="shared" si="197"/>
        <v>44860</v>
      </c>
      <c r="J4477" s="27">
        <f t="shared" si="198"/>
        <v>1237</v>
      </c>
      <c r="K4477" s="24" t="str">
        <f t="shared" si="199"/>
        <v>&gt;360</v>
      </c>
      <c r="L4477" s="11">
        <v>46097</v>
      </c>
      <c r="M4477" s="23">
        <f>YEAR(Таблица1[[#This Row],[Дата отчета]])</f>
        <v>2026</v>
      </c>
      <c r="N4477" s="24"/>
      <c r="O4477" s="24"/>
      <c r="P4477" s="24"/>
      <c r="Q4477" s="24"/>
    </row>
    <row r="4478" spans="1:17" x14ac:dyDescent="0.25">
      <c r="A4478" s="24" t="s">
        <v>12</v>
      </c>
      <c r="B4478" s="24" t="s">
        <v>1073</v>
      </c>
      <c r="C4478" s="24" t="s">
        <v>1074</v>
      </c>
      <c r="D4478" s="24" t="s">
        <v>1075</v>
      </c>
      <c r="E4478" s="24" t="s">
        <v>161</v>
      </c>
      <c r="F4478" s="25">
        <v>11631.14</v>
      </c>
      <c r="G4478" s="24"/>
      <c r="H4478" s="24"/>
      <c r="I4478" s="26">
        <f t="shared" si="197"/>
        <v>45890</v>
      </c>
      <c r="J4478" s="27">
        <f t="shared" si="198"/>
        <v>207</v>
      </c>
      <c r="K4478" s="24" t="str">
        <f t="shared" si="199"/>
        <v>181-270</v>
      </c>
      <c r="L4478" s="11">
        <v>46097</v>
      </c>
      <c r="M4478" s="23">
        <f>YEAR(Таблица1[[#This Row],[Дата отчета]])</f>
        <v>2026</v>
      </c>
      <c r="N4478" s="24"/>
      <c r="O4478" s="24"/>
      <c r="P4478" s="24"/>
      <c r="Q4478" s="24"/>
    </row>
    <row r="4479" spans="1:17" x14ac:dyDescent="0.25">
      <c r="A4479" s="24" t="s">
        <v>12</v>
      </c>
      <c r="B4479" s="24" t="s">
        <v>1076</v>
      </c>
      <c r="C4479" s="24" t="s">
        <v>1077</v>
      </c>
      <c r="D4479" s="24" t="s">
        <v>1078</v>
      </c>
      <c r="E4479" s="24" t="s">
        <v>841</v>
      </c>
      <c r="F4479" s="25">
        <v>52780.5</v>
      </c>
      <c r="G4479" s="24"/>
      <c r="H4479" s="24"/>
      <c r="I4479" s="26">
        <f t="shared" si="197"/>
        <v>45925</v>
      </c>
      <c r="J4479" s="27">
        <f t="shared" si="198"/>
        <v>172</v>
      </c>
      <c r="K4479" s="24" t="str">
        <f t="shared" si="199"/>
        <v>121-180</v>
      </c>
      <c r="L4479" s="11">
        <v>46097</v>
      </c>
      <c r="M4479" s="23">
        <f>YEAR(Таблица1[[#This Row],[Дата отчета]])</f>
        <v>2026</v>
      </c>
      <c r="N4479" s="24"/>
      <c r="O4479" s="24"/>
      <c r="P4479" s="24"/>
      <c r="Q4479" s="24"/>
    </row>
    <row r="4480" spans="1:17" x14ac:dyDescent="0.25">
      <c r="A4480" s="24" t="s">
        <v>12</v>
      </c>
      <c r="B4480" s="24" t="s">
        <v>1079</v>
      </c>
      <c r="C4480" s="24" t="s">
        <v>1080</v>
      </c>
      <c r="D4480" s="24" t="s">
        <v>1081</v>
      </c>
      <c r="E4480" s="24" t="s">
        <v>96</v>
      </c>
      <c r="F4480" s="25">
        <v>96000</v>
      </c>
      <c r="G4480" s="24"/>
      <c r="H4480" s="24"/>
      <c r="I4480" s="26">
        <f t="shared" si="197"/>
        <v>45876</v>
      </c>
      <c r="J4480" s="27">
        <f t="shared" si="198"/>
        <v>221</v>
      </c>
      <c r="K4480" s="24" t="str">
        <f t="shared" si="199"/>
        <v>181-270</v>
      </c>
      <c r="L4480" s="11">
        <v>46097</v>
      </c>
      <c r="M4480" s="28">
        <f>YEAR(Таблица1[[#This Row],[Дата отчета]])</f>
        <v>2026</v>
      </c>
      <c r="N4480" s="24"/>
      <c r="O4480" s="24"/>
      <c r="P4480" s="24"/>
      <c r="Q4480" s="24"/>
    </row>
    <row r="4481" spans="1:17" x14ac:dyDescent="0.25">
      <c r="A4481" s="24" t="s">
        <v>1082</v>
      </c>
      <c r="B4481" s="24" t="s">
        <v>1087</v>
      </c>
      <c r="C4481" s="24" t="s">
        <v>1088</v>
      </c>
      <c r="D4481" s="24" t="s">
        <v>1089</v>
      </c>
      <c r="E4481" s="24" t="s">
        <v>35</v>
      </c>
      <c r="F4481" s="25">
        <v>2819920.72</v>
      </c>
      <c r="G4481" s="24"/>
      <c r="H4481" s="24"/>
      <c r="I4481" s="26">
        <f t="shared" ref="I4481:I4510" si="200">E4481*1</f>
        <v>46036</v>
      </c>
      <c r="J4481" s="27">
        <f t="shared" ref="J4481:J4510" si="201">L4481-I4481</f>
        <v>61</v>
      </c>
      <c r="K4481" s="24" t="str">
        <f t="shared" ref="K4481:K4510" si="202">IF(J4481&lt;=30,"0-30",IF(J4481&lt;=90,"31-90",IF(J4481&lt;=120,"91-120",IF(J4481&lt;=180,"121-180",IF(J4481&lt;=270,"181-270",IF(J4481&lt;=360,"271-360","&gt;360"))))))</f>
        <v>31-90</v>
      </c>
      <c r="L4481" s="11">
        <v>46097</v>
      </c>
      <c r="M4481" s="23">
        <f>YEAR(Таблица1[[#This Row],[Дата отчета]])</f>
        <v>2026</v>
      </c>
      <c r="N4481" s="24"/>
      <c r="O4481" s="24"/>
      <c r="P4481" s="24"/>
      <c r="Q4481" s="24"/>
    </row>
    <row r="4482" spans="1:17" x14ac:dyDescent="0.25">
      <c r="A4482" s="24" t="s">
        <v>1082</v>
      </c>
      <c r="B4482" s="24" t="s">
        <v>1087</v>
      </c>
      <c r="C4482" s="24" t="s">
        <v>1090</v>
      </c>
      <c r="D4482" s="24" t="s">
        <v>1091</v>
      </c>
      <c r="E4482" s="24" t="s">
        <v>1092</v>
      </c>
      <c r="F4482" s="25">
        <v>35421.75</v>
      </c>
      <c r="G4482" s="24"/>
      <c r="H4482" s="24"/>
      <c r="I4482" s="26">
        <f t="shared" si="200"/>
        <v>45554</v>
      </c>
      <c r="J4482" s="27">
        <f t="shared" si="201"/>
        <v>543</v>
      </c>
      <c r="K4482" s="24" t="str">
        <f t="shared" si="202"/>
        <v>&gt;360</v>
      </c>
      <c r="L4482" s="11">
        <v>46097</v>
      </c>
      <c r="M4482" s="23">
        <f>YEAR(Таблица1[[#This Row],[Дата отчета]])</f>
        <v>2026</v>
      </c>
      <c r="N4482" s="7" t="s">
        <v>4535</v>
      </c>
      <c r="O4482" s="24"/>
      <c r="P4482" s="24"/>
      <c r="Q4482" s="24"/>
    </row>
    <row r="4483" spans="1:17" x14ac:dyDescent="0.25">
      <c r="A4483" s="24" t="s">
        <v>1082</v>
      </c>
      <c r="B4483" s="24" t="s">
        <v>271</v>
      </c>
      <c r="C4483" s="24" t="s">
        <v>1093</v>
      </c>
      <c r="D4483" s="24" t="s">
        <v>1094</v>
      </c>
      <c r="E4483" s="24" t="s">
        <v>841</v>
      </c>
      <c r="F4483" s="25">
        <v>4103412.84</v>
      </c>
      <c r="G4483" s="24"/>
      <c r="H4483" s="24"/>
      <c r="I4483" s="26">
        <f t="shared" si="200"/>
        <v>45925</v>
      </c>
      <c r="J4483" s="27">
        <f t="shared" si="201"/>
        <v>172</v>
      </c>
      <c r="K4483" s="24" t="str">
        <f t="shared" si="202"/>
        <v>121-180</v>
      </c>
      <c r="L4483" s="11">
        <v>46097</v>
      </c>
      <c r="M4483" s="23">
        <f>YEAR(Таблица1[[#This Row],[Дата отчета]])</f>
        <v>2026</v>
      </c>
      <c r="N4483" s="24"/>
      <c r="O4483" s="24"/>
      <c r="P4483" s="24"/>
      <c r="Q4483" s="24"/>
    </row>
    <row r="4484" spans="1:17" x14ac:dyDescent="0.25">
      <c r="A4484" s="24" t="s">
        <v>1082</v>
      </c>
      <c r="B4484" s="24" t="s">
        <v>271</v>
      </c>
      <c r="C4484" s="24" t="s">
        <v>1095</v>
      </c>
      <c r="D4484" s="24" t="s">
        <v>1096</v>
      </c>
      <c r="E4484" s="24" t="s">
        <v>571</v>
      </c>
      <c r="F4484" s="25">
        <v>81774.75</v>
      </c>
      <c r="G4484" s="24"/>
      <c r="H4484" s="24"/>
      <c r="I4484" s="26">
        <f t="shared" si="200"/>
        <v>45951</v>
      </c>
      <c r="J4484" s="27">
        <f t="shared" si="201"/>
        <v>146</v>
      </c>
      <c r="K4484" s="24" t="str">
        <f t="shared" si="202"/>
        <v>121-180</v>
      </c>
      <c r="L4484" s="11">
        <v>46097</v>
      </c>
      <c r="M4484" s="23">
        <f>YEAR(Таблица1[[#This Row],[Дата отчета]])</f>
        <v>2026</v>
      </c>
      <c r="N4484" s="24"/>
      <c r="O4484" s="24"/>
      <c r="P4484" s="24"/>
      <c r="Q4484" s="24"/>
    </row>
    <row r="4485" spans="1:17" x14ac:dyDescent="0.25">
      <c r="A4485" s="24" t="s">
        <v>1082</v>
      </c>
      <c r="B4485" s="24" t="s">
        <v>271</v>
      </c>
      <c r="C4485" s="24" t="s">
        <v>1095</v>
      </c>
      <c r="D4485" s="24" t="s">
        <v>1097</v>
      </c>
      <c r="E4485" s="24" t="s">
        <v>571</v>
      </c>
      <c r="F4485" s="25">
        <v>381299.85</v>
      </c>
      <c r="G4485" s="24"/>
      <c r="H4485" s="24"/>
      <c r="I4485" s="26">
        <f t="shared" si="200"/>
        <v>45951</v>
      </c>
      <c r="J4485" s="27">
        <f t="shared" si="201"/>
        <v>146</v>
      </c>
      <c r="K4485" s="24" t="str">
        <f t="shared" si="202"/>
        <v>121-180</v>
      </c>
      <c r="L4485" s="11">
        <v>46097</v>
      </c>
      <c r="M4485" s="23">
        <f>YEAR(Таблица1[[#This Row],[Дата отчета]])</f>
        <v>2026</v>
      </c>
      <c r="N4485" s="24"/>
      <c r="O4485" s="24"/>
      <c r="P4485" s="24"/>
      <c r="Q4485" s="24"/>
    </row>
    <row r="4486" spans="1:17" x14ac:dyDescent="0.25">
      <c r="A4486" s="24" t="s">
        <v>1082</v>
      </c>
      <c r="B4486" s="24" t="s">
        <v>271</v>
      </c>
      <c r="C4486" s="24" t="s">
        <v>1095</v>
      </c>
      <c r="D4486" s="24" t="s">
        <v>1098</v>
      </c>
      <c r="E4486" s="24" t="s">
        <v>827</v>
      </c>
      <c r="F4486" s="25">
        <v>242292.07</v>
      </c>
      <c r="G4486" s="24"/>
      <c r="H4486" s="24"/>
      <c r="I4486" s="26">
        <f t="shared" si="200"/>
        <v>45981</v>
      </c>
      <c r="J4486" s="27">
        <f t="shared" si="201"/>
        <v>116</v>
      </c>
      <c r="K4486" s="24" t="str">
        <f t="shared" si="202"/>
        <v>91-120</v>
      </c>
      <c r="L4486" s="11">
        <v>46097</v>
      </c>
      <c r="M4486" s="23">
        <f>YEAR(Таблица1[[#This Row],[Дата отчета]])</f>
        <v>2026</v>
      </c>
      <c r="N4486" s="24"/>
      <c r="O4486" s="24"/>
      <c r="P4486" s="24"/>
      <c r="Q4486" s="24"/>
    </row>
    <row r="4487" spans="1:17" x14ac:dyDescent="0.25">
      <c r="A4487" s="24" t="s">
        <v>1082</v>
      </c>
      <c r="B4487" s="24" t="s">
        <v>271</v>
      </c>
      <c r="C4487" s="24" t="s">
        <v>1095</v>
      </c>
      <c r="D4487" s="24" t="s">
        <v>1099</v>
      </c>
      <c r="E4487" s="24" t="s">
        <v>692</v>
      </c>
      <c r="F4487" s="25">
        <v>9195.39</v>
      </c>
      <c r="G4487" s="24"/>
      <c r="H4487" s="24"/>
      <c r="I4487" s="26">
        <f t="shared" si="200"/>
        <v>45982</v>
      </c>
      <c r="J4487" s="27">
        <f t="shared" si="201"/>
        <v>115</v>
      </c>
      <c r="K4487" s="24" t="str">
        <f t="shared" si="202"/>
        <v>91-120</v>
      </c>
      <c r="L4487" s="11">
        <v>46097</v>
      </c>
      <c r="M4487" s="23">
        <f>YEAR(Таблица1[[#This Row],[Дата отчета]])</f>
        <v>2026</v>
      </c>
      <c r="N4487" s="24"/>
      <c r="O4487" s="24"/>
      <c r="P4487" s="24"/>
      <c r="Q4487" s="24"/>
    </row>
    <row r="4488" spans="1:17" x14ac:dyDescent="0.25">
      <c r="A4488" s="24" t="s">
        <v>1082</v>
      </c>
      <c r="B4488" s="24" t="s">
        <v>271</v>
      </c>
      <c r="C4488" s="24" t="s">
        <v>1095</v>
      </c>
      <c r="D4488" s="24" t="s">
        <v>1100</v>
      </c>
      <c r="E4488" s="24" t="s">
        <v>692</v>
      </c>
      <c r="F4488" s="25">
        <v>96959.25</v>
      </c>
      <c r="G4488" s="24"/>
      <c r="H4488" s="24"/>
      <c r="I4488" s="26">
        <f t="shared" si="200"/>
        <v>45982</v>
      </c>
      <c r="J4488" s="27">
        <f t="shared" si="201"/>
        <v>115</v>
      </c>
      <c r="K4488" s="24" t="str">
        <f t="shared" si="202"/>
        <v>91-120</v>
      </c>
      <c r="L4488" s="11">
        <v>46097</v>
      </c>
      <c r="M4488" s="23">
        <f>YEAR(Таблица1[[#This Row],[Дата отчета]])</f>
        <v>2026</v>
      </c>
      <c r="N4488" s="24"/>
      <c r="O4488" s="24"/>
      <c r="P4488" s="24"/>
      <c r="Q4488" s="24"/>
    </row>
    <row r="4489" spans="1:17" x14ac:dyDescent="0.25">
      <c r="A4489" s="24" t="s">
        <v>1082</v>
      </c>
      <c r="B4489" s="24" t="s">
        <v>271</v>
      </c>
      <c r="C4489" s="24" t="s">
        <v>1101</v>
      </c>
      <c r="D4489" s="24" t="s">
        <v>1102</v>
      </c>
      <c r="E4489" s="24" t="s">
        <v>281</v>
      </c>
      <c r="F4489" s="25">
        <v>1065006.21</v>
      </c>
      <c r="G4489" s="24"/>
      <c r="H4489" s="24"/>
      <c r="I4489" s="26">
        <f t="shared" si="200"/>
        <v>46065</v>
      </c>
      <c r="J4489" s="27">
        <f t="shared" si="201"/>
        <v>32</v>
      </c>
      <c r="K4489" s="24" t="str">
        <f t="shared" si="202"/>
        <v>31-90</v>
      </c>
      <c r="L4489" s="11">
        <v>46097</v>
      </c>
      <c r="M4489" s="23">
        <f>YEAR(Таблица1[[#This Row],[Дата отчета]])</f>
        <v>2026</v>
      </c>
      <c r="N4489" s="24"/>
      <c r="O4489" s="24"/>
      <c r="P4489" s="24"/>
      <c r="Q4489" s="24"/>
    </row>
    <row r="4490" spans="1:17" x14ac:dyDescent="0.25">
      <c r="A4490" s="24" t="s">
        <v>1082</v>
      </c>
      <c r="B4490" s="24" t="s">
        <v>271</v>
      </c>
      <c r="C4490" s="24" t="s">
        <v>1103</v>
      </c>
      <c r="D4490" s="24" t="s">
        <v>1104</v>
      </c>
      <c r="E4490" s="24" t="s">
        <v>51</v>
      </c>
      <c r="F4490" s="25">
        <v>17940.52</v>
      </c>
      <c r="G4490" s="24"/>
      <c r="H4490" s="24"/>
      <c r="I4490" s="26">
        <f t="shared" si="200"/>
        <v>45939</v>
      </c>
      <c r="J4490" s="27">
        <f t="shared" si="201"/>
        <v>158</v>
      </c>
      <c r="K4490" s="24" t="str">
        <f t="shared" si="202"/>
        <v>121-180</v>
      </c>
      <c r="L4490" s="11">
        <v>46097</v>
      </c>
      <c r="M4490" s="23">
        <f>YEAR(Таблица1[[#This Row],[Дата отчета]])</f>
        <v>2026</v>
      </c>
      <c r="N4490" s="24"/>
      <c r="O4490" s="24"/>
      <c r="P4490" s="24"/>
      <c r="Q4490" s="24"/>
    </row>
    <row r="4491" spans="1:17" x14ac:dyDescent="0.25">
      <c r="A4491" s="24" t="s">
        <v>1082</v>
      </c>
      <c r="B4491" s="24" t="s">
        <v>271</v>
      </c>
      <c r="C4491" s="24" t="s">
        <v>1105</v>
      </c>
      <c r="D4491" s="24" t="s">
        <v>1106</v>
      </c>
      <c r="E4491" s="24" t="s">
        <v>75</v>
      </c>
      <c r="F4491" s="25">
        <v>42558293.729999997</v>
      </c>
      <c r="G4491" s="24"/>
      <c r="H4491" s="24"/>
      <c r="I4491" s="26">
        <f t="shared" si="200"/>
        <v>46016</v>
      </c>
      <c r="J4491" s="27">
        <f t="shared" si="201"/>
        <v>81</v>
      </c>
      <c r="K4491" s="24" t="str">
        <f t="shared" si="202"/>
        <v>31-90</v>
      </c>
      <c r="L4491" s="11">
        <v>46097</v>
      </c>
      <c r="M4491" s="23">
        <f>YEAR(Таблица1[[#This Row],[Дата отчета]])</f>
        <v>2026</v>
      </c>
      <c r="N4491" s="24"/>
      <c r="O4491" s="24"/>
      <c r="P4491" s="24"/>
      <c r="Q4491" s="24"/>
    </row>
    <row r="4492" spans="1:17" x14ac:dyDescent="0.25">
      <c r="A4492" s="24" t="s">
        <v>1082</v>
      </c>
      <c r="B4492" s="24" t="s">
        <v>271</v>
      </c>
      <c r="C4492" s="24" t="s">
        <v>1105</v>
      </c>
      <c r="D4492" s="24" t="s">
        <v>4493</v>
      </c>
      <c r="E4492" s="24" t="s">
        <v>4500</v>
      </c>
      <c r="F4492" s="25">
        <v>101346957.59999999</v>
      </c>
      <c r="G4492" s="24"/>
      <c r="H4492" s="24"/>
      <c r="I4492" s="26">
        <f t="shared" si="200"/>
        <v>46087</v>
      </c>
      <c r="J4492" s="27">
        <f t="shared" si="201"/>
        <v>10</v>
      </c>
      <c r="K4492" s="24" t="str">
        <f t="shared" si="202"/>
        <v>0-30</v>
      </c>
      <c r="L4492" s="11">
        <v>46097</v>
      </c>
      <c r="M4492" s="23">
        <f>YEAR(Таблица1[[#This Row],[Дата отчета]])</f>
        <v>2026</v>
      </c>
      <c r="N4492" s="24"/>
      <c r="O4492" s="24"/>
      <c r="P4492" s="24"/>
      <c r="Q4492" s="24"/>
    </row>
    <row r="4493" spans="1:17" x14ac:dyDescent="0.25">
      <c r="A4493" s="24" t="s">
        <v>1082</v>
      </c>
      <c r="B4493" s="24" t="s">
        <v>561</v>
      </c>
      <c r="C4493" s="24" t="s">
        <v>1107</v>
      </c>
      <c r="D4493" s="24" t="s">
        <v>1108</v>
      </c>
      <c r="E4493" s="24" t="s">
        <v>231</v>
      </c>
      <c r="F4493" s="25">
        <v>100541017.20999999</v>
      </c>
      <c r="G4493" s="24"/>
      <c r="H4493" s="24"/>
      <c r="I4493" s="26">
        <f t="shared" si="200"/>
        <v>45992</v>
      </c>
      <c r="J4493" s="27">
        <f t="shared" si="201"/>
        <v>105</v>
      </c>
      <c r="K4493" s="24" t="str">
        <f t="shared" si="202"/>
        <v>91-120</v>
      </c>
      <c r="L4493" s="11">
        <v>46097</v>
      </c>
      <c r="M4493" s="23">
        <f>YEAR(Таблица1[[#This Row],[Дата отчета]])</f>
        <v>2026</v>
      </c>
      <c r="N4493" s="24"/>
      <c r="O4493" s="24"/>
      <c r="P4493" s="24"/>
      <c r="Q4493" s="24"/>
    </row>
    <row r="4494" spans="1:17" x14ac:dyDescent="0.25">
      <c r="A4494" s="24" t="s">
        <v>1082</v>
      </c>
      <c r="B4494" s="24" t="s">
        <v>561</v>
      </c>
      <c r="C4494" s="24" t="s">
        <v>1109</v>
      </c>
      <c r="D4494" s="24" t="s">
        <v>1110</v>
      </c>
      <c r="E4494" s="24" t="s">
        <v>455</v>
      </c>
      <c r="F4494" s="25">
        <v>10023164.039999999</v>
      </c>
      <c r="G4494" s="24"/>
      <c r="H4494" s="24"/>
      <c r="I4494" s="26">
        <f t="shared" si="200"/>
        <v>46080</v>
      </c>
      <c r="J4494" s="27">
        <f t="shared" si="201"/>
        <v>17</v>
      </c>
      <c r="K4494" s="24" t="str">
        <f t="shared" si="202"/>
        <v>0-30</v>
      </c>
      <c r="L4494" s="11">
        <v>46097</v>
      </c>
      <c r="M4494" s="23">
        <f>YEAR(Таблица1[[#This Row],[Дата отчета]])</f>
        <v>2026</v>
      </c>
      <c r="N4494" s="24"/>
      <c r="O4494" s="24"/>
      <c r="P4494" s="24"/>
      <c r="Q4494" s="24"/>
    </row>
    <row r="4495" spans="1:17" x14ac:dyDescent="0.25">
      <c r="A4495" s="24" t="s">
        <v>1082</v>
      </c>
      <c r="B4495" s="24" t="s">
        <v>561</v>
      </c>
      <c r="C4495" s="24" t="s">
        <v>1109</v>
      </c>
      <c r="D4495" s="24" t="s">
        <v>4494</v>
      </c>
      <c r="E4495" s="24" t="s">
        <v>4502</v>
      </c>
      <c r="F4495" s="25">
        <v>46.36</v>
      </c>
      <c r="G4495" s="24"/>
      <c r="H4495" s="24"/>
      <c r="I4495" s="26">
        <f t="shared" si="200"/>
        <v>46083</v>
      </c>
      <c r="J4495" s="27">
        <f t="shared" si="201"/>
        <v>14</v>
      </c>
      <c r="K4495" s="24" t="str">
        <f t="shared" si="202"/>
        <v>0-30</v>
      </c>
      <c r="L4495" s="11">
        <v>46097</v>
      </c>
      <c r="M4495" s="23">
        <f>YEAR(Таблица1[[#This Row],[Дата отчета]])</f>
        <v>2026</v>
      </c>
      <c r="N4495" s="24"/>
      <c r="O4495" s="24"/>
      <c r="P4495" s="24"/>
      <c r="Q4495" s="24"/>
    </row>
    <row r="4496" spans="1:17" x14ac:dyDescent="0.25">
      <c r="A4496" s="24" t="s">
        <v>1082</v>
      </c>
      <c r="B4496" s="24" t="s">
        <v>561</v>
      </c>
      <c r="C4496" s="24" t="s">
        <v>1111</v>
      </c>
      <c r="D4496" s="24" t="s">
        <v>1112</v>
      </c>
      <c r="E4496" s="24" t="s">
        <v>1113</v>
      </c>
      <c r="F4496" s="25">
        <v>4.22</v>
      </c>
      <c r="G4496" s="24"/>
      <c r="H4496" s="24"/>
      <c r="I4496" s="26">
        <f t="shared" si="200"/>
        <v>45737</v>
      </c>
      <c r="J4496" s="27">
        <f t="shared" si="201"/>
        <v>360</v>
      </c>
      <c r="K4496" s="24" t="str">
        <f t="shared" si="202"/>
        <v>271-360</v>
      </c>
      <c r="L4496" s="11">
        <v>46097</v>
      </c>
      <c r="M4496" s="23">
        <f>YEAR(Таблица1[[#This Row],[Дата отчета]])</f>
        <v>2026</v>
      </c>
      <c r="N4496" s="24"/>
      <c r="O4496" s="24"/>
      <c r="P4496" s="24"/>
      <c r="Q4496" s="24"/>
    </row>
    <row r="4497" spans="1:17" x14ac:dyDescent="0.25">
      <c r="A4497" s="24" t="s">
        <v>1082</v>
      </c>
      <c r="B4497" s="24" t="s">
        <v>561</v>
      </c>
      <c r="C4497" s="24" t="s">
        <v>1114</v>
      </c>
      <c r="D4497" s="24" t="s">
        <v>1115</v>
      </c>
      <c r="E4497" s="24" t="s">
        <v>824</v>
      </c>
      <c r="F4497" s="25">
        <v>19041986.25</v>
      </c>
      <c r="G4497" s="24"/>
      <c r="H4497" s="24"/>
      <c r="I4497" s="26">
        <f t="shared" si="200"/>
        <v>45975</v>
      </c>
      <c r="J4497" s="27">
        <f t="shared" si="201"/>
        <v>122</v>
      </c>
      <c r="K4497" s="24" t="str">
        <f t="shared" si="202"/>
        <v>121-180</v>
      </c>
      <c r="L4497" s="11">
        <v>46097</v>
      </c>
      <c r="M4497" s="23">
        <f>YEAR(Таблица1[[#This Row],[Дата отчета]])</f>
        <v>2026</v>
      </c>
      <c r="N4497" s="24"/>
      <c r="O4497" s="24"/>
      <c r="P4497" s="24"/>
      <c r="Q4497" s="24"/>
    </row>
    <row r="4498" spans="1:17" x14ac:dyDescent="0.25">
      <c r="A4498" s="24" t="s">
        <v>1082</v>
      </c>
      <c r="B4498" s="24" t="s">
        <v>561</v>
      </c>
      <c r="C4498" s="24" t="s">
        <v>1116</v>
      </c>
      <c r="D4498" s="24" t="s">
        <v>1117</v>
      </c>
      <c r="E4498" s="24" t="s">
        <v>332</v>
      </c>
      <c r="F4498" s="25">
        <v>832127.38</v>
      </c>
      <c r="G4498" s="24"/>
      <c r="H4498" s="24"/>
      <c r="I4498" s="26">
        <f t="shared" si="200"/>
        <v>45936</v>
      </c>
      <c r="J4498" s="27">
        <f t="shared" si="201"/>
        <v>161</v>
      </c>
      <c r="K4498" s="24" t="str">
        <f t="shared" si="202"/>
        <v>121-180</v>
      </c>
      <c r="L4498" s="11">
        <v>46097</v>
      </c>
      <c r="M4498" s="23">
        <f>YEAR(Таблица1[[#This Row],[Дата отчета]])</f>
        <v>2026</v>
      </c>
      <c r="N4498" s="24"/>
      <c r="O4498" s="24"/>
      <c r="P4498" s="24"/>
      <c r="Q4498" s="24"/>
    </row>
    <row r="4499" spans="1:17" x14ac:dyDescent="0.25">
      <c r="A4499" s="24" t="s">
        <v>1082</v>
      </c>
      <c r="B4499" s="24" t="s">
        <v>561</v>
      </c>
      <c r="C4499" s="24" t="s">
        <v>1118</v>
      </c>
      <c r="D4499" s="24" t="s">
        <v>1119</v>
      </c>
      <c r="E4499" s="24" t="s">
        <v>1120</v>
      </c>
      <c r="F4499" s="25">
        <v>19608750</v>
      </c>
      <c r="G4499" s="24"/>
      <c r="H4499" s="24"/>
      <c r="I4499" s="26">
        <f t="shared" si="200"/>
        <v>45937</v>
      </c>
      <c r="J4499" s="27">
        <f t="shared" si="201"/>
        <v>160</v>
      </c>
      <c r="K4499" s="24" t="str">
        <f t="shared" si="202"/>
        <v>121-180</v>
      </c>
      <c r="L4499" s="11">
        <v>46097</v>
      </c>
      <c r="M4499" s="23">
        <f>YEAR(Таблица1[[#This Row],[Дата отчета]])</f>
        <v>2026</v>
      </c>
      <c r="N4499" s="24"/>
      <c r="O4499" s="24"/>
      <c r="P4499" s="24"/>
      <c r="Q4499" s="24"/>
    </row>
    <row r="4500" spans="1:17" x14ac:dyDescent="0.25">
      <c r="A4500" s="24" t="s">
        <v>1082</v>
      </c>
      <c r="B4500" s="24" t="s">
        <v>561</v>
      </c>
      <c r="C4500" s="24" t="s">
        <v>1121</v>
      </c>
      <c r="D4500" s="24" t="s">
        <v>1122</v>
      </c>
      <c r="E4500" s="24" t="s">
        <v>1123</v>
      </c>
      <c r="F4500" s="25">
        <v>8521724.8000000007</v>
      </c>
      <c r="G4500" s="24"/>
      <c r="H4500" s="24"/>
      <c r="I4500" s="26">
        <f t="shared" si="200"/>
        <v>45944</v>
      </c>
      <c r="J4500" s="27">
        <f t="shared" si="201"/>
        <v>153</v>
      </c>
      <c r="K4500" s="24" t="str">
        <f t="shared" si="202"/>
        <v>121-180</v>
      </c>
      <c r="L4500" s="11">
        <v>46097</v>
      </c>
      <c r="M4500" s="23">
        <f>YEAR(Таблица1[[#This Row],[Дата отчета]])</f>
        <v>2026</v>
      </c>
      <c r="N4500" s="24"/>
      <c r="O4500" s="24"/>
      <c r="P4500" s="24"/>
      <c r="Q4500" s="24"/>
    </row>
    <row r="4501" spans="1:17" x14ac:dyDescent="0.25">
      <c r="A4501" s="24" t="s">
        <v>1082</v>
      </c>
      <c r="B4501" s="24" t="s">
        <v>561</v>
      </c>
      <c r="C4501" s="24" t="s">
        <v>1124</v>
      </c>
      <c r="D4501" s="24" t="s">
        <v>1125</v>
      </c>
      <c r="E4501" s="24" t="s">
        <v>1123</v>
      </c>
      <c r="F4501" s="25">
        <v>565552.64000000001</v>
      </c>
      <c r="G4501" s="24"/>
      <c r="H4501" s="24"/>
      <c r="I4501" s="26">
        <f t="shared" si="200"/>
        <v>45944</v>
      </c>
      <c r="J4501" s="27">
        <f t="shared" si="201"/>
        <v>153</v>
      </c>
      <c r="K4501" s="24" t="str">
        <f t="shared" si="202"/>
        <v>121-180</v>
      </c>
      <c r="L4501" s="11">
        <v>46097</v>
      </c>
      <c r="M4501" s="23">
        <f>YEAR(Таблица1[[#This Row],[Дата отчета]])</f>
        <v>2026</v>
      </c>
      <c r="N4501" s="24"/>
      <c r="O4501" s="24"/>
      <c r="P4501" s="24"/>
      <c r="Q4501" s="24"/>
    </row>
    <row r="4502" spans="1:17" x14ac:dyDescent="0.25">
      <c r="A4502" s="24" t="s">
        <v>1082</v>
      </c>
      <c r="B4502" s="24" t="s">
        <v>1126</v>
      </c>
      <c r="C4502" s="24" t="s">
        <v>1127</v>
      </c>
      <c r="D4502" s="24" t="s">
        <v>1128</v>
      </c>
      <c r="E4502" s="24" t="s">
        <v>31</v>
      </c>
      <c r="F4502" s="25">
        <v>595854</v>
      </c>
      <c r="G4502" s="24"/>
      <c r="H4502" s="24"/>
      <c r="I4502" s="26">
        <f t="shared" si="200"/>
        <v>46015</v>
      </c>
      <c r="J4502" s="27">
        <f t="shared" si="201"/>
        <v>82</v>
      </c>
      <c r="K4502" s="24" t="str">
        <f t="shared" si="202"/>
        <v>31-90</v>
      </c>
      <c r="L4502" s="11">
        <v>46097</v>
      </c>
      <c r="M4502" s="23">
        <f>YEAR(Таблица1[[#This Row],[Дата отчета]])</f>
        <v>2026</v>
      </c>
      <c r="N4502" s="24"/>
      <c r="O4502" s="24"/>
      <c r="P4502" s="24"/>
      <c r="Q4502" s="24"/>
    </row>
    <row r="4503" spans="1:17" x14ac:dyDescent="0.25">
      <c r="A4503" s="24" t="s">
        <v>1082</v>
      </c>
      <c r="B4503" s="24" t="s">
        <v>1126</v>
      </c>
      <c r="C4503" s="24" t="s">
        <v>1127</v>
      </c>
      <c r="D4503" s="24" t="s">
        <v>1129</v>
      </c>
      <c r="E4503" s="24" t="s">
        <v>75</v>
      </c>
      <c r="F4503" s="25">
        <v>3400245.12</v>
      </c>
      <c r="G4503" s="24"/>
      <c r="H4503" s="24"/>
      <c r="I4503" s="26">
        <f t="shared" si="200"/>
        <v>46016</v>
      </c>
      <c r="J4503" s="27">
        <f t="shared" si="201"/>
        <v>81</v>
      </c>
      <c r="K4503" s="24" t="str">
        <f t="shared" si="202"/>
        <v>31-90</v>
      </c>
      <c r="L4503" s="11">
        <v>46097</v>
      </c>
      <c r="M4503" s="23">
        <f>YEAR(Таблица1[[#This Row],[Дата отчета]])</f>
        <v>2026</v>
      </c>
      <c r="N4503" s="24"/>
      <c r="O4503" s="24"/>
      <c r="P4503" s="24"/>
      <c r="Q4503" s="24"/>
    </row>
    <row r="4504" spans="1:17" x14ac:dyDescent="0.25">
      <c r="A4504" s="24" t="s">
        <v>1082</v>
      </c>
      <c r="B4504" s="24" t="s">
        <v>1130</v>
      </c>
      <c r="C4504" s="24" t="s">
        <v>1131</v>
      </c>
      <c r="D4504" s="24" t="s">
        <v>1132</v>
      </c>
      <c r="E4504" s="24" t="s">
        <v>303</v>
      </c>
      <c r="F4504" s="25">
        <v>100427453.63</v>
      </c>
      <c r="G4504" s="24"/>
      <c r="H4504" s="24"/>
      <c r="I4504" s="26">
        <f t="shared" si="200"/>
        <v>46059</v>
      </c>
      <c r="J4504" s="27">
        <f t="shared" si="201"/>
        <v>38</v>
      </c>
      <c r="K4504" s="24" t="str">
        <f t="shared" si="202"/>
        <v>31-90</v>
      </c>
      <c r="L4504" s="11">
        <v>46097</v>
      </c>
      <c r="M4504" s="23">
        <f>YEAR(Таблица1[[#This Row],[Дата отчета]])</f>
        <v>2026</v>
      </c>
      <c r="N4504" s="24"/>
      <c r="O4504" s="24"/>
      <c r="P4504" s="24"/>
      <c r="Q4504" s="24"/>
    </row>
    <row r="4505" spans="1:17" x14ac:dyDescent="0.25">
      <c r="A4505" s="24" t="s">
        <v>1082</v>
      </c>
      <c r="B4505" s="24" t="s">
        <v>766</v>
      </c>
      <c r="C4505" s="24" t="s">
        <v>1133</v>
      </c>
      <c r="D4505" s="24" t="s">
        <v>1134</v>
      </c>
      <c r="E4505" s="24" t="s">
        <v>979</v>
      </c>
      <c r="F4505" s="25">
        <v>5895177.5800000001</v>
      </c>
      <c r="G4505" s="24"/>
      <c r="H4505" s="24"/>
      <c r="I4505" s="26">
        <f t="shared" si="200"/>
        <v>46049</v>
      </c>
      <c r="J4505" s="27">
        <f t="shared" si="201"/>
        <v>48</v>
      </c>
      <c r="K4505" s="24" t="str">
        <f t="shared" si="202"/>
        <v>31-90</v>
      </c>
      <c r="L4505" s="11">
        <v>46097</v>
      </c>
      <c r="M4505" s="23">
        <f>YEAR(Таблица1[[#This Row],[Дата отчета]])</f>
        <v>2026</v>
      </c>
      <c r="N4505" s="24"/>
      <c r="O4505" s="24"/>
      <c r="P4505" s="24"/>
      <c r="Q4505" s="24"/>
    </row>
    <row r="4506" spans="1:17" x14ac:dyDescent="0.25">
      <c r="A4506" s="24" t="s">
        <v>1082</v>
      </c>
      <c r="B4506" s="24" t="s">
        <v>766</v>
      </c>
      <c r="C4506" s="24" t="s">
        <v>1133</v>
      </c>
      <c r="D4506" s="24" t="s">
        <v>1135</v>
      </c>
      <c r="E4506" s="24" t="s">
        <v>48</v>
      </c>
      <c r="F4506" s="25">
        <v>6661076.0499999998</v>
      </c>
      <c r="G4506" s="24"/>
      <c r="H4506" s="24"/>
      <c r="I4506" s="26">
        <f t="shared" si="200"/>
        <v>46078</v>
      </c>
      <c r="J4506" s="27">
        <f t="shared" si="201"/>
        <v>19</v>
      </c>
      <c r="K4506" s="24" t="str">
        <f t="shared" si="202"/>
        <v>0-30</v>
      </c>
      <c r="L4506" s="11">
        <v>46097</v>
      </c>
      <c r="M4506" s="23">
        <f>YEAR(Таблица1[[#This Row],[Дата отчета]])</f>
        <v>2026</v>
      </c>
      <c r="N4506" s="24"/>
      <c r="O4506" s="24"/>
      <c r="P4506" s="24"/>
      <c r="Q4506" s="24"/>
    </row>
    <row r="4507" spans="1:17" x14ac:dyDescent="0.25">
      <c r="A4507" s="24" t="s">
        <v>1082</v>
      </c>
      <c r="B4507" s="24" t="s">
        <v>1136</v>
      </c>
      <c r="C4507" s="24" t="s">
        <v>1137</v>
      </c>
      <c r="D4507" s="24" t="s">
        <v>1138</v>
      </c>
      <c r="E4507" s="24" t="s">
        <v>251</v>
      </c>
      <c r="F4507" s="25">
        <v>2080992</v>
      </c>
      <c r="G4507" s="24"/>
      <c r="H4507" s="24"/>
      <c r="I4507" s="26">
        <f t="shared" si="200"/>
        <v>46038</v>
      </c>
      <c r="J4507" s="27">
        <f t="shared" si="201"/>
        <v>59</v>
      </c>
      <c r="K4507" s="24" t="str">
        <f t="shared" si="202"/>
        <v>31-90</v>
      </c>
      <c r="L4507" s="11">
        <v>46097</v>
      </c>
      <c r="M4507" s="23">
        <f>YEAR(Таблица1[[#This Row],[Дата отчета]])</f>
        <v>2026</v>
      </c>
      <c r="N4507" s="24"/>
      <c r="O4507" s="24"/>
      <c r="P4507" s="24"/>
      <c r="Q4507" s="24"/>
    </row>
    <row r="4508" spans="1:17" x14ac:dyDescent="0.25">
      <c r="A4508" s="24" t="s">
        <v>1082</v>
      </c>
      <c r="B4508" s="24" t="s">
        <v>1136</v>
      </c>
      <c r="C4508" s="24" t="s">
        <v>1139</v>
      </c>
      <c r="D4508" s="24" t="s">
        <v>1140</v>
      </c>
      <c r="E4508" s="24" t="s">
        <v>251</v>
      </c>
      <c r="F4508" s="25">
        <v>2080992</v>
      </c>
      <c r="G4508" s="24"/>
      <c r="H4508" s="24"/>
      <c r="I4508" s="26">
        <f t="shared" si="200"/>
        <v>46038</v>
      </c>
      <c r="J4508" s="27">
        <f t="shared" si="201"/>
        <v>59</v>
      </c>
      <c r="K4508" s="24" t="str">
        <f t="shared" si="202"/>
        <v>31-90</v>
      </c>
      <c r="L4508" s="11">
        <v>46097</v>
      </c>
      <c r="M4508" s="23">
        <f>YEAR(Таблица1[[#This Row],[Дата отчета]])</f>
        <v>2026</v>
      </c>
      <c r="N4508" s="24"/>
      <c r="O4508" s="24"/>
      <c r="P4508" s="24"/>
      <c r="Q4508" s="24"/>
    </row>
    <row r="4509" spans="1:17" x14ac:dyDescent="0.25">
      <c r="A4509" s="24" t="s">
        <v>1082</v>
      </c>
      <c r="B4509" s="24" t="s">
        <v>1136</v>
      </c>
      <c r="C4509" s="24" t="s">
        <v>1141</v>
      </c>
      <c r="D4509" s="24" t="s">
        <v>1142</v>
      </c>
      <c r="E4509" s="24" t="s">
        <v>251</v>
      </c>
      <c r="F4509" s="25">
        <v>1978905.6000000001</v>
      </c>
      <c r="G4509" s="24"/>
      <c r="H4509" s="24"/>
      <c r="I4509" s="26">
        <f t="shared" si="200"/>
        <v>46038</v>
      </c>
      <c r="J4509" s="27">
        <f t="shared" si="201"/>
        <v>59</v>
      </c>
      <c r="K4509" s="24" t="str">
        <f t="shared" si="202"/>
        <v>31-90</v>
      </c>
      <c r="L4509" s="11">
        <v>46097</v>
      </c>
      <c r="M4509" s="23">
        <f>YEAR(Таблица1[[#This Row],[Дата отчета]])</f>
        <v>2026</v>
      </c>
      <c r="N4509" s="24"/>
      <c r="O4509" s="24"/>
      <c r="P4509" s="24"/>
      <c r="Q4509" s="24"/>
    </row>
    <row r="4510" spans="1:17" x14ac:dyDescent="0.25">
      <c r="A4510" s="24" t="s">
        <v>1082</v>
      </c>
      <c r="B4510" s="24" t="s">
        <v>915</v>
      </c>
      <c r="C4510" s="24" t="s">
        <v>1143</v>
      </c>
      <c r="D4510" s="24" t="s">
        <v>1144</v>
      </c>
      <c r="E4510" s="24" t="s">
        <v>1145</v>
      </c>
      <c r="F4510" s="25">
        <v>948672.83</v>
      </c>
      <c r="G4510" s="24"/>
      <c r="H4510" s="24"/>
      <c r="I4510" s="26">
        <f t="shared" si="200"/>
        <v>46021</v>
      </c>
      <c r="J4510" s="27">
        <f t="shared" si="201"/>
        <v>76</v>
      </c>
      <c r="K4510" s="24" t="str">
        <f t="shared" si="202"/>
        <v>31-90</v>
      </c>
      <c r="L4510" s="11">
        <v>46097</v>
      </c>
      <c r="M4510" s="28">
        <f>YEAR(Таблица1[[#This Row],[Дата отчета]])</f>
        <v>2026</v>
      </c>
      <c r="N4510" s="24"/>
      <c r="O4510" s="24"/>
      <c r="P4510" s="24"/>
      <c r="Q4510" s="24"/>
    </row>
    <row r="4514" spans="9:9" x14ac:dyDescent="0.25">
      <c r="I4514" s="11"/>
    </row>
    <row r="4515" spans="9:9" x14ac:dyDescent="0.25">
      <c r="I4515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29CC6-5095-40FE-80F2-04961D904C29}">
  <dimension ref="A1:AC401"/>
  <sheetViews>
    <sheetView tabSelected="1" workbookViewId="0">
      <selection activeCell="A17" sqref="A17"/>
    </sheetView>
  </sheetViews>
  <sheetFormatPr defaultRowHeight="15" x14ac:dyDescent="0.25"/>
  <cols>
    <col min="1" max="1" width="42.42578125" customWidth="1"/>
    <col min="2" max="2" width="20.85546875" bestFit="1" customWidth="1"/>
    <col min="3" max="7" width="13.28515625" customWidth="1"/>
    <col min="8" max="11" width="15.85546875" customWidth="1"/>
    <col min="12" max="12" width="12.140625" customWidth="1"/>
    <col min="13" max="13" width="12.42578125" customWidth="1"/>
    <col min="14" max="14" width="12.28515625" customWidth="1"/>
    <col min="15" max="130" width="10.140625" bestFit="1" customWidth="1"/>
    <col min="131" max="131" width="10.85546875" bestFit="1" customWidth="1"/>
    <col min="132" max="148" width="10.140625" bestFit="1" customWidth="1"/>
    <col min="149" max="149" width="10.85546875" bestFit="1" customWidth="1"/>
    <col min="150" max="155" width="10.140625" bestFit="1" customWidth="1"/>
    <col min="156" max="156" width="10.85546875" bestFit="1" customWidth="1"/>
    <col min="157" max="159" width="10.140625" bestFit="1" customWidth="1"/>
    <col min="160" max="160" width="10.85546875" bestFit="1" customWidth="1"/>
    <col min="161" max="162" width="10.140625" bestFit="1" customWidth="1"/>
    <col min="163" max="163" width="10.85546875" bestFit="1" customWidth="1"/>
    <col min="164" max="170" width="10.140625" bestFit="1" customWidth="1"/>
    <col min="171" max="172" width="10.85546875" bestFit="1" customWidth="1"/>
    <col min="173" max="173" width="10.140625" bestFit="1" customWidth="1"/>
    <col min="174" max="174" width="10.85546875" bestFit="1" customWidth="1"/>
    <col min="175" max="181" width="10.140625" bestFit="1" customWidth="1"/>
    <col min="182" max="182" width="10.85546875" bestFit="1" customWidth="1"/>
    <col min="183" max="186" width="10.140625" bestFit="1" customWidth="1"/>
    <col min="187" max="187" width="10.85546875" bestFit="1" customWidth="1"/>
    <col min="188" max="188" width="10.140625" bestFit="1" customWidth="1"/>
    <col min="189" max="191" width="10.85546875" bestFit="1" customWidth="1"/>
    <col min="192" max="201" width="10.140625" bestFit="1" customWidth="1"/>
    <col min="202" max="202" width="10.85546875" bestFit="1" customWidth="1"/>
    <col min="203" max="208" width="10.140625" bestFit="1" customWidth="1"/>
    <col min="209" max="209" width="10.85546875" bestFit="1" customWidth="1"/>
    <col min="210" max="212" width="10.140625" bestFit="1" customWidth="1"/>
    <col min="213" max="213" width="12.28515625" bestFit="1" customWidth="1"/>
    <col min="214" max="214" width="9.85546875" bestFit="1" customWidth="1"/>
    <col min="215" max="215" width="8.140625" bestFit="1" customWidth="1"/>
    <col min="216" max="216" width="9.85546875" bestFit="1" customWidth="1"/>
    <col min="217" max="217" width="8.85546875" bestFit="1" customWidth="1"/>
    <col min="218" max="224" width="8.140625" bestFit="1" customWidth="1"/>
    <col min="225" max="225" width="8.85546875" bestFit="1" customWidth="1"/>
    <col min="226" max="226" width="8.140625" bestFit="1" customWidth="1"/>
    <col min="227" max="228" width="9.85546875" bestFit="1" customWidth="1"/>
    <col min="229" max="230" width="8.140625" bestFit="1" customWidth="1"/>
    <col min="231" max="232" width="8.85546875" bestFit="1" customWidth="1"/>
    <col min="233" max="233" width="8.140625" bestFit="1" customWidth="1"/>
    <col min="234" max="234" width="8.85546875" bestFit="1" customWidth="1"/>
    <col min="235" max="236" width="8.140625" bestFit="1" customWidth="1"/>
    <col min="237" max="237" width="8.85546875" bestFit="1" customWidth="1"/>
    <col min="238" max="243" width="8.140625" bestFit="1" customWidth="1"/>
    <col min="244" max="244" width="8.85546875" bestFit="1" customWidth="1"/>
    <col min="245" max="247" width="8.140625" bestFit="1" customWidth="1"/>
    <col min="248" max="249" width="9.85546875" bestFit="1" customWidth="1"/>
    <col min="250" max="252" width="8.85546875" bestFit="1" customWidth="1"/>
    <col min="253" max="257" width="8.140625" bestFit="1" customWidth="1"/>
    <col min="258" max="258" width="8.85546875" bestFit="1" customWidth="1"/>
    <col min="259" max="262" width="8.140625" bestFit="1" customWidth="1"/>
    <col min="263" max="264" width="9.85546875" bestFit="1" customWidth="1"/>
    <col min="265" max="265" width="10.85546875" bestFit="1" customWidth="1"/>
    <col min="266" max="266" width="8.85546875" bestFit="1" customWidth="1"/>
    <col min="267" max="267" width="9.85546875" bestFit="1" customWidth="1"/>
    <col min="268" max="269" width="8.140625" bestFit="1" customWidth="1"/>
    <col min="270" max="272" width="8.85546875" bestFit="1" customWidth="1"/>
    <col min="273" max="273" width="8.140625" bestFit="1" customWidth="1"/>
    <col min="274" max="274" width="8.85546875" bestFit="1" customWidth="1"/>
    <col min="275" max="275" width="8.140625" bestFit="1" customWidth="1"/>
    <col min="276" max="276" width="9.85546875" bestFit="1" customWidth="1"/>
    <col min="277" max="277" width="8.140625" bestFit="1" customWidth="1"/>
    <col min="278" max="278" width="8.85546875" bestFit="1" customWidth="1"/>
    <col min="279" max="280" width="9.85546875" bestFit="1" customWidth="1"/>
    <col min="281" max="282" width="8.85546875" bestFit="1" customWidth="1"/>
    <col min="283" max="285" width="8.140625" bestFit="1" customWidth="1"/>
    <col min="286" max="286" width="8.85546875" bestFit="1" customWidth="1"/>
    <col min="287" max="290" width="8.140625" bestFit="1" customWidth="1"/>
    <col min="291" max="291" width="8.85546875" bestFit="1" customWidth="1"/>
    <col min="292" max="292" width="8.140625" bestFit="1" customWidth="1"/>
    <col min="293" max="293" width="9.85546875" bestFit="1" customWidth="1"/>
    <col min="294" max="294" width="8.140625" bestFit="1" customWidth="1"/>
    <col min="295" max="298" width="8.85546875" bestFit="1" customWidth="1"/>
    <col min="299" max="299" width="8.140625" bestFit="1" customWidth="1"/>
    <col min="300" max="301" width="8.85546875" bestFit="1" customWidth="1"/>
    <col min="302" max="304" width="9.85546875" bestFit="1" customWidth="1"/>
    <col min="305" max="307" width="8.85546875" bestFit="1" customWidth="1"/>
    <col min="308" max="311" width="8.140625" bestFit="1" customWidth="1"/>
    <col min="312" max="312" width="8.85546875" bestFit="1" customWidth="1"/>
    <col min="313" max="313" width="8.140625" bestFit="1" customWidth="1"/>
    <col min="314" max="314" width="8.85546875" bestFit="1" customWidth="1"/>
    <col min="315" max="315" width="9.85546875" bestFit="1" customWidth="1"/>
    <col min="316" max="316" width="8.140625" bestFit="1" customWidth="1"/>
    <col min="317" max="317" width="8.85546875" bestFit="1" customWidth="1"/>
    <col min="318" max="319" width="9.85546875" bestFit="1" customWidth="1"/>
    <col min="320" max="320" width="8.85546875" bestFit="1" customWidth="1"/>
    <col min="321" max="323" width="8.140625" bestFit="1" customWidth="1"/>
    <col min="324" max="326" width="8.85546875" bestFit="1" customWidth="1"/>
    <col min="327" max="327" width="8.140625" bestFit="1" customWidth="1"/>
    <col min="328" max="328" width="8.85546875" bestFit="1" customWidth="1"/>
    <col min="329" max="330" width="8.140625" bestFit="1" customWidth="1"/>
    <col min="331" max="332" width="8.85546875" bestFit="1" customWidth="1"/>
    <col min="333" max="333" width="9.85546875" bestFit="1" customWidth="1"/>
    <col min="334" max="334" width="8.85546875" bestFit="1" customWidth="1"/>
    <col min="335" max="335" width="8.140625" bestFit="1" customWidth="1"/>
    <col min="336" max="336" width="9.85546875" bestFit="1" customWidth="1"/>
    <col min="337" max="337" width="8.85546875" bestFit="1" customWidth="1"/>
    <col min="338" max="338" width="8.140625" bestFit="1" customWidth="1"/>
    <col min="339" max="339" width="9.85546875" bestFit="1" customWidth="1"/>
    <col min="340" max="340" width="8.85546875" bestFit="1" customWidth="1"/>
    <col min="341" max="344" width="8.140625" bestFit="1" customWidth="1"/>
    <col min="345" max="346" width="9.85546875" bestFit="1" customWidth="1"/>
    <col min="347" max="347" width="8.140625" bestFit="1" customWidth="1"/>
    <col min="348" max="348" width="8.85546875" bestFit="1" customWidth="1"/>
    <col min="349" max="349" width="8.140625" bestFit="1" customWidth="1"/>
    <col min="350" max="350" width="8.85546875" bestFit="1" customWidth="1"/>
    <col min="351" max="351" width="10.85546875" bestFit="1" customWidth="1"/>
    <col min="352" max="353" width="9.85546875" bestFit="1" customWidth="1"/>
    <col min="354" max="354" width="8.85546875" bestFit="1" customWidth="1"/>
    <col min="355" max="355" width="8.140625" bestFit="1" customWidth="1"/>
    <col min="356" max="357" width="8.85546875" bestFit="1" customWidth="1"/>
    <col min="358" max="358" width="8.140625" bestFit="1" customWidth="1"/>
    <col min="359" max="359" width="8.85546875" bestFit="1" customWidth="1"/>
    <col min="360" max="360" width="9.85546875" bestFit="1" customWidth="1"/>
    <col min="361" max="362" width="8.140625" bestFit="1" customWidth="1"/>
    <col min="363" max="363" width="8.85546875" bestFit="1" customWidth="1"/>
    <col min="364" max="365" width="8.140625" bestFit="1" customWidth="1"/>
    <col min="366" max="366" width="9.85546875" bestFit="1" customWidth="1"/>
    <col min="367" max="369" width="8.140625" bestFit="1" customWidth="1"/>
    <col min="370" max="370" width="9.85546875" bestFit="1" customWidth="1"/>
    <col min="371" max="372" width="8.140625" bestFit="1" customWidth="1"/>
    <col min="373" max="373" width="8.85546875" bestFit="1" customWidth="1"/>
    <col min="374" max="374" width="9.85546875" bestFit="1" customWidth="1"/>
    <col min="375" max="375" width="8.140625" bestFit="1" customWidth="1"/>
    <col min="376" max="376" width="8.85546875" bestFit="1" customWidth="1"/>
    <col min="377" max="377" width="8.140625" bestFit="1" customWidth="1"/>
    <col min="378" max="380" width="8.85546875" bestFit="1" customWidth="1"/>
    <col min="381" max="381" width="9.85546875" bestFit="1" customWidth="1"/>
    <col min="382" max="382" width="8.85546875" bestFit="1" customWidth="1"/>
    <col min="383" max="383" width="8.140625" bestFit="1" customWidth="1"/>
    <col min="384" max="385" width="8.85546875" bestFit="1" customWidth="1"/>
    <col min="386" max="386" width="8.140625" bestFit="1" customWidth="1"/>
    <col min="387" max="387" width="9.85546875" bestFit="1" customWidth="1"/>
    <col min="388" max="388" width="8.85546875" bestFit="1" customWidth="1"/>
    <col min="389" max="389" width="8.140625" bestFit="1" customWidth="1"/>
    <col min="390" max="390" width="9.85546875" bestFit="1" customWidth="1"/>
    <col min="391" max="391" width="8.85546875" bestFit="1" customWidth="1"/>
    <col min="392" max="392" width="8.140625" bestFit="1" customWidth="1"/>
    <col min="393" max="394" width="8.85546875" bestFit="1" customWidth="1"/>
    <col min="395" max="395" width="8.140625" bestFit="1" customWidth="1"/>
    <col min="396" max="396" width="10.85546875" bestFit="1" customWidth="1"/>
    <col min="397" max="397" width="8.140625" bestFit="1" customWidth="1"/>
    <col min="398" max="398" width="10.85546875" bestFit="1" customWidth="1"/>
    <col min="399" max="399" width="8.140625" bestFit="1" customWidth="1"/>
    <col min="400" max="400" width="8.85546875" bestFit="1" customWidth="1"/>
    <col min="401" max="401" width="10.85546875" bestFit="1" customWidth="1"/>
    <col min="402" max="402" width="8.140625" bestFit="1" customWidth="1"/>
    <col min="403" max="403" width="8.85546875" bestFit="1" customWidth="1"/>
    <col min="404" max="406" width="8.140625" bestFit="1" customWidth="1"/>
    <col min="407" max="407" width="8.85546875" bestFit="1" customWidth="1"/>
    <col min="408" max="408" width="8.140625" bestFit="1" customWidth="1"/>
    <col min="409" max="409" width="8.85546875" bestFit="1" customWidth="1"/>
    <col min="410" max="410" width="8.140625" bestFit="1" customWidth="1"/>
    <col min="411" max="411" width="9.85546875" bestFit="1" customWidth="1"/>
    <col min="412" max="412" width="8.140625" bestFit="1" customWidth="1"/>
    <col min="413" max="413" width="8.85546875" bestFit="1" customWidth="1"/>
    <col min="414" max="415" width="9.85546875" bestFit="1" customWidth="1"/>
    <col min="416" max="417" width="10.85546875" bestFit="1" customWidth="1"/>
    <col min="418" max="419" width="8.85546875" bestFit="1" customWidth="1"/>
    <col min="420" max="421" width="9.85546875" bestFit="1" customWidth="1"/>
    <col min="422" max="422" width="8.85546875" bestFit="1" customWidth="1"/>
    <col min="423" max="430" width="8.140625" bestFit="1" customWidth="1"/>
    <col min="431" max="432" width="8.85546875" bestFit="1" customWidth="1"/>
    <col min="433" max="434" width="8.140625" bestFit="1" customWidth="1"/>
    <col min="435" max="436" width="9.85546875" bestFit="1" customWidth="1"/>
    <col min="437" max="437" width="8.85546875" bestFit="1" customWidth="1"/>
    <col min="438" max="438" width="9.85546875" bestFit="1" customWidth="1"/>
    <col min="439" max="439" width="8.140625" bestFit="1" customWidth="1"/>
    <col min="440" max="440" width="8.85546875" bestFit="1" customWidth="1"/>
    <col min="441" max="441" width="9.85546875" bestFit="1" customWidth="1"/>
    <col min="442" max="447" width="8.140625" bestFit="1" customWidth="1"/>
    <col min="448" max="448" width="8.85546875" bestFit="1" customWidth="1"/>
    <col min="449" max="454" width="8.140625" bestFit="1" customWidth="1"/>
    <col min="455" max="455" width="8.85546875" bestFit="1" customWidth="1"/>
    <col min="456" max="458" width="8.140625" bestFit="1" customWidth="1"/>
    <col min="459" max="459" width="10.85546875" bestFit="1" customWidth="1"/>
    <col min="460" max="460" width="9.85546875" bestFit="1" customWidth="1"/>
    <col min="461" max="463" width="8.140625" bestFit="1" customWidth="1"/>
    <col min="464" max="464" width="8.85546875" bestFit="1" customWidth="1"/>
    <col min="465" max="465" width="10.85546875" bestFit="1" customWidth="1"/>
    <col min="466" max="467" width="8.140625" bestFit="1" customWidth="1"/>
    <col min="468" max="469" width="8.85546875" bestFit="1" customWidth="1"/>
    <col min="470" max="471" width="8.140625" bestFit="1" customWidth="1"/>
    <col min="472" max="472" width="8.85546875" bestFit="1" customWidth="1"/>
    <col min="473" max="474" width="8.140625" bestFit="1" customWidth="1"/>
    <col min="475" max="475" width="8.85546875" bestFit="1" customWidth="1"/>
    <col min="476" max="476" width="9.85546875" bestFit="1" customWidth="1"/>
    <col min="477" max="477" width="8.140625" bestFit="1" customWidth="1"/>
    <col min="478" max="478" width="9.85546875" bestFit="1" customWidth="1"/>
    <col min="479" max="479" width="8.140625" bestFit="1" customWidth="1"/>
    <col min="480" max="481" width="9.85546875" bestFit="1" customWidth="1"/>
    <col min="482" max="482" width="8.140625" bestFit="1" customWidth="1"/>
    <col min="483" max="485" width="8.85546875" bestFit="1" customWidth="1"/>
    <col min="486" max="489" width="8.140625" bestFit="1" customWidth="1"/>
    <col min="490" max="490" width="8.85546875" bestFit="1" customWidth="1"/>
    <col min="491" max="492" width="9.85546875" bestFit="1" customWidth="1"/>
    <col min="493" max="493" width="8.140625" bestFit="1" customWidth="1"/>
    <col min="494" max="494" width="9.85546875" bestFit="1" customWidth="1"/>
    <col min="495" max="495" width="8.140625" bestFit="1" customWidth="1"/>
    <col min="496" max="496" width="9.85546875" bestFit="1" customWidth="1"/>
    <col min="497" max="497" width="10.85546875" bestFit="1" customWidth="1"/>
    <col min="498" max="498" width="8.140625" bestFit="1" customWidth="1"/>
    <col min="499" max="499" width="8.85546875" bestFit="1" customWidth="1"/>
    <col min="500" max="500" width="9.85546875" bestFit="1" customWidth="1"/>
    <col min="501" max="502" width="8.140625" bestFit="1" customWidth="1"/>
    <col min="503" max="503" width="9.85546875" bestFit="1" customWidth="1"/>
    <col min="504" max="504" width="8.85546875" bestFit="1" customWidth="1"/>
    <col min="505" max="512" width="8.140625" bestFit="1" customWidth="1"/>
    <col min="513" max="513" width="8.85546875" bestFit="1" customWidth="1"/>
    <col min="514" max="514" width="9.85546875" bestFit="1" customWidth="1"/>
    <col min="515" max="517" width="8.140625" bestFit="1" customWidth="1"/>
    <col min="518" max="518" width="8.85546875" bestFit="1" customWidth="1"/>
    <col min="519" max="520" width="8.140625" bestFit="1" customWidth="1"/>
    <col min="521" max="521" width="8.85546875" bestFit="1" customWidth="1"/>
    <col min="522" max="524" width="8.140625" bestFit="1" customWidth="1"/>
    <col min="525" max="525" width="8.85546875" bestFit="1" customWidth="1"/>
    <col min="526" max="526" width="12.28515625" bestFit="1" customWidth="1"/>
  </cols>
  <sheetData>
    <row r="1" spans="1:10" x14ac:dyDescent="0.25">
      <c r="A1" s="33" t="s">
        <v>4555</v>
      </c>
    </row>
    <row r="3" spans="1:10" x14ac:dyDescent="0.25">
      <c r="A3" s="21" t="s">
        <v>4510</v>
      </c>
      <c r="B3" t="s">
        <v>4512</v>
      </c>
    </row>
    <row r="5" spans="1:10" x14ac:dyDescent="0.25">
      <c r="A5" s="21" t="s">
        <v>4509</v>
      </c>
      <c r="B5" s="21" t="s">
        <v>4508</v>
      </c>
    </row>
    <row r="6" spans="1:10" x14ac:dyDescent="0.25">
      <c r="A6" s="21" t="s">
        <v>4506</v>
      </c>
      <c r="B6" s="11">
        <v>45658</v>
      </c>
      <c r="C6" s="11">
        <v>45748</v>
      </c>
      <c r="D6" s="11">
        <v>45839</v>
      </c>
      <c r="E6" s="11">
        <v>45931</v>
      </c>
      <c r="F6" s="11">
        <v>46023</v>
      </c>
      <c r="G6" s="11">
        <v>46054</v>
      </c>
      <c r="H6" s="11">
        <v>46082</v>
      </c>
      <c r="I6" s="11">
        <v>46083</v>
      </c>
      <c r="J6" s="11">
        <v>46097</v>
      </c>
    </row>
    <row r="7" spans="1:10" x14ac:dyDescent="0.25">
      <c r="A7" s="22" t="s">
        <v>38</v>
      </c>
      <c r="B7" s="20">
        <v>597587650.70000005</v>
      </c>
      <c r="C7" s="20">
        <v>373891914.70999992</v>
      </c>
      <c r="D7" s="20">
        <v>90036541.089999974</v>
      </c>
      <c r="E7" s="20">
        <v>91211138.219999984</v>
      </c>
      <c r="F7" s="20">
        <v>501649895.98000002</v>
      </c>
      <c r="G7" s="20">
        <v>146505680.11000001</v>
      </c>
      <c r="H7" s="20">
        <v>407820112.70000005</v>
      </c>
      <c r="I7" s="20">
        <v>407820112.70000005</v>
      </c>
      <c r="J7" s="20">
        <v>330523124.55000013</v>
      </c>
    </row>
    <row r="8" spans="1:10" x14ac:dyDescent="0.25">
      <c r="A8" s="22" t="s">
        <v>27</v>
      </c>
      <c r="B8" s="20">
        <v>11921280.800000001</v>
      </c>
      <c r="C8" s="20">
        <v>238746166.75</v>
      </c>
      <c r="D8" s="20">
        <v>102530731.47999999</v>
      </c>
      <c r="E8" s="20">
        <v>81005201.409999982</v>
      </c>
      <c r="F8" s="20">
        <v>279969299.03999996</v>
      </c>
      <c r="G8" s="20">
        <v>697961474.73000002</v>
      </c>
      <c r="H8" s="20">
        <v>709358616.53000009</v>
      </c>
      <c r="I8" s="20">
        <v>709358616.53000009</v>
      </c>
      <c r="J8" s="20">
        <v>675423771.43000007</v>
      </c>
    </row>
    <row r="9" spans="1:10" x14ac:dyDescent="0.25">
      <c r="A9" s="22" t="s">
        <v>71</v>
      </c>
      <c r="B9" s="20">
        <v>1169614.7699999998</v>
      </c>
      <c r="C9" s="20">
        <v>197772311.02000001</v>
      </c>
      <c r="D9" s="20">
        <v>9004023.5900000017</v>
      </c>
      <c r="E9" s="20">
        <v>55026900.909999996</v>
      </c>
      <c r="F9" s="20">
        <v>20432383.68</v>
      </c>
      <c r="G9" s="20">
        <v>80445566.74000001</v>
      </c>
      <c r="H9" s="20">
        <v>91386871.23999998</v>
      </c>
      <c r="I9" s="20">
        <v>91386871.23999998</v>
      </c>
      <c r="J9" s="20">
        <v>271736912.28999996</v>
      </c>
    </row>
    <row r="10" spans="1:10" x14ac:dyDescent="0.25">
      <c r="A10" s="22" t="s">
        <v>22</v>
      </c>
      <c r="B10" s="20">
        <v>2979865.67</v>
      </c>
      <c r="C10" s="20">
        <v>1524827.02</v>
      </c>
      <c r="D10" s="20">
        <v>102983547.93000001</v>
      </c>
      <c r="E10" s="20">
        <v>3963036.88</v>
      </c>
      <c r="F10" s="20">
        <v>4157378.81</v>
      </c>
      <c r="G10" s="20">
        <v>21952997.320000004</v>
      </c>
      <c r="H10" s="20">
        <v>85516534.040000021</v>
      </c>
      <c r="I10" s="20">
        <v>85516534.040000021</v>
      </c>
      <c r="J10" s="20">
        <v>150081108.97000003</v>
      </c>
    </row>
    <row r="11" spans="1:10" x14ac:dyDescent="0.25">
      <c r="A11" s="22" t="s">
        <v>67</v>
      </c>
      <c r="B11" s="20">
        <v>8840977.7600000035</v>
      </c>
      <c r="C11" s="20">
        <v>3148698.0900000008</v>
      </c>
      <c r="D11" s="20">
        <v>18508131.149999999</v>
      </c>
      <c r="E11" s="20">
        <v>5511118.1199999992</v>
      </c>
      <c r="F11" s="20">
        <v>4505778.7700000005</v>
      </c>
      <c r="G11" s="20">
        <v>5082428.5799999991</v>
      </c>
      <c r="H11" s="20">
        <v>4951120.8699999992</v>
      </c>
      <c r="I11" s="20">
        <v>4951120.8699999992</v>
      </c>
      <c r="J11" s="20">
        <v>4284896.3</v>
      </c>
    </row>
    <row r="12" spans="1:10" x14ac:dyDescent="0.25">
      <c r="A12" s="22" t="s">
        <v>92</v>
      </c>
      <c r="B12" s="20">
        <v>720814.9</v>
      </c>
      <c r="C12" s="20">
        <v>8780485.2600000035</v>
      </c>
      <c r="D12" s="20">
        <v>2388345.7999999998</v>
      </c>
      <c r="E12" s="20">
        <v>16343862.810000001</v>
      </c>
      <c r="F12" s="20">
        <v>946937.03</v>
      </c>
      <c r="G12" s="20">
        <v>2048487.7</v>
      </c>
      <c r="H12" s="20">
        <v>2195362.81</v>
      </c>
      <c r="I12" s="20">
        <v>2195362.81</v>
      </c>
      <c r="J12" s="20">
        <v>3449308.17</v>
      </c>
    </row>
    <row r="13" spans="1:10" x14ac:dyDescent="0.25">
      <c r="A13" s="22" t="s">
        <v>17</v>
      </c>
      <c r="B13" s="20">
        <v>2334053.9099999997</v>
      </c>
      <c r="C13" s="20">
        <v>2476211.9499999997</v>
      </c>
      <c r="D13" s="20">
        <v>11076826.930000002</v>
      </c>
      <c r="E13" s="20">
        <v>12048851.839999998</v>
      </c>
      <c r="F13" s="20">
        <v>2090055.49</v>
      </c>
      <c r="G13" s="20">
        <v>2289871.8199999998</v>
      </c>
      <c r="H13" s="20">
        <v>2569387.8199999998</v>
      </c>
      <c r="I13" s="20">
        <v>2569387.8199999998</v>
      </c>
      <c r="J13" s="20">
        <v>11071596.540000001</v>
      </c>
    </row>
    <row r="14" spans="1:10" x14ac:dyDescent="0.25">
      <c r="A14" s="22" t="s">
        <v>4507</v>
      </c>
      <c r="B14" s="20">
        <v>625554258.50999987</v>
      </c>
      <c r="C14" s="20">
        <v>826340614.79999995</v>
      </c>
      <c r="D14" s="20">
        <v>336528147.96999997</v>
      </c>
      <c r="E14" s="20">
        <v>265110110.18999997</v>
      </c>
      <c r="F14" s="20">
        <v>813751728.79999983</v>
      </c>
      <c r="G14" s="20">
        <v>956286507.00000024</v>
      </c>
      <c r="H14" s="20">
        <v>1303798006.0099998</v>
      </c>
      <c r="I14" s="20">
        <v>1303798006.0099998</v>
      </c>
      <c r="J14" s="20">
        <v>1446570718.2500002</v>
      </c>
    </row>
    <row r="17" spans="1:29" x14ac:dyDescent="0.25">
      <c r="A17" s="34" t="s">
        <v>4556</v>
      </c>
    </row>
    <row r="19" spans="1:29" x14ac:dyDescent="0.25">
      <c r="A19" s="21" t="s">
        <v>4510</v>
      </c>
      <c r="B19" t="s">
        <v>4511</v>
      </c>
    </row>
    <row r="20" spans="1:29" x14ac:dyDescent="0.25">
      <c r="A20" s="21" t="s">
        <v>7</v>
      </c>
      <c r="B20" t="s">
        <v>4512</v>
      </c>
    </row>
    <row r="21" spans="1:29" x14ac:dyDescent="0.25">
      <c r="A21" s="21" t="s">
        <v>9</v>
      </c>
      <c r="B21" t="s">
        <v>4511</v>
      </c>
    </row>
    <row r="22" spans="1:29" x14ac:dyDescent="0.25">
      <c r="A22" s="21" t="s">
        <v>4504</v>
      </c>
      <c r="B22" t="s">
        <v>4511</v>
      </c>
    </row>
    <row r="24" spans="1:29" x14ac:dyDescent="0.25">
      <c r="A24" s="21" t="s">
        <v>4509</v>
      </c>
      <c r="B24" s="21" t="s">
        <v>4508</v>
      </c>
    </row>
    <row r="25" spans="1:29" x14ac:dyDescent="0.25">
      <c r="A25" s="21" t="s">
        <v>4506</v>
      </c>
      <c r="B25" s="11">
        <v>45292</v>
      </c>
      <c r="C25" s="11">
        <v>45383</v>
      </c>
      <c r="D25" s="11">
        <v>45474</v>
      </c>
      <c r="E25" s="11">
        <v>45566</v>
      </c>
      <c r="F25" s="11">
        <v>45658</v>
      </c>
      <c r="G25" s="11">
        <v>45748</v>
      </c>
      <c r="H25" s="11">
        <v>45839</v>
      </c>
      <c r="I25" s="11">
        <v>45931</v>
      </c>
      <c r="J25" s="11">
        <v>46023</v>
      </c>
      <c r="K25" s="11">
        <v>46054</v>
      </c>
      <c r="L25" s="11">
        <v>46082</v>
      </c>
      <c r="M25" s="11">
        <v>46083</v>
      </c>
      <c r="N25" s="11">
        <v>46097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x14ac:dyDescent="0.25">
      <c r="A26" s="22" t="s">
        <v>3340</v>
      </c>
      <c r="B26" s="20"/>
      <c r="C26" s="20">
        <v>440</v>
      </c>
      <c r="D26" s="20">
        <v>440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29" x14ac:dyDescent="0.25">
      <c r="A27" s="22" t="s">
        <v>18</v>
      </c>
      <c r="B27" s="20">
        <v>6600</v>
      </c>
      <c r="C27" s="20">
        <v>5200</v>
      </c>
      <c r="D27" s="20">
        <v>2800</v>
      </c>
      <c r="E27" s="20">
        <v>2600</v>
      </c>
      <c r="F27" s="20">
        <v>2200</v>
      </c>
      <c r="G27" s="20">
        <v>800</v>
      </c>
      <c r="H27" s="20"/>
      <c r="I27" s="20"/>
      <c r="J27" s="20"/>
      <c r="K27" s="20"/>
      <c r="L27" s="20"/>
      <c r="M27" s="20"/>
      <c r="N27" s="20"/>
    </row>
    <row r="28" spans="1:29" x14ac:dyDescent="0.25">
      <c r="A28" s="22" t="s">
        <v>1083</v>
      </c>
      <c r="B28" s="20"/>
      <c r="C28" s="20"/>
      <c r="D28" s="20"/>
      <c r="E28" s="20"/>
      <c r="F28" s="20"/>
      <c r="G28" s="20"/>
      <c r="H28" s="20"/>
      <c r="I28" s="20"/>
      <c r="J28" s="20"/>
      <c r="K28" s="20">
        <v>126099.22</v>
      </c>
      <c r="L28" s="20">
        <v>126099.22</v>
      </c>
      <c r="M28" s="20">
        <v>126099.22</v>
      </c>
      <c r="N28" s="20"/>
    </row>
    <row r="29" spans="1:29" x14ac:dyDescent="0.25">
      <c r="A29" s="22" t="s">
        <v>52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>
        <v>30100</v>
      </c>
      <c r="M29" s="20">
        <v>30100</v>
      </c>
      <c r="N29" s="20">
        <v>30100</v>
      </c>
    </row>
    <row r="30" spans="1:29" x14ac:dyDescent="0.25">
      <c r="A30" s="22" t="s">
        <v>13</v>
      </c>
      <c r="B30" s="20">
        <v>0.01</v>
      </c>
      <c r="C30" s="20">
        <v>0.01</v>
      </c>
      <c r="D30" s="20">
        <v>0.01</v>
      </c>
      <c r="E30" s="20">
        <v>0.01</v>
      </c>
      <c r="F30" s="20">
        <v>0.01</v>
      </c>
      <c r="G30" s="20">
        <v>0.01</v>
      </c>
      <c r="H30" s="20">
        <v>0.01</v>
      </c>
      <c r="I30" s="20">
        <v>0.01</v>
      </c>
      <c r="J30" s="20">
        <v>0.01</v>
      </c>
      <c r="K30" s="20">
        <v>0.01</v>
      </c>
      <c r="L30" s="20">
        <v>0.01</v>
      </c>
      <c r="M30" s="20">
        <v>0.01</v>
      </c>
      <c r="N30" s="20">
        <v>0.01</v>
      </c>
    </row>
    <row r="31" spans="1:29" x14ac:dyDescent="0.25">
      <c r="A31" s="22" t="s">
        <v>80</v>
      </c>
      <c r="B31" s="20"/>
      <c r="C31" s="20"/>
      <c r="D31" s="20"/>
      <c r="E31" s="20"/>
      <c r="F31" s="20"/>
      <c r="G31" s="20"/>
      <c r="H31" s="20"/>
      <c r="I31" s="20"/>
      <c r="J31" s="20"/>
      <c r="K31" s="20">
        <v>4985</v>
      </c>
      <c r="L31" s="20">
        <v>4985</v>
      </c>
      <c r="M31" s="20">
        <v>4985</v>
      </c>
      <c r="N31" s="20">
        <v>4985</v>
      </c>
    </row>
    <row r="32" spans="1:29" x14ac:dyDescent="0.25">
      <c r="A32" s="22" t="s">
        <v>1278</v>
      </c>
      <c r="B32" s="20"/>
      <c r="C32" s="20"/>
      <c r="D32" s="20"/>
      <c r="E32" s="20"/>
      <c r="F32" s="20"/>
      <c r="G32" s="20"/>
      <c r="H32" s="20"/>
      <c r="I32" s="20">
        <v>194112</v>
      </c>
      <c r="J32" s="20"/>
      <c r="K32" s="20"/>
      <c r="L32" s="20"/>
      <c r="M32" s="20"/>
      <c r="N32" s="20"/>
    </row>
    <row r="33" spans="1:14" x14ac:dyDescent="0.25">
      <c r="A33" s="22" t="s">
        <v>88</v>
      </c>
      <c r="B33" s="20"/>
      <c r="C33" s="20"/>
      <c r="D33" s="20"/>
      <c r="E33" s="20"/>
      <c r="F33" s="20"/>
      <c r="G33" s="20"/>
      <c r="H33" s="20"/>
      <c r="I33" s="20">
        <v>198000</v>
      </c>
      <c r="J33" s="20">
        <v>198000</v>
      </c>
      <c r="K33" s="20">
        <v>198000</v>
      </c>
      <c r="L33" s="20">
        <v>198000</v>
      </c>
      <c r="M33" s="20">
        <v>198000</v>
      </c>
      <c r="N33" s="20">
        <v>198000</v>
      </c>
    </row>
    <row r="34" spans="1:14" x14ac:dyDescent="0.25">
      <c r="A34" s="22" t="s">
        <v>93</v>
      </c>
      <c r="B34" s="20"/>
      <c r="C34" s="20"/>
      <c r="D34" s="20"/>
      <c r="E34" s="20">
        <v>1017.07</v>
      </c>
      <c r="F34" s="20"/>
      <c r="G34" s="20"/>
      <c r="H34" s="20"/>
      <c r="I34" s="20"/>
      <c r="J34" s="20"/>
      <c r="K34" s="20"/>
      <c r="L34" s="20">
        <v>84963.58</v>
      </c>
      <c r="M34" s="20">
        <v>84963.58</v>
      </c>
      <c r="N34" s="20">
        <v>93563.45</v>
      </c>
    </row>
    <row r="35" spans="1:14" x14ac:dyDescent="0.25">
      <c r="A35" s="22" t="s">
        <v>1087</v>
      </c>
      <c r="B35" s="20"/>
      <c r="C35" s="20"/>
      <c r="D35" s="20"/>
      <c r="E35" s="20"/>
      <c r="F35" s="20"/>
      <c r="G35" s="20">
        <v>35421.75</v>
      </c>
      <c r="H35" s="20">
        <v>35421.75</v>
      </c>
      <c r="I35" s="20">
        <v>35421.75</v>
      </c>
      <c r="J35" s="20">
        <v>35421.75</v>
      </c>
      <c r="K35" s="20">
        <v>35421.75</v>
      </c>
      <c r="L35" s="20">
        <v>35421.75</v>
      </c>
      <c r="M35" s="20">
        <v>35421.75</v>
      </c>
      <c r="N35" s="20">
        <v>35421.75</v>
      </c>
    </row>
    <row r="36" spans="1:14" x14ac:dyDescent="0.25">
      <c r="A36" s="22" t="s">
        <v>1888</v>
      </c>
      <c r="B36" s="20"/>
      <c r="C36" s="20"/>
      <c r="D36" s="20"/>
      <c r="E36" s="20">
        <v>12470</v>
      </c>
      <c r="F36" s="20">
        <v>12470</v>
      </c>
      <c r="G36" s="20">
        <v>12470</v>
      </c>
      <c r="H36" s="20">
        <v>12470</v>
      </c>
      <c r="I36" s="20"/>
      <c r="J36" s="20"/>
      <c r="K36" s="20"/>
      <c r="L36" s="20"/>
      <c r="M36" s="20"/>
      <c r="N36" s="20"/>
    </row>
    <row r="37" spans="1:14" x14ac:dyDescent="0.25">
      <c r="A37" s="22" t="s">
        <v>120</v>
      </c>
      <c r="B37" s="20"/>
      <c r="C37" s="20"/>
      <c r="D37" s="20"/>
      <c r="E37" s="20"/>
      <c r="F37" s="20">
        <v>660800</v>
      </c>
      <c r="G37" s="20"/>
      <c r="H37" s="20"/>
      <c r="I37" s="20"/>
      <c r="J37" s="20">
        <v>691600</v>
      </c>
      <c r="K37" s="20">
        <v>691600</v>
      </c>
      <c r="L37" s="20">
        <v>691600</v>
      </c>
      <c r="M37" s="20">
        <v>691600</v>
      </c>
      <c r="N37" s="20">
        <v>691600</v>
      </c>
    </row>
    <row r="38" spans="1:14" x14ac:dyDescent="0.25">
      <c r="A38" s="22" t="s">
        <v>124</v>
      </c>
      <c r="B38" s="20"/>
      <c r="C38" s="20"/>
      <c r="D38" s="20">
        <v>33000</v>
      </c>
      <c r="E38" s="20">
        <v>16500</v>
      </c>
      <c r="F38" s="20"/>
      <c r="G38" s="20"/>
      <c r="H38" s="20">
        <v>33000</v>
      </c>
      <c r="I38" s="20">
        <v>16500</v>
      </c>
      <c r="J38" s="20"/>
      <c r="K38" s="20"/>
      <c r="L38" s="20"/>
      <c r="M38" s="20"/>
      <c r="N38" s="20"/>
    </row>
    <row r="39" spans="1:14" x14ac:dyDescent="0.25">
      <c r="A39" s="22" t="s">
        <v>128</v>
      </c>
      <c r="B39" s="20"/>
      <c r="C39" s="20"/>
      <c r="D39" s="20"/>
      <c r="E39" s="20"/>
      <c r="F39" s="20"/>
      <c r="G39" s="20"/>
      <c r="H39" s="20"/>
      <c r="I39" s="20"/>
      <c r="J39" s="20"/>
      <c r="K39" s="20">
        <v>1600000</v>
      </c>
      <c r="L39" s="20">
        <v>1600000</v>
      </c>
      <c r="M39" s="20">
        <v>1600000</v>
      </c>
      <c r="N39" s="20">
        <v>1600000</v>
      </c>
    </row>
    <row r="40" spans="1:14" x14ac:dyDescent="0.25">
      <c r="A40" s="22" t="s">
        <v>143</v>
      </c>
      <c r="B40" s="20"/>
      <c r="C40" s="20"/>
      <c r="D40" s="20"/>
      <c r="E40" s="20"/>
      <c r="F40" s="20"/>
      <c r="G40" s="20"/>
      <c r="H40" s="20"/>
      <c r="I40" s="20"/>
      <c r="J40" s="20">
        <v>7000</v>
      </c>
      <c r="K40" s="20">
        <v>7000</v>
      </c>
      <c r="L40" s="20">
        <v>7000</v>
      </c>
      <c r="M40" s="20">
        <v>7000</v>
      </c>
      <c r="N40" s="20">
        <v>7000</v>
      </c>
    </row>
    <row r="41" spans="1:14" x14ac:dyDescent="0.25">
      <c r="A41" s="22" t="s">
        <v>1891</v>
      </c>
      <c r="B41" s="20">
        <v>15001</v>
      </c>
      <c r="C41" s="20">
        <v>6879</v>
      </c>
      <c r="D41" s="20">
        <v>6879</v>
      </c>
      <c r="E41" s="20">
        <v>6879</v>
      </c>
      <c r="F41" s="20">
        <v>6879</v>
      </c>
      <c r="G41" s="20">
        <v>2818</v>
      </c>
      <c r="H41" s="20">
        <v>2818</v>
      </c>
      <c r="I41" s="20"/>
      <c r="J41" s="20"/>
      <c r="K41" s="20"/>
      <c r="L41" s="20"/>
      <c r="M41" s="20"/>
      <c r="N41" s="20"/>
    </row>
    <row r="42" spans="1:14" x14ac:dyDescent="0.25">
      <c r="A42" s="22" t="s">
        <v>150</v>
      </c>
      <c r="B42" s="20"/>
      <c r="C42" s="20"/>
      <c r="D42" s="20"/>
      <c r="E42" s="20">
        <v>230826.41</v>
      </c>
      <c r="F42" s="20"/>
      <c r="G42" s="20"/>
      <c r="H42" s="20"/>
      <c r="I42" s="20">
        <v>302809.05</v>
      </c>
      <c r="J42" s="20"/>
      <c r="K42" s="20"/>
      <c r="L42" s="20"/>
      <c r="M42" s="20"/>
      <c r="N42" s="20"/>
    </row>
    <row r="43" spans="1:14" x14ac:dyDescent="0.25">
      <c r="A43" s="22" t="s">
        <v>158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>
        <v>52154.400000000001</v>
      </c>
      <c r="M43" s="20">
        <v>52154.400000000001</v>
      </c>
      <c r="N43" s="20"/>
    </row>
    <row r="44" spans="1:14" x14ac:dyDescent="0.25">
      <c r="A44" s="22" t="s">
        <v>172</v>
      </c>
      <c r="B44" s="20"/>
      <c r="C44" s="20"/>
      <c r="D44" s="20"/>
      <c r="E44" s="20"/>
      <c r="F44" s="20">
        <v>12630</v>
      </c>
      <c r="G44" s="20">
        <v>12630</v>
      </c>
      <c r="H44" s="20">
        <v>12630</v>
      </c>
      <c r="I44" s="20">
        <v>12630</v>
      </c>
      <c r="J44" s="20">
        <v>12630</v>
      </c>
      <c r="K44" s="20">
        <v>12630</v>
      </c>
      <c r="L44" s="20">
        <v>12630</v>
      </c>
      <c r="M44" s="20">
        <v>12630</v>
      </c>
      <c r="N44" s="20">
        <v>12630</v>
      </c>
    </row>
    <row r="45" spans="1:14" x14ac:dyDescent="0.25">
      <c r="A45" s="22" t="s">
        <v>180</v>
      </c>
      <c r="B45" s="20"/>
      <c r="C45" s="20"/>
      <c r="D45" s="20">
        <v>8750</v>
      </c>
      <c r="E45" s="20">
        <v>8750</v>
      </c>
      <c r="F45" s="20"/>
      <c r="G45" s="20"/>
      <c r="H45" s="20"/>
      <c r="I45" s="20"/>
      <c r="J45" s="20">
        <v>14178</v>
      </c>
      <c r="K45" s="20">
        <v>14178</v>
      </c>
      <c r="L45" s="20">
        <v>14178</v>
      </c>
      <c r="M45" s="20">
        <v>14178</v>
      </c>
      <c r="N45" s="20">
        <v>14178</v>
      </c>
    </row>
    <row r="46" spans="1:14" x14ac:dyDescent="0.25">
      <c r="A46" s="22" t="s">
        <v>186</v>
      </c>
      <c r="B46" s="20">
        <v>6600</v>
      </c>
      <c r="C46" s="20">
        <v>6600</v>
      </c>
      <c r="D46" s="20">
        <v>6600</v>
      </c>
      <c r="E46" s="20"/>
      <c r="F46" s="20">
        <v>19800</v>
      </c>
      <c r="G46" s="20">
        <v>51400</v>
      </c>
      <c r="H46" s="20">
        <v>51400</v>
      </c>
      <c r="I46" s="20">
        <v>44800</v>
      </c>
      <c r="J46" s="20">
        <v>51400</v>
      </c>
      <c r="K46" s="20">
        <v>51400</v>
      </c>
      <c r="L46" s="20">
        <v>76400</v>
      </c>
      <c r="M46" s="20">
        <v>76400</v>
      </c>
      <c r="N46" s="20">
        <v>101400</v>
      </c>
    </row>
    <row r="47" spans="1:14" x14ac:dyDescent="0.25">
      <c r="A47" s="22" t="s">
        <v>1350</v>
      </c>
      <c r="B47" s="20"/>
      <c r="C47" s="20"/>
      <c r="D47" s="20"/>
      <c r="E47" s="20"/>
      <c r="F47" s="20"/>
      <c r="G47" s="20"/>
      <c r="H47" s="20">
        <v>360000</v>
      </c>
      <c r="I47" s="20">
        <v>360000</v>
      </c>
      <c r="J47" s="20"/>
      <c r="K47" s="20"/>
      <c r="L47" s="20"/>
      <c r="M47" s="20"/>
      <c r="N47" s="20"/>
    </row>
    <row r="48" spans="1:14" x14ac:dyDescent="0.25">
      <c r="A48" s="22" t="s">
        <v>3123</v>
      </c>
      <c r="B48" s="20"/>
      <c r="C48" s="20"/>
      <c r="D48" s="20"/>
      <c r="E48" s="20">
        <v>1700000</v>
      </c>
      <c r="F48" s="20"/>
      <c r="G48" s="20"/>
      <c r="H48" s="20"/>
      <c r="I48" s="20"/>
      <c r="J48" s="20"/>
      <c r="K48" s="20"/>
      <c r="L48" s="20"/>
      <c r="M48" s="20"/>
      <c r="N48" s="20"/>
    </row>
    <row r="49" spans="1:14" x14ac:dyDescent="0.25">
      <c r="A49" s="22" t="s">
        <v>244</v>
      </c>
      <c r="B49" s="20"/>
      <c r="C49" s="20"/>
      <c r="D49" s="20"/>
      <c r="E49" s="20"/>
      <c r="F49" s="20"/>
      <c r="G49" s="20"/>
      <c r="H49" s="20"/>
      <c r="I49" s="20"/>
      <c r="J49" s="20">
        <v>275272</v>
      </c>
      <c r="K49" s="20">
        <v>275272</v>
      </c>
      <c r="L49" s="20">
        <v>275272</v>
      </c>
      <c r="M49" s="20">
        <v>275272</v>
      </c>
      <c r="N49" s="20">
        <v>275272</v>
      </c>
    </row>
    <row r="50" spans="1:14" x14ac:dyDescent="0.25">
      <c r="A50" s="22" t="s">
        <v>248</v>
      </c>
      <c r="B50" s="20">
        <v>2324.42</v>
      </c>
      <c r="C50" s="20">
        <v>2324.42</v>
      </c>
      <c r="D50" s="20">
        <v>2324.42</v>
      </c>
      <c r="E50" s="20"/>
      <c r="F50" s="20">
        <v>2323.89</v>
      </c>
      <c r="G50" s="20">
        <v>2323.89</v>
      </c>
      <c r="H50" s="20">
        <v>61903.89</v>
      </c>
      <c r="I50" s="20"/>
      <c r="J50" s="20"/>
      <c r="K50" s="20"/>
      <c r="L50" s="20"/>
      <c r="M50" s="20"/>
      <c r="N50" s="20"/>
    </row>
    <row r="51" spans="1:14" x14ac:dyDescent="0.25">
      <c r="A51" s="22" t="s">
        <v>1364</v>
      </c>
      <c r="B51" s="20">
        <v>5433.05</v>
      </c>
      <c r="C51" s="20">
        <v>5433.05</v>
      </c>
      <c r="D51" s="20">
        <v>5433.05</v>
      </c>
      <c r="E51" s="20">
        <v>5433.05</v>
      </c>
      <c r="F51" s="20">
        <v>5433.05</v>
      </c>
      <c r="G51" s="20">
        <v>5433.05</v>
      </c>
      <c r="H51" s="20">
        <v>5433.05</v>
      </c>
      <c r="I51" s="20">
        <v>5433.05</v>
      </c>
      <c r="J51" s="20"/>
      <c r="K51" s="20"/>
      <c r="L51" s="20"/>
      <c r="M51" s="20"/>
      <c r="N51" s="20"/>
    </row>
    <row r="52" spans="1:14" x14ac:dyDescent="0.25">
      <c r="A52" s="22" t="s">
        <v>271</v>
      </c>
      <c r="B52" s="20"/>
      <c r="C52" s="20"/>
      <c r="D52" s="20"/>
      <c r="E52" s="20">
        <v>1657.1</v>
      </c>
      <c r="F52" s="20">
        <v>600</v>
      </c>
      <c r="G52" s="20">
        <v>600</v>
      </c>
      <c r="H52" s="20">
        <v>600</v>
      </c>
      <c r="I52" s="20">
        <v>30563</v>
      </c>
      <c r="J52" s="20">
        <v>713131</v>
      </c>
      <c r="K52" s="20">
        <v>713131</v>
      </c>
      <c r="L52" s="20">
        <v>713131</v>
      </c>
      <c r="M52" s="20">
        <v>713131</v>
      </c>
      <c r="N52" s="20">
        <v>713131</v>
      </c>
    </row>
    <row r="53" spans="1:14" x14ac:dyDescent="0.25">
      <c r="A53" s="22" t="s">
        <v>297</v>
      </c>
      <c r="B53" s="20">
        <v>4596</v>
      </c>
      <c r="C53" s="20">
        <v>7706</v>
      </c>
      <c r="D53" s="20">
        <v>3314</v>
      </c>
      <c r="E53" s="20"/>
      <c r="F53" s="20">
        <v>3959</v>
      </c>
      <c r="G53" s="20">
        <v>3959</v>
      </c>
      <c r="H53" s="20">
        <v>3959</v>
      </c>
      <c r="I53" s="20">
        <v>3959</v>
      </c>
      <c r="J53" s="20">
        <v>3959</v>
      </c>
      <c r="K53" s="20">
        <v>5879</v>
      </c>
      <c r="L53" s="20">
        <v>47079</v>
      </c>
      <c r="M53" s="20">
        <v>47079</v>
      </c>
      <c r="N53" s="20">
        <v>47079</v>
      </c>
    </row>
    <row r="54" spans="1:14" x14ac:dyDescent="0.25">
      <c r="A54" s="22" t="s">
        <v>4226</v>
      </c>
      <c r="B54" s="20">
        <v>39444.6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5">
      <c r="A55" s="22" t="s">
        <v>2916</v>
      </c>
      <c r="B55" s="20"/>
      <c r="C55" s="20"/>
      <c r="D55" s="20"/>
      <c r="E55" s="20"/>
      <c r="F55" s="20">
        <v>2999</v>
      </c>
      <c r="G55" s="20"/>
      <c r="H55" s="20"/>
      <c r="I55" s="20"/>
      <c r="J55" s="20"/>
      <c r="K55" s="20"/>
      <c r="L55" s="20"/>
      <c r="M55" s="20"/>
      <c r="N55" s="20"/>
    </row>
    <row r="56" spans="1:14" x14ac:dyDescent="0.25">
      <c r="A56" s="22" t="s">
        <v>3147</v>
      </c>
      <c r="B56" s="20"/>
      <c r="C56" s="20">
        <v>127.61</v>
      </c>
      <c r="D56" s="20">
        <v>127.61</v>
      </c>
      <c r="E56" s="20">
        <v>127.61</v>
      </c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5">
      <c r="A57" s="22" t="s">
        <v>3333</v>
      </c>
      <c r="B57" s="20"/>
      <c r="C57" s="20"/>
      <c r="D57" s="20"/>
      <c r="E57" s="20">
        <v>299766.39</v>
      </c>
      <c r="F57" s="20"/>
      <c r="G57" s="20"/>
      <c r="H57" s="20"/>
      <c r="I57" s="20"/>
      <c r="J57" s="20"/>
      <c r="K57" s="20"/>
      <c r="L57" s="20"/>
      <c r="M57" s="20"/>
      <c r="N57" s="20"/>
    </row>
    <row r="58" spans="1:14" x14ac:dyDescent="0.25">
      <c r="A58" s="22" t="s">
        <v>1222</v>
      </c>
      <c r="B58" s="20"/>
      <c r="C58" s="20"/>
      <c r="D58" s="20"/>
      <c r="E58" s="20"/>
      <c r="F58" s="20"/>
      <c r="G58" s="20"/>
      <c r="H58" s="20"/>
      <c r="I58" s="20"/>
      <c r="J58" s="20">
        <v>250000</v>
      </c>
      <c r="K58" s="20"/>
      <c r="L58" s="20"/>
      <c r="M58" s="20"/>
      <c r="N58" s="20"/>
    </row>
    <row r="59" spans="1:14" x14ac:dyDescent="0.25">
      <c r="A59" s="22" t="s">
        <v>3151</v>
      </c>
      <c r="B59" s="20"/>
      <c r="C59" s="20"/>
      <c r="D59" s="20"/>
      <c r="E59" s="20">
        <v>7800</v>
      </c>
      <c r="F59" s="20"/>
      <c r="G59" s="20"/>
      <c r="H59" s="20"/>
      <c r="I59" s="20"/>
      <c r="J59" s="20"/>
      <c r="K59" s="20"/>
      <c r="L59" s="20"/>
      <c r="M59" s="20"/>
      <c r="N59" s="20"/>
    </row>
    <row r="60" spans="1:14" x14ac:dyDescent="0.25">
      <c r="A60" s="22" t="s">
        <v>1428</v>
      </c>
      <c r="B60" s="20"/>
      <c r="C60" s="20"/>
      <c r="D60" s="20"/>
      <c r="E60" s="20"/>
      <c r="F60" s="20">
        <v>1000</v>
      </c>
      <c r="G60" s="20">
        <v>1000</v>
      </c>
      <c r="H60" s="20">
        <v>1000</v>
      </c>
      <c r="I60" s="20">
        <v>1000</v>
      </c>
      <c r="J60" s="20"/>
      <c r="K60" s="20"/>
      <c r="L60" s="20"/>
      <c r="M60" s="20"/>
      <c r="N60" s="20"/>
    </row>
    <row r="61" spans="1:14" x14ac:dyDescent="0.25">
      <c r="A61" s="22" t="s">
        <v>1434</v>
      </c>
      <c r="B61" s="20">
        <v>4583.33</v>
      </c>
      <c r="C61" s="20">
        <v>4583.33</v>
      </c>
      <c r="D61" s="20">
        <v>4583.33</v>
      </c>
      <c r="E61" s="20">
        <v>4583.33</v>
      </c>
      <c r="F61" s="20">
        <v>4583.33</v>
      </c>
      <c r="G61" s="20">
        <v>4583.33</v>
      </c>
      <c r="H61" s="20">
        <v>4583.33</v>
      </c>
      <c r="I61" s="20">
        <v>4583.33</v>
      </c>
      <c r="J61" s="20"/>
      <c r="K61" s="20"/>
      <c r="L61" s="20"/>
      <c r="M61" s="20"/>
      <c r="N61" s="20"/>
    </row>
    <row r="62" spans="1:14" x14ac:dyDescent="0.25">
      <c r="A62" s="22" t="s">
        <v>402</v>
      </c>
      <c r="B62" s="20">
        <v>14913.96</v>
      </c>
      <c r="C62" s="20">
        <v>14913.96</v>
      </c>
      <c r="D62" s="20">
        <v>14913.96</v>
      </c>
      <c r="E62" s="20">
        <v>14913.96</v>
      </c>
      <c r="F62" s="20">
        <v>6881.46</v>
      </c>
      <c r="G62" s="20">
        <v>6881.46</v>
      </c>
      <c r="H62" s="20">
        <v>6881.46</v>
      </c>
      <c r="I62" s="20">
        <v>6881.46</v>
      </c>
      <c r="J62" s="20">
        <v>6881.46</v>
      </c>
      <c r="K62" s="20">
        <v>6881.46</v>
      </c>
      <c r="L62" s="20">
        <v>6881.46</v>
      </c>
      <c r="M62" s="20">
        <v>6881.46</v>
      </c>
      <c r="N62" s="20">
        <v>6881.46</v>
      </c>
    </row>
    <row r="63" spans="1:14" x14ac:dyDescent="0.25">
      <c r="A63" s="22" t="s">
        <v>412</v>
      </c>
      <c r="B63" s="20"/>
      <c r="C63" s="20"/>
      <c r="D63" s="20"/>
      <c r="E63" s="20"/>
      <c r="F63" s="20"/>
      <c r="G63" s="20"/>
      <c r="H63" s="20"/>
      <c r="I63" s="20"/>
      <c r="J63" s="20">
        <v>0.04</v>
      </c>
      <c r="K63" s="20">
        <v>0.04</v>
      </c>
      <c r="L63" s="20">
        <v>0.04</v>
      </c>
      <c r="M63" s="20">
        <v>0.04</v>
      </c>
      <c r="N63" s="20">
        <v>0.04</v>
      </c>
    </row>
    <row r="64" spans="1:14" x14ac:dyDescent="0.25">
      <c r="A64" s="22" t="s">
        <v>416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>
        <v>5478</v>
      </c>
      <c r="M64" s="20">
        <v>5478</v>
      </c>
      <c r="N64" s="20">
        <v>5478</v>
      </c>
    </row>
    <row r="65" spans="1:14" x14ac:dyDescent="0.25">
      <c r="A65" s="22" t="s">
        <v>425</v>
      </c>
      <c r="B65" s="20"/>
      <c r="C65" s="20"/>
      <c r="D65" s="20"/>
      <c r="E65" s="20"/>
      <c r="F65" s="20"/>
      <c r="G65" s="20"/>
      <c r="H65" s="20"/>
      <c r="I65" s="20"/>
      <c r="J65" s="20">
        <v>52500</v>
      </c>
      <c r="K65" s="20">
        <v>52500</v>
      </c>
      <c r="L65" s="20">
        <v>350000</v>
      </c>
      <c r="M65" s="20">
        <v>350000</v>
      </c>
      <c r="N65" s="20">
        <v>350000</v>
      </c>
    </row>
    <row r="66" spans="1:14" x14ac:dyDescent="0.25">
      <c r="A66" s="22" t="s">
        <v>1469</v>
      </c>
      <c r="B66" s="20"/>
      <c r="C66" s="20"/>
      <c r="D66" s="20">
        <v>10942208.48</v>
      </c>
      <c r="E66" s="20">
        <v>442208.48</v>
      </c>
      <c r="F66" s="20">
        <v>2572732.5499999998</v>
      </c>
      <c r="G66" s="20">
        <v>2572732.5499999998</v>
      </c>
      <c r="H66" s="20">
        <v>2572732.5499999998</v>
      </c>
      <c r="I66" s="20">
        <v>2572732.5499999998</v>
      </c>
      <c r="J66" s="20"/>
      <c r="K66" s="20"/>
      <c r="L66" s="20"/>
      <c r="M66" s="20"/>
      <c r="N66" s="20"/>
    </row>
    <row r="67" spans="1:14" x14ac:dyDescent="0.25">
      <c r="A67" s="22" t="s">
        <v>441</v>
      </c>
      <c r="B67" s="20">
        <v>63006</v>
      </c>
      <c r="C67" s="20"/>
      <c r="D67" s="20"/>
      <c r="E67" s="20"/>
      <c r="F67" s="20"/>
      <c r="G67" s="20"/>
      <c r="H67" s="20"/>
      <c r="I67" s="20">
        <v>3424</v>
      </c>
      <c r="J67" s="20">
        <v>88390</v>
      </c>
      <c r="K67" s="20"/>
      <c r="L67" s="20"/>
      <c r="M67" s="20"/>
      <c r="N67" s="20"/>
    </row>
    <row r="68" spans="1:14" x14ac:dyDescent="0.25">
      <c r="A68" s="22" t="s">
        <v>3165</v>
      </c>
      <c r="B68" s="20">
        <v>340.4</v>
      </c>
      <c r="C68" s="20">
        <v>340.4</v>
      </c>
      <c r="D68" s="20">
        <v>340.4</v>
      </c>
      <c r="E68" s="20">
        <v>340.4</v>
      </c>
      <c r="F68" s="20"/>
      <c r="G68" s="20"/>
      <c r="H68" s="20"/>
      <c r="I68" s="20"/>
      <c r="J68" s="20"/>
      <c r="K68" s="20"/>
      <c r="L68" s="20"/>
      <c r="M68" s="20"/>
      <c r="N68" s="20"/>
    </row>
    <row r="69" spans="1:14" x14ac:dyDescent="0.25">
      <c r="A69" s="22" t="s">
        <v>448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>
        <v>7941</v>
      </c>
      <c r="M69" s="20">
        <v>7941</v>
      </c>
      <c r="N69" s="20">
        <v>7941</v>
      </c>
    </row>
    <row r="70" spans="1:14" x14ac:dyDescent="0.25">
      <c r="A70" s="22" t="s">
        <v>456</v>
      </c>
      <c r="B70" s="20"/>
      <c r="C70" s="20">
        <v>33500</v>
      </c>
      <c r="D70" s="20">
        <v>33500</v>
      </c>
      <c r="E70" s="20">
        <v>5500</v>
      </c>
      <c r="F70" s="20">
        <v>5500</v>
      </c>
      <c r="G70" s="20">
        <v>5500</v>
      </c>
      <c r="H70" s="20">
        <v>5500</v>
      </c>
      <c r="I70" s="20">
        <v>5500</v>
      </c>
      <c r="J70" s="20">
        <v>5500</v>
      </c>
      <c r="K70" s="20">
        <v>5500</v>
      </c>
      <c r="L70" s="20">
        <v>5500</v>
      </c>
      <c r="M70" s="20">
        <v>5500</v>
      </c>
      <c r="N70" s="20">
        <v>5500</v>
      </c>
    </row>
    <row r="71" spans="1:14" x14ac:dyDescent="0.25">
      <c r="A71" s="22" t="s">
        <v>467</v>
      </c>
      <c r="B71" s="20">
        <v>2000</v>
      </c>
      <c r="C71" s="20">
        <v>2000</v>
      </c>
      <c r="D71" s="20">
        <v>2000</v>
      </c>
      <c r="E71" s="20">
        <v>2000</v>
      </c>
      <c r="F71" s="20">
        <v>2000</v>
      </c>
      <c r="G71" s="20">
        <v>2000</v>
      </c>
      <c r="H71" s="20">
        <v>2000</v>
      </c>
      <c r="I71" s="20">
        <v>2000</v>
      </c>
      <c r="J71" s="20">
        <v>2000</v>
      </c>
      <c r="K71" s="20">
        <v>2000</v>
      </c>
      <c r="L71" s="20">
        <v>2000</v>
      </c>
      <c r="M71" s="20">
        <v>2000</v>
      </c>
      <c r="N71" s="20">
        <v>2000</v>
      </c>
    </row>
    <row r="72" spans="1:14" x14ac:dyDescent="0.25">
      <c r="A72" s="22" t="s">
        <v>471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>
        <v>25866</v>
      </c>
      <c r="M72" s="20">
        <v>25866</v>
      </c>
      <c r="N72" s="20">
        <v>25866</v>
      </c>
    </row>
    <row r="73" spans="1:14" x14ac:dyDescent="0.25">
      <c r="A73" s="22" t="s">
        <v>474</v>
      </c>
      <c r="B73" s="20"/>
      <c r="C73" s="20"/>
      <c r="D73" s="20"/>
      <c r="E73" s="20"/>
      <c r="F73" s="20">
        <v>8850</v>
      </c>
      <c r="G73" s="20">
        <v>8850</v>
      </c>
      <c r="H73" s="20">
        <v>8850</v>
      </c>
      <c r="I73" s="20">
        <v>8850</v>
      </c>
      <c r="J73" s="20">
        <v>300</v>
      </c>
      <c r="K73" s="20">
        <v>300</v>
      </c>
      <c r="L73" s="20">
        <v>300</v>
      </c>
      <c r="M73" s="20">
        <v>300</v>
      </c>
      <c r="N73" s="20">
        <v>300</v>
      </c>
    </row>
    <row r="74" spans="1:14" x14ac:dyDescent="0.25">
      <c r="A74" s="22" t="s">
        <v>481</v>
      </c>
      <c r="B74" s="20"/>
      <c r="C74" s="20"/>
      <c r="D74" s="20"/>
      <c r="E74" s="20"/>
      <c r="F74" s="20"/>
      <c r="G74" s="20"/>
      <c r="H74" s="20"/>
      <c r="I74" s="20"/>
      <c r="J74" s="20"/>
      <c r="K74" s="20">
        <v>0.01</v>
      </c>
      <c r="L74" s="20">
        <v>0.01</v>
      </c>
      <c r="M74" s="20">
        <v>0.01</v>
      </c>
      <c r="N74" s="20">
        <v>0.01</v>
      </c>
    </row>
    <row r="75" spans="1:14" x14ac:dyDescent="0.25">
      <c r="A75" s="22" t="s">
        <v>487</v>
      </c>
      <c r="B75" s="20"/>
      <c r="C75" s="20"/>
      <c r="D75" s="20"/>
      <c r="E75" s="20"/>
      <c r="F75" s="20"/>
      <c r="G75" s="20"/>
      <c r="H75" s="20">
        <v>299500</v>
      </c>
      <c r="I75" s="20">
        <v>299500</v>
      </c>
      <c r="J75" s="20">
        <v>299500</v>
      </c>
      <c r="K75" s="20">
        <v>299500</v>
      </c>
      <c r="L75" s="20">
        <v>299500</v>
      </c>
      <c r="M75" s="20">
        <v>299500</v>
      </c>
      <c r="N75" s="20">
        <v>299500</v>
      </c>
    </row>
    <row r="76" spans="1:14" x14ac:dyDescent="0.25">
      <c r="A76" s="22" t="s">
        <v>494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>
        <v>23544</v>
      </c>
      <c r="M76" s="20">
        <v>23544</v>
      </c>
      <c r="N76" s="20">
        <v>23544</v>
      </c>
    </row>
    <row r="77" spans="1:14" x14ac:dyDescent="0.25">
      <c r="A77" s="22" t="s">
        <v>502</v>
      </c>
      <c r="B77" s="20"/>
      <c r="C77" s="20"/>
      <c r="D77" s="20"/>
      <c r="E77" s="20"/>
      <c r="F77" s="20"/>
      <c r="G77" s="20"/>
      <c r="H77" s="20">
        <v>8324.4</v>
      </c>
      <c r="I77" s="20">
        <v>8324.4</v>
      </c>
      <c r="J77" s="20">
        <v>8324.4</v>
      </c>
      <c r="K77" s="20">
        <v>8324.4</v>
      </c>
      <c r="L77" s="20">
        <v>8324.4</v>
      </c>
      <c r="M77" s="20">
        <v>8324.4</v>
      </c>
      <c r="N77" s="20">
        <v>8324.4</v>
      </c>
    </row>
    <row r="78" spans="1:14" x14ac:dyDescent="0.25">
      <c r="A78" s="22" t="s">
        <v>3548</v>
      </c>
      <c r="B78" s="20"/>
      <c r="C78" s="20"/>
      <c r="D78" s="20">
        <v>3800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1:14" x14ac:dyDescent="0.25">
      <c r="A79" s="22" t="s">
        <v>2150</v>
      </c>
      <c r="B79" s="20">
        <v>65892</v>
      </c>
      <c r="C79" s="20">
        <v>65892</v>
      </c>
      <c r="D79" s="20">
        <v>2659759.69</v>
      </c>
      <c r="E79" s="20">
        <v>65892</v>
      </c>
      <c r="F79" s="20"/>
      <c r="G79" s="20"/>
      <c r="H79" s="20"/>
      <c r="I79" s="20"/>
      <c r="J79" s="20"/>
      <c r="K79" s="20"/>
      <c r="L79" s="20"/>
      <c r="M79" s="20"/>
      <c r="N79" s="20"/>
    </row>
    <row r="80" spans="1:14" x14ac:dyDescent="0.25">
      <c r="A80" s="22" t="s">
        <v>512</v>
      </c>
      <c r="B80" s="20"/>
      <c r="C80" s="20"/>
      <c r="D80" s="20"/>
      <c r="E80" s="20"/>
      <c r="F80" s="20"/>
      <c r="G80" s="20"/>
      <c r="H80" s="20"/>
      <c r="I80" s="20"/>
      <c r="J80" s="20">
        <v>85675</v>
      </c>
      <c r="K80" s="20">
        <v>101695</v>
      </c>
      <c r="L80" s="20">
        <v>101695</v>
      </c>
      <c r="M80" s="20">
        <v>101695</v>
      </c>
      <c r="N80" s="20">
        <v>101695</v>
      </c>
    </row>
    <row r="81" spans="1:14" x14ac:dyDescent="0.25">
      <c r="A81" s="22" t="s">
        <v>529</v>
      </c>
      <c r="B81" s="20"/>
      <c r="C81" s="20"/>
      <c r="D81" s="20"/>
      <c r="E81" s="20"/>
      <c r="F81" s="20"/>
      <c r="G81" s="20"/>
      <c r="H81" s="20"/>
      <c r="I81" s="20"/>
      <c r="J81" s="20">
        <v>81900</v>
      </c>
      <c r="K81" s="20">
        <v>81900</v>
      </c>
      <c r="L81" s="20">
        <v>81900</v>
      </c>
      <c r="M81" s="20">
        <v>81900</v>
      </c>
      <c r="N81" s="20">
        <v>81900</v>
      </c>
    </row>
    <row r="82" spans="1:14" x14ac:dyDescent="0.25">
      <c r="A82" s="22" t="s">
        <v>3189</v>
      </c>
      <c r="B82" s="20"/>
      <c r="C82" s="20"/>
      <c r="D82" s="20"/>
      <c r="E82" s="20">
        <v>32600</v>
      </c>
      <c r="F82" s="20"/>
      <c r="G82" s="20"/>
      <c r="H82" s="20"/>
      <c r="I82" s="20"/>
      <c r="J82" s="20"/>
      <c r="K82" s="20"/>
      <c r="L82" s="20"/>
      <c r="M82" s="20"/>
      <c r="N82" s="20"/>
    </row>
    <row r="83" spans="1:14" x14ac:dyDescent="0.25">
      <c r="A83" s="22" t="s">
        <v>536</v>
      </c>
      <c r="B83" s="20"/>
      <c r="C83" s="20"/>
      <c r="D83" s="20"/>
      <c r="E83" s="20"/>
      <c r="F83" s="20"/>
      <c r="G83" s="20"/>
      <c r="H83" s="20"/>
      <c r="I83" s="20">
        <v>9000</v>
      </c>
      <c r="J83" s="20">
        <v>9000</v>
      </c>
      <c r="K83" s="20">
        <v>9000</v>
      </c>
      <c r="L83" s="20">
        <v>9000</v>
      </c>
      <c r="M83" s="20">
        <v>9000</v>
      </c>
      <c r="N83" s="20">
        <v>9000</v>
      </c>
    </row>
    <row r="84" spans="1:14" x14ac:dyDescent="0.25">
      <c r="A84" s="22" t="s">
        <v>1523</v>
      </c>
      <c r="B84" s="20"/>
      <c r="C84" s="20"/>
      <c r="D84" s="20"/>
      <c r="E84" s="20"/>
      <c r="F84" s="20"/>
      <c r="G84" s="20"/>
      <c r="H84" s="20"/>
      <c r="I84" s="20">
        <v>725</v>
      </c>
      <c r="J84" s="20"/>
      <c r="K84" s="20"/>
      <c r="L84" s="20"/>
      <c r="M84" s="20"/>
      <c r="N84" s="20"/>
    </row>
    <row r="85" spans="1:14" x14ac:dyDescent="0.25">
      <c r="A85" s="22" t="s">
        <v>557</v>
      </c>
      <c r="B85" s="20">
        <v>23531.45</v>
      </c>
      <c r="C85" s="20">
        <v>20239.61</v>
      </c>
      <c r="D85" s="20">
        <v>16151.71</v>
      </c>
      <c r="E85" s="20"/>
      <c r="F85" s="20">
        <v>25140.27</v>
      </c>
      <c r="G85" s="20">
        <v>19087.77</v>
      </c>
      <c r="H85" s="20">
        <v>12693.7</v>
      </c>
      <c r="I85" s="20"/>
      <c r="J85" s="20">
        <v>42563.23</v>
      </c>
      <c r="K85" s="20">
        <v>39502.11</v>
      </c>
      <c r="L85" s="20">
        <v>39502.11</v>
      </c>
      <c r="M85" s="20">
        <v>39502.11</v>
      </c>
      <c r="N85" s="20">
        <v>36736.230000000003</v>
      </c>
    </row>
    <row r="86" spans="1:14" x14ac:dyDescent="0.25">
      <c r="A86" s="22" t="s">
        <v>561</v>
      </c>
      <c r="B86" s="20">
        <v>6674735.4100000001</v>
      </c>
      <c r="C86" s="20">
        <v>1695324.05</v>
      </c>
      <c r="D86" s="20">
        <v>2241178.71</v>
      </c>
      <c r="E86" s="20">
        <v>1715565.24</v>
      </c>
      <c r="F86" s="20">
        <v>6817142.3000000007</v>
      </c>
      <c r="G86" s="20">
        <v>8792612.7000000011</v>
      </c>
      <c r="H86" s="20">
        <v>24338452.690000001</v>
      </c>
      <c r="I86" s="20">
        <v>27737728.449999999</v>
      </c>
      <c r="J86" s="20">
        <v>1390810.7699999998</v>
      </c>
      <c r="K86" s="20">
        <v>1390810.7699999998</v>
      </c>
      <c r="L86" s="20">
        <v>1390810.7699999998</v>
      </c>
      <c r="M86" s="20">
        <v>1390810.7699999998</v>
      </c>
      <c r="N86" s="20">
        <v>10104059.91</v>
      </c>
    </row>
    <row r="87" spans="1:14" x14ac:dyDescent="0.25">
      <c r="A87" s="22" t="s">
        <v>2197</v>
      </c>
      <c r="B87" s="20"/>
      <c r="C87" s="20"/>
      <c r="D87" s="20"/>
      <c r="E87" s="20"/>
      <c r="F87" s="20">
        <v>1207500</v>
      </c>
      <c r="G87" s="20">
        <v>1207500</v>
      </c>
      <c r="H87" s="20">
        <v>2740000</v>
      </c>
      <c r="I87" s="20"/>
      <c r="J87" s="20"/>
      <c r="K87" s="20"/>
      <c r="L87" s="20"/>
      <c r="M87" s="20"/>
      <c r="N87" s="20"/>
    </row>
    <row r="88" spans="1:14" x14ac:dyDescent="0.25">
      <c r="A88" s="22" t="s">
        <v>589</v>
      </c>
      <c r="B88" s="20">
        <v>1862.07</v>
      </c>
      <c r="C88" s="20">
        <v>1646.86</v>
      </c>
      <c r="D88" s="20">
        <v>2327.1099999999997</v>
      </c>
      <c r="E88" s="20">
        <v>2742.9799999999996</v>
      </c>
      <c r="F88" s="20">
        <v>3143.1099999999997</v>
      </c>
      <c r="G88" s="20">
        <v>3053.1099999999997</v>
      </c>
      <c r="H88" s="20">
        <v>2923.6099999999997</v>
      </c>
      <c r="I88" s="20">
        <v>2785.6099999999997</v>
      </c>
      <c r="J88" s="20">
        <v>2742.9799999999996</v>
      </c>
      <c r="K88" s="20">
        <v>14017.820000000003</v>
      </c>
      <c r="L88" s="20">
        <v>5415.17</v>
      </c>
      <c r="M88" s="20">
        <v>5415.17</v>
      </c>
      <c r="N88" s="20">
        <v>5415.17</v>
      </c>
    </row>
    <row r="89" spans="1:14" x14ac:dyDescent="0.25">
      <c r="A89" s="22" t="s">
        <v>632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>
        <v>45000</v>
      </c>
    </row>
    <row r="90" spans="1:14" x14ac:dyDescent="0.25">
      <c r="A90" s="22" t="s">
        <v>1186</v>
      </c>
      <c r="B90" s="20"/>
      <c r="C90" s="20"/>
      <c r="D90" s="20"/>
      <c r="E90" s="20"/>
      <c r="F90" s="20"/>
      <c r="G90" s="20"/>
      <c r="H90" s="20"/>
      <c r="I90" s="20"/>
      <c r="J90" s="20"/>
      <c r="K90" s="20">
        <v>170820</v>
      </c>
      <c r="L90" s="20"/>
      <c r="M90" s="20"/>
      <c r="N90" s="20"/>
    </row>
    <row r="91" spans="1:14" x14ac:dyDescent="0.25">
      <c r="A91" s="22" t="s">
        <v>1615</v>
      </c>
      <c r="B91" s="20"/>
      <c r="C91" s="20"/>
      <c r="D91" s="20"/>
      <c r="E91" s="20"/>
      <c r="F91" s="20"/>
      <c r="G91" s="20"/>
      <c r="H91" s="20"/>
      <c r="I91" s="20">
        <v>6930</v>
      </c>
      <c r="J91" s="20"/>
      <c r="K91" s="20"/>
      <c r="L91" s="20"/>
      <c r="M91" s="20"/>
      <c r="N91" s="20"/>
    </row>
    <row r="92" spans="1:14" x14ac:dyDescent="0.25">
      <c r="A92" s="22" t="s">
        <v>670</v>
      </c>
      <c r="B92" s="20">
        <v>0.01</v>
      </c>
      <c r="C92" s="20">
        <v>0.01</v>
      </c>
      <c r="D92" s="20">
        <v>0.01</v>
      </c>
      <c r="E92" s="20"/>
      <c r="F92" s="20"/>
      <c r="G92" s="20"/>
      <c r="H92" s="20"/>
      <c r="I92" s="20"/>
      <c r="J92" s="20">
        <v>114.79</v>
      </c>
      <c r="K92" s="20">
        <v>114.79</v>
      </c>
      <c r="L92" s="20">
        <v>114.79</v>
      </c>
      <c r="M92" s="20">
        <v>114.79</v>
      </c>
      <c r="N92" s="20">
        <v>114.79</v>
      </c>
    </row>
    <row r="93" spans="1:14" x14ac:dyDescent="0.25">
      <c r="A93" s="22" t="s">
        <v>677</v>
      </c>
      <c r="B93" s="20"/>
      <c r="C93" s="20"/>
      <c r="D93" s="20"/>
      <c r="E93" s="20"/>
      <c r="F93" s="20"/>
      <c r="G93" s="20">
        <v>135269</v>
      </c>
      <c r="H93" s="20"/>
      <c r="I93" s="20"/>
      <c r="J93" s="20"/>
      <c r="K93" s="20"/>
      <c r="L93" s="20">
        <v>49553</v>
      </c>
      <c r="M93" s="20">
        <v>49553</v>
      </c>
      <c r="N93" s="20">
        <v>49553</v>
      </c>
    </row>
    <row r="94" spans="1:14" x14ac:dyDescent="0.25">
      <c r="A94" s="22" t="s">
        <v>680</v>
      </c>
      <c r="B94" s="20">
        <v>44000</v>
      </c>
      <c r="C94" s="20"/>
      <c r="D94" s="20"/>
      <c r="E94" s="20">
        <v>117612.25</v>
      </c>
      <c r="F94" s="20">
        <v>47044.9</v>
      </c>
      <c r="G94" s="20"/>
      <c r="H94" s="20"/>
      <c r="I94" s="20">
        <v>128697.35</v>
      </c>
      <c r="J94" s="20">
        <v>77218.41</v>
      </c>
      <c r="K94" s="20">
        <v>51478.94</v>
      </c>
      <c r="L94" s="20">
        <v>25739.47</v>
      </c>
      <c r="M94" s="20">
        <v>25739.47</v>
      </c>
      <c r="N94" s="20">
        <v>25739.47</v>
      </c>
    </row>
    <row r="95" spans="1:14" x14ac:dyDescent="0.25">
      <c r="A95" s="22" t="s">
        <v>684</v>
      </c>
      <c r="B95" s="20"/>
      <c r="C95" s="20"/>
      <c r="D95" s="20">
        <v>172161</v>
      </c>
      <c r="E95" s="20">
        <v>172161</v>
      </c>
      <c r="F95" s="20">
        <v>172161</v>
      </c>
      <c r="G95" s="20">
        <v>172161</v>
      </c>
      <c r="H95" s="20">
        <v>172161</v>
      </c>
      <c r="I95" s="20">
        <v>172161</v>
      </c>
      <c r="J95" s="20">
        <v>641800.56000000006</v>
      </c>
      <c r="K95" s="20">
        <v>641800.56000000006</v>
      </c>
      <c r="L95" s="20">
        <v>403948.20999999996</v>
      </c>
      <c r="M95" s="20">
        <v>403948.20999999996</v>
      </c>
      <c r="N95" s="20">
        <v>403948.20999999996</v>
      </c>
    </row>
    <row r="96" spans="1:14" x14ac:dyDescent="0.25">
      <c r="A96" s="22" t="s">
        <v>719</v>
      </c>
      <c r="B96" s="20"/>
      <c r="C96" s="20"/>
      <c r="D96" s="20"/>
      <c r="E96" s="20"/>
      <c r="F96" s="20"/>
      <c r="G96" s="20"/>
      <c r="H96" s="20"/>
      <c r="I96" s="20"/>
      <c r="J96" s="20">
        <v>1181250</v>
      </c>
      <c r="K96" s="20">
        <v>1181250</v>
      </c>
      <c r="L96" s="20">
        <v>1181250</v>
      </c>
      <c r="M96" s="20">
        <v>1181250</v>
      </c>
      <c r="N96" s="20">
        <v>1181250</v>
      </c>
    </row>
    <row r="97" spans="1:14" x14ac:dyDescent="0.25">
      <c r="A97" s="22" t="s">
        <v>726</v>
      </c>
      <c r="B97" s="20"/>
      <c r="C97" s="20"/>
      <c r="D97" s="20"/>
      <c r="E97" s="20"/>
      <c r="F97" s="20"/>
      <c r="G97" s="20">
        <v>2163.48</v>
      </c>
      <c r="H97" s="20">
        <v>2163.48</v>
      </c>
      <c r="I97" s="20">
        <v>2163.48</v>
      </c>
      <c r="J97" s="20">
        <v>65360.74</v>
      </c>
      <c r="K97" s="20">
        <v>65360.74</v>
      </c>
      <c r="L97" s="20">
        <v>65360.74</v>
      </c>
      <c r="M97" s="20">
        <v>65360.74</v>
      </c>
      <c r="N97" s="20">
        <v>65360.74</v>
      </c>
    </row>
    <row r="98" spans="1:14" x14ac:dyDescent="0.25">
      <c r="A98" s="22" t="s">
        <v>745</v>
      </c>
      <c r="B98" s="20"/>
      <c r="C98" s="20">
        <v>4658.83</v>
      </c>
      <c r="D98" s="20">
        <v>3866.66</v>
      </c>
      <c r="E98" s="20">
        <v>1977.15</v>
      </c>
      <c r="F98" s="20">
        <v>619.96</v>
      </c>
      <c r="G98" s="20">
        <v>789.72</v>
      </c>
      <c r="H98" s="20">
        <v>4950.5600000000004</v>
      </c>
      <c r="I98" s="20">
        <v>3762.32</v>
      </c>
      <c r="J98" s="20">
        <v>2970.16</v>
      </c>
      <c r="K98" s="20">
        <v>2798.49</v>
      </c>
      <c r="L98" s="20">
        <v>2798.49</v>
      </c>
      <c r="M98" s="20">
        <v>2798.49</v>
      </c>
      <c r="N98" s="20">
        <v>2798.49</v>
      </c>
    </row>
    <row r="99" spans="1:14" x14ac:dyDescent="0.25">
      <c r="A99" s="22" t="s">
        <v>2726</v>
      </c>
      <c r="B99" s="20"/>
      <c r="C99" s="20"/>
      <c r="D99" s="20"/>
      <c r="E99" s="20"/>
      <c r="F99" s="20"/>
      <c r="G99" s="20">
        <v>60000</v>
      </c>
      <c r="H99" s="20"/>
      <c r="I99" s="20"/>
      <c r="J99" s="20"/>
      <c r="K99" s="20"/>
      <c r="L99" s="20"/>
      <c r="M99" s="20"/>
      <c r="N99" s="20"/>
    </row>
    <row r="100" spans="1:14" x14ac:dyDescent="0.25">
      <c r="A100" s="22" t="s">
        <v>3664</v>
      </c>
      <c r="B100" s="20">
        <v>1889400</v>
      </c>
      <c r="C100" s="20">
        <v>1889400</v>
      </c>
      <c r="D100" s="20">
        <v>1889400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spans="1:14" x14ac:dyDescent="0.25">
      <c r="A101" s="22" t="s">
        <v>752</v>
      </c>
      <c r="B101" s="20"/>
      <c r="C101" s="20">
        <v>60000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</row>
    <row r="102" spans="1:14" x14ac:dyDescent="0.25">
      <c r="A102" s="22" t="s">
        <v>758</v>
      </c>
      <c r="B102" s="20"/>
      <c r="C102" s="20"/>
      <c r="D102" s="20"/>
      <c r="E102" s="20"/>
      <c r="F102" s="20"/>
      <c r="G102" s="20"/>
      <c r="H102" s="20"/>
      <c r="I102" s="20"/>
      <c r="J102" s="20">
        <v>0.3</v>
      </c>
      <c r="K102" s="20">
        <v>0.3</v>
      </c>
      <c r="L102" s="20">
        <v>0.3</v>
      </c>
      <c r="M102" s="20">
        <v>0.3</v>
      </c>
      <c r="N102" s="20">
        <v>0.3</v>
      </c>
    </row>
    <row r="103" spans="1:14" x14ac:dyDescent="0.25">
      <c r="A103" s="22" t="s">
        <v>762</v>
      </c>
      <c r="B103" s="20"/>
      <c r="C103" s="20"/>
      <c r="D103" s="20"/>
      <c r="E103" s="20"/>
      <c r="F103" s="20"/>
      <c r="G103" s="20"/>
      <c r="H103" s="20"/>
      <c r="I103" s="20"/>
      <c r="J103" s="20">
        <v>74670</v>
      </c>
      <c r="K103" s="20">
        <v>74670</v>
      </c>
      <c r="L103" s="20">
        <v>1425</v>
      </c>
      <c r="M103" s="20">
        <v>1425</v>
      </c>
      <c r="N103" s="20">
        <v>1425</v>
      </c>
    </row>
    <row r="104" spans="1:14" x14ac:dyDescent="0.25">
      <c r="A104" s="22" t="s">
        <v>766</v>
      </c>
      <c r="B104" s="20"/>
      <c r="C104" s="20"/>
      <c r="D104" s="20"/>
      <c r="E104" s="20"/>
      <c r="F104" s="20"/>
      <c r="G104" s="20">
        <v>348705</v>
      </c>
      <c r="H104" s="20">
        <v>348705</v>
      </c>
      <c r="I104" s="20">
        <v>348705</v>
      </c>
      <c r="J104" s="20">
        <v>163072</v>
      </c>
      <c r="K104" s="20">
        <v>163072</v>
      </c>
      <c r="L104" s="20">
        <v>163072</v>
      </c>
      <c r="M104" s="20">
        <v>163072</v>
      </c>
      <c r="N104" s="20">
        <v>163072</v>
      </c>
    </row>
    <row r="105" spans="1:14" x14ac:dyDescent="0.25">
      <c r="A105" s="22" t="s">
        <v>770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>
        <v>11240</v>
      </c>
      <c r="M105" s="20">
        <v>11240</v>
      </c>
      <c r="N105" s="20">
        <v>11240</v>
      </c>
    </row>
    <row r="106" spans="1:14" x14ac:dyDescent="0.25">
      <c r="A106" s="22" t="s">
        <v>1198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>
        <v>205088</v>
      </c>
      <c r="L106" s="20"/>
      <c r="M106" s="20"/>
      <c r="N106" s="20"/>
    </row>
    <row r="107" spans="1:14" x14ac:dyDescent="0.25">
      <c r="A107" s="22" t="s">
        <v>777</v>
      </c>
      <c r="B107" s="20">
        <v>196.02</v>
      </c>
      <c r="C107" s="20">
        <v>196.02</v>
      </c>
      <c r="D107" s="20">
        <v>196.02</v>
      </c>
      <c r="E107" s="20">
        <v>196.02</v>
      </c>
      <c r="F107" s="20">
        <v>196.02</v>
      </c>
      <c r="G107" s="20">
        <v>196.02</v>
      </c>
      <c r="H107" s="20">
        <v>196.02</v>
      </c>
      <c r="I107" s="20">
        <v>196.02</v>
      </c>
      <c r="J107" s="20">
        <v>196.02</v>
      </c>
      <c r="K107" s="20">
        <v>196.02</v>
      </c>
      <c r="L107" s="20">
        <v>196.02</v>
      </c>
      <c r="M107" s="20">
        <v>196.02</v>
      </c>
      <c r="N107" s="20">
        <v>196.02</v>
      </c>
    </row>
    <row r="108" spans="1:14" x14ac:dyDescent="0.25">
      <c r="A108" s="22" t="s">
        <v>1676</v>
      </c>
      <c r="B108" s="20"/>
      <c r="C108" s="20"/>
      <c r="D108" s="20">
        <v>36897.74</v>
      </c>
      <c r="E108" s="20">
        <v>36897.74</v>
      </c>
      <c r="F108" s="20"/>
      <c r="G108" s="20"/>
      <c r="H108" s="20"/>
      <c r="I108" s="20">
        <v>125249.76</v>
      </c>
      <c r="J108" s="20"/>
      <c r="K108" s="20"/>
      <c r="L108" s="20"/>
      <c r="M108" s="20"/>
      <c r="N108" s="20"/>
    </row>
    <row r="109" spans="1:14" x14ac:dyDescent="0.25">
      <c r="A109" s="22" t="s">
        <v>793</v>
      </c>
      <c r="B109" s="20">
        <v>650</v>
      </c>
      <c r="C109" s="20">
        <v>650</v>
      </c>
      <c r="D109" s="20">
        <v>650</v>
      </c>
      <c r="E109" s="20">
        <v>650</v>
      </c>
      <c r="F109" s="20">
        <v>650</v>
      </c>
      <c r="G109" s="20">
        <v>650</v>
      </c>
      <c r="H109" s="20">
        <v>650</v>
      </c>
      <c r="I109" s="20">
        <v>650</v>
      </c>
      <c r="J109" s="20">
        <v>650</v>
      </c>
      <c r="K109" s="20">
        <v>650</v>
      </c>
      <c r="L109" s="20">
        <v>650</v>
      </c>
      <c r="M109" s="20">
        <v>650</v>
      </c>
      <c r="N109" s="20">
        <v>650</v>
      </c>
    </row>
    <row r="110" spans="1:14" x14ac:dyDescent="0.25">
      <c r="A110" s="22" t="s">
        <v>1224</v>
      </c>
      <c r="B110" s="20"/>
      <c r="C110" s="20"/>
      <c r="D110" s="20">
        <v>12</v>
      </c>
      <c r="E110" s="20">
        <v>12</v>
      </c>
      <c r="F110" s="20">
        <v>12</v>
      </c>
      <c r="G110" s="20">
        <v>12</v>
      </c>
      <c r="H110" s="20">
        <v>12</v>
      </c>
      <c r="I110" s="20">
        <v>12</v>
      </c>
      <c r="J110" s="20">
        <v>12</v>
      </c>
      <c r="K110" s="20"/>
      <c r="L110" s="20"/>
      <c r="M110" s="20"/>
      <c r="N110" s="20"/>
    </row>
    <row r="111" spans="1:14" x14ac:dyDescent="0.25">
      <c r="A111" s="22" t="s">
        <v>797</v>
      </c>
      <c r="B111" s="20"/>
      <c r="C111" s="20"/>
      <c r="D111" s="20"/>
      <c r="E111" s="20"/>
      <c r="F111" s="20">
        <v>0.3</v>
      </c>
      <c r="G111" s="20">
        <v>0.3</v>
      </c>
      <c r="H111" s="20">
        <v>0.4</v>
      </c>
      <c r="I111" s="20"/>
      <c r="J111" s="20"/>
      <c r="K111" s="20"/>
      <c r="L111" s="20"/>
      <c r="M111" s="20"/>
      <c r="N111" s="20"/>
    </row>
    <row r="112" spans="1:14" x14ac:dyDescent="0.25">
      <c r="A112" s="22" t="s">
        <v>801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>
        <v>1117.75</v>
      </c>
      <c r="M112" s="20">
        <v>1117.75</v>
      </c>
      <c r="N112" s="20">
        <v>1117.75</v>
      </c>
    </row>
    <row r="113" spans="1:14" x14ac:dyDescent="0.25">
      <c r="A113" s="22" t="s">
        <v>804</v>
      </c>
      <c r="B113" s="20"/>
      <c r="C113" s="20"/>
      <c r="D113" s="20"/>
      <c r="E113" s="20"/>
      <c r="F113" s="20"/>
      <c r="G113" s="20"/>
      <c r="H113" s="20"/>
      <c r="I113" s="20"/>
      <c r="J113" s="20">
        <v>8840</v>
      </c>
      <c r="K113" s="20">
        <v>8840</v>
      </c>
      <c r="L113" s="20">
        <v>8840</v>
      </c>
      <c r="M113" s="20">
        <v>8840</v>
      </c>
      <c r="N113" s="20">
        <v>8840</v>
      </c>
    </row>
    <row r="114" spans="1:14" x14ac:dyDescent="0.25">
      <c r="A114" s="22" t="s">
        <v>1685</v>
      </c>
      <c r="B114" s="20"/>
      <c r="C114" s="20"/>
      <c r="D114" s="20"/>
      <c r="E114" s="20"/>
      <c r="F114" s="20"/>
      <c r="G114" s="20"/>
      <c r="H114" s="20">
        <v>33700</v>
      </c>
      <c r="I114" s="20">
        <v>33700</v>
      </c>
      <c r="J114" s="20"/>
      <c r="K114" s="20"/>
      <c r="L114" s="20"/>
      <c r="M114" s="20"/>
      <c r="N114" s="20"/>
    </row>
    <row r="115" spans="1:14" x14ac:dyDescent="0.25">
      <c r="A115" s="22" t="s">
        <v>831</v>
      </c>
      <c r="B115" s="20"/>
      <c r="C115" s="20"/>
      <c r="D115" s="20"/>
      <c r="E115" s="20"/>
      <c r="F115" s="20"/>
      <c r="G115" s="20"/>
      <c r="H115" s="20"/>
      <c r="I115" s="20"/>
      <c r="J115" s="20">
        <v>1.8</v>
      </c>
      <c r="K115" s="20">
        <v>1.8</v>
      </c>
      <c r="L115" s="20">
        <v>1.8</v>
      </c>
      <c r="M115" s="20">
        <v>1.8</v>
      </c>
      <c r="N115" s="20">
        <v>1.8</v>
      </c>
    </row>
    <row r="116" spans="1:14" x14ac:dyDescent="0.25">
      <c r="A116" s="22" t="s">
        <v>2313</v>
      </c>
      <c r="B116" s="20"/>
      <c r="C116" s="20"/>
      <c r="D116" s="20"/>
      <c r="E116" s="20"/>
      <c r="F116" s="20">
        <v>104967</v>
      </c>
      <c r="G116" s="20">
        <v>104967</v>
      </c>
      <c r="H116" s="20">
        <v>104967</v>
      </c>
      <c r="I116" s="20"/>
      <c r="J116" s="20"/>
      <c r="K116" s="20"/>
      <c r="L116" s="20"/>
      <c r="M116" s="20"/>
      <c r="N116" s="20"/>
    </row>
    <row r="117" spans="1:14" x14ac:dyDescent="0.25">
      <c r="A117" s="22" t="s">
        <v>2318</v>
      </c>
      <c r="B117" s="20"/>
      <c r="C117" s="20"/>
      <c r="D117" s="20"/>
      <c r="E117" s="20"/>
      <c r="F117" s="20"/>
      <c r="G117" s="20">
        <v>66810</v>
      </c>
      <c r="H117" s="20">
        <v>66810</v>
      </c>
      <c r="I117" s="20"/>
      <c r="J117" s="20"/>
      <c r="K117" s="20"/>
      <c r="L117" s="20"/>
      <c r="M117" s="20"/>
      <c r="N117" s="20"/>
    </row>
    <row r="118" spans="1:14" x14ac:dyDescent="0.25">
      <c r="A118" s="22" t="s">
        <v>844</v>
      </c>
      <c r="B118" s="20"/>
      <c r="C118" s="20">
        <v>11834</v>
      </c>
      <c r="D118" s="20">
        <v>11834</v>
      </c>
      <c r="E118" s="20">
        <v>11834</v>
      </c>
      <c r="F118" s="20">
        <v>11834</v>
      </c>
      <c r="G118" s="20">
        <v>11834</v>
      </c>
      <c r="H118" s="20">
        <v>11834</v>
      </c>
      <c r="I118" s="20">
        <v>11834</v>
      </c>
      <c r="J118" s="20">
        <v>11834</v>
      </c>
      <c r="K118" s="20">
        <v>11834</v>
      </c>
      <c r="L118" s="20">
        <v>11834</v>
      </c>
      <c r="M118" s="20">
        <v>11834</v>
      </c>
      <c r="N118" s="20">
        <v>11834</v>
      </c>
    </row>
    <row r="119" spans="1:14" x14ac:dyDescent="0.25">
      <c r="A119" s="22" t="s">
        <v>854</v>
      </c>
      <c r="B119" s="20">
        <v>9250</v>
      </c>
      <c r="C119" s="20">
        <v>14246</v>
      </c>
      <c r="D119" s="20">
        <v>16886</v>
      </c>
      <c r="E119" s="20">
        <v>16886</v>
      </c>
      <c r="F119" s="20">
        <v>19986</v>
      </c>
      <c r="G119" s="20">
        <v>19986</v>
      </c>
      <c r="H119" s="20">
        <v>19986</v>
      </c>
      <c r="I119" s="20">
        <v>19986</v>
      </c>
      <c r="J119" s="20">
        <v>42276</v>
      </c>
      <c r="K119" s="20">
        <v>42276</v>
      </c>
      <c r="L119" s="20">
        <v>77576</v>
      </c>
      <c r="M119" s="20">
        <v>77576</v>
      </c>
      <c r="N119" s="20">
        <v>77576</v>
      </c>
    </row>
    <row r="120" spans="1:14" x14ac:dyDescent="0.25">
      <c r="A120" s="22" t="s">
        <v>894</v>
      </c>
      <c r="B120" s="20">
        <v>2400</v>
      </c>
      <c r="C120" s="20">
        <v>2400</v>
      </c>
      <c r="D120" s="20">
        <v>24429</v>
      </c>
      <c r="E120" s="20">
        <v>24429</v>
      </c>
      <c r="F120" s="20">
        <v>24429</v>
      </c>
      <c r="G120" s="20">
        <v>24429</v>
      </c>
      <c r="H120" s="20">
        <v>24429</v>
      </c>
      <c r="I120" s="20">
        <v>24429</v>
      </c>
      <c r="J120" s="20">
        <v>24429</v>
      </c>
      <c r="K120" s="20">
        <v>24429</v>
      </c>
      <c r="L120" s="20">
        <v>24429</v>
      </c>
      <c r="M120" s="20">
        <v>24429</v>
      </c>
      <c r="N120" s="20">
        <v>24429</v>
      </c>
    </row>
    <row r="121" spans="1:14" x14ac:dyDescent="0.25">
      <c r="A121" s="22" t="s">
        <v>901</v>
      </c>
      <c r="B121" s="20">
        <v>270</v>
      </c>
      <c r="C121" s="20">
        <v>270</v>
      </c>
      <c r="D121" s="20">
        <v>270</v>
      </c>
      <c r="E121" s="20">
        <v>270</v>
      </c>
      <c r="F121" s="20">
        <v>270</v>
      </c>
      <c r="G121" s="20">
        <v>270</v>
      </c>
      <c r="H121" s="20">
        <v>270</v>
      </c>
      <c r="I121" s="20">
        <v>270</v>
      </c>
      <c r="J121" s="20">
        <v>270</v>
      </c>
      <c r="K121" s="20">
        <v>270</v>
      </c>
      <c r="L121" s="20">
        <v>270</v>
      </c>
      <c r="M121" s="20">
        <v>270</v>
      </c>
      <c r="N121" s="20">
        <v>270</v>
      </c>
    </row>
    <row r="122" spans="1:14" x14ac:dyDescent="0.25">
      <c r="A122" s="22" t="s">
        <v>904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>
        <v>479100</v>
      </c>
    </row>
    <row r="123" spans="1:14" x14ac:dyDescent="0.25">
      <c r="A123" s="22" t="s">
        <v>1705</v>
      </c>
      <c r="B123" s="20"/>
      <c r="C123" s="20"/>
      <c r="D123" s="20"/>
      <c r="E123" s="20"/>
      <c r="F123" s="20"/>
      <c r="G123" s="20">
        <v>1000</v>
      </c>
      <c r="H123" s="20"/>
      <c r="I123" s="20"/>
      <c r="J123" s="20"/>
      <c r="K123" s="20"/>
      <c r="L123" s="20"/>
      <c r="M123" s="20"/>
      <c r="N123" s="20"/>
    </row>
    <row r="124" spans="1:14" x14ac:dyDescent="0.25">
      <c r="A124" s="22" t="s">
        <v>915</v>
      </c>
      <c r="B124" s="20"/>
      <c r="C124" s="20"/>
      <c r="D124" s="20"/>
      <c r="E124" s="20"/>
      <c r="F124" s="20">
        <v>37500</v>
      </c>
      <c r="G124" s="20">
        <v>37500</v>
      </c>
      <c r="H124" s="20">
        <v>37500</v>
      </c>
      <c r="I124" s="20">
        <v>37500</v>
      </c>
      <c r="J124" s="20">
        <v>37500</v>
      </c>
      <c r="K124" s="20">
        <v>37500</v>
      </c>
      <c r="L124" s="20">
        <v>37500</v>
      </c>
      <c r="M124" s="20">
        <v>37500</v>
      </c>
      <c r="N124" s="20">
        <v>37500</v>
      </c>
    </row>
    <row r="125" spans="1:14" x14ac:dyDescent="0.25">
      <c r="A125" s="22" t="s">
        <v>1711</v>
      </c>
      <c r="B125" s="20"/>
      <c r="C125" s="20"/>
      <c r="D125" s="20"/>
      <c r="E125" s="20"/>
      <c r="F125" s="20"/>
      <c r="G125" s="20"/>
      <c r="H125" s="20"/>
      <c r="I125" s="20">
        <v>7010</v>
      </c>
      <c r="J125" s="20"/>
      <c r="K125" s="20"/>
      <c r="L125" s="20"/>
      <c r="M125" s="20"/>
      <c r="N125" s="20"/>
    </row>
    <row r="126" spans="1:14" x14ac:dyDescent="0.25">
      <c r="A126" s="22" t="s">
        <v>2349</v>
      </c>
      <c r="B126" s="20"/>
      <c r="C126" s="20"/>
      <c r="D126" s="20"/>
      <c r="E126" s="20">
        <v>4237847.28</v>
      </c>
      <c r="F126" s="20"/>
      <c r="G126" s="20">
        <v>15835.2</v>
      </c>
      <c r="H126" s="20"/>
      <c r="I126" s="20"/>
      <c r="J126" s="20"/>
      <c r="K126" s="20"/>
      <c r="L126" s="20"/>
      <c r="M126" s="20"/>
      <c r="N126" s="20"/>
    </row>
    <row r="127" spans="1:14" x14ac:dyDescent="0.25">
      <c r="A127" s="22" t="s">
        <v>935</v>
      </c>
      <c r="B127" s="20"/>
      <c r="C127" s="20"/>
      <c r="D127" s="20"/>
      <c r="E127" s="20"/>
      <c r="F127" s="20"/>
      <c r="G127" s="20"/>
      <c r="H127" s="20"/>
      <c r="I127" s="20">
        <v>14000</v>
      </c>
      <c r="J127" s="20">
        <v>14000</v>
      </c>
      <c r="K127" s="20">
        <v>14000</v>
      </c>
      <c r="L127" s="20">
        <v>14000</v>
      </c>
      <c r="M127" s="20">
        <v>14000</v>
      </c>
      <c r="N127" s="20">
        <v>14000</v>
      </c>
    </row>
    <row r="128" spans="1:14" x14ac:dyDescent="0.25">
      <c r="A128" s="22" t="s">
        <v>2827</v>
      </c>
      <c r="B128" s="20"/>
      <c r="C128" s="20"/>
      <c r="D128" s="20">
        <v>6050</v>
      </c>
      <c r="E128" s="20">
        <v>1442706</v>
      </c>
      <c r="F128" s="20"/>
      <c r="G128" s="20"/>
      <c r="H128" s="20"/>
      <c r="I128" s="20"/>
      <c r="J128" s="20"/>
      <c r="K128" s="20"/>
      <c r="L128" s="20"/>
      <c r="M128" s="20"/>
      <c r="N128" s="20"/>
    </row>
    <row r="129" spans="1:14" x14ac:dyDescent="0.25">
      <c r="A129" s="22" t="s">
        <v>3283</v>
      </c>
      <c r="B129" s="20">
        <v>50000</v>
      </c>
      <c r="C129" s="20">
        <v>50000</v>
      </c>
      <c r="D129" s="20">
        <v>50000</v>
      </c>
      <c r="E129" s="20">
        <v>50000</v>
      </c>
      <c r="F129" s="20"/>
      <c r="G129" s="20"/>
      <c r="H129" s="20"/>
      <c r="I129" s="20"/>
      <c r="J129" s="20"/>
      <c r="K129" s="20"/>
      <c r="L129" s="20"/>
      <c r="M129" s="20"/>
      <c r="N129" s="20"/>
    </row>
    <row r="130" spans="1:14" x14ac:dyDescent="0.25">
      <c r="A130" s="22" t="s">
        <v>965</v>
      </c>
      <c r="B130" s="20"/>
      <c r="C130" s="20"/>
      <c r="D130" s="20"/>
      <c r="E130" s="20"/>
      <c r="F130" s="20"/>
      <c r="G130" s="20">
        <v>135901.20000000001</v>
      </c>
      <c r="H130" s="20"/>
      <c r="I130" s="20">
        <v>252667.4</v>
      </c>
      <c r="J130" s="20">
        <v>252667.4</v>
      </c>
      <c r="K130" s="20">
        <v>252667.4</v>
      </c>
      <c r="L130" s="20">
        <v>252667.4</v>
      </c>
      <c r="M130" s="20">
        <v>252667.4</v>
      </c>
      <c r="N130" s="20">
        <v>252667.4</v>
      </c>
    </row>
    <row r="131" spans="1:14" x14ac:dyDescent="0.25">
      <c r="A131" s="22" t="s">
        <v>969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>
        <v>200000</v>
      </c>
      <c r="L131" s="20">
        <v>400000</v>
      </c>
      <c r="M131" s="20">
        <v>400000</v>
      </c>
      <c r="N131" s="20">
        <v>400000</v>
      </c>
    </row>
    <row r="132" spans="1:14" x14ac:dyDescent="0.25">
      <c r="A132" s="22" t="s">
        <v>2382</v>
      </c>
      <c r="B132" s="20"/>
      <c r="C132" s="20"/>
      <c r="D132" s="20"/>
      <c r="E132" s="20">
        <v>2000</v>
      </c>
      <c r="F132" s="20"/>
      <c r="G132" s="20"/>
      <c r="H132" s="20"/>
      <c r="I132" s="20"/>
      <c r="J132" s="20"/>
      <c r="K132" s="20"/>
      <c r="L132" s="20"/>
      <c r="M132" s="20"/>
      <c r="N132" s="20"/>
    </row>
    <row r="133" spans="1:14" x14ac:dyDescent="0.25">
      <c r="A133" s="22" t="s">
        <v>980</v>
      </c>
      <c r="B133" s="20"/>
      <c r="C133" s="20"/>
      <c r="D133" s="20"/>
      <c r="E133" s="20"/>
      <c r="F133" s="20"/>
      <c r="G133" s="20"/>
      <c r="H133" s="20"/>
      <c r="I133" s="20"/>
      <c r="J133" s="20">
        <v>31000</v>
      </c>
      <c r="K133" s="20">
        <v>31000</v>
      </c>
      <c r="L133" s="20">
        <v>31000</v>
      </c>
      <c r="M133" s="20">
        <v>31000</v>
      </c>
      <c r="N133" s="20">
        <v>31000</v>
      </c>
    </row>
    <row r="134" spans="1:14" x14ac:dyDescent="0.25">
      <c r="A134" s="22" t="s">
        <v>984</v>
      </c>
      <c r="B134" s="20"/>
      <c r="C134" s="20"/>
      <c r="D134" s="20"/>
      <c r="E134" s="20"/>
      <c r="F134" s="20"/>
      <c r="G134" s="20"/>
      <c r="H134" s="20"/>
      <c r="I134" s="20">
        <v>32000</v>
      </c>
      <c r="J134" s="20">
        <v>32000</v>
      </c>
      <c r="K134" s="20">
        <v>32000</v>
      </c>
      <c r="L134" s="20">
        <v>32000</v>
      </c>
      <c r="M134" s="20">
        <v>32000</v>
      </c>
      <c r="N134" s="20">
        <v>32000</v>
      </c>
    </row>
    <row r="135" spans="1:14" x14ac:dyDescent="0.25">
      <c r="A135" s="22" t="s">
        <v>991</v>
      </c>
      <c r="B135" s="20"/>
      <c r="C135" s="20"/>
      <c r="D135" s="20"/>
      <c r="E135" s="20"/>
      <c r="F135" s="20"/>
      <c r="G135" s="20"/>
      <c r="H135" s="20"/>
      <c r="I135" s="20">
        <v>20740</v>
      </c>
      <c r="J135" s="20">
        <v>20740</v>
      </c>
      <c r="K135" s="20">
        <v>20740</v>
      </c>
      <c r="L135" s="20">
        <v>20740</v>
      </c>
      <c r="M135" s="20">
        <v>20740</v>
      </c>
      <c r="N135" s="20">
        <v>20740</v>
      </c>
    </row>
    <row r="136" spans="1:14" x14ac:dyDescent="0.25">
      <c r="A136" s="22" t="s">
        <v>995</v>
      </c>
      <c r="B136" s="20"/>
      <c r="C136" s="20"/>
      <c r="D136" s="20"/>
      <c r="E136" s="20"/>
      <c r="F136" s="20">
        <v>401.23</v>
      </c>
      <c r="G136" s="20">
        <v>802.47</v>
      </c>
      <c r="H136" s="20">
        <v>4413.57</v>
      </c>
      <c r="I136" s="20">
        <v>4413.57</v>
      </c>
      <c r="J136" s="20">
        <v>4413.57</v>
      </c>
      <c r="K136" s="20">
        <v>4413.57</v>
      </c>
      <c r="L136" s="20">
        <v>4413.57</v>
      </c>
      <c r="M136" s="20">
        <v>4413.57</v>
      </c>
      <c r="N136" s="20">
        <v>4413.57</v>
      </c>
    </row>
    <row r="137" spans="1:14" x14ac:dyDescent="0.25">
      <c r="A137" s="22" t="s">
        <v>1736</v>
      </c>
      <c r="B137" s="20">
        <v>2974.3</v>
      </c>
      <c r="C137" s="20">
        <v>2974.3</v>
      </c>
      <c r="D137" s="20">
        <v>2974.3</v>
      </c>
      <c r="E137" s="20">
        <v>2974.3</v>
      </c>
      <c r="F137" s="20">
        <v>2974.3</v>
      </c>
      <c r="G137" s="20">
        <v>2974.3</v>
      </c>
      <c r="H137" s="20">
        <v>2974.3</v>
      </c>
      <c r="I137" s="20">
        <v>2974.3</v>
      </c>
      <c r="J137" s="20"/>
      <c r="K137" s="20"/>
      <c r="L137" s="20"/>
      <c r="M137" s="20"/>
      <c r="N137" s="20"/>
    </row>
    <row r="138" spans="1:14" x14ac:dyDescent="0.25">
      <c r="A138" s="22" t="s">
        <v>1005</v>
      </c>
      <c r="B138" s="20"/>
      <c r="C138" s="20"/>
      <c r="D138" s="20"/>
      <c r="E138" s="20"/>
      <c r="F138" s="20"/>
      <c r="G138" s="20"/>
      <c r="H138" s="20"/>
      <c r="I138" s="20">
        <v>164474</v>
      </c>
      <c r="J138" s="20">
        <v>66974</v>
      </c>
      <c r="K138" s="20">
        <v>4658</v>
      </c>
      <c r="L138" s="20"/>
      <c r="M138" s="20"/>
      <c r="N138" s="20"/>
    </row>
    <row r="139" spans="1:14" x14ac:dyDescent="0.25">
      <c r="A139" s="22" t="s">
        <v>1008</v>
      </c>
      <c r="B139" s="20"/>
      <c r="C139" s="20"/>
      <c r="D139" s="20"/>
      <c r="E139" s="20"/>
      <c r="F139" s="20"/>
      <c r="G139" s="20">
        <v>0.1</v>
      </c>
      <c r="H139" s="20">
        <v>0.1</v>
      </c>
      <c r="I139" s="20">
        <v>0.1</v>
      </c>
      <c r="J139" s="20">
        <v>0.1</v>
      </c>
      <c r="K139" s="20">
        <v>0.1</v>
      </c>
      <c r="L139" s="20">
        <v>0.1</v>
      </c>
      <c r="M139" s="20">
        <v>0.1</v>
      </c>
      <c r="N139" s="20">
        <v>0.1</v>
      </c>
    </row>
    <row r="140" spans="1:14" x14ac:dyDescent="0.25">
      <c r="A140" s="22" t="s">
        <v>1011</v>
      </c>
      <c r="B140" s="20"/>
      <c r="C140" s="20"/>
      <c r="D140" s="20">
        <v>0.01</v>
      </c>
      <c r="E140" s="20">
        <v>0.01</v>
      </c>
      <c r="F140" s="20">
        <v>0.01</v>
      </c>
      <c r="G140" s="20">
        <v>0.01</v>
      </c>
      <c r="H140" s="20">
        <v>0.01</v>
      </c>
      <c r="I140" s="20">
        <v>0.01</v>
      </c>
      <c r="J140" s="20">
        <v>12461.800000000001</v>
      </c>
      <c r="K140" s="20">
        <v>12461.800000000001</v>
      </c>
      <c r="L140" s="20">
        <v>12461.800000000001</v>
      </c>
      <c r="M140" s="20">
        <v>12461.800000000001</v>
      </c>
      <c r="N140" s="20">
        <v>12461.800000000001</v>
      </c>
    </row>
    <row r="141" spans="1:14" x14ac:dyDescent="0.25">
      <c r="A141" s="22" t="s">
        <v>1017</v>
      </c>
      <c r="B141" s="20"/>
      <c r="C141" s="20"/>
      <c r="D141" s="20"/>
      <c r="E141" s="20">
        <v>30600</v>
      </c>
      <c r="F141" s="20"/>
      <c r="G141" s="20"/>
      <c r="H141" s="20"/>
      <c r="I141" s="20">
        <v>37500</v>
      </c>
      <c r="J141" s="20">
        <v>37500</v>
      </c>
      <c r="K141" s="20"/>
      <c r="L141" s="20"/>
      <c r="M141" s="20"/>
      <c r="N141" s="20"/>
    </row>
    <row r="142" spans="1:14" x14ac:dyDescent="0.25">
      <c r="A142" s="22" t="s">
        <v>1020</v>
      </c>
      <c r="B142" s="20"/>
      <c r="C142" s="20"/>
      <c r="D142" s="20"/>
      <c r="E142" s="20"/>
      <c r="F142" s="20"/>
      <c r="G142" s="20"/>
      <c r="H142" s="20"/>
      <c r="I142" s="20">
        <v>47400</v>
      </c>
      <c r="J142" s="20">
        <v>47400</v>
      </c>
      <c r="K142" s="20">
        <v>47400</v>
      </c>
      <c r="L142" s="20">
        <v>47400</v>
      </c>
      <c r="M142" s="20">
        <v>47400</v>
      </c>
      <c r="N142" s="20">
        <v>47400</v>
      </c>
    </row>
    <row r="143" spans="1:14" x14ac:dyDescent="0.25">
      <c r="A143" s="22" t="s">
        <v>1749</v>
      </c>
      <c r="B143" s="20"/>
      <c r="C143" s="20"/>
      <c r="D143" s="20"/>
      <c r="E143" s="20"/>
      <c r="F143" s="20"/>
      <c r="G143" s="20"/>
      <c r="H143" s="20"/>
      <c r="I143" s="20">
        <v>450340.8</v>
      </c>
      <c r="J143" s="20"/>
      <c r="K143" s="20"/>
      <c r="L143" s="20"/>
      <c r="M143" s="20"/>
      <c r="N143" s="20"/>
    </row>
    <row r="144" spans="1:14" x14ac:dyDescent="0.25">
      <c r="A144" s="22" t="s">
        <v>1024</v>
      </c>
      <c r="B144" s="20"/>
      <c r="C144" s="20">
        <v>15500</v>
      </c>
      <c r="D144" s="20">
        <v>15500</v>
      </c>
      <c r="E144" s="20"/>
      <c r="F144" s="20"/>
      <c r="G144" s="20"/>
      <c r="H144" s="20"/>
      <c r="I144" s="20"/>
      <c r="J144" s="20"/>
      <c r="K144" s="20"/>
      <c r="L144" s="20">
        <v>22500</v>
      </c>
      <c r="M144" s="20">
        <v>22500</v>
      </c>
      <c r="N144" s="20">
        <v>22500</v>
      </c>
    </row>
    <row r="145" spans="1:14" x14ac:dyDescent="0.25">
      <c r="A145" s="22" t="s">
        <v>1028</v>
      </c>
      <c r="B145" s="20"/>
      <c r="C145" s="20"/>
      <c r="D145" s="20"/>
      <c r="E145" s="20"/>
      <c r="F145" s="20"/>
      <c r="G145" s="20"/>
      <c r="H145" s="20"/>
      <c r="I145" s="20"/>
      <c r="J145" s="20">
        <v>274500</v>
      </c>
      <c r="K145" s="20">
        <v>274500</v>
      </c>
      <c r="L145" s="20">
        <v>274500</v>
      </c>
      <c r="M145" s="20">
        <v>274500</v>
      </c>
      <c r="N145" s="20">
        <v>274500</v>
      </c>
    </row>
    <row r="146" spans="1:14" x14ac:dyDescent="0.25">
      <c r="A146" s="22" t="s">
        <v>1043</v>
      </c>
      <c r="B146" s="20"/>
      <c r="C146" s="20"/>
      <c r="D146" s="20"/>
      <c r="E146" s="20"/>
      <c r="F146" s="20"/>
      <c r="G146" s="20"/>
      <c r="H146" s="20"/>
      <c r="I146" s="20"/>
      <c r="J146" s="20">
        <v>1165</v>
      </c>
      <c r="K146" s="20">
        <v>1165</v>
      </c>
      <c r="L146" s="20">
        <v>1165</v>
      </c>
      <c r="M146" s="20">
        <v>1165</v>
      </c>
      <c r="N146" s="20">
        <v>1165</v>
      </c>
    </row>
    <row r="147" spans="1:14" x14ac:dyDescent="0.25">
      <c r="A147" s="22" t="s">
        <v>1046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>
        <v>9000</v>
      </c>
      <c r="L147" s="20">
        <v>9000</v>
      </c>
      <c r="M147" s="20">
        <v>9000</v>
      </c>
      <c r="N147" s="20">
        <v>9000</v>
      </c>
    </row>
    <row r="148" spans="1:14" x14ac:dyDescent="0.25">
      <c r="A148" s="22" t="s">
        <v>3308</v>
      </c>
      <c r="B148" s="20"/>
      <c r="C148" s="20"/>
      <c r="D148" s="20"/>
      <c r="E148" s="20">
        <v>920000</v>
      </c>
      <c r="F148" s="20"/>
      <c r="G148" s="20"/>
      <c r="H148" s="20"/>
      <c r="I148" s="20"/>
      <c r="J148" s="20"/>
      <c r="K148" s="20"/>
      <c r="L148" s="20"/>
      <c r="M148" s="20"/>
      <c r="N148" s="20"/>
    </row>
    <row r="149" spans="1:14" x14ac:dyDescent="0.25">
      <c r="A149" s="22" t="s">
        <v>1050</v>
      </c>
      <c r="B149" s="20"/>
      <c r="C149" s="20"/>
      <c r="D149" s="20"/>
      <c r="E149" s="20"/>
      <c r="F149" s="20"/>
      <c r="G149" s="20"/>
      <c r="H149" s="20"/>
      <c r="I149" s="20">
        <v>86800</v>
      </c>
      <c r="J149" s="20">
        <v>86800</v>
      </c>
      <c r="K149" s="20">
        <v>86800</v>
      </c>
      <c r="L149" s="20">
        <v>86800</v>
      </c>
      <c r="M149" s="20">
        <v>86800</v>
      </c>
      <c r="N149" s="20">
        <v>86800</v>
      </c>
    </row>
    <row r="150" spans="1:14" x14ac:dyDescent="0.25">
      <c r="A150" s="22" t="s">
        <v>1053</v>
      </c>
      <c r="B150" s="20">
        <v>0.4</v>
      </c>
      <c r="C150" s="20">
        <v>0.4</v>
      </c>
      <c r="D150" s="20">
        <v>0.4</v>
      </c>
      <c r="E150" s="20">
        <v>0.4</v>
      </c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 x14ac:dyDescent="0.25">
      <c r="A151" s="22" t="s">
        <v>2417</v>
      </c>
      <c r="B151" s="20"/>
      <c r="C151" s="20"/>
      <c r="D151" s="20">
        <v>313500</v>
      </c>
      <c r="E151" s="20"/>
      <c r="F151" s="20"/>
      <c r="G151" s="20"/>
      <c r="H151" s="20">
        <v>554500</v>
      </c>
      <c r="I151" s="20"/>
      <c r="J151" s="20"/>
      <c r="K151" s="20"/>
      <c r="L151" s="20"/>
      <c r="M151" s="20"/>
      <c r="N151" s="20"/>
    </row>
    <row r="152" spans="1:14" x14ac:dyDescent="0.25">
      <c r="A152" s="22" t="s">
        <v>2849</v>
      </c>
      <c r="B152" s="20"/>
      <c r="C152" s="20"/>
      <c r="D152" s="20"/>
      <c r="E152" s="20"/>
      <c r="F152" s="20"/>
      <c r="G152" s="20">
        <v>474600</v>
      </c>
      <c r="H152" s="20"/>
      <c r="I152" s="20"/>
      <c r="J152" s="20"/>
      <c r="K152" s="20"/>
      <c r="L152" s="20"/>
      <c r="M152" s="20"/>
      <c r="N152" s="20"/>
    </row>
    <row r="153" spans="1:14" x14ac:dyDescent="0.25">
      <c r="A153" s="22" t="s">
        <v>1068</v>
      </c>
      <c r="B153" s="20">
        <v>4</v>
      </c>
      <c r="C153" s="20">
        <v>2094394</v>
      </c>
      <c r="D153" s="20">
        <v>2094394</v>
      </c>
      <c r="E153" s="20">
        <v>2094394</v>
      </c>
      <c r="F153" s="20">
        <v>4</v>
      </c>
      <c r="G153" s="20">
        <v>4</v>
      </c>
      <c r="H153" s="20">
        <v>4</v>
      </c>
      <c r="I153" s="20">
        <v>4</v>
      </c>
      <c r="J153" s="20">
        <v>4</v>
      </c>
      <c r="K153" s="20">
        <v>4</v>
      </c>
      <c r="L153" s="20">
        <v>4</v>
      </c>
      <c r="M153" s="20">
        <v>4</v>
      </c>
      <c r="N153" s="20">
        <v>4</v>
      </c>
    </row>
    <row r="154" spans="1:14" x14ac:dyDescent="0.25">
      <c r="A154" s="22" t="s">
        <v>1073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>
        <v>11631.14</v>
      </c>
      <c r="M154" s="20">
        <v>11631.14</v>
      </c>
      <c r="N154" s="20">
        <v>11631.14</v>
      </c>
    </row>
    <row r="155" spans="1:14" x14ac:dyDescent="0.25">
      <c r="A155" s="22" t="s">
        <v>2423</v>
      </c>
      <c r="B155" s="20">
        <v>77777.52</v>
      </c>
      <c r="C155" s="20">
        <v>39488.46</v>
      </c>
      <c r="D155" s="20"/>
      <c r="E155" s="20"/>
      <c r="F155" s="20">
        <v>88229.88</v>
      </c>
      <c r="G155" s="20">
        <v>36878.879999999997</v>
      </c>
      <c r="H155" s="20"/>
      <c r="I155" s="20"/>
      <c r="J155" s="20"/>
      <c r="K155" s="20"/>
      <c r="L155" s="20"/>
      <c r="M155" s="20"/>
      <c r="N155" s="20"/>
    </row>
    <row r="156" spans="1:14" x14ac:dyDescent="0.25">
      <c r="A156" s="22" t="s">
        <v>1079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>
        <v>96000</v>
      </c>
      <c r="M156" s="20">
        <v>96000</v>
      </c>
      <c r="N156" s="20">
        <v>96000</v>
      </c>
    </row>
    <row r="157" spans="1:14" x14ac:dyDescent="0.25">
      <c r="A157" s="22" t="s">
        <v>4507</v>
      </c>
      <c r="B157" s="20">
        <v>9007785.9500000011</v>
      </c>
      <c r="C157" s="20">
        <v>6059162.3199999994</v>
      </c>
      <c r="D157" s="20">
        <v>20629452.619999997</v>
      </c>
      <c r="E157" s="20">
        <v>13743620.180000002</v>
      </c>
      <c r="F157" s="20">
        <v>11895846.570000004</v>
      </c>
      <c r="G157" s="20">
        <v>14405395.300000003</v>
      </c>
      <c r="H157" s="20">
        <v>31973303.880000003</v>
      </c>
      <c r="I157" s="20">
        <v>33903832.770000003</v>
      </c>
      <c r="J157" s="20">
        <v>7542771.29</v>
      </c>
      <c r="K157" s="20">
        <v>9420788.1000000015</v>
      </c>
      <c r="L157" s="20">
        <v>9715871.5</v>
      </c>
      <c r="M157" s="20">
        <v>9715871.5</v>
      </c>
      <c r="N157" s="20">
        <v>18805801.010000005</v>
      </c>
    </row>
    <row r="401" spans="17:17" x14ac:dyDescent="0.25">
      <c r="Q40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</vt:lpstr>
      <vt:lpstr>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poisk-12</dc:creator>
  <cp:lastModifiedBy>poisk-12</cp:lastModifiedBy>
  <dcterms:created xsi:type="dcterms:W3CDTF">2026-03-06T01:27:22Z</dcterms:created>
  <dcterms:modified xsi:type="dcterms:W3CDTF">2026-03-17T08:50:18Z</dcterms:modified>
</cp:coreProperties>
</file>